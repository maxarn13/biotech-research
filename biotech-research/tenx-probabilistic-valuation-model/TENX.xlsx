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ol\Desktop\"/>
    </mc:Choice>
  </mc:AlternateContent>
  <xr:revisionPtr revIDLastSave="0" documentId="8_{2E4F46BF-D0D7-4096-B53C-8AEED351C132}" xr6:coauthVersionLast="47" xr6:coauthVersionMax="47" xr10:uidLastSave="{00000000-0000-0000-0000-000000000000}"/>
  <bookViews>
    <workbookView xWindow="-120" yWindow="-120" windowWidth="29040" windowHeight="15720" activeTab="4" xr2:uid="{250819BF-96CD-4551-AFA6-6E51BA226460}"/>
  </bookViews>
  <sheets>
    <sheet name="Main" sheetId="2" r:id="rId1"/>
    <sheet name="Conservative Case (Monte Carlo)" sheetId="1" r:id="rId2"/>
    <sheet name="Base Case (Normal)" sheetId="3" r:id="rId3"/>
    <sheet name="Bull Case (Phase 2 Prior)" sheetId="4" r:id="rId4"/>
    <sheet name="DCF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C10" i="2"/>
  <c r="C7" i="2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6" i="1"/>
  <c r="M12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6" i="1"/>
  <c r="N11" i="1"/>
  <c r="J9" i="5"/>
  <c r="M9" i="5" s="1"/>
  <c r="O9" i="5" s="1"/>
  <c r="J10" i="5"/>
  <c r="M10" i="5" s="1"/>
  <c r="O10" i="5" s="1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8" i="5"/>
  <c r="M8" i="5" s="1"/>
  <c r="O8" i="5" s="1"/>
  <c r="C9" i="5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C520" i="4" s="1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C533" i="4" s="1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C544" i="4" s="1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C567" i="4" s="1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C574" i="4" s="1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C588" i="4" s="1"/>
  <c r="B589" i="4"/>
  <c r="C589" i="4" s="1"/>
  <c r="B590" i="4"/>
  <c r="C590" i="4" s="1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C618" i="4" s="1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C646" i="4" s="1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C677" i="4" s="1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C694" i="4" s="1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C701" i="4" s="1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C708" i="4" s="1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C718" i="4" s="1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C732" i="4" s="1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C743" i="4" s="1"/>
  <c r="B744" i="4"/>
  <c r="C744" i="4" s="1"/>
  <c r="B745" i="4"/>
  <c r="C745" i="4" s="1"/>
  <c r="B746" i="4"/>
  <c r="C746" i="4" s="1"/>
  <c r="B747" i="4"/>
  <c r="C747" i="4" s="1"/>
  <c r="B748" i="4"/>
  <c r="C748" i="4" s="1"/>
  <c r="B749" i="4"/>
  <c r="C749" i="4" s="1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C769" i="4" s="1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C780" i="4" s="1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C797" i="4" s="1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C814" i="4" s="1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C820" i="4" s="1"/>
  <c r="B821" i="4"/>
  <c r="C821" i="4" s="1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C862" i="4" s="1"/>
  <c r="B863" i="4"/>
  <c r="C863" i="4" s="1"/>
  <c r="B864" i="4"/>
  <c r="C864" i="4" s="1"/>
  <c r="B865" i="4"/>
  <c r="C865" i="4" s="1"/>
  <c r="B866" i="4"/>
  <c r="C866" i="4" s="1"/>
  <c r="B867" i="4"/>
  <c r="C867" i="4" s="1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C894" i="4" s="1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C910" i="4" s="1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C924" i="4" s="1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C952" i="4" s="1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C958" i="4" s="1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C965" i="4" s="1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C972" i="4" s="1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C989" i="4" s="1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C1014" i="4" s="1"/>
  <c r="B1015" i="4"/>
  <c r="C1015" i="4" s="1"/>
  <c r="B16" i="4"/>
  <c r="A18" i="4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7" i="4"/>
  <c r="B17" i="3"/>
  <c r="C17" i="3" s="1"/>
  <c r="B18" i="3"/>
  <c r="C18" i="3" s="1"/>
  <c r="B19" i="3"/>
  <c r="C19" i="3" s="1"/>
  <c r="B20" i="3"/>
  <c r="C20" i="3" s="1"/>
  <c r="B21" i="3"/>
  <c r="C21" i="3" s="1"/>
  <c r="B22" i="3"/>
  <c r="C22" i="3" s="1"/>
  <c r="B23" i="3"/>
  <c r="C23" i="3" s="1"/>
  <c r="B24" i="3"/>
  <c r="C24" i="3" s="1"/>
  <c r="B25" i="3"/>
  <c r="C25" i="3" s="1"/>
  <c r="B26" i="3"/>
  <c r="C26" i="3" s="1"/>
  <c r="B27" i="3"/>
  <c r="C27" i="3" s="1"/>
  <c r="B28" i="3"/>
  <c r="C28" i="3" s="1"/>
  <c r="B29" i="3"/>
  <c r="C29" i="3" s="1"/>
  <c r="B30" i="3"/>
  <c r="C30" i="3" s="1"/>
  <c r="B31" i="3"/>
  <c r="C31" i="3" s="1"/>
  <c r="B32" i="3"/>
  <c r="C32" i="3" s="1"/>
  <c r="B33" i="3"/>
  <c r="C33" i="3" s="1"/>
  <c r="B34" i="3"/>
  <c r="C34" i="3" s="1"/>
  <c r="B35" i="3"/>
  <c r="C35" i="3" s="1"/>
  <c r="B36" i="3"/>
  <c r="C36" i="3" s="1"/>
  <c r="B37" i="3"/>
  <c r="C37" i="3" s="1"/>
  <c r="B38" i="3"/>
  <c r="C38" i="3" s="1"/>
  <c r="B39" i="3"/>
  <c r="C39" i="3" s="1"/>
  <c r="B40" i="3"/>
  <c r="C40" i="3" s="1"/>
  <c r="B41" i="3"/>
  <c r="C41" i="3" s="1"/>
  <c r="B42" i="3"/>
  <c r="C42" i="3" s="1"/>
  <c r="B43" i="3"/>
  <c r="C43" i="3" s="1"/>
  <c r="B44" i="3"/>
  <c r="C44" i="3" s="1"/>
  <c r="B45" i="3"/>
  <c r="C45" i="3" s="1"/>
  <c r="B46" i="3"/>
  <c r="C46" i="3" s="1"/>
  <c r="B47" i="3"/>
  <c r="C47" i="3" s="1"/>
  <c r="B48" i="3"/>
  <c r="C48" i="3" s="1"/>
  <c r="B49" i="3"/>
  <c r="C49" i="3" s="1"/>
  <c r="B50" i="3"/>
  <c r="C50" i="3" s="1"/>
  <c r="B51" i="3"/>
  <c r="C51" i="3" s="1"/>
  <c r="B52" i="3"/>
  <c r="C52" i="3" s="1"/>
  <c r="B53" i="3"/>
  <c r="C53" i="3" s="1"/>
  <c r="B54" i="3"/>
  <c r="C54" i="3" s="1"/>
  <c r="B55" i="3"/>
  <c r="C55" i="3" s="1"/>
  <c r="B56" i="3"/>
  <c r="C56" i="3" s="1"/>
  <c r="B57" i="3"/>
  <c r="C57" i="3" s="1"/>
  <c r="B58" i="3"/>
  <c r="C58" i="3" s="1"/>
  <c r="B59" i="3"/>
  <c r="C59" i="3" s="1"/>
  <c r="B60" i="3"/>
  <c r="C60" i="3" s="1"/>
  <c r="B61" i="3"/>
  <c r="C61" i="3" s="1"/>
  <c r="B62" i="3"/>
  <c r="C62" i="3" s="1"/>
  <c r="B63" i="3"/>
  <c r="C63" i="3" s="1"/>
  <c r="B64" i="3"/>
  <c r="C64" i="3" s="1"/>
  <c r="B65" i="3"/>
  <c r="C65" i="3" s="1"/>
  <c r="B66" i="3"/>
  <c r="C66" i="3" s="1"/>
  <c r="B67" i="3"/>
  <c r="C67" i="3" s="1"/>
  <c r="B68" i="3"/>
  <c r="C68" i="3" s="1"/>
  <c r="B69" i="3"/>
  <c r="C69" i="3" s="1"/>
  <c r="B70" i="3"/>
  <c r="C70" i="3" s="1"/>
  <c r="B71" i="3"/>
  <c r="C71" i="3" s="1"/>
  <c r="B72" i="3"/>
  <c r="C72" i="3" s="1"/>
  <c r="B73" i="3"/>
  <c r="C73" i="3" s="1"/>
  <c r="B74" i="3"/>
  <c r="C74" i="3" s="1"/>
  <c r="B75" i="3"/>
  <c r="C75" i="3" s="1"/>
  <c r="B76" i="3"/>
  <c r="C76" i="3" s="1"/>
  <c r="B77" i="3"/>
  <c r="C77" i="3" s="1"/>
  <c r="B78" i="3"/>
  <c r="C78" i="3" s="1"/>
  <c r="B79" i="3"/>
  <c r="C79" i="3" s="1"/>
  <c r="B80" i="3"/>
  <c r="C80" i="3" s="1"/>
  <c r="B81" i="3"/>
  <c r="C81" i="3" s="1"/>
  <c r="B82" i="3"/>
  <c r="C82" i="3" s="1"/>
  <c r="B83" i="3"/>
  <c r="C83" i="3" s="1"/>
  <c r="B84" i="3"/>
  <c r="C84" i="3" s="1"/>
  <c r="B85" i="3"/>
  <c r="C85" i="3" s="1"/>
  <c r="B86" i="3"/>
  <c r="C86" i="3" s="1"/>
  <c r="B87" i="3"/>
  <c r="C87" i="3" s="1"/>
  <c r="B88" i="3"/>
  <c r="C88" i="3" s="1"/>
  <c r="B89" i="3"/>
  <c r="C89" i="3" s="1"/>
  <c r="B90" i="3"/>
  <c r="C90" i="3" s="1"/>
  <c r="B91" i="3"/>
  <c r="C91" i="3" s="1"/>
  <c r="B92" i="3"/>
  <c r="C92" i="3" s="1"/>
  <c r="B93" i="3"/>
  <c r="C93" i="3" s="1"/>
  <c r="B94" i="3"/>
  <c r="C94" i="3" s="1"/>
  <c r="B95" i="3"/>
  <c r="C95" i="3" s="1"/>
  <c r="B96" i="3"/>
  <c r="C96" i="3" s="1"/>
  <c r="B97" i="3"/>
  <c r="C97" i="3" s="1"/>
  <c r="B98" i="3"/>
  <c r="C98" i="3" s="1"/>
  <c r="B99" i="3"/>
  <c r="C99" i="3" s="1"/>
  <c r="B100" i="3"/>
  <c r="C100" i="3" s="1"/>
  <c r="B101" i="3"/>
  <c r="C101" i="3" s="1"/>
  <c r="B102" i="3"/>
  <c r="C102" i="3" s="1"/>
  <c r="B103" i="3"/>
  <c r="C103" i="3" s="1"/>
  <c r="B104" i="3"/>
  <c r="C104" i="3" s="1"/>
  <c r="B105" i="3"/>
  <c r="C105" i="3" s="1"/>
  <c r="B106" i="3"/>
  <c r="C106" i="3" s="1"/>
  <c r="B107" i="3"/>
  <c r="C107" i="3" s="1"/>
  <c r="B108" i="3"/>
  <c r="C108" i="3" s="1"/>
  <c r="B109" i="3"/>
  <c r="C109" i="3" s="1"/>
  <c r="B110" i="3"/>
  <c r="C110" i="3" s="1"/>
  <c r="B111" i="3"/>
  <c r="C111" i="3" s="1"/>
  <c r="B112" i="3"/>
  <c r="C112" i="3" s="1"/>
  <c r="B113" i="3"/>
  <c r="C113" i="3" s="1"/>
  <c r="B114" i="3"/>
  <c r="C114" i="3" s="1"/>
  <c r="B115" i="3"/>
  <c r="C115" i="3" s="1"/>
  <c r="B116" i="3"/>
  <c r="C116" i="3" s="1"/>
  <c r="B117" i="3"/>
  <c r="C117" i="3" s="1"/>
  <c r="B118" i="3"/>
  <c r="C118" i="3" s="1"/>
  <c r="B119" i="3"/>
  <c r="C119" i="3" s="1"/>
  <c r="B120" i="3"/>
  <c r="C120" i="3" s="1"/>
  <c r="B121" i="3"/>
  <c r="C121" i="3" s="1"/>
  <c r="B122" i="3"/>
  <c r="C122" i="3" s="1"/>
  <c r="B123" i="3"/>
  <c r="C123" i="3" s="1"/>
  <c r="B124" i="3"/>
  <c r="C124" i="3" s="1"/>
  <c r="B125" i="3"/>
  <c r="C125" i="3" s="1"/>
  <c r="B126" i="3"/>
  <c r="C126" i="3" s="1"/>
  <c r="B127" i="3"/>
  <c r="C127" i="3" s="1"/>
  <c r="B128" i="3"/>
  <c r="C128" i="3" s="1"/>
  <c r="B129" i="3"/>
  <c r="C129" i="3" s="1"/>
  <c r="B130" i="3"/>
  <c r="C130" i="3" s="1"/>
  <c r="B131" i="3"/>
  <c r="C131" i="3" s="1"/>
  <c r="B132" i="3"/>
  <c r="C132" i="3" s="1"/>
  <c r="B133" i="3"/>
  <c r="C133" i="3" s="1"/>
  <c r="B134" i="3"/>
  <c r="C134" i="3" s="1"/>
  <c r="B135" i="3"/>
  <c r="C135" i="3" s="1"/>
  <c r="B136" i="3"/>
  <c r="C136" i="3" s="1"/>
  <c r="B137" i="3"/>
  <c r="C137" i="3" s="1"/>
  <c r="B138" i="3"/>
  <c r="C138" i="3" s="1"/>
  <c r="B139" i="3"/>
  <c r="C139" i="3" s="1"/>
  <c r="B140" i="3"/>
  <c r="C140" i="3" s="1"/>
  <c r="B141" i="3"/>
  <c r="C141" i="3" s="1"/>
  <c r="B142" i="3"/>
  <c r="C142" i="3" s="1"/>
  <c r="B143" i="3"/>
  <c r="C143" i="3" s="1"/>
  <c r="B144" i="3"/>
  <c r="C144" i="3" s="1"/>
  <c r="B145" i="3"/>
  <c r="C145" i="3" s="1"/>
  <c r="B146" i="3"/>
  <c r="C146" i="3" s="1"/>
  <c r="B147" i="3"/>
  <c r="C147" i="3" s="1"/>
  <c r="B148" i="3"/>
  <c r="C148" i="3" s="1"/>
  <c r="B149" i="3"/>
  <c r="C149" i="3" s="1"/>
  <c r="B150" i="3"/>
  <c r="C150" i="3" s="1"/>
  <c r="B151" i="3"/>
  <c r="C151" i="3" s="1"/>
  <c r="B152" i="3"/>
  <c r="C152" i="3" s="1"/>
  <c r="B153" i="3"/>
  <c r="C153" i="3" s="1"/>
  <c r="B154" i="3"/>
  <c r="C154" i="3" s="1"/>
  <c r="B155" i="3"/>
  <c r="C155" i="3" s="1"/>
  <c r="B156" i="3"/>
  <c r="C156" i="3" s="1"/>
  <c r="B157" i="3"/>
  <c r="C157" i="3" s="1"/>
  <c r="B158" i="3"/>
  <c r="C158" i="3" s="1"/>
  <c r="B159" i="3"/>
  <c r="C159" i="3" s="1"/>
  <c r="B160" i="3"/>
  <c r="C160" i="3" s="1"/>
  <c r="B161" i="3"/>
  <c r="C161" i="3" s="1"/>
  <c r="B162" i="3"/>
  <c r="C162" i="3" s="1"/>
  <c r="B163" i="3"/>
  <c r="C163" i="3" s="1"/>
  <c r="B164" i="3"/>
  <c r="C164" i="3" s="1"/>
  <c r="B165" i="3"/>
  <c r="C165" i="3" s="1"/>
  <c r="B166" i="3"/>
  <c r="C166" i="3" s="1"/>
  <c r="B167" i="3"/>
  <c r="C167" i="3" s="1"/>
  <c r="B168" i="3"/>
  <c r="C168" i="3" s="1"/>
  <c r="B169" i="3"/>
  <c r="C169" i="3" s="1"/>
  <c r="B170" i="3"/>
  <c r="C170" i="3" s="1"/>
  <c r="B171" i="3"/>
  <c r="C171" i="3" s="1"/>
  <c r="B172" i="3"/>
  <c r="C172" i="3" s="1"/>
  <c r="B173" i="3"/>
  <c r="C173" i="3" s="1"/>
  <c r="B174" i="3"/>
  <c r="C174" i="3" s="1"/>
  <c r="B175" i="3"/>
  <c r="C175" i="3" s="1"/>
  <c r="B176" i="3"/>
  <c r="C176" i="3" s="1"/>
  <c r="B177" i="3"/>
  <c r="C177" i="3" s="1"/>
  <c r="B178" i="3"/>
  <c r="C178" i="3" s="1"/>
  <c r="B179" i="3"/>
  <c r="C179" i="3" s="1"/>
  <c r="B180" i="3"/>
  <c r="C180" i="3" s="1"/>
  <c r="B181" i="3"/>
  <c r="C181" i="3" s="1"/>
  <c r="B182" i="3"/>
  <c r="C182" i="3" s="1"/>
  <c r="B183" i="3"/>
  <c r="C183" i="3" s="1"/>
  <c r="B184" i="3"/>
  <c r="C184" i="3" s="1"/>
  <c r="B185" i="3"/>
  <c r="C185" i="3" s="1"/>
  <c r="B186" i="3"/>
  <c r="C186" i="3" s="1"/>
  <c r="B187" i="3"/>
  <c r="C187" i="3" s="1"/>
  <c r="B188" i="3"/>
  <c r="C188" i="3" s="1"/>
  <c r="B189" i="3"/>
  <c r="C189" i="3" s="1"/>
  <c r="B190" i="3"/>
  <c r="C190" i="3" s="1"/>
  <c r="B191" i="3"/>
  <c r="C191" i="3" s="1"/>
  <c r="B192" i="3"/>
  <c r="C192" i="3" s="1"/>
  <c r="B193" i="3"/>
  <c r="C193" i="3" s="1"/>
  <c r="B194" i="3"/>
  <c r="C194" i="3" s="1"/>
  <c r="B195" i="3"/>
  <c r="C195" i="3" s="1"/>
  <c r="B196" i="3"/>
  <c r="C196" i="3" s="1"/>
  <c r="B197" i="3"/>
  <c r="C197" i="3" s="1"/>
  <c r="B198" i="3"/>
  <c r="C198" i="3" s="1"/>
  <c r="B199" i="3"/>
  <c r="C199" i="3" s="1"/>
  <c r="B200" i="3"/>
  <c r="C200" i="3" s="1"/>
  <c r="B201" i="3"/>
  <c r="C201" i="3" s="1"/>
  <c r="B202" i="3"/>
  <c r="C202" i="3" s="1"/>
  <c r="B203" i="3"/>
  <c r="C203" i="3" s="1"/>
  <c r="B204" i="3"/>
  <c r="C204" i="3" s="1"/>
  <c r="B205" i="3"/>
  <c r="C205" i="3" s="1"/>
  <c r="B206" i="3"/>
  <c r="C206" i="3" s="1"/>
  <c r="B207" i="3"/>
  <c r="C207" i="3" s="1"/>
  <c r="B208" i="3"/>
  <c r="C208" i="3" s="1"/>
  <c r="B209" i="3"/>
  <c r="C209" i="3" s="1"/>
  <c r="B210" i="3"/>
  <c r="C210" i="3" s="1"/>
  <c r="B211" i="3"/>
  <c r="C211" i="3" s="1"/>
  <c r="B212" i="3"/>
  <c r="C212" i="3" s="1"/>
  <c r="B213" i="3"/>
  <c r="C213" i="3" s="1"/>
  <c r="B214" i="3"/>
  <c r="C214" i="3" s="1"/>
  <c r="B215" i="3"/>
  <c r="C215" i="3" s="1"/>
  <c r="B216" i="3"/>
  <c r="C216" i="3" s="1"/>
  <c r="B217" i="3"/>
  <c r="C217" i="3" s="1"/>
  <c r="B218" i="3"/>
  <c r="C218" i="3" s="1"/>
  <c r="B219" i="3"/>
  <c r="C219" i="3" s="1"/>
  <c r="B220" i="3"/>
  <c r="C220" i="3" s="1"/>
  <c r="B221" i="3"/>
  <c r="C221" i="3" s="1"/>
  <c r="B222" i="3"/>
  <c r="C222" i="3" s="1"/>
  <c r="B223" i="3"/>
  <c r="C223" i="3" s="1"/>
  <c r="B224" i="3"/>
  <c r="C224" i="3" s="1"/>
  <c r="B225" i="3"/>
  <c r="C225" i="3" s="1"/>
  <c r="B226" i="3"/>
  <c r="C226" i="3" s="1"/>
  <c r="B227" i="3"/>
  <c r="C227" i="3" s="1"/>
  <c r="B228" i="3"/>
  <c r="C228" i="3" s="1"/>
  <c r="B229" i="3"/>
  <c r="C229" i="3" s="1"/>
  <c r="B230" i="3"/>
  <c r="C230" i="3" s="1"/>
  <c r="B231" i="3"/>
  <c r="C231" i="3" s="1"/>
  <c r="B232" i="3"/>
  <c r="C232" i="3" s="1"/>
  <c r="B233" i="3"/>
  <c r="C233" i="3" s="1"/>
  <c r="B234" i="3"/>
  <c r="C234" i="3" s="1"/>
  <c r="B235" i="3"/>
  <c r="C235" i="3" s="1"/>
  <c r="B236" i="3"/>
  <c r="C236" i="3" s="1"/>
  <c r="B237" i="3"/>
  <c r="C237" i="3" s="1"/>
  <c r="B238" i="3"/>
  <c r="C238" i="3" s="1"/>
  <c r="B239" i="3"/>
  <c r="C239" i="3" s="1"/>
  <c r="B240" i="3"/>
  <c r="C240" i="3" s="1"/>
  <c r="B241" i="3"/>
  <c r="C241" i="3" s="1"/>
  <c r="B242" i="3"/>
  <c r="C242" i="3" s="1"/>
  <c r="B243" i="3"/>
  <c r="C243" i="3" s="1"/>
  <c r="B244" i="3"/>
  <c r="C244" i="3" s="1"/>
  <c r="B245" i="3"/>
  <c r="C245" i="3" s="1"/>
  <c r="B246" i="3"/>
  <c r="C246" i="3" s="1"/>
  <c r="B247" i="3"/>
  <c r="C247" i="3" s="1"/>
  <c r="B248" i="3"/>
  <c r="C248" i="3" s="1"/>
  <c r="B249" i="3"/>
  <c r="C249" i="3" s="1"/>
  <c r="B250" i="3"/>
  <c r="C250" i="3" s="1"/>
  <c r="B251" i="3"/>
  <c r="C251" i="3" s="1"/>
  <c r="B252" i="3"/>
  <c r="C252" i="3" s="1"/>
  <c r="B253" i="3"/>
  <c r="C253" i="3" s="1"/>
  <c r="B254" i="3"/>
  <c r="C254" i="3" s="1"/>
  <c r="B255" i="3"/>
  <c r="C255" i="3" s="1"/>
  <c r="B256" i="3"/>
  <c r="C256" i="3" s="1"/>
  <c r="B257" i="3"/>
  <c r="C257" i="3" s="1"/>
  <c r="B258" i="3"/>
  <c r="C258" i="3" s="1"/>
  <c r="B259" i="3"/>
  <c r="C259" i="3" s="1"/>
  <c r="B260" i="3"/>
  <c r="C260" i="3" s="1"/>
  <c r="B261" i="3"/>
  <c r="C261" i="3" s="1"/>
  <c r="B262" i="3"/>
  <c r="C262" i="3" s="1"/>
  <c r="B263" i="3"/>
  <c r="C263" i="3" s="1"/>
  <c r="B264" i="3"/>
  <c r="C264" i="3" s="1"/>
  <c r="B265" i="3"/>
  <c r="C265" i="3" s="1"/>
  <c r="B266" i="3"/>
  <c r="C266" i="3" s="1"/>
  <c r="B267" i="3"/>
  <c r="C267" i="3" s="1"/>
  <c r="B268" i="3"/>
  <c r="C268" i="3" s="1"/>
  <c r="B269" i="3"/>
  <c r="C269" i="3" s="1"/>
  <c r="B270" i="3"/>
  <c r="C270" i="3" s="1"/>
  <c r="B271" i="3"/>
  <c r="C271" i="3" s="1"/>
  <c r="B272" i="3"/>
  <c r="C272" i="3" s="1"/>
  <c r="B273" i="3"/>
  <c r="C273" i="3" s="1"/>
  <c r="B274" i="3"/>
  <c r="C274" i="3" s="1"/>
  <c r="B275" i="3"/>
  <c r="C275" i="3" s="1"/>
  <c r="B276" i="3"/>
  <c r="C276" i="3" s="1"/>
  <c r="B277" i="3"/>
  <c r="C277" i="3" s="1"/>
  <c r="B278" i="3"/>
  <c r="C278" i="3" s="1"/>
  <c r="B279" i="3"/>
  <c r="C279" i="3" s="1"/>
  <c r="B280" i="3"/>
  <c r="C280" i="3" s="1"/>
  <c r="B281" i="3"/>
  <c r="C281" i="3" s="1"/>
  <c r="B282" i="3"/>
  <c r="C282" i="3" s="1"/>
  <c r="B283" i="3"/>
  <c r="C283" i="3" s="1"/>
  <c r="B284" i="3"/>
  <c r="C284" i="3" s="1"/>
  <c r="B285" i="3"/>
  <c r="C285" i="3" s="1"/>
  <c r="B286" i="3"/>
  <c r="C286" i="3" s="1"/>
  <c r="B287" i="3"/>
  <c r="C287" i="3" s="1"/>
  <c r="B288" i="3"/>
  <c r="C288" i="3" s="1"/>
  <c r="B289" i="3"/>
  <c r="C289" i="3" s="1"/>
  <c r="B290" i="3"/>
  <c r="C290" i="3" s="1"/>
  <c r="B291" i="3"/>
  <c r="C291" i="3" s="1"/>
  <c r="B292" i="3"/>
  <c r="C292" i="3" s="1"/>
  <c r="B293" i="3"/>
  <c r="C293" i="3" s="1"/>
  <c r="B294" i="3"/>
  <c r="C294" i="3" s="1"/>
  <c r="B295" i="3"/>
  <c r="C295" i="3" s="1"/>
  <c r="B296" i="3"/>
  <c r="C296" i="3" s="1"/>
  <c r="B297" i="3"/>
  <c r="C297" i="3" s="1"/>
  <c r="B298" i="3"/>
  <c r="C298" i="3" s="1"/>
  <c r="B299" i="3"/>
  <c r="C299" i="3" s="1"/>
  <c r="B300" i="3"/>
  <c r="C300" i="3" s="1"/>
  <c r="B301" i="3"/>
  <c r="C301" i="3" s="1"/>
  <c r="B302" i="3"/>
  <c r="C302" i="3" s="1"/>
  <c r="B303" i="3"/>
  <c r="C303" i="3" s="1"/>
  <c r="B304" i="3"/>
  <c r="C304" i="3" s="1"/>
  <c r="B305" i="3"/>
  <c r="C305" i="3" s="1"/>
  <c r="B306" i="3"/>
  <c r="C306" i="3" s="1"/>
  <c r="B307" i="3"/>
  <c r="C307" i="3" s="1"/>
  <c r="B308" i="3"/>
  <c r="C308" i="3" s="1"/>
  <c r="B309" i="3"/>
  <c r="C309" i="3" s="1"/>
  <c r="B310" i="3"/>
  <c r="C310" i="3" s="1"/>
  <c r="B311" i="3"/>
  <c r="C311" i="3" s="1"/>
  <c r="B312" i="3"/>
  <c r="C312" i="3" s="1"/>
  <c r="B313" i="3"/>
  <c r="C313" i="3" s="1"/>
  <c r="B314" i="3"/>
  <c r="C314" i="3" s="1"/>
  <c r="B315" i="3"/>
  <c r="C315" i="3" s="1"/>
  <c r="B316" i="3"/>
  <c r="C316" i="3" s="1"/>
  <c r="B317" i="3"/>
  <c r="C317" i="3" s="1"/>
  <c r="B318" i="3"/>
  <c r="C318" i="3" s="1"/>
  <c r="B319" i="3"/>
  <c r="C319" i="3" s="1"/>
  <c r="B320" i="3"/>
  <c r="C320" i="3" s="1"/>
  <c r="B321" i="3"/>
  <c r="C321" i="3" s="1"/>
  <c r="B322" i="3"/>
  <c r="C322" i="3" s="1"/>
  <c r="B323" i="3"/>
  <c r="C323" i="3" s="1"/>
  <c r="B324" i="3"/>
  <c r="C324" i="3" s="1"/>
  <c r="B325" i="3"/>
  <c r="C325" i="3" s="1"/>
  <c r="B326" i="3"/>
  <c r="C326" i="3" s="1"/>
  <c r="B327" i="3"/>
  <c r="C327" i="3" s="1"/>
  <c r="B328" i="3"/>
  <c r="C328" i="3" s="1"/>
  <c r="B329" i="3"/>
  <c r="C329" i="3" s="1"/>
  <c r="B330" i="3"/>
  <c r="C330" i="3" s="1"/>
  <c r="B331" i="3"/>
  <c r="C331" i="3" s="1"/>
  <c r="B332" i="3"/>
  <c r="C332" i="3" s="1"/>
  <c r="B333" i="3"/>
  <c r="C333" i="3" s="1"/>
  <c r="B334" i="3"/>
  <c r="C334" i="3" s="1"/>
  <c r="B335" i="3"/>
  <c r="C335" i="3" s="1"/>
  <c r="B336" i="3"/>
  <c r="C336" i="3" s="1"/>
  <c r="B337" i="3"/>
  <c r="C337" i="3" s="1"/>
  <c r="B338" i="3"/>
  <c r="C338" i="3" s="1"/>
  <c r="B339" i="3"/>
  <c r="C339" i="3" s="1"/>
  <c r="B340" i="3"/>
  <c r="C340" i="3" s="1"/>
  <c r="B341" i="3"/>
  <c r="C341" i="3" s="1"/>
  <c r="B342" i="3"/>
  <c r="C342" i="3" s="1"/>
  <c r="B343" i="3"/>
  <c r="C343" i="3" s="1"/>
  <c r="B344" i="3"/>
  <c r="C344" i="3" s="1"/>
  <c r="B345" i="3"/>
  <c r="C345" i="3" s="1"/>
  <c r="B346" i="3"/>
  <c r="C346" i="3" s="1"/>
  <c r="B347" i="3"/>
  <c r="C347" i="3" s="1"/>
  <c r="B348" i="3"/>
  <c r="C348" i="3" s="1"/>
  <c r="B349" i="3"/>
  <c r="C349" i="3" s="1"/>
  <c r="B350" i="3"/>
  <c r="C350" i="3" s="1"/>
  <c r="B351" i="3"/>
  <c r="C351" i="3" s="1"/>
  <c r="B352" i="3"/>
  <c r="C352" i="3" s="1"/>
  <c r="B353" i="3"/>
  <c r="C353" i="3" s="1"/>
  <c r="B354" i="3"/>
  <c r="C354" i="3" s="1"/>
  <c r="B355" i="3"/>
  <c r="C355" i="3" s="1"/>
  <c r="B356" i="3"/>
  <c r="C356" i="3" s="1"/>
  <c r="B357" i="3"/>
  <c r="C357" i="3" s="1"/>
  <c r="B358" i="3"/>
  <c r="C358" i="3" s="1"/>
  <c r="B359" i="3"/>
  <c r="C359" i="3" s="1"/>
  <c r="B360" i="3"/>
  <c r="C360" i="3" s="1"/>
  <c r="B361" i="3"/>
  <c r="C361" i="3" s="1"/>
  <c r="B362" i="3"/>
  <c r="C362" i="3" s="1"/>
  <c r="B363" i="3"/>
  <c r="C363" i="3" s="1"/>
  <c r="B364" i="3"/>
  <c r="C364" i="3" s="1"/>
  <c r="B365" i="3"/>
  <c r="C365" i="3" s="1"/>
  <c r="B366" i="3"/>
  <c r="C366" i="3" s="1"/>
  <c r="B367" i="3"/>
  <c r="C367" i="3" s="1"/>
  <c r="B368" i="3"/>
  <c r="C368" i="3" s="1"/>
  <c r="B369" i="3"/>
  <c r="C369" i="3" s="1"/>
  <c r="B370" i="3"/>
  <c r="C370" i="3" s="1"/>
  <c r="B371" i="3"/>
  <c r="C371" i="3" s="1"/>
  <c r="B372" i="3"/>
  <c r="C372" i="3" s="1"/>
  <c r="B373" i="3"/>
  <c r="C373" i="3" s="1"/>
  <c r="B374" i="3"/>
  <c r="C374" i="3" s="1"/>
  <c r="B375" i="3"/>
  <c r="C375" i="3" s="1"/>
  <c r="B376" i="3"/>
  <c r="C376" i="3" s="1"/>
  <c r="B377" i="3"/>
  <c r="C377" i="3" s="1"/>
  <c r="B378" i="3"/>
  <c r="C378" i="3" s="1"/>
  <c r="B379" i="3"/>
  <c r="C379" i="3" s="1"/>
  <c r="B380" i="3"/>
  <c r="C380" i="3" s="1"/>
  <c r="B381" i="3"/>
  <c r="C381" i="3" s="1"/>
  <c r="B382" i="3"/>
  <c r="C382" i="3" s="1"/>
  <c r="B383" i="3"/>
  <c r="C383" i="3" s="1"/>
  <c r="B384" i="3"/>
  <c r="C384" i="3" s="1"/>
  <c r="B385" i="3"/>
  <c r="C385" i="3" s="1"/>
  <c r="B386" i="3"/>
  <c r="C386" i="3" s="1"/>
  <c r="B387" i="3"/>
  <c r="C387" i="3" s="1"/>
  <c r="B388" i="3"/>
  <c r="C388" i="3" s="1"/>
  <c r="B389" i="3"/>
  <c r="C389" i="3" s="1"/>
  <c r="B390" i="3"/>
  <c r="C390" i="3" s="1"/>
  <c r="B391" i="3"/>
  <c r="C391" i="3" s="1"/>
  <c r="B392" i="3"/>
  <c r="C392" i="3" s="1"/>
  <c r="B393" i="3"/>
  <c r="C393" i="3" s="1"/>
  <c r="B394" i="3"/>
  <c r="C394" i="3" s="1"/>
  <c r="B395" i="3"/>
  <c r="C395" i="3" s="1"/>
  <c r="B396" i="3"/>
  <c r="C396" i="3" s="1"/>
  <c r="B397" i="3"/>
  <c r="C397" i="3" s="1"/>
  <c r="B398" i="3"/>
  <c r="C398" i="3" s="1"/>
  <c r="B399" i="3"/>
  <c r="C399" i="3" s="1"/>
  <c r="B400" i="3"/>
  <c r="C400" i="3" s="1"/>
  <c r="B401" i="3"/>
  <c r="C401" i="3" s="1"/>
  <c r="B402" i="3"/>
  <c r="C402" i="3" s="1"/>
  <c r="B403" i="3"/>
  <c r="C403" i="3" s="1"/>
  <c r="B404" i="3"/>
  <c r="C404" i="3" s="1"/>
  <c r="B405" i="3"/>
  <c r="C405" i="3" s="1"/>
  <c r="B406" i="3"/>
  <c r="C406" i="3" s="1"/>
  <c r="B407" i="3"/>
  <c r="C407" i="3" s="1"/>
  <c r="B408" i="3"/>
  <c r="C408" i="3" s="1"/>
  <c r="B409" i="3"/>
  <c r="C409" i="3" s="1"/>
  <c r="B410" i="3"/>
  <c r="C410" i="3" s="1"/>
  <c r="B411" i="3"/>
  <c r="C411" i="3" s="1"/>
  <c r="B412" i="3"/>
  <c r="C412" i="3" s="1"/>
  <c r="B413" i="3"/>
  <c r="C413" i="3" s="1"/>
  <c r="B414" i="3"/>
  <c r="C414" i="3" s="1"/>
  <c r="B415" i="3"/>
  <c r="C415" i="3" s="1"/>
  <c r="B416" i="3"/>
  <c r="C416" i="3" s="1"/>
  <c r="B417" i="3"/>
  <c r="C417" i="3" s="1"/>
  <c r="B418" i="3"/>
  <c r="C418" i="3" s="1"/>
  <c r="B419" i="3"/>
  <c r="C419" i="3" s="1"/>
  <c r="B420" i="3"/>
  <c r="C420" i="3" s="1"/>
  <c r="B421" i="3"/>
  <c r="C421" i="3" s="1"/>
  <c r="B422" i="3"/>
  <c r="C422" i="3" s="1"/>
  <c r="B423" i="3"/>
  <c r="C423" i="3" s="1"/>
  <c r="B424" i="3"/>
  <c r="C424" i="3" s="1"/>
  <c r="B425" i="3"/>
  <c r="C425" i="3" s="1"/>
  <c r="B426" i="3"/>
  <c r="C426" i="3" s="1"/>
  <c r="B427" i="3"/>
  <c r="C427" i="3" s="1"/>
  <c r="B428" i="3"/>
  <c r="C428" i="3" s="1"/>
  <c r="B429" i="3"/>
  <c r="C429" i="3" s="1"/>
  <c r="B430" i="3"/>
  <c r="C430" i="3" s="1"/>
  <c r="B431" i="3"/>
  <c r="C431" i="3" s="1"/>
  <c r="B432" i="3"/>
  <c r="C432" i="3" s="1"/>
  <c r="B433" i="3"/>
  <c r="C433" i="3" s="1"/>
  <c r="B434" i="3"/>
  <c r="C434" i="3" s="1"/>
  <c r="B435" i="3"/>
  <c r="C435" i="3" s="1"/>
  <c r="B436" i="3"/>
  <c r="C436" i="3" s="1"/>
  <c r="B437" i="3"/>
  <c r="C437" i="3" s="1"/>
  <c r="B438" i="3"/>
  <c r="C438" i="3" s="1"/>
  <c r="B439" i="3"/>
  <c r="C439" i="3" s="1"/>
  <c r="B440" i="3"/>
  <c r="C440" i="3" s="1"/>
  <c r="B441" i="3"/>
  <c r="C441" i="3" s="1"/>
  <c r="B442" i="3"/>
  <c r="C442" i="3" s="1"/>
  <c r="B443" i="3"/>
  <c r="C443" i="3" s="1"/>
  <c r="B444" i="3"/>
  <c r="C444" i="3" s="1"/>
  <c r="B445" i="3"/>
  <c r="C445" i="3" s="1"/>
  <c r="B446" i="3"/>
  <c r="C446" i="3" s="1"/>
  <c r="B447" i="3"/>
  <c r="C447" i="3" s="1"/>
  <c r="B448" i="3"/>
  <c r="C448" i="3" s="1"/>
  <c r="B449" i="3"/>
  <c r="C449" i="3" s="1"/>
  <c r="B450" i="3"/>
  <c r="C450" i="3" s="1"/>
  <c r="B451" i="3"/>
  <c r="C451" i="3" s="1"/>
  <c r="B452" i="3"/>
  <c r="C452" i="3" s="1"/>
  <c r="B453" i="3"/>
  <c r="C453" i="3" s="1"/>
  <c r="B454" i="3"/>
  <c r="C454" i="3" s="1"/>
  <c r="B455" i="3"/>
  <c r="C455" i="3" s="1"/>
  <c r="B456" i="3"/>
  <c r="C456" i="3" s="1"/>
  <c r="B457" i="3"/>
  <c r="C457" i="3" s="1"/>
  <c r="B458" i="3"/>
  <c r="C458" i="3" s="1"/>
  <c r="B459" i="3"/>
  <c r="C459" i="3" s="1"/>
  <c r="B460" i="3"/>
  <c r="C460" i="3" s="1"/>
  <c r="B461" i="3"/>
  <c r="C461" i="3" s="1"/>
  <c r="B462" i="3"/>
  <c r="C462" i="3" s="1"/>
  <c r="B463" i="3"/>
  <c r="C463" i="3" s="1"/>
  <c r="B464" i="3"/>
  <c r="C464" i="3" s="1"/>
  <c r="B465" i="3"/>
  <c r="C465" i="3" s="1"/>
  <c r="B466" i="3"/>
  <c r="C466" i="3" s="1"/>
  <c r="B467" i="3"/>
  <c r="C467" i="3" s="1"/>
  <c r="B468" i="3"/>
  <c r="C468" i="3" s="1"/>
  <c r="B469" i="3"/>
  <c r="C469" i="3" s="1"/>
  <c r="B470" i="3"/>
  <c r="C470" i="3" s="1"/>
  <c r="B471" i="3"/>
  <c r="C471" i="3" s="1"/>
  <c r="B472" i="3"/>
  <c r="C472" i="3" s="1"/>
  <c r="B473" i="3"/>
  <c r="C473" i="3" s="1"/>
  <c r="B474" i="3"/>
  <c r="C474" i="3" s="1"/>
  <c r="B475" i="3"/>
  <c r="C475" i="3" s="1"/>
  <c r="B476" i="3"/>
  <c r="C476" i="3" s="1"/>
  <c r="B477" i="3"/>
  <c r="C477" i="3" s="1"/>
  <c r="B478" i="3"/>
  <c r="C478" i="3" s="1"/>
  <c r="B479" i="3"/>
  <c r="C479" i="3" s="1"/>
  <c r="B480" i="3"/>
  <c r="C480" i="3" s="1"/>
  <c r="B481" i="3"/>
  <c r="C481" i="3" s="1"/>
  <c r="B482" i="3"/>
  <c r="C482" i="3" s="1"/>
  <c r="B483" i="3"/>
  <c r="C483" i="3" s="1"/>
  <c r="B484" i="3"/>
  <c r="C484" i="3" s="1"/>
  <c r="B485" i="3"/>
  <c r="C485" i="3" s="1"/>
  <c r="B486" i="3"/>
  <c r="C486" i="3" s="1"/>
  <c r="B487" i="3"/>
  <c r="C487" i="3" s="1"/>
  <c r="B488" i="3"/>
  <c r="C488" i="3" s="1"/>
  <c r="B489" i="3"/>
  <c r="C489" i="3" s="1"/>
  <c r="B490" i="3"/>
  <c r="C490" i="3" s="1"/>
  <c r="B491" i="3"/>
  <c r="C491" i="3" s="1"/>
  <c r="B492" i="3"/>
  <c r="C492" i="3" s="1"/>
  <c r="B493" i="3"/>
  <c r="C493" i="3" s="1"/>
  <c r="B494" i="3"/>
  <c r="C494" i="3" s="1"/>
  <c r="B495" i="3"/>
  <c r="C495" i="3" s="1"/>
  <c r="B496" i="3"/>
  <c r="C496" i="3" s="1"/>
  <c r="B497" i="3"/>
  <c r="C497" i="3" s="1"/>
  <c r="B498" i="3"/>
  <c r="C498" i="3" s="1"/>
  <c r="B499" i="3"/>
  <c r="C499" i="3" s="1"/>
  <c r="B500" i="3"/>
  <c r="C500" i="3" s="1"/>
  <c r="B501" i="3"/>
  <c r="C501" i="3" s="1"/>
  <c r="B502" i="3"/>
  <c r="C502" i="3" s="1"/>
  <c r="B503" i="3"/>
  <c r="C503" i="3" s="1"/>
  <c r="B504" i="3"/>
  <c r="C504" i="3" s="1"/>
  <c r="B505" i="3"/>
  <c r="C505" i="3" s="1"/>
  <c r="B506" i="3"/>
  <c r="C506" i="3" s="1"/>
  <c r="B507" i="3"/>
  <c r="C507" i="3" s="1"/>
  <c r="B508" i="3"/>
  <c r="C508" i="3" s="1"/>
  <c r="B509" i="3"/>
  <c r="C509" i="3" s="1"/>
  <c r="B510" i="3"/>
  <c r="C510" i="3" s="1"/>
  <c r="B511" i="3"/>
  <c r="C511" i="3" s="1"/>
  <c r="B512" i="3"/>
  <c r="C512" i="3" s="1"/>
  <c r="B513" i="3"/>
  <c r="C513" i="3" s="1"/>
  <c r="B514" i="3"/>
  <c r="C514" i="3" s="1"/>
  <c r="B515" i="3"/>
  <c r="C515" i="3" s="1"/>
  <c r="B516" i="3"/>
  <c r="C516" i="3" s="1"/>
  <c r="B517" i="3"/>
  <c r="C517" i="3" s="1"/>
  <c r="B518" i="3"/>
  <c r="C518" i="3" s="1"/>
  <c r="B519" i="3"/>
  <c r="C519" i="3" s="1"/>
  <c r="B520" i="3"/>
  <c r="C520" i="3" s="1"/>
  <c r="B521" i="3"/>
  <c r="C521" i="3" s="1"/>
  <c r="B522" i="3"/>
  <c r="C522" i="3" s="1"/>
  <c r="B523" i="3"/>
  <c r="C523" i="3" s="1"/>
  <c r="B524" i="3"/>
  <c r="C524" i="3" s="1"/>
  <c r="B525" i="3"/>
  <c r="C525" i="3" s="1"/>
  <c r="B526" i="3"/>
  <c r="C526" i="3" s="1"/>
  <c r="B527" i="3"/>
  <c r="C527" i="3" s="1"/>
  <c r="B528" i="3"/>
  <c r="C528" i="3" s="1"/>
  <c r="B529" i="3"/>
  <c r="C529" i="3" s="1"/>
  <c r="B530" i="3"/>
  <c r="C530" i="3" s="1"/>
  <c r="B531" i="3"/>
  <c r="C531" i="3" s="1"/>
  <c r="B532" i="3"/>
  <c r="C532" i="3" s="1"/>
  <c r="B533" i="3"/>
  <c r="C533" i="3" s="1"/>
  <c r="B534" i="3"/>
  <c r="C534" i="3" s="1"/>
  <c r="B535" i="3"/>
  <c r="C535" i="3" s="1"/>
  <c r="B536" i="3"/>
  <c r="C536" i="3" s="1"/>
  <c r="B537" i="3"/>
  <c r="C537" i="3" s="1"/>
  <c r="B538" i="3"/>
  <c r="C538" i="3" s="1"/>
  <c r="B539" i="3"/>
  <c r="C539" i="3" s="1"/>
  <c r="B540" i="3"/>
  <c r="C540" i="3" s="1"/>
  <c r="B541" i="3"/>
  <c r="C541" i="3" s="1"/>
  <c r="B542" i="3"/>
  <c r="C542" i="3" s="1"/>
  <c r="B543" i="3"/>
  <c r="C543" i="3" s="1"/>
  <c r="B544" i="3"/>
  <c r="C544" i="3" s="1"/>
  <c r="B545" i="3"/>
  <c r="C545" i="3" s="1"/>
  <c r="B546" i="3"/>
  <c r="C546" i="3" s="1"/>
  <c r="B547" i="3"/>
  <c r="C547" i="3" s="1"/>
  <c r="B548" i="3"/>
  <c r="C548" i="3" s="1"/>
  <c r="B549" i="3"/>
  <c r="C549" i="3" s="1"/>
  <c r="B550" i="3"/>
  <c r="C550" i="3" s="1"/>
  <c r="B551" i="3"/>
  <c r="C551" i="3" s="1"/>
  <c r="B552" i="3"/>
  <c r="C552" i="3" s="1"/>
  <c r="B553" i="3"/>
  <c r="C553" i="3" s="1"/>
  <c r="B554" i="3"/>
  <c r="C554" i="3" s="1"/>
  <c r="B555" i="3"/>
  <c r="C555" i="3" s="1"/>
  <c r="B556" i="3"/>
  <c r="C556" i="3" s="1"/>
  <c r="B557" i="3"/>
  <c r="C557" i="3" s="1"/>
  <c r="B558" i="3"/>
  <c r="C558" i="3" s="1"/>
  <c r="B559" i="3"/>
  <c r="C559" i="3" s="1"/>
  <c r="B560" i="3"/>
  <c r="C560" i="3" s="1"/>
  <c r="B561" i="3"/>
  <c r="C561" i="3" s="1"/>
  <c r="B562" i="3"/>
  <c r="C562" i="3" s="1"/>
  <c r="B563" i="3"/>
  <c r="C563" i="3" s="1"/>
  <c r="B564" i="3"/>
  <c r="C564" i="3" s="1"/>
  <c r="B565" i="3"/>
  <c r="C565" i="3" s="1"/>
  <c r="B566" i="3"/>
  <c r="C566" i="3" s="1"/>
  <c r="B567" i="3"/>
  <c r="C567" i="3" s="1"/>
  <c r="B568" i="3"/>
  <c r="C568" i="3" s="1"/>
  <c r="B569" i="3"/>
  <c r="C569" i="3" s="1"/>
  <c r="B570" i="3"/>
  <c r="C570" i="3" s="1"/>
  <c r="B571" i="3"/>
  <c r="C571" i="3" s="1"/>
  <c r="B572" i="3"/>
  <c r="C572" i="3" s="1"/>
  <c r="B573" i="3"/>
  <c r="C573" i="3" s="1"/>
  <c r="B574" i="3"/>
  <c r="C574" i="3" s="1"/>
  <c r="B575" i="3"/>
  <c r="C575" i="3" s="1"/>
  <c r="B576" i="3"/>
  <c r="C576" i="3" s="1"/>
  <c r="B577" i="3"/>
  <c r="C577" i="3" s="1"/>
  <c r="B578" i="3"/>
  <c r="C578" i="3" s="1"/>
  <c r="B579" i="3"/>
  <c r="C579" i="3" s="1"/>
  <c r="B580" i="3"/>
  <c r="C580" i="3" s="1"/>
  <c r="B581" i="3"/>
  <c r="C581" i="3" s="1"/>
  <c r="B582" i="3"/>
  <c r="C582" i="3" s="1"/>
  <c r="B583" i="3"/>
  <c r="C583" i="3" s="1"/>
  <c r="B584" i="3"/>
  <c r="C584" i="3" s="1"/>
  <c r="B585" i="3"/>
  <c r="C585" i="3" s="1"/>
  <c r="B586" i="3"/>
  <c r="C586" i="3" s="1"/>
  <c r="B587" i="3"/>
  <c r="C587" i="3" s="1"/>
  <c r="B588" i="3"/>
  <c r="C588" i="3" s="1"/>
  <c r="B589" i="3"/>
  <c r="C589" i="3" s="1"/>
  <c r="B590" i="3"/>
  <c r="C590" i="3" s="1"/>
  <c r="B591" i="3"/>
  <c r="C591" i="3" s="1"/>
  <c r="B592" i="3"/>
  <c r="C592" i="3" s="1"/>
  <c r="B593" i="3"/>
  <c r="C593" i="3" s="1"/>
  <c r="B594" i="3"/>
  <c r="C594" i="3" s="1"/>
  <c r="B595" i="3"/>
  <c r="C595" i="3" s="1"/>
  <c r="B596" i="3"/>
  <c r="C596" i="3" s="1"/>
  <c r="B597" i="3"/>
  <c r="C597" i="3" s="1"/>
  <c r="B598" i="3"/>
  <c r="C598" i="3" s="1"/>
  <c r="B599" i="3"/>
  <c r="C599" i="3" s="1"/>
  <c r="B600" i="3"/>
  <c r="C600" i="3" s="1"/>
  <c r="B601" i="3"/>
  <c r="C601" i="3" s="1"/>
  <c r="B602" i="3"/>
  <c r="C602" i="3" s="1"/>
  <c r="B603" i="3"/>
  <c r="C603" i="3" s="1"/>
  <c r="B604" i="3"/>
  <c r="C604" i="3" s="1"/>
  <c r="B605" i="3"/>
  <c r="C605" i="3" s="1"/>
  <c r="B606" i="3"/>
  <c r="C606" i="3" s="1"/>
  <c r="B607" i="3"/>
  <c r="C607" i="3" s="1"/>
  <c r="B608" i="3"/>
  <c r="C608" i="3" s="1"/>
  <c r="B609" i="3"/>
  <c r="C609" i="3" s="1"/>
  <c r="B610" i="3"/>
  <c r="C610" i="3" s="1"/>
  <c r="B611" i="3"/>
  <c r="C611" i="3" s="1"/>
  <c r="B612" i="3"/>
  <c r="C612" i="3" s="1"/>
  <c r="B613" i="3"/>
  <c r="C613" i="3" s="1"/>
  <c r="B614" i="3"/>
  <c r="C614" i="3" s="1"/>
  <c r="B615" i="3"/>
  <c r="C615" i="3" s="1"/>
  <c r="B616" i="3"/>
  <c r="C616" i="3" s="1"/>
  <c r="B617" i="3"/>
  <c r="C617" i="3" s="1"/>
  <c r="B618" i="3"/>
  <c r="C618" i="3" s="1"/>
  <c r="B619" i="3"/>
  <c r="C619" i="3" s="1"/>
  <c r="B620" i="3"/>
  <c r="C620" i="3" s="1"/>
  <c r="B621" i="3"/>
  <c r="C621" i="3" s="1"/>
  <c r="B622" i="3"/>
  <c r="C622" i="3" s="1"/>
  <c r="B623" i="3"/>
  <c r="C623" i="3" s="1"/>
  <c r="B624" i="3"/>
  <c r="C624" i="3" s="1"/>
  <c r="B625" i="3"/>
  <c r="C625" i="3" s="1"/>
  <c r="B626" i="3"/>
  <c r="C626" i="3" s="1"/>
  <c r="B627" i="3"/>
  <c r="C627" i="3" s="1"/>
  <c r="B628" i="3"/>
  <c r="C628" i="3" s="1"/>
  <c r="B629" i="3"/>
  <c r="C629" i="3" s="1"/>
  <c r="B630" i="3"/>
  <c r="C630" i="3" s="1"/>
  <c r="B631" i="3"/>
  <c r="C631" i="3" s="1"/>
  <c r="B632" i="3"/>
  <c r="C632" i="3" s="1"/>
  <c r="B633" i="3"/>
  <c r="C633" i="3" s="1"/>
  <c r="B634" i="3"/>
  <c r="C634" i="3" s="1"/>
  <c r="B635" i="3"/>
  <c r="C635" i="3" s="1"/>
  <c r="B636" i="3"/>
  <c r="C636" i="3" s="1"/>
  <c r="B637" i="3"/>
  <c r="C637" i="3" s="1"/>
  <c r="B638" i="3"/>
  <c r="C638" i="3" s="1"/>
  <c r="B639" i="3"/>
  <c r="C639" i="3" s="1"/>
  <c r="B640" i="3"/>
  <c r="C640" i="3" s="1"/>
  <c r="B641" i="3"/>
  <c r="C641" i="3" s="1"/>
  <c r="B642" i="3"/>
  <c r="C642" i="3" s="1"/>
  <c r="B643" i="3"/>
  <c r="C643" i="3" s="1"/>
  <c r="B644" i="3"/>
  <c r="C644" i="3" s="1"/>
  <c r="B645" i="3"/>
  <c r="C645" i="3" s="1"/>
  <c r="B646" i="3"/>
  <c r="C646" i="3" s="1"/>
  <c r="B647" i="3"/>
  <c r="C647" i="3" s="1"/>
  <c r="B648" i="3"/>
  <c r="C648" i="3" s="1"/>
  <c r="B649" i="3"/>
  <c r="C649" i="3" s="1"/>
  <c r="B650" i="3"/>
  <c r="C650" i="3" s="1"/>
  <c r="B651" i="3"/>
  <c r="C651" i="3" s="1"/>
  <c r="B652" i="3"/>
  <c r="C652" i="3" s="1"/>
  <c r="B653" i="3"/>
  <c r="C653" i="3" s="1"/>
  <c r="B654" i="3"/>
  <c r="C654" i="3" s="1"/>
  <c r="B655" i="3"/>
  <c r="C655" i="3" s="1"/>
  <c r="B656" i="3"/>
  <c r="C656" i="3" s="1"/>
  <c r="B657" i="3"/>
  <c r="C657" i="3" s="1"/>
  <c r="B658" i="3"/>
  <c r="C658" i="3" s="1"/>
  <c r="B659" i="3"/>
  <c r="C659" i="3" s="1"/>
  <c r="B660" i="3"/>
  <c r="C660" i="3" s="1"/>
  <c r="B661" i="3"/>
  <c r="C661" i="3" s="1"/>
  <c r="B662" i="3"/>
  <c r="C662" i="3" s="1"/>
  <c r="B663" i="3"/>
  <c r="C663" i="3" s="1"/>
  <c r="B664" i="3"/>
  <c r="C664" i="3" s="1"/>
  <c r="B665" i="3"/>
  <c r="C665" i="3" s="1"/>
  <c r="B666" i="3"/>
  <c r="C666" i="3" s="1"/>
  <c r="B667" i="3"/>
  <c r="C667" i="3" s="1"/>
  <c r="B668" i="3"/>
  <c r="C668" i="3" s="1"/>
  <c r="B669" i="3"/>
  <c r="C669" i="3" s="1"/>
  <c r="B670" i="3"/>
  <c r="C670" i="3" s="1"/>
  <c r="B671" i="3"/>
  <c r="C671" i="3" s="1"/>
  <c r="B672" i="3"/>
  <c r="C672" i="3" s="1"/>
  <c r="B673" i="3"/>
  <c r="C673" i="3" s="1"/>
  <c r="B674" i="3"/>
  <c r="C674" i="3" s="1"/>
  <c r="B675" i="3"/>
  <c r="C675" i="3" s="1"/>
  <c r="B676" i="3"/>
  <c r="C676" i="3" s="1"/>
  <c r="B677" i="3"/>
  <c r="C677" i="3" s="1"/>
  <c r="B678" i="3"/>
  <c r="C678" i="3" s="1"/>
  <c r="B679" i="3"/>
  <c r="C679" i="3" s="1"/>
  <c r="B680" i="3"/>
  <c r="C680" i="3" s="1"/>
  <c r="B681" i="3"/>
  <c r="C681" i="3" s="1"/>
  <c r="B682" i="3"/>
  <c r="C682" i="3" s="1"/>
  <c r="B683" i="3"/>
  <c r="C683" i="3" s="1"/>
  <c r="B684" i="3"/>
  <c r="C684" i="3" s="1"/>
  <c r="B685" i="3"/>
  <c r="C685" i="3" s="1"/>
  <c r="B686" i="3"/>
  <c r="C686" i="3" s="1"/>
  <c r="B687" i="3"/>
  <c r="C687" i="3" s="1"/>
  <c r="B688" i="3"/>
  <c r="C688" i="3" s="1"/>
  <c r="B689" i="3"/>
  <c r="C689" i="3" s="1"/>
  <c r="B690" i="3"/>
  <c r="C690" i="3" s="1"/>
  <c r="B691" i="3"/>
  <c r="C691" i="3" s="1"/>
  <c r="B692" i="3"/>
  <c r="C692" i="3" s="1"/>
  <c r="B693" i="3"/>
  <c r="C693" i="3" s="1"/>
  <c r="B694" i="3"/>
  <c r="C694" i="3" s="1"/>
  <c r="B695" i="3"/>
  <c r="C695" i="3" s="1"/>
  <c r="B696" i="3"/>
  <c r="C696" i="3" s="1"/>
  <c r="B697" i="3"/>
  <c r="C697" i="3" s="1"/>
  <c r="B698" i="3"/>
  <c r="C698" i="3" s="1"/>
  <c r="B699" i="3"/>
  <c r="C699" i="3" s="1"/>
  <c r="B700" i="3"/>
  <c r="C700" i="3" s="1"/>
  <c r="B701" i="3"/>
  <c r="C701" i="3" s="1"/>
  <c r="B702" i="3"/>
  <c r="C702" i="3" s="1"/>
  <c r="B703" i="3"/>
  <c r="C703" i="3" s="1"/>
  <c r="B704" i="3"/>
  <c r="C704" i="3" s="1"/>
  <c r="B705" i="3"/>
  <c r="C705" i="3" s="1"/>
  <c r="B706" i="3"/>
  <c r="C706" i="3" s="1"/>
  <c r="B707" i="3"/>
  <c r="C707" i="3" s="1"/>
  <c r="B708" i="3"/>
  <c r="C708" i="3" s="1"/>
  <c r="B709" i="3"/>
  <c r="C709" i="3" s="1"/>
  <c r="B710" i="3"/>
  <c r="C710" i="3" s="1"/>
  <c r="B711" i="3"/>
  <c r="C711" i="3" s="1"/>
  <c r="B712" i="3"/>
  <c r="C712" i="3" s="1"/>
  <c r="B713" i="3"/>
  <c r="C713" i="3" s="1"/>
  <c r="B714" i="3"/>
  <c r="C714" i="3" s="1"/>
  <c r="B715" i="3"/>
  <c r="C715" i="3" s="1"/>
  <c r="B716" i="3"/>
  <c r="C716" i="3" s="1"/>
  <c r="B717" i="3"/>
  <c r="C717" i="3" s="1"/>
  <c r="B718" i="3"/>
  <c r="C718" i="3" s="1"/>
  <c r="B719" i="3"/>
  <c r="C719" i="3" s="1"/>
  <c r="B720" i="3"/>
  <c r="C720" i="3" s="1"/>
  <c r="B721" i="3"/>
  <c r="C721" i="3" s="1"/>
  <c r="B722" i="3"/>
  <c r="C722" i="3" s="1"/>
  <c r="B723" i="3"/>
  <c r="C723" i="3" s="1"/>
  <c r="B724" i="3"/>
  <c r="C724" i="3" s="1"/>
  <c r="B725" i="3"/>
  <c r="C725" i="3" s="1"/>
  <c r="B726" i="3"/>
  <c r="C726" i="3" s="1"/>
  <c r="B727" i="3"/>
  <c r="C727" i="3" s="1"/>
  <c r="B728" i="3"/>
  <c r="C728" i="3" s="1"/>
  <c r="B729" i="3"/>
  <c r="C729" i="3" s="1"/>
  <c r="B730" i="3"/>
  <c r="C730" i="3" s="1"/>
  <c r="B731" i="3"/>
  <c r="C731" i="3" s="1"/>
  <c r="B732" i="3"/>
  <c r="C732" i="3" s="1"/>
  <c r="B733" i="3"/>
  <c r="C733" i="3" s="1"/>
  <c r="B734" i="3"/>
  <c r="C734" i="3" s="1"/>
  <c r="B735" i="3"/>
  <c r="C735" i="3" s="1"/>
  <c r="B736" i="3"/>
  <c r="C736" i="3" s="1"/>
  <c r="B737" i="3"/>
  <c r="C737" i="3" s="1"/>
  <c r="B738" i="3"/>
  <c r="C738" i="3" s="1"/>
  <c r="B739" i="3"/>
  <c r="C739" i="3" s="1"/>
  <c r="B740" i="3"/>
  <c r="C740" i="3" s="1"/>
  <c r="B741" i="3"/>
  <c r="C741" i="3" s="1"/>
  <c r="B742" i="3"/>
  <c r="C742" i="3" s="1"/>
  <c r="B743" i="3"/>
  <c r="C743" i="3" s="1"/>
  <c r="B744" i="3"/>
  <c r="C744" i="3" s="1"/>
  <c r="B745" i="3"/>
  <c r="C745" i="3" s="1"/>
  <c r="B746" i="3"/>
  <c r="C746" i="3" s="1"/>
  <c r="B747" i="3"/>
  <c r="C747" i="3" s="1"/>
  <c r="B748" i="3"/>
  <c r="C748" i="3" s="1"/>
  <c r="B749" i="3"/>
  <c r="C749" i="3" s="1"/>
  <c r="B750" i="3"/>
  <c r="C750" i="3" s="1"/>
  <c r="B751" i="3"/>
  <c r="C751" i="3" s="1"/>
  <c r="B752" i="3"/>
  <c r="C752" i="3" s="1"/>
  <c r="B753" i="3"/>
  <c r="C753" i="3" s="1"/>
  <c r="B754" i="3"/>
  <c r="C754" i="3" s="1"/>
  <c r="B755" i="3"/>
  <c r="C755" i="3" s="1"/>
  <c r="B756" i="3"/>
  <c r="C756" i="3" s="1"/>
  <c r="B757" i="3"/>
  <c r="C757" i="3" s="1"/>
  <c r="B758" i="3"/>
  <c r="C758" i="3" s="1"/>
  <c r="B759" i="3"/>
  <c r="C759" i="3" s="1"/>
  <c r="B760" i="3"/>
  <c r="C760" i="3" s="1"/>
  <c r="B761" i="3"/>
  <c r="C761" i="3" s="1"/>
  <c r="B762" i="3"/>
  <c r="C762" i="3" s="1"/>
  <c r="B763" i="3"/>
  <c r="C763" i="3" s="1"/>
  <c r="B764" i="3"/>
  <c r="C764" i="3" s="1"/>
  <c r="B765" i="3"/>
  <c r="C765" i="3" s="1"/>
  <c r="B766" i="3"/>
  <c r="C766" i="3" s="1"/>
  <c r="B767" i="3"/>
  <c r="C767" i="3" s="1"/>
  <c r="B768" i="3"/>
  <c r="C768" i="3" s="1"/>
  <c r="B769" i="3"/>
  <c r="C769" i="3" s="1"/>
  <c r="B770" i="3"/>
  <c r="C770" i="3" s="1"/>
  <c r="B771" i="3"/>
  <c r="C771" i="3" s="1"/>
  <c r="B772" i="3"/>
  <c r="C772" i="3" s="1"/>
  <c r="B773" i="3"/>
  <c r="C773" i="3" s="1"/>
  <c r="B774" i="3"/>
  <c r="C774" i="3" s="1"/>
  <c r="B775" i="3"/>
  <c r="C775" i="3" s="1"/>
  <c r="B776" i="3"/>
  <c r="C776" i="3" s="1"/>
  <c r="B777" i="3"/>
  <c r="C777" i="3" s="1"/>
  <c r="B778" i="3"/>
  <c r="C778" i="3" s="1"/>
  <c r="B779" i="3"/>
  <c r="C779" i="3" s="1"/>
  <c r="B780" i="3"/>
  <c r="C780" i="3" s="1"/>
  <c r="B781" i="3"/>
  <c r="C781" i="3" s="1"/>
  <c r="B782" i="3"/>
  <c r="C782" i="3" s="1"/>
  <c r="B783" i="3"/>
  <c r="C783" i="3" s="1"/>
  <c r="B784" i="3"/>
  <c r="C784" i="3" s="1"/>
  <c r="B785" i="3"/>
  <c r="C785" i="3" s="1"/>
  <c r="B786" i="3"/>
  <c r="C786" i="3" s="1"/>
  <c r="B787" i="3"/>
  <c r="C787" i="3" s="1"/>
  <c r="B788" i="3"/>
  <c r="C788" i="3" s="1"/>
  <c r="B789" i="3"/>
  <c r="C789" i="3" s="1"/>
  <c r="B790" i="3"/>
  <c r="C790" i="3" s="1"/>
  <c r="B791" i="3"/>
  <c r="C791" i="3" s="1"/>
  <c r="B792" i="3"/>
  <c r="C792" i="3" s="1"/>
  <c r="B793" i="3"/>
  <c r="C793" i="3" s="1"/>
  <c r="B794" i="3"/>
  <c r="C794" i="3" s="1"/>
  <c r="B795" i="3"/>
  <c r="C795" i="3" s="1"/>
  <c r="B796" i="3"/>
  <c r="C796" i="3" s="1"/>
  <c r="B797" i="3"/>
  <c r="C797" i="3" s="1"/>
  <c r="B798" i="3"/>
  <c r="C798" i="3" s="1"/>
  <c r="B799" i="3"/>
  <c r="C799" i="3" s="1"/>
  <c r="B800" i="3"/>
  <c r="C800" i="3" s="1"/>
  <c r="B801" i="3"/>
  <c r="C801" i="3" s="1"/>
  <c r="B802" i="3"/>
  <c r="C802" i="3" s="1"/>
  <c r="B803" i="3"/>
  <c r="C803" i="3" s="1"/>
  <c r="B804" i="3"/>
  <c r="C804" i="3" s="1"/>
  <c r="B805" i="3"/>
  <c r="C805" i="3" s="1"/>
  <c r="B806" i="3"/>
  <c r="C806" i="3" s="1"/>
  <c r="B807" i="3"/>
  <c r="C807" i="3" s="1"/>
  <c r="B808" i="3"/>
  <c r="C808" i="3" s="1"/>
  <c r="B809" i="3"/>
  <c r="C809" i="3" s="1"/>
  <c r="B810" i="3"/>
  <c r="C810" i="3" s="1"/>
  <c r="B811" i="3"/>
  <c r="C811" i="3" s="1"/>
  <c r="B812" i="3"/>
  <c r="C812" i="3" s="1"/>
  <c r="B813" i="3"/>
  <c r="C813" i="3" s="1"/>
  <c r="B814" i="3"/>
  <c r="C814" i="3" s="1"/>
  <c r="B815" i="3"/>
  <c r="C815" i="3" s="1"/>
  <c r="B816" i="3"/>
  <c r="C816" i="3" s="1"/>
  <c r="B817" i="3"/>
  <c r="C817" i="3" s="1"/>
  <c r="B818" i="3"/>
  <c r="C818" i="3" s="1"/>
  <c r="B819" i="3"/>
  <c r="C819" i="3" s="1"/>
  <c r="B820" i="3"/>
  <c r="C820" i="3" s="1"/>
  <c r="B821" i="3"/>
  <c r="C821" i="3" s="1"/>
  <c r="B822" i="3"/>
  <c r="C822" i="3" s="1"/>
  <c r="B823" i="3"/>
  <c r="C823" i="3" s="1"/>
  <c r="B824" i="3"/>
  <c r="C824" i="3" s="1"/>
  <c r="B825" i="3"/>
  <c r="C825" i="3" s="1"/>
  <c r="B826" i="3"/>
  <c r="C826" i="3" s="1"/>
  <c r="B827" i="3"/>
  <c r="C827" i="3" s="1"/>
  <c r="B828" i="3"/>
  <c r="C828" i="3" s="1"/>
  <c r="B829" i="3"/>
  <c r="C829" i="3" s="1"/>
  <c r="B830" i="3"/>
  <c r="C830" i="3" s="1"/>
  <c r="B831" i="3"/>
  <c r="C831" i="3" s="1"/>
  <c r="B832" i="3"/>
  <c r="C832" i="3" s="1"/>
  <c r="B833" i="3"/>
  <c r="C833" i="3" s="1"/>
  <c r="B834" i="3"/>
  <c r="C834" i="3" s="1"/>
  <c r="B835" i="3"/>
  <c r="C835" i="3" s="1"/>
  <c r="B836" i="3"/>
  <c r="C836" i="3" s="1"/>
  <c r="B837" i="3"/>
  <c r="C837" i="3" s="1"/>
  <c r="B838" i="3"/>
  <c r="C838" i="3" s="1"/>
  <c r="B839" i="3"/>
  <c r="C839" i="3" s="1"/>
  <c r="B840" i="3"/>
  <c r="C840" i="3" s="1"/>
  <c r="B841" i="3"/>
  <c r="C841" i="3" s="1"/>
  <c r="B842" i="3"/>
  <c r="C842" i="3" s="1"/>
  <c r="B843" i="3"/>
  <c r="C843" i="3" s="1"/>
  <c r="B844" i="3"/>
  <c r="C844" i="3" s="1"/>
  <c r="B845" i="3"/>
  <c r="C845" i="3" s="1"/>
  <c r="B846" i="3"/>
  <c r="C846" i="3" s="1"/>
  <c r="B847" i="3"/>
  <c r="C847" i="3" s="1"/>
  <c r="B848" i="3"/>
  <c r="C848" i="3" s="1"/>
  <c r="B849" i="3"/>
  <c r="C849" i="3" s="1"/>
  <c r="B850" i="3"/>
  <c r="C850" i="3" s="1"/>
  <c r="B851" i="3"/>
  <c r="C851" i="3" s="1"/>
  <c r="B852" i="3"/>
  <c r="C852" i="3" s="1"/>
  <c r="B853" i="3"/>
  <c r="C853" i="3" s="1"/>
  <c r="B854" i="3"/>
  <c r="C854" i="3" s="1"/>
  <c r="B855" i="3"/>
  <c r="C855" i="3" s="1"/>
  <c r="B856" i="3"/>
  <c r="C856" i="3" s="1"/>
  <c r="B857" i="3"/>
  <c r="C857" i="3" s="1"/>
  <c r="B858" i="3"/>
  <c r="C858" i="3" s="1"/>
  <c r="B859" i="3"/>
  <c r="C859" i="3" s="1"/>
  <c r="B860" i="3"/>
  <c r="C860" i="3" s="1"/>
  <c r="B861" i="3"/>
  <c r="C861" i="3" s="1"/>
  <c r="B862" i="3"/>
  <c r="C862" i="3" s="1"/>
  <c r="B863" i="3"/>
  <c r="C863" i="3" s="1"/>
  <c r="B864" i="3"/>
  <c r="C864" i="3" s="1"/>
  <c r="B865" i="3"/>
  <c r="C865" i="3" s="1"/>
  <c r="B866" i="3"/>
  <c r="C866" i="3" s="1"/>
  <c r="B867" i="3"/>
  <c r="C867" i="3" s="1"/>
  <c r="B868" i="3"/>
  <c r="C868" i="3" s="1"/>
  <c r="B869" i="3"/>
  <c r="C869" i="3" s="1"/>
  <c r="B870" i="3"/>
  <c r="C870" i="3" s="1"/>
  <c r="B871" i="3"/>
  <c r="C871" i="3" s="1"/>
  <c r="B872" i="3"/>
  <c r="C872" i="3" s="1"/>
  <c r="B873" i="3"/>
  <c r="C873" i="3" s="1"/>
  <c r="B874" i="3"/>
  <c r="C874" i="3" s="1"/>
  <c r="B875" i="3"/>
  <c r="C875" i="3" s="1"/>
  <c r="B876" i="3"/>
  <c r="C876" i="3" s="1"/>
  <c r="B877" i="3"/>
  <c r="C877" i="3" s="1"/>
  <c r="B878" i="3"/>
  <c r="C878" i="3" s="1"/>
  <c r="B879" i="3"/>
  <c r="C879" i="3" s="1"/>
  <c r="B880" i="3"/>
  <c r="C880" i="3" s="1"/>
  <c r="B881" i="3"/>
  <c r="C881" i="3" s="1"/>
  <c r="B882" i="3"/>
  <c r="C882" i="3" s="1"/>
  <c r="B883" i="3"/>
  <c r="C883" i="3" s="1"/>
  <c r="B884" i="3"/>
  <c r="C884" i="3" s="1"/>
  <c r="B885" i="3"/>
  <c r="C885" i="3" s="1"/>
  <c r="B886" i="3"/>
  <c r="C886" i="3" s="1"/>
  <c r="B887" i="3"/>
  <c r="C887" i="3" s="1"/>
  <c r="B888" i="3"/>
  <c r="C888" i="3" s="1"/>
  <c r="B889" i="3"/>
  <c r="C889" i="3" s="1"/>
  <c r="B890" i="3"/>
  <c r="C890" i="3" s="1"/>
  <c r="B891" i="3"/>
  <c r="C891" i="3" s="1"/>
  <c r="B892" i="3"/>
  <c r="C892" i="3" s="1"/>
  <c r="B893" i="3"/>
  <c r="C893" i="3" s="1"/>
  <c r="B894" i="3"/>
  <c r="C894" i="3" s="1"/>
  <c r="B895" i="3"/>
  <c r="C895" i="3" s="1"/>
  <c r="B896" i="3"/>
  <c r="C896" i="3" s="1"/>
  <c r="B897" i="3"/>
  <c r="C897" i="3" s="1"/>
  <c r="B898" i="3"/>
  <c r="C898" i="3" s="1"/>
  <c r="B899" i="3"/>
  <c r="C899" i="3" s="1"/>
  <c r="B900" i="3"/>
  <c r="C900" i="3" s="1"/>
  <c r="B901" i="3"/>
  <c r="C901" i="3" s="1"/>
  <c r="B902" i="3"/>
  <c r="C902" i="3" s="1"/>
  <c r="B903" i="3"/>
  <c r="C903" i="3" s="1"/>
  <c r="B904" i="3"/>
  <c r="C904" i="3" s="1"/>
  <c r="B905" i="3"/>
  <c r="C905" i="3" s="1"/>
  <c r="B906" i="3"/>
  <c r="C906" i="3" s="1"/>
  <c r="B907" i="3"/>
  <c r="C907" i="3" s="1"/>
  <c r="B908" i="3"/>
  <c r="C908" i="3" s="1"/>
  <c r="B909" i="3"/>
  <c r="C909" i="3" s="1"/>
  <c r="B910" i="3"/>
  <c r="C910" i="3" s="1"/>
  <c r="B911" i="3"/>
  <c r="C911" i="3" s="1"/>
  <c r="B912" i="3"/>
  <c r="C912" i="3" s="1"/>
  <c r="B913" i="3"/>
  <c r="C913" i="3" s="1"/>
  <c r="B914" i="3"/>
  <c r="C914" i="3" s="1"/>
  <c r="B915" i="3"/>
  <c r="C915" i="3" s="1"/>
  <c r="B916" i="3"/>
  <c r="C916" i="3" s="1"/>
  <c r="B917" i="3"/>
  <c r="C917" i="3" s="1"/>
  <c r="B918" i="3"/>
  <c r="C918" i="3" s="1"/>
  <c r="B919" i="3"/>
  <c r="C919" i="3" s="1"/>
  <c r="B920" i="3"/>
  <c r="C920" i="3" s="1"/>
  <c r="B921" i="3"/>
  <c r="C921" i="3" s="1"/>
  <c r="B922" i="3"/>
  <c r="C922" i="3" s="1"/>
  <c r="B923" i="3"/>
  <c r="C923" i="3" s="1"/>
  <c r="B924" i="3"/>
  <c r="C924" i="3" s="1"/>
  <c r="B925" i="3"/>
  <c r="C925" i="3" s="1"/>
  <c r="B926" i="3"/>
  <c r="C926" i="3" s="1"/>
  <c r="B927" i="3"/>
  <c r="C927" i="3" s="1"/>
  <c r="B928" i="3"/>
  <c r="C928" i="3" s="1"/>
  <c r="B929" i="3"/>
  <c r="C929" i="3" s="1"/>
  <c r="B930" i="3"/>
  <c r="C930" i="3" s="1"/>
  <c r="B931" i="3"/>
  <c r="C931" i="3" s="1"/>
  <c r="B932" i="3"/>
  <c r="C932" i="3" s="1"/>
  <c r="B933" i="3"/>
  <c r="C933" i="3" s="1"/>
  <c r="B934" i="3"/>
  <c r="C934" i="3" s="1"/>
  <c r="B935" i="3"/>
  <c r="C935" i="3" s="1"/>
  <c r="B936" i="3"/>
  <c r="C936" i="3" s="1"/>
  <c r="B937" i="3"/>
  <c r="C937" i="3" s="1"/>
  <c r="B938" i="3"/>
  <c r="C938" i="3" s="1"/>
  <c r="B939" i="3"/>
  <c r="C939" i="3" s="1"/>
  <c r="B940" i="3"/>
  <c r="C940" i="3" s="1"/>
  <c r="B941" i="3"/>
  <c r="C941" i="3" s="1"/>
  <c r="B942" i="3"/>
  <c r="C942" i="3" s="1"/>
  <c r="B943" i="3"/>
  <c r="C943" i="3" s="1"/>
  <c r="B944" i="3"/>
  <c r="C944" i="3" s="1"/>
  <c r="B945" i="3"/>
  <c r="C945" i="3" s="1"/>
  <c r="B946" i="3"/>
  <c r="C946" i="3" s="1"/>
  <c r="B947" i="3"/>
  <c r="C947" i="3" s="1"/>
  <c r="B948" i="3"/>
  <c r="C948" i="3" s="1"/>
  <c r="B949" i="3"/>
  <c r="C949" i="3" s="1"/>
  <c r="B950" i="3"/>
  <c r="C950" i="3" s="1"/>
  <c r="B951" i="3"/>
  <c r="C951" i="3" s="1"/>
  <c r="B952" i="3"/>
  <c r="C952" i="3" s="1"/>
  <c r="B953" i="3"/>
  <c r="C953" i="3" s="1"/>
  <c r="B954" i="3"/>
  <c r="C954" i="3" s="1"/>
  <c r="B955" i="3"/>
  <c r="C955" i="3" s="1"/>
  <c r="B956" i="3"/>
  <c r="C956" i="3" s="1"/>
  <c r="B957" i="3"/>
  <c r="C957" i="3" s="1"/>
  <c r="B958" i="3"/>
  <c r="C958" i="3" s="1"/>
  <c r="B959" i="3"/>
  <c r="C959" i="3" s="1"/>
  <c r="B960" i="3"/>
  <c r="C960" i="3" s="1"/>
  <c r="B961" i="3"/>
  <c r="C961" i="3" s="1"/>
  <c r="B962" i="3"/>
  <c r="C962" i="3" s="1"/>
  <c r="B963" i="3"/>
  <c r="C963" i="3" s="1"/>
  <c r="B964" i="3"/>
  <c r="C964" i="3" s="1"/>
  <c r="B965" i="3"/>
  <c r="C965" i="3" s="1"/>
  <c r="B966" i="3"/>
  <c r="C966" i="3" s="1"/>
  <c r="B967" i="3"/>
  <c r="C967" i="3" s="1"/>
  <c r="B968" i="3"/>
  <c r="C968" i="3" s="1"/>
  <c r="B969" i="3"/>
  <c r="C969" i="3" s="1"/>
  <c r="B970" i="3"/>
  <c r="C970" i="3" s="1"/>
  <c r="B971" i="3"/>
  <c r="C971" i="3" s="1"/>
  <c r="B972" i="3"/>
  <c r="C972" i="3" s="1"/>
  <c r="B973" i="3"/>
  <c r="C973" i="3" s="1"/>
  <c r="B974" i="3"/>
  <c r="C974" i="3" s="1"/>
  <c r="B975" i="3"/>
  <c r="C975" i="3" s="1"/>
  <c r="B976" i="3"/>
  <c r="C976" i="3" s="1"/>
  <c r="B977" i="3"/>
  <c r="C977" i="3" s="1"/>
  <c r="B978" i="3"/>
  <c r="C978" i="3" s="1"/>
  <c r="B979" i="3"/>
  <c r="C979" i="3" s="1"/>
  <c r="B980" i="3"/>
  <c r="C980" i="3" s="1"/>
  <c r="B981" i="3"/>
  <c r="C981" i="3" s="1"/>
  <c r="B982" i="3"/>
  <c r="C982" i="3" s="1"/>
  <c r="B983" i="3"/>
  <c r="C983" i="3" s="1"/>
  <c r="B984" i="3"/>
  <c r="C984" i="3" s="1"/>
  <c r="B985" i="3"/>
  <c r="C985" i="3" s="1"/>
  <c r="B986" i="3"/>
  <c r="C986" i="3" s="1"/>
  <c r="B987" i="3"/>
  <c r="C987" i="3" s="1"/>
  <c r="B988" i="3"/>
  <c r="C988" i="3" s="1"/>
  <c r="B989" i="3"/>
  <c r="C989" i="3" s="1"/>
  <c r="B990" i="3"/>
  <c r="C990" i="3" s="1"/>
  <c r="B991" i="3"/>
  <c r="C991" i="3" s="1"/>
  <c r="B992" i="3"/>
  <c r="C992" i="3" s="1"/>
  <c r="B993" i="3"/>
  <c r="C993" i="3" s="1"/>
  <c r="B994" i="3"/>
  <c r="C994" i="3" s="1"/>
  <c r="B995" i="3"/>
  <c r="C995" i="3" s="1"/>
  <c r="B996" i="3"/>
  <c r="C996" i="3" s="1"/>
  <c r="B997" i="3"/>
  <c r="C997" i="3" s="1"/>
  <c r="B998" i="3"/>
  <c r="C998" i="3" s="1"/>
  <c r="B999" i="3"/>
  <c r="C999" i="3" s="1"/>
  <c r="B1000" i="3"/>
  <c r="C1000" i="3" s="1"/>
  <c r="B1001" i="3"/>
  <c r="C1001" i="3" s="1"/>
  <c r="B1002" i="3"/>
  <c r="C1002" i="3" s="1"/>
  <c r="B1003" i="3"/>
  <c r="C1003" i="3" s="1"/>
  <c r="B1004" i="3"/>
  <c r="C1004" i="3" s="1"/>
  <c r="B1005" i="3"/>
  <c r="C1005" i="3" s="1"/>
  <c r="B1006" i="3"/>
  <c r="C1006" i="3" s="1"/>
  <c r="B1007" i="3"/>
  <c r="C1007" i="3" s="1"/>
  <c r="B1008" i="3"/>
  <c r="C1008" i="3" s="1"/>
  <c r="B1009" i="3"/>
  <c r="C1009" i="3" s="1"/>
  <c r="B1010" i="3"/>
  <c r="C1010" i="3" s="1"/>
  <c r="B1011" i="3"/>
  <c r="C1011" i="3" s="1"/>
  <c r="B1012" i="3"/>
  <c r="C1012" i="3" s="1"/>
  <c r="B1013" i="3"/>
  <c r="C1013" i="3" s="1"/>
  <c r="B1014" i="3"/>
  <c r="C1014" i="3" s="1"/>
  <c r="B1015" i="3"/>
  <c r="C1015" i="3" s="1"/>
  <c r="B16" i="3"/>
  <c r="A17" i="3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G262" i="1" l="1"/>
  <c r="G248" i="1"/>
  <c r="G252" i="1"/>
  <c r="G256" i="1"/>
  <c r="G260" i="1"/>
  <c r="G265" i="1"/>
  <c r="G271" i="1"/>
  <c r="G459" i="1"/>
  <c r="G460" i="1"/>
  <c r="G462" i="1"/>
  <c r="G463" i="1"/>
  <c r="G465" i="1"/>
  <c r="G466" i="1"/>
  <c r="G468" i="1"/>
  <c r="G469" i="1"/>
  <c r="G470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267" i="1"/>
  <c r="G275" i="1"/>
  <c r="G283" i="1"/>
  <c r="G291" i="1"/>
  <c r="G297" i="1"/>
  <c r="G303" i="1"/>
  <c r="G310" i="1"/>
  <c r="G249" i="1"/>
  <c r="G253" i="1"/>
  <c r="G257" i="1"/>
  <c r="G261" i="1"/>
  <c r="G266" i="1"/>
  <c r="G270" i="1"/>
  <c r="G273" i="1"/>
  <c r="G280" i="1"/>
  <c r="G287" i="1"/>
  <c r="G293" i="1"/>
  <c r="G300" i="1"/>
  <c r="G306" i="1"/>
  <c r="G312" i="1"/>
  <c r="G245" i="1"/>
  <c r="G247" i="1"/>
  <c r="G250" i="1"/>
  <c r="G254" i="1"/>
  <c r="G259" i="1"/>
  <c r="G264" i="1"/>
  <c r="G269" i="1"/>
  <c r="G276" i="1"/>
  <c r="G282" i="1"/>
  <c r="G288" i="1"/>
  <c r="G295" i="1"/>
  <c r="G301" i="1"/>
  <c r="G307" i="1"/>
  <c r="G246" i="1"/>
  <c r="G251" i="1"/>
  <c r="G255" i="1"/>
  <c r="G258" i="1"/>
  <c r="G263" i="1"/>
  <c r="G268" i="1"/>
  <c r="G272" i="1"/>
  <c r="G274" i="1"/>
  <c r="G279" i="1"/>
  <c r="G285" i="1"/>
  <c r="G289" i="1"/>
  <c r="G294" i="1"/>
  <c r="G299" i="1"/>
  <c r="G304" i="1"/>
  <c r="G308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C324" i="1"/>
  <c r="M324" i="1" s="1" a="1"/>
  <c r="M324" i="1" s="1"/>
  <c r="C325" i="1"/>
  <c r="M325" i="1" s="1" a="1"/>
  <c r="M325" i="1" s="1"/>
  <c r="C323" i="1"/>
  <c r="M323" i="1" s="1" a="1"/>
  <c r="M323" i="1" s="1"/>
  <c r="C320" i="1"/>
  <c r="M320" i="1" s="1" a="1"/>
  <c r="M320" i="1" s="1"/>
  <c r="C321" i="1"/>
  <c r="M321" i="1" s="1" a="1"/>
  <c r="M321" i="1" s="1"/>
  <c r="C322" i="1"/>
  <c r="M322" i="1" s="1" a="1"/>
  <c r="M322" i="1" s="1"/>
  <c r="C315" i="1"/>
  <c r="M315" i="1" s="1" a="1"/>
  <c r="M315" i="1" s="1"/>
  <c r="C318" i="1"/>
  <c r="M318" i="1" s="1" a="1"/>
  <c r="M318" i="1" s="1"/>
  <c r="C319" i="1"/>
  <c r="M319" i="1" s="1" a="1"/>
  <c r="M319" i="1" s="1"/>
  <c r="C316" i="1"/>
  <c r="M316" i="1" s="1" a="1"/>
  <c r="M316" i="1" s="1"/>
  <c r="C317" i="1"/>
  <c r="M317" i="1" s="1" a="1"/>
  <c r="M317" i="1" s="1"/>
  <c r="C303" i="1"/>
  <c r="M303" i="1" s="1" a="1"/>
  <c r="M303" i="1" s="1"/>
  <c r="C305" i="1"/>
  <c r="M305" i="1" s="1" a="1"/>
  <c r="M305" i="1" s="1"/>
  <c r="C306" i="1"/>
  <c r="M306" i="1" s="1" a="1"/>
  <c r="M306" i="1" s="1"/>
  <c r="C307" i="1"/>
  <c r="M307" i="1" s="1" a="1"/>
  <c r="M307" i="1" s="1"/>
  <c r="C309" i="1"/>
  <c r="M309" i="1" s="1" a="1"/>
  <c r="M309" i="1" s="1"/>
  <c r="C311" i="1"/>
  <c r="M311" i="1" s="1" a="1"/>
  <c r="M311" i="1" s="1"/>
  <c r="C313" i="1"/>
  <c r="M313" i="1" s="1" a="1"/>
  <c r="M313" i="1" s="1"/>
  <c r="C304" i="1"/>
  <c r="M304" i="1" s="1" a="1"/>
  <c r="M304" i="1" s="1"/>
  <c r="C308" i="1"/>
  <c r="M308" i="1" s="1" a="1"/>
  <c r="M308" i="1" s="1"/>
  <c r="C310" i="1"/>
  <c r="M310" i="1" s="1" a="1"/>
  <c r="M310" i="1" s="1"/>
  <c r="C312" i="1"/>
  <c r="M312" i="1" s="1" a="1"/>
  <c r="M312" i="1" s="1"/>
  <c r="C314" i="1"/>
  <c r="M314" i="1" s="1" a="1"/>
  <c r="M314" i="1" s="1"/>
  <c r="C274" i="1"/>
  <c r="M274" i="1" s="1" a="1"/>
  <c r="M274" i="1" s="1"/>
  <c r="C276" i="1"/>
  <c r="M276" i="1" s="1" a="1"/>
  <c r="M276" i="1" s="1"/>
  <c r="C278" i="1"/>
  <c r="M278" i="1" s="1" a="1"/>
  <c r="M278" i="1" s="1"/>
  <c r="C280" i="1"/>
  <c r="M280" i="1" s="1" a="1"/>
  <c r="M280" i="1" s="1"/>
  <c r="C282" i="1"/>
  <c r="M282" i="1" s="1" a="1"/>
  <c r="M282" i="1" s="1"/>
  <c r="C283" i="1"/>
  <c r="M283" i="1" s="1" a="1"/>
  <c r="M283" i="1" s="1"/>
  <c r="C285" i="1"/>
  <c r="M285" i="1" s="1" a="1"/>
  <c r="M285" i="1" s="1"/>
  <c r="C287" i="1"/>
  <c r="M287" i="1" s="1" a="1"/>
  <c r="M287" i="1" s="1"/>
  <c r="C289" i="1"/>
  <c r="M289" i="1" s="1" a="1"/>
  <c r="M289" i="1" s="1"/>
  <c r="C291" i="1"/>
  <c r="M291" i="1" s="1" a="1"/>
  <c r="M291" i="1" s="1"/>
  <c r="C293" i="1"/>
  <c r="M293" i="1" s="1" a="1"/>
  <c r="M293" i="1" s="1"/>
  <c r="C295" i="1"/>
  <c r="M295" i="1" s="1" a="1"/>
  <c r="M295" i="1" s="1"/>
  <c r="C297" i="1"/>
  <c r="M297" i="1" s="1" a="1"/>
  <c r="M297" i="1" s="1"/>
  <c r="C299" i="1"/>
  <c r="M299" i="1" s="1" a="1"/>
  <c r="M299" i="1" s="1"/>
  <c r="C301" i="1"/>
  <c r="M301" i="1" s="1" a="1"/>
  <c r="M301" i="1" s="1"/>
  <c r="C275" i="1"/>
  <c r="M275" i="1" s="1" a="1"/>
  <c r="M275" i="1" s="1"/>
  <c r="C277" i="1"/>
  <c r="M277" i="1" s="1" a="1"/>
  <c r="M277" i="1" s="1"/>
  <c r="C279" i="1"/>
  <c r="M279" i="1" s="1" a="1"/>
  <c r="M279" i="1" s="1"/>
  <c r="C281" i="1"/>
  <c r="M281" i="1" s="1" a="1"/>
  <c r="M281" i="1" s="1"/>
  <c r="C284" i="1"/>
  <c r="M284" i="1" s="1" a="1"/>
  <c r="M284" i="1" s="1"/>
  <c r="C286" i="1"/>
  <c r="M286" i="1" s="1" a="1"/>
  <c r="M286" i="1" s="1"/>
  <c r="C288" i="1"/>
  <c r="M288" i="1" s="1" a="1"/>
  <c r="M288" i="1" s="1"/>
  <c r="C290" i="1"/>
  <c r="M290" i="1" s="1" a="1"/>
  <c r="M290" i="1" s="1"/>
  <c r="C292" i="1"/>
  <c r="M292" i="1" s="1" a="1"/>
  <c r="M292" i="1" s="1"/>
  <c r="C294" i="1"/>
  <c r="M294" i="1" s="1" a="1"/>
  <c r="M294" i="1" s="1"/>
  <c r="C296" i="1"/>
  <c r="M296" i="1" s="1" a="1"/>
  <c r="M296" i="1" s="1"/>
  <c r="C298" i="1"/>
  <c r="M298" i="1" s="1" a="1"/>
  <c r="M298" i="1" s="1"/>
  <c r="C300" i="1"/>
  <c r="M300" i="1" s="1" a="1"/>
  <c r="M300" i="1" s="1"/>
  <c r="C302" i="1"/>
  <c r="M302" i="1" s="1" a="1"/>
  <c r="M302" i="1" s="1"/>
  <c r="G243" i="1"/>
  <c r="G244" i="1"/>
  <c r="C489" i="1"/>
  <c r="M489" i="1" s="1" a="1"/>
  <c r="M489" i="1" s="1"/>
  <c r="G489" i="1"/>
  <c r="C490" i="1"/>
  <c r="M490" i="1" s="1" a="1"/>
  <c r="M490" i="1" s="1"/>
  <c r="G490" i="1"/>
  <c r="C491" i="1"/>
  <c r="M491" i="1" s="1" a="1"/>
  <c r="M491" i="1" s="1"/>
  <c r="G491" i="1"/>
  <c r="C492" i="1"/>
  <c r="M492" i="1" s="1" a="1"/>
  <c r="M492" i="1" s="1"/>
  <c r="G492" i="1"/>
  <c r="C493" i="1"/>
  <c r="M493" i="1" s="1" a="1"/>
  <c r="M493" i="1" s="1"/>
  <c r="G493" i="1"/>
  <c r="C494" i="1"/>
  <c r="M494" i="1" s="1" a="1"/>
  <c r="M494" i="1" s="1"/>
  <c r="G494" i="1"/>
  <c r="C495" i="1"/>
  <c r="M495" i="1" s="1" a="1"/>
  <c r="M495" i="1" s="1"/>
  <c r="G495" i="1"/>
  <c r="C496" i="1"/>
  <c r="M496" i="1" s="1" a="1"/>
  <c r="M496" i="1" s="1"/>
  <c r="G496" i="1"/>
  <c r="C497" i="1"/>
  <c r="M497" i="1" s="1" a="1"/>
  <c r="M497" i="1" s="1"/>
  <c r="G497" i="1"/>
  <c r="C498" i="1"/>
  <c r="M498" i="1" s="1" a="1"/>
  <c r="M498" i="1" s="1"/>
  <c r="G498" i="1"/>
  <c r="C499" i="1"/>
  <c r="M499" i="1" s="1" a="1"/>
  <c r="M499" i="1" s="1"/>
  <c r="G499" i="1"/>
  <c r="C500" i="1"/>
  <c r="M500" i="1" s="1" a="1"/>
  <c r="M500" i="1" s="1"/>
  <c r="G500" i="1"/>
  <c r="C501" i="1"/>
  <c r="M501" i="1" s="1" a="1"/>
  <c r="M501" i="1" s="1"/>
  <c r="G501" i="1"/>
  <c r="C502" i="1"/>
  <c r="M502" i="1" s="1" a="1"/>
  <c r="M502" i="1" s="1"/>
  <c r="G502" i="1"/>
  <c r="C503" i="1"/>
  <c r="M503" i="1" s="1" a="1"/>
  <c r="M503" i="1" s="1"/>
  <c r="G503" i="1"/>
  <c r="C504" i="1"/>
  <c r="M504" i="1" s="1" a="1"/>
  <c r="M504" i="1" s="1"/>
  <c r="G504" i="1"/>
  <c r="C505" i="1"/>
  <c r="M505" i="1" s="1" a="1"/>
  <c r="M505" i="1" s="1"/>
  <c r="G505" i="1"/>
  <c r="C506" i="1"/>
  <c r="M506" i="1" s="1" a="1"/>
  <c r="M506" i="1" s="1"/>
  <c r="G506" i="1"/>
  <c r="C507" i="1"/>
  <c r="M507" i="1" s="1" a="1"/>
  <c r="M507" i="1" s="1"/>
  <c r="G507" i="1"/>
  <c r="C508" i="1"/>
  <c r="M508" i="1" s="1" a="1"/>
  <c r="M508" i="1" s="1"/>
  <c r="G508" i="1"/>
  <c r="C509" i="1"/>
  <c r="M509" i="1" s="1" a="1"/>
  <c r="M509" i="1" s="1"/>
  <c r="G509" i="1"/>
  <c r="G277" i="1"/>
  <c r="G278" i="1"/>
  <c r="G281" i="1"/>
  <c r="G284" i="1"/>
  <c r="G286" i="1"/>
  <c r="G290" i="1"/>
  <c r="G292" i="1"/>
  <c r="G296" i="1"/>
  <c r="G298" i="1"/>
  <c r="G302" i="1"/>
  <c r="G305" i="1"/>
  <c r="G309" i="1"/>
  <c r="G311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461" i="1"/>
  <c r="G464" i="1"/>
  <c r="G467" i="1"/>
  <c r="G471" i="1"/>
  <c r="C243" i="1"/>
  <c r="M243" i="1" s="1" a="1"/>
  <c r="M243" i="1" s="1"/>
  <c r="C244" i="1"/>
  <c r="M244" i="1" s="1" a="1"/>
  <c r="M244" i="1" s="1"/>
  <c r="C245" i="1"/>
  <c r="M245" i="1" s="1" a="1"/>
  <c r="M245" i="1" s="1"/>
  <c r="C246" i="1"/>
  <c r="M246" i="1" s="1" a="1"/>
  <c r="M246" i="1" s="1"/>
  <c r="C247" i="1"/>
  <c r="M247" i="1" s="1" a="1"/>
  <c r="M247" i="1" s="1"/>
  <c r="C248" i="1"/>
  <c r="M248" i="1" s="1" a="1"/>
  <c r="M248" i="1" s="1"/>
  <c r="C249" i="1"/>
  <c r="M249" i="1" s="1" a="1"/>
  <c r="M249" i="1" s="1"/>
  <c r="C250" i="1"/>
  <c r="M250" i="1" s="1" a="1"/>
  <c r="M250" i="1" s="1"/>
  <c r="C251" i="1"/>
  <c r="M251" i="1" s="1" a="1"/>
  <c r="M251" i="1" s="1"/>
  <c r="C252" i="1"/>
  <c r="M252" i="1" s="1" a="1"/>
  <c r="M252" i="1" s="1"/>
  <c r="C253" i="1"/>
  <c r="M253" i="1" s="1" a="1"/>
  <c r="M253" i="1" s="1"/>
  <c r="C254" i="1"/>
  <c r="M254" i="1" s="1" a="1"/>
  <c r="M254" i="1" s="1"/>
  <c r="C255" i="1"/>
  <c r="M255" i="1" s="1" a="1"/>
  <c r="M255" i="1" s="1"/>
  <c r="C256" i="1"/>
  <c r="M256" i="1" s="1" a="1"/>
  <c r="M256" i="1" s="1"/>
  <c r="C257" i="1"/>
  <c r="M257" i="1" s="1" a="1"/>
  <c r="M257" i="1" s="1"/>
  <c r="C258" i="1"/>
  <c r="M258" i="1" s="1" a="1"/>
  <c r="M258" i="1" s="1"/>
  <c r="C259" i="1"/>
  <c r="M259" i="1" s="1" a="1"/>
  <c r="M259" i="1" s="1"/>
  <c r="C260" i="1"/>
  <c r="M260" i="1" s="1" a="1"/>
  <c r="M260" i="1" s="1"/>
  <c r="C261" i="1"/>
  <c r="M261" i="1" s="1" a="1"/>
  <c r="M261" i="1" s="1"/>
  <c r="C262" i="1"/>
  <c r="M262" i="1" s="1" a="1"/>
  <c r="M262" i="1" s="1"/>
  <c r="C263" i="1"/>
  <c r="M263" i="1" s="1" a="1"/>
  <c r="M263" i="1" s="1"/>
  <c r="C264" i="1"/>
  <c r="M264" i="1" s="1" a="1"/>
  <c r="M264" i="1" s="1"/>
  <c r="C265" i="1"/>
  <c r="M265" i="1" s="1" a="1"/>
  <c r="M265" i="1" s="1"/>
  <c r="C266" i="1"/>
  <c r="M266" i="1" s="1" a="1"/>
  <c r="M266" i="1" s="1"/>
  <c r="C267" i="1"/>
  <c r="M267" i="1" s="1" a="1"/>
  <c r="M267" i="1" s="1"/>
  <c r="C268" i="1"/>
  <c r="M268" i="1" s="1" a="1"/>
  <c r="M268" i="1" s="1"/>
  <c r="C269" i="1"/>
  <c r="M269" i="1" s="1" a="1"/>
  <c r="M269" i="1" s="1"/>
  <c r="C270" i="1"/>
  <c r="M270" i="1" s="1" a="1"/>
  <c r="M270" i="1" s="1"/>
  <c r="C271" i="1"/>
  <c r="M271" i="1" s="1" a="1"/>
  <c r="M271" i="1" s="1"/>
  <c r="C272" i="1"/>
  <c r="M272" i="1" s="1" a="1"/>
  <c r="M272" i="1" s="1"/>
  <c r="C273" i="1"/>
  <c r="M273" i="1" s="1" a="1"/>
  <c r="M273" i="1" s="1"/>
  <c r="C326" i="1"/>
  <c r="M326" i="1" s="1" a="1"/>
  <c r="M326" i="1" s="1"/>
  <c r="C327" i="1"/>
  <c r="M327" i="1" s="1" a="1"/>
  <c r="M327" i="1" s="1"/>
  <c r="C328" i="1"/>
  <c r="M328" i="1" s="1" a="1"/>
  <c r="M328" i="1" s="1"/>
  <c r="C329" i="1"/>
  <c r="M329" i="1" s="1" a="1"/>
  <c r="M329" i="1" s="1"/>
  <c r="C330" i="1"/>
  <c r="M330" i="1" s="1" a="1"/>
  <c r="M330" i="1" s="1"/>
  <c r="C331" i="1"/>
  <c r="M331" i="1" s="1" a="1"/>
  <c r="M331" i="1" s="1"/>
  <c r="C332" i="1"/>
  <c r="M332" i="1" s="1" a="1"/>
  <c r="M332" i="1" s="1"/>
  <c r="C333" i="1"/>
  <c r="M333" i="1" s="1" a="1"/>
  <c r="M333" i="1" s="1"/>
  <c r="C334" i="1"/>
  <c r="M334" i="1" s="1" a="1"/>
  <c r="M334" i="1" s="1"/>
  <c r="C335" i="1"/>
  <c r="M335" i="1" s="1" a="1"/>
  <c r="M335" i="1" s="1"/>
  <c r="C336" i="1"/>
  <c r="M336" i="1" s="1" a="1"/>
  <c r="M336" i="1" s="1"/>
  <c r="C337" i="1"/>
  <c r="M337" i="1" s="1" a="1"/>
  <c r="M337" i="1" s="1"/>
  <c r="C338" i="1"/>
  <c r="M338" i="1" s="1" a="1"/>
  <c r="M338" i="1" s="1"/>
  <c r="C339" i="1"/>
  <c r="M339" i="1" s="1" a="1"/>
  <c r="M339" i="1" s="1"/>
  <c r="C340" i="1"/>
  <c r="M340" i="1" s="1" a="1"/>
  <c r="M340" i="1" s="1"/>
  <c r="C341" i="1"/>
  <c r="M341" i="1" s="1" a="1"/>
  <c r="M341" i="1" s="1"/>
  <c r="C342" i="1"/>
  <c r="M342" i="1" s="1" a="1"/>
  <c r="M342" i="1" s="1"/>
  <c r="C343" i="1"/>
  <c r="M343" i="1" s="1" a="1"/>
  <c r="M343" i="1" s="1"/>
  <c r="C344" i="1"/>
  <c r="M344" i="1" s="1" a="1"/>
  <c r="M344" i="1" s="1"/>
  <c r="C345" i="1"/>
  <c r="M345" i="1" s="1" a="1"/>
  <c r="M345" i="1" s="1"/>
  <c r="C346" i="1"/>
  <c r="M346" i="1" s="1" a="1"/>
  <c r="M346" i="1" s="1"/>
  <c r="C347" i="1"/>
  <c r="M347" i="1" s="1" a="1"/>
  <c r="M347" i="1" s="1"/>
  <c r="C348" i="1"/>
  <c r="M348" i="1" s="1" a="1"/>
  <c r="M348" i="1" s="1"/>
  <c r="C349" i="1"/>
  <c r="M349" i="1" s="1" a="1"/>
  <c r="M349" i="1" s="1"/>
  <c r="C350" i="1"/>
  <c r="M350" i="1" s="1" a="1"/>
  <c r="M350" i="1" s="1"/>
  <c r="C351" i="1"/>
  <c r="M351" i="1" s="1" a="1"/>
  <c r="M351" i="1" s="1"/>
  <c r="C352" i="1"/>
  <c r="M352" i="1" s="1" a="1"/>
  <c r="M352" i="1" s="1"/>
  <c r="C353" i="1"/>
  <c r="M353" i="1" s="1" a="1"/>
  <c r="M353" i="1" s="1"/>
  <c r="C354" i="1"/>
  <c r="M354" i="1" s="1" a="1"/>
  <c r="M354" i="1" s="1"/>
  <c r="C355" i="1"/>
  <c r="M355" i="1" s="1" a="1"/>
  <c r="M355" i="1" s="1"/>
  <c r="C356" i="1"/>
  <c r="M356" i="1" s="1" a="1"/>
  <c r="M356" i="1" s="1"/>
  <c r="C357" i="1"/>
  <c r="M357" i="1" s="1" a="1"/>
  <c r="M357" i="1" s="1"/>
  <c r="C358" i="1"/>
  <c r="M358" i="1" s="1" a="1"/>
  <c r="M358" i="1" s="1"/>
  <c r="C359" i="1"/>
  <c r="M359" i="1" s="1" a="1"/>
  <c r="M359" i="1" s="1"/>
  <c r="C360" i="1"/>
  <c r="M360" i="1" s="1" a="1"/>
  <c r="M360" i="1" s="1"/>
  <c r="C361" i="1"/>
  <c r="M361" i="1" s="1" a="1"/>
  <c r="M361" i="1" s="1"/>
  <c r="C362" i="1"/>
  <c r="M362" i="1" s="1" a="1"/>
  <c r="M362" i="1" s="1"/>
  <c r="C363" i="1"/>
  <c r="M363" i="1" s="1" a="1"/>
  <c r="M363" i="1" s="1"/>
  <c r="C364" i="1"/>
  <c r="M364" i="1" s="1" a="1"/>
  <c r="M364" i="1" s="1"/>
  <c r="C365" i="1"/>
  <c r="M365" i="1" s="1" a="1"/>
  <c r="M365" i="1" s="1"/>
  <c r="C366" i="1"/>
  <c r="M366" i="1" s="1" a="1"/>
  <c r="M366" i="1" s="1"/>
  <c r="C367" i="1"/>
  <c r="M367" i="1" s="1" a="1"/>
  <c r="M367" i="1" s="1"/>
  <c r="C368" i="1"/>
  <c r="M368" i="1" s="1" a="1"/>
  <c r="M368" i="1" s="1"/>
  <c r="C369" i="1"/>
  <c r="M369" i="1" s="1" a="1"/>
  <c r="M369" i="1" s="1"/>
  <c r="C370" i="1"/>
  <c r="M370" i="1" s="1" a="1"/>
  <c r="M370" i="1" s="1"/>
  <c r="C371" i="1"/>
  <c r="M371" i="1" s="1" a="1"/>
  <c r="M371" i="1" s="1"/>
  <c r="C372" i="1"/>
  <c r="M372" i="1" s="1" a="1"/>
  <c r="M372" i="1" s="1"/>
  <c r="C373" i="1"/>
  <c r="M373" i="1" s="1" a="1"/>
  <c r="M373" i="1" s="1"/>
  <c r="C374" i="1"/>
  <c r="M374" i="1" s="1" a="1"/>
  <c r="M374" i="1" s="1"/>
  <c r="C375" i="1"/>
  <c r="M375" i="1" s="1" a="1"/>
  <c r="M375" i="1" s="1"/>
  <c r="C376" i="1"/>
  <c r="M376" i="1" s="1" a="1"/>
  <c r="M376" i="1" s="1"/>
  <c r="C377" i="1"/>
  <c r="M377" i="1" s="1" a="1"/>
  <c r="M377" i="1" s="1"/>
  <c r="C378" i="1"/>
  <c r="M378" i="1" s="1" a="1"/>
  <c r="M378" i="1" s="1"/>
  <c r="C379" i="1"/>
  <c r="M379" i="1" s="1" a="1"/>
  <c r="M379" i="1" s="1"/>
  <c r="C380" i="1"/>
  <c r="M380" i="1" s="1" a="1"/>
  <c r="M380" i="1" s="1"/>
  <c r="C381" i="1"/>
  <c r="M381" i="1" s="1" a="1"/>
  <c r="M381" i="1" s="1"/>
  <c r="C382" i="1"/>
  <c r="M382" i="1" s="1" a="1"/>
  <c r="M382" i="1" s="1"/>
  <c r="C383" i="1"/>
  <c r="M383" i="1" s="1" a="1"/>
  <c r="M383" i="1" s="1"/>
  <c r="C384" i="1"/>
  <c r="M384" i="1" s="1" a="1"/>
  <c r="M384" i="1" s="1"/>
  <c r="C385" i="1"/>
  <c r="M385" i="1" s="1" a="1"/>
  <c r="M385" i="1" s="1"/>
  <c r="C386" i="1"/>
  <c r="M386" i="1" s="1" a="1"/>
  <c r="M386" i="1" s="1"/>
  <c r="C387" i="1"/>
  <c r="M387" i="1" s="1" a="1"/>
  <c r="M387" i="1" s="1"/>
  <c r="C388" i="1"/>
  <c r="M388" i="1" s="1" a="1"/>
  <c r="M388" i="1" s="1"/>
  <c r="C389" i="1"/>
  <c r="M389" i="1" s="1" a="1"/>
  <c r="M389" i="1" s="1"/>
  <c r="C390" i="1"/>
  <c r="M390" i="1" s="1" a="1"/>
  <c r="M390" i="1" s="1"/>
  <c r="C391" i="1"/>
  <c r="M391" i="1" s="1" a="1"/>
  <c r="M391" i="1" s="1"/>
  <c r="C392" i="1"/>
  <c r="M392" i="1" s="1" a="1"/>
  <c r="M392" i="1" s="1"/>
  <c r="C393" i="1"/>
  <c r="M393" i="1" s="1" a="1"/>
  <c r="M393" i="1" s="1"/>
  <c r="C394" i="1"/>
  <c r="M394" i="1" s="1" a="1"/>
  <c r="M394" i="1" s="1"/>
  <c r="C395" i="1"/>
  <c r="M395" i="1" s="1" a="1"/>
  <c r="M395" i="1" s="1"/>
  <c r="C396" i="1"/>
  <c r="M396" i="1" s="1" a="1"/>
  <c r="M396" i="1" s="1"/>
  <c r="C397" i="1"/>
  <c r="M397" i="1" s="1" a="1"/>
  <c r="M397" i="1" s="1"/>
  <c r="C398" i="1"/>
  <c r="M398" i="1" s="1" a="1"/>
  <c r="M398" i="1" s="1"/>
  <c r="C399" i="1"/>
  <c r="M399" i="1" s="1" a="1"/>
  <c r="M399" i="1" s="1"/>
  <c r="C400" i="1"/>
  <c r="M400" i="1" s="1" a="1"/>
  <c r="M400" i="1" s="1"/>
  <c r="C401" i="1"/>
  <c r="M401" i="1" s="1" a="1"/>
  <c r="M401" i="1" s="1"/>
  <c r="C402" i="1"/>
  <c r="M402" i="1" s="1" a="1"/>
  <c r="M402" i="1" s="1"/>
  <c r="C403" i="1"/>
  <c r="M403" i="1" s="1" a="1"/>
  <c r="M403" i="1" s="1"/>
  <c r="C404" i="1"/>
  <c r="M404" i="1" s="1" a="1"/>
  <c r="M404" i="1" s="1"/>
  <c r="C405" i="1"/>
  <c r="M405" i="1" s="1" a="1"/>
  <c r="M405" i="1" s="1"/>
  <c r="C406" i="1"/>
  <c r="M406" i="1" s="1" a="1"/>
  <c r="M406" i="1" s="1"/>
  <c r="C407" i="1"/>
  <c r="M407" i="1" s="1" a="1"/>
  <c r="M407" i="1" s="1"/>
  <c r="C408" i="1"/>
  <c r="M408" i="1" s="1" a="1"/>
  <c r="M408" i="1" s="1"/>
  <c r="C409" i="1"/>
  <c r="M409" i="1" s="1" a="1"/>
  <c r="M409" i="1" s="1"/>
  <c r="C410" i="1"/>
  <c r="M410" i="1" s="1" a="1"/>
  <c r="M410" i="1" s="1"/>
  <c r="C411" i="1"/>
  <c r="M411" i="1" s="1" a="1"/>
  <c r="M411" i="1" s="1"/>
  <c r="C412" i="1"/>
  <c r="M412" i="1" s="1" a="1"/>
  <c r="M412" i="1" s="1"/>
  <c r="C413" i="1"/>
  <c r="M413" i="1" s="1" a="1"/>
  <c r="M413" i="1" s="1"/>
  <c r="C414" i="1"/>
  <c r="M414" i="1" s="1" a="1"/>
  <c r="M414" i="1" s="1"/>
  <c r="C415" i="1"/>
  <c r="M415" i="1" s="1" a="1"/>
  <c r="M415" i="1" s="1"/>
  <c r="C416" i="1"/>
  <c r="M416" i="1" s="1" a="1"/>
  <c r="M416" i="1" s="1"/>
  <c r="C417" i="1"/>
  <c r="M417" i="1" s="1" a="1"/>
  <c r="M417" i="1" s="1"/>
  <c r="C418" i="1"/>
  <c r="M418" i="1" s="1" a="1"/>
  <c r="M418" i="1" s="1"/>
  <c r="C419" i="1"/>
  <c r="M419" i="1" s="1" a="1"/>
  <c r="M419" i="1" s="1"/>
  <c r="C420" i="1"/>
  <c r="M420" i="1" s="1" a="1"/>
  <c r="M420" i="1" s="1"/>
  <c r="C421" i="1"/>
  <c r="M421" i="1" s="1" a="1"/>
  <c r="M421" i="1" s="1"/>
  <c r="C422" i="1"/>
  <c r="M422" i="1" s="1" a="1"/>
  <c r="M422" i="1" s="1"/>
  <c r="C423" i="1"/>
  <c r="M423" i="1" s="1" a="1"/>
  <c r="M423" i="1" s="1"/>
  <c r="C424" i="1"/>
  <c r="M424" i="1" s="1" a="1"/>
  <c r="M424" i="1" s="1"/>
  <c r="C425" i="1"/>
  <c r="M425" i="1" s="1" a="1"/>
  <c r="M425" i="1" s="1"/>
  <c r="C426" i="1"/>
  <c r="M426" i="1" s="1" a="1"/>
  <c r="M426" i="1" s="1"/>
  <c r="C427" i="1"/>
  <c r="M427" i="1" s="1" a="1"/>
  <c r="M427" i="1" s="1"/>
  <c r="C428" i="1"/>
  <c r="M428" i="1" s="1" a="1"/>
  <c r="M428" i="1" s="1"/>
  <c r="C429" i="1"/>
  <c r="M429" i="1" s="1" a="1"/>
  <c r="M429" i="1" s="1"/>
  <c r="C430" i="1"/>
  <c r="M430" i="1" s="1" a="1"/>
  <c r="M430" i="1" s="1"/>
  <c r="C431" i="1"/>
  <c r="M431" i="1" s="1" a="1"/>
  <c r="M431" i="1" s="1"/>
  <c r="C432" i="1"/>
  <c r="M432" i="1" s="1" a="1"/>
  <c r="M432" i="1" s="1"/>
  <c r="C433" i="1"/>
  <c r="M433" i="1" s="1" a="1"/>
  <c r="M433" i="1" s="1"/>
  <c r="C434" i="1"/>
  <c r="M434" i="1" s="1" a="1"/>
  <c r="M434" i="1" s="1"/>
  <c r="C435" i="1"/>
  <c r="M435" i="1" s="1" a="1"/>
  <c r="M435" i="1" s="1"/>
  <c r="C436" i="1"/>
  <c r="M436" i="1" s="1" a="1"/>
  <c r="M436" i="1" s="1"/>
  <c r="C437" i="1"/>
  <c r="M437" i="1" s="1" a="1"/>
  <c r="M437" i="1" s="1"/>
  <c r="C438" i="1"/>
  <c r="M438" i="1" s="1" a="1"/>
  <c r="M438" i="1" s="1"/>
  <c r="C439" i="1"/>
  <c r="M439" i="1" s="1" a="1"/>
  <c r="M439" i="1" s="1"/>
  <c r="C440" i="1"/>
  <c r="M440" i="1" s="1" a="1"/>
  <c r="M440" i="1" s="1"/>
  <c r="C441" i="1"/>
  <c r="M441" i="1" s="1" a="1"/>
  <c r="M441" i="1" s="1"/>
  <c r="C442" i="1"/>
  <c r="M442" i="1" s="1" a="1"/>
  <c r="M442" i="1" s="1"/>
  <c r="C443" i="1"/>
  <c r="M443" i="1" s="1" a="1"/>
  <c r="M443" i="1" s="1"/>
  <c r="C444" i="1"/>
  <c r="M444" i="1" s="1" a="1"/>
  <c r="M444" i="1" s="1"/>
  <c r="C445" i="1"/>
  <c r="M445" i="1" s="1" a="1"/>
  <c r="M445" i="1" s="1"/>
  <c r="C446" i="1"/>
  <c r="M446" i="1" s="1" a="1"/>
  <c r="M446" i="1" s="1"/>
  <c r="C447" i="1"/>
  <c r="M447" i="1" s="1" a="1"/>
  <c r="M447" i="1" s="1"/>
  <c r="C448" i="1"/>
  <c r="M448" i="1" s="1" a="1"/>
  <c r="M448" i="1" s="1"/>
  <c r="C449" i="1"/>
  <c r="M449" i="1" s="1" a="1"/>
  <c r="M449" i="1" s="1"/>
  <c r="C450" i="1"/>
  <c r="M450" i="1" s="1" a="1"/>
  <c r="M450" i="1" s="1"/>
  <c r="C451" i="1"/>
  <c r="M451" i="1" s="1" a="1"/>
  <c r="M451" i="1" s="1"/>
  <c r="C452" i="1"/>
  <c r="M452" i="1" s="1" a="1"/>
  <c r="M452" i="1" s="1"/>
  <c r="C453" i="1"/>
  <c r="M453" i="1" s="1" a="1"/>
  <c r="M453" i="1" s="1"/>
  <c r="C454" i="1"/>
  <c r="M454" i="1" s="1" a="1"/>
  <c r="M454" i="1" s="1"/>
  <c r="C455" i="1"/>
  <c r="M455" i="1" s="1" a="1"/>
  <c r="M455" i="1" s="1"/>
  <c r="C456" i="1"/>
  <c r="M456" i="1" s="1" a="1"/>
  <c r="M456" i="1" s="1"/>
  <c r="C457" i="1"/>
  <c r="M457" i="1" s="1" a="1"/>
  <c r="M457" i="1" s="1"/>
  <c r="C458" i="1"/>
  <c r="M458" i="1" s="1" a="1"/>
  <c r="M458" i="1" s="1"/>
  <c r="C459" i="1"/>
  <c r="M459" i="1" s="1" a="1"/>
  <c r="M459" i="1" s="1"/>
  <c r="C460" i="1"/>
  <c r="M460" i="1" s="1" a="1"/>
  <c r="M460" i="1" s="1"/>
  <c r="C461" i="1"/>
  <c r="M461" i="1" s="1" a="1"/>
  <c r="M461" i="1" s="1"/>
  <c r="C462" i="1"/>
  <c r="M462" i="1" s="1" a="1"/>
  <c r="M462" i="1" s="1"/>
  <c r="C463" i="1"/>
  <c r="M463" i="1" s="1" a="1"/>
  <c r="M463" i="1" s="1"/>
  <c r="C464" i="1"/>
  <c r="M464" i="1" s="1" a="1"/>
  <c r="M464" i="1" s="1"/>
  <c r="C465" i="1"/>
  <c r="M465" i="1" s="1" a="1"/>
  <c r="M465" i="1" s="1"/>
  <c r="C466" i="1"/>
  <c r="M466" i="1" s="1" a="1"/>
  <c r="M466" i="1" s="1"/>
  <c r="C467" i="1"/>
  <c r="M467" i="1" s="1" a="1"/>
  <c r="M467" i="1" s="1"/>
  <c r="C468" i="1"/>
  <c r="M468" i="1" s="1" a="1"/>
  <c r="M468" i="1" s="1"/>
  <c r="C469" i="1"/>
  <c r="M469" i="1" s="1" a="1"/>
  <c r="M469" i="1" s="1"/>
  <c r="C470" i="1"/>
  <c r="M470" i="1" s="1" a="1"/>
  <c r="M470" i="1" s="1"/>
  <c r="C471" i="1"/>
  <c r="M471" i="1" s="1" a="1"/>
  <c r="M471" i="1" s="1"/>
  <c r="C472" i="1"/>
  <c r="M472" i="1" s="1" a="1"/>
  <c r="M472" i="1" s="1"/>
  <c r="C473" i="1"/>
  <c r="M473" i="1" s="1" a="1"/>
  <c r="M473" i="1" s="1"/>
  <c r="C474" i="1"/>
  <c r="M474" i="1" s="1" a="1"/>
  <c r="M474" i="1" s="1"/>
  <c r="C475" i="1"/>
  <c r="M475" i="1" s="1" a="1"/>
  <c r="M475" i="1" s="1"/>
  <c r="C476" i="1"/>
  <c r="M476" i="1" s="1" a="1"/>
  <c r="M476" i="1" s="1"/>
  <c r="C477" i="1"/>
  <c r="M477" i="1" s="1" a="1"/>
  <c r="M477" i="1" s="1"/>
  <c r="C478" i="1"/>
  <c r="M478" i="1" s="1" a="1"/>
  <c r="M478" i="1" s="1"/>
  <c r="C479" i="1"/>
  <c r="M479" i="1" s="1" a="1"/>
  <c r="M479" i="1" s="1"/>
  <c r="C480" i="1"/>
  <c r="M480" i="1" s="1" a="1"/>
  <c r="M480" i="1" s="1"/>
  <c r="C481" i="1"/>
  <c r="M481" i="1" s="1" a="1"/>
  <c r="M481" i="1" s="1"/>
  <c r="C482" i="1"/>
  <c r="M482" i="1" s="1" a="1"/>
  <c r="M482" i="1" s="1"/>
  <c r="C483" i="1"/>
  <c r="M483" i="1" s="1" a="1"/>
  <c r="M483" i="1" s="1"/>
  <c r="C484" i="1"/>
  <c r="M484" i="1" s="1" a="1"/>
  <c r="M484" i="1" s="1"/>
  <c r="C485" i="1"/>
  <c r="M485" i="1" s="1" a="1"/>
  <c r="M485" i="1" s="1"/>
  <c r="C486" i="1"/>
  <c r="M486" i="1" s="1" a="1"/>
  <c r="M486" i="1" s="1"/>
  <c r="C487" i="1"/>
  <c r="M487" i="1" s="1" a="1"/>
  <c r="M487" i="1" s="1"/>
  <c r="C488" i="1"/>
  <c r="M488" i="1" s="1" a="1"/>
  <c r="M488" i="1" s="1"/>
  <c r="G90" i="1"/>
  <c r="C90" i="1"/>
  <c r="M90" i="1" s="1" a="1"/>
  <c r="M90" i="1" s="1"/>
  <c r="G91" i="1"/>
  <c r="C91" i="1"/>
  <c r="M91" i="1" s="1" a="1"/>
  <c r="M91" i="1" s="1"/>
  <c r="G92" i="1"/>
  <c r="C92" i="1"/>
  <c r="M92" i="1" s="1" a="1"/>
  <c r="M92" i="1" s="1"/>
  <c r="G93" i="1"/>
  <c r="C93" i="1"/>
  <c r="M93" i="1" s="1" a="1"/>
  <c r="M93" i="1" s="1"/>
  <c r="G94" i="1"/>
  <c r="C94" i="1"/>
  <c r="M94" i="1" s="1" a="1"/>
  <c r="M94" i="1" s="1"/>
  <c r="G95" i="1"/>
  <c r="C95" i="1"/>
  <c r="M95" i="1" s="1" a="1"/>
  <c r="M95" i="1" s="1"/>
  <c r="G96" i="1"/>
  <c r="C96" i="1"/>
  <c r="M96" i="1" s="1" a="1"/>
  <c r="M96" i="1" s="1"/>
  <c r="G97" i="1"/>
  <c r="C97" i="1"/>
  <c r="M97" i="1" s="1" a="1"/>
  <c r="M97" i="1" s="1"/>
  <c r="G98" i="1"/>
  <c r="C98" i="1"/>
  <c r="M98" i="1" s="1" a="1"/>
  <c r="M98" i="1" s="1"/>
  <c r="C99" i="1"/>
  <c r="M99" i="1" s="1" a="1"/>
  <c r="M99" i="1" s="1"/>
  <c r="G99" i="1"/>
  <c r="C100" i="1"/>
  <c r="M100" i="1" s="1" a="1"/>
  <c r="M100" i="1" s="1"/>
  <c r="G100" i="1"/>
  <c r="C101" i="1"/>
  <c r="M101" i="1" s="1" a="1"/>
  <c r="M101" i="1" s="1"/>
  <c r="G101" i="1"/>
  <c r="G102" i="1"/>
  <c r="C102" i="1"/>
  <c r="M102" i="1" s="1" a="1"/>
  <c r="M102" i="1" s="1"/>
  <c r="G103" i="1"/>
  <c r="C103" i="1"/>
  <c r="M103" i="1" s="1" a="1"/>
  <c r="M103" i="1" s="1"/>
  <c r="G104" i="1"/>
  <c r="C104" i="1"/>
  <c r="M104" i="1" s="1" a="1"/>
  <c r="M104" i="1" s="1"/>
  <c r="G105" i="1"/>
  <c r="C105" i="1"/>
  <c r="M105" i="1" s="1" a="1"/>
  <c r="M105" i="1" s="1"/>
  <c r="G106" i="1"/>
  <c r="C106" i="1"/>
  <c r="M106" i="1" s="1" a="1"/>
  <c r="M106" i="1" s="1"/>
  <c r="C107" i="1"/>
  <c r="M107" i="1" s="1" a="1"/>
  <c r="M107" i="1" s="1"/>
  <c r="G107" i="1"/>
  <c r="G108" i="1"/>
  <c r="C108" i="1"/>
  <c r="M108" i="1" s="1" a="1"/>
  <c r="M108" i="1" s="1"/>
  <c r="G109" i="1"/>
  <c r="C109" i="1"/>
  <c r="M109" i="1" s="1" a="1"/>
  <c r="M109" i="1" s="1"/>
  <c r="G110" i="1"/>
  <c r="C110" i="1"/>
  <c r="M110" i="1" s="1" a="1"/>
  <c r="M110" i="1" s="1"/>
  <c r="G111" i="1"/>
  <c r="C111" i="1"/>
  <c r="M111" i="1" s="1" a="1"/>
  <c r="M111" i="1" s="1"/>
  <c r="G112" i="1"/>
  <c r="C112" i="1"/>
  <c r="M112" i="1" s="1" a="1"/>
  <c r="M112" i="1" s="1"/>
  <c r="G113" i="1"/>
  <c r="C113" i="1"/>
  <c r="M113" i="1" s="1" a="1"/>
  <c r="M113" i="1" s="1"/>
  <c r="G114" i="1"/>
  <c r="C114" i="1"/>
  <c r="M114" i="1" s="1" a="1"/>
  <c r="M114" i="1" s="1"/>
  <c r="G115" i="1"/>
  <c r="C115" i="1"/>
  <c r="M115" i="1" s="1" a="1"/>
  <c r="M115" i="1" s="1"/>
  <c r="G116" i="1"/>
  <c r="C116" i="1"/>
  <c r="M116" i="1" s="1" a="1"/>
  <c r="M116" i="1" s="1"/>
  <c r="G117" i="1"/>
  <c r="C117" i="1"/>
  <c r="M117" i="1" s="1" a="1"/>
  <c r="M117" i="1" s="1"/>
  <c r="G118" i="1"/>
  <c r="C118" i="1"/>
  <c r="M118" i="1" s="1" a="1"/>
  <c r="M118" i="1" s="1"/>
  <c r="G119" i="1"/>
  <c r="C119" i="1"/>
  <c r="M119" i="1" s="1" a="1"/>
  <c r="M119" i="1" s="1"/>
  <c r="G120" i="1"/>
  <c r="C120" i="1"/>
  <c r="M120" i="1" s="1" a="1"/>
  <c r="M120" i="1" s="1"/>
  <c r="G121" i="1"/>
  <c r="C121" i="1"/>
  <c r="M121" i="1" s="1" a="1"/>
  <c r="M121" i="1" s="1"/>
  <c r="G122" i="1"/>
  <c r="C122" i="1"/>
  <c r="M122" i="1" s="1" a="1"/>
  <c r="M122" i="1" s="1"/>
  <c r="G123" i="1"/>
  <c r="C123" i="1"/>
  <c r="M123" i="1" s="1" a="1"/>
  <c r="M123" i="1" s="1"/>
  <c r="G124" i="1"/>
  <c r="C124" i="1"/>
  <c r="M124" i="1" s="1" a="1"/>
  <c r="M124" i="1" s="1"/>
  <c r="G125" i="1"/>
  <c r="C125" i="1"/>
  <c r="M125" i="1" s="1" a="1"/>
  <c r="M125" i="1" s="1"/>
  <c r="C126" i="1"/>
  <c r="M126" i="1" s="1" a="1"/>
  <c r="M126" i="1" s="1"/>
  <c r="G126" i="1"/>
  <c r="C127" i="1"/>
  <c r="M127" i="1" s="1" a="1"/>
  <c r="M127" i="1" s="1"/>
  <c r="G127" i="1"/>
  <c r="G128" i="1"/>
  <c r="C128" i="1"/>
  <c r="M128" i="1" s="1" a="1"/>
  <c r="M128" i="1" s="1"/>
  <c r="G129" i="1"/>
  <c r="C129" i="1"/>
  <c r="M129" i="1" s="1" a="1"/>
  <c r="M129" i="1" s="1"/>
  <c r="C130" i="1"/>
  <c r="M130" i="1" s="1" a="1"/>
  <c r="M130" i="1" s="1"/>
  <c r="G130" i="1"/>
  <c r="G131" i="1"/>
  <c r="C131" i="1"/>
  <c r="M131" i="1" s="1" a="1"/>
  <c r="M131" i="1" s="1"/>
  <c r="G132" i="1"/>
  <c r="C132" i="1"/>
  <c r="M132" i="1" s="1" a="1"/>
  <c r="M132" i="1" s="1"/>
  <c r="G133" i="1"/>
  <c r="C133" i="1"/>
  <c r="M133" i="1" s="1" a="1"/>
  <c r="M133" i="1" s="1"/>
  <c r="G134" i="1"/>
  <c r="C134" i="1"/>
  <c r="M134" i="1" s="1" a="1"/>
  <c r="M134" i="1" s="1"/>
  <c r="G135" i="1"/>
  <c r="C135" i="1"/>
  <c r="M135" i="1" s="1" a="1"/>
  <c r="M135" i="1" s="1"/>
  <c r="G136" i="1"/>
  <c r="C136" i="1"/>
  <c r="M136" i="1" s="1" a="1"/>
  <c r="M136" i="1" s="1"/>
  <c r="G137" i="1"/>
  <c r="C137" i="1"/>
  <c r="M137" i="1" s="1" a="1"/>
  <c r="M137" i="1" s="1"/>
  <c r="G138" i="1"/>
  <c r="C138" i="1"/>
  <c r="M138" i="1" s="1" a="1"/>
  <c r="M138" i="1" s="1"/>
  <c r="G139" i="1"/>
  <c r="C139" i="1"/>
  <c r="M139" i="1" s="1" a="1"/>
  <c r="M139" i="1" s="1"/>
  <c r="C140" i="1"/>
  <c r="M140" i="1" s="1" a="1"/>
  <c r="M140" i="1" s="1"/>
  <c r="G140" i="1"/>
  <c r="C141" i="1"/>
  <c r="M141" i="1" s="1" a="1"/>
  <c r="M141" i="1" s="1"/>
  <c r="G141" i="1"/>
  <c r="C142" i="1"/>
  <c r="M142" i="1" s="1" a="1"/>
  <c r="M142" i="1" s="1"/>
  <c r="G142" i="1"/>
  <c r="G143" i="1"/>
  <c r="C143" i="1"/>
  <c r="M143" i="1" s="1" a="1"/>
  <c r="M143" i="1" s="1"/>
  <c r="C144" i="1"/>
  <c r="M144" i="1" s="1" a="1"/>
  <c r="M144" i="1" s="1"/>
  <c r="G144" i="1"/>
  <c r="G145" i="1"/>
  <c r="C145" i="1"/>
  <c r="M145" i="1" s="1" a="1"/>
  <c r="M145" i="1" s="1"/>
  <c r="G146" i="1"/>
  <c r="C146" i="1"/>
  <c r="M146" i="1" s="1" a="1"/>
  <c r="M146" i="1" s="1"/>
  <c r="C147" i="1"/>
  <c r="M147" i="1" s="1" a="1"/>
  <c r="M147" i="1" s="1"/>
  <c r="G147" i="1"/>
  <c r="C148" i="1"/>
  <c r="M148" i="1" s="1" a="1"/>
  <c r="M148" i="1" s="1"/>
  <c r="G148" i="1"/>
  <c r="C149" i="1"/>
  <c r="M149" i="1" s="1" a="1"/>
  <c r="M149" i="1" s="1"/>
  <c r="G149" i="1"/>
  <c r="C150" i="1"/>
  <c r="M150" i="1" s="1" a="1"/>
  <c r="M150" i="1" s="1"/>
  <c r="G150" i="1"/>
  <c r="C151" i="1"/>
  <c r="M151" i="1" s="1" a="1"/>
  <c r="M151" i="1" s="1"/>
  <c r="G151" i="1"/>
  <c r="G152" i="1"/>
  <c r="C152" i="1"/>
  <c r="M152" i="1" s="1" a="1"/>
  <c r="M152" i="1" s="1"/>
  <c r="C153" i="1"/>
  <c r="M153" i="1" s="1" a="1"/>
  <c r="M153" i="1" s="1"/>
  <c r="G153" i="1"/>
  <c r="C154" i="1"/>
  <c r="M154" i="1" s="1" a="1"/>
  <c r="M154" i="1" s="1"/>
  <c r="G154" i="1"/>
  <c r="C155" i="1"/>
  <c r="M155" i="1" s="1" a="1"/>
  <c r="M155" i="1" s="1"/>
  <c r="G155" i="1"/>
  <c r="C156" i="1"/>
  <c r="M156" i="1" s="1" a="1"/>
  <c r="M156" i="1" s="1"/>
  <c r="G156" i="1"/>
  <c r="C157" i="1"/>
  <c r="M157" i="1" s="1" a="1"/>
  <c r="M157" i="1" s="1"/>
  <c r="G157" i="1"/>
  <c r="C158" i="1"/>
  <c r="M158" i="1" s="1" a="1"/>
  <c r="M158" i="1" s="1"/>
  <c r="G158" i="1"/>
  <c r="C159" i="1"/>
  <c r="M159" i="1" s="1" a="1"/>
  <c r="M159" i="1" s="1"/>
  <c r="G159" i="1"/>
  <c r="C160" i="1"/>
  <c r="M160" i="1" s="1" a="1"/>
  <c r="M160" i="1" s="1"/>
  <c r="G160" i="1"/>
  <c r="C161" i="1"/>
  <c r="M161" i="1" s="1" a="1"/>
  <c r="M161" i="1" s="1"/>
  <c r="G161" i="1"/>
  <c r="C162" i="1"/>
  <c r="M162" i="1" s="1" a="1"/>
  <c r="M162" i="1" s="1"/>
  <c r="G162" i="1"/>
  <c r="C163" i="1"/>
  <c r="M163" i="1" s="1" a="1"/>
  <c r="M163" i="1" s="1"/>
  <c r="G163" i="1"/>
  <c r="G164" i="1"/>
  <c r="C164" i="1"/>
  <c r="M164" i="1" s="1" a="1"/>
  <c r="M164" i="1" s="1"/>
  <c r="G165" i="1"/>
  <c r="C165" i="1"/>
  <c r="M165" i="1" s="1" a="1"/>
  <c r="M165" i="1" s="1"/>
  <c r="G166" i="1"/>
  <c r="C166" i="1"/>
  <c r="M166" i="1" s="1" a="1"/>
  <c r="M166" i="1" s="1"/>
  <c r="G167" i="1"/>
  <c r="C167" i="1"/>
  <c r="M167" i="1" s="1" a="1"/>
  <c r="M167" i="1" s="1"/>
  <c r="G168" i="1"/>
  <c r="C168" i="1"/>
  <c r="M168" i="1" s="1" a="1"/>
  <c r="M168" i="1" s="1"/>
  <c r="G169" i="1"/>
  <c r="C169" i="1"/>
  <c r="M169" i="1" s="1" a="1"/>
  <c r="M169" i="1" s="1"/>
  <c r="G170" i="1"/>
  <c r="C170" i="1"/>
  <c r="M170" i="1" s="1" a="1"/>
  <c r="M170" i="1" s="1"/>
  <c r="G171" i="1"/>
  <c r="C171" i="1"/>
  <c r="M171" i="1" s="1" a="1"/>
  <c r="M171" i="1" s="1"/>
  <c r="G172" i="1"/>
  <c r="C172" i="1"/>
  <c r="M172" i="1" s="1" a="1"/>
  <c r="M172" i="1" s="1"/>
  <c r="G173" i="1"/>
  <c r="C173" i="1"/>
  <c r="M173" i="1" s="1" a="1"/>
  <c r="M173" i="1" s="1"/>
  <c r="G174" i="1"/>
  <c r="C174" i="1"/>
  <c r="M174" i="1" s="1" a="1"/>
  <c r="M174" i="1" s="1"/>
  <c r="G175" i="1"/>
  <c r="C175" i="1"/>
  <c r="M175" i="1" s="1" a="1"/>
  <c r="M175" i="1" s="1"/>
  <c r="G176" i="1"/>
  <c r="C176" i="1"/>
  <c r="M176" i="1" s="1" a="1"/>
  <c r="M176" i="1" s="1"/>
  <c r="G177" i="1"/>
  <c r="C177" i="1"/>
  <c r="M177" i="1" s="1" a="1"/>
  <c r="M177" i="1" s="1"/>
  <c r="G178" i="1"/>
  <c r="C178" i="1"/>
  <c r="M178" i="1" s="1" a="1"/>
  <c r="M178" i="1" s="1"/>
  <c r="G179" i="1"/>
  <c r="C179" i="1"/>
  <c r="M179" i="1" s="1" a="1"/>
  <c r="M179" i="1" s="1"/>
  <c r="G180" i="1"/>
  <c r="C180" i="1"/>
  <c r="M180" i="1" s="1" a="1"/>
  <c r="M180" i="1" s="1"/>
  <c r="G181" i="1"/>
  <c r="C181" i="1"/>
  <c r="M181" i="1" s="1" a="1"/>
  <c r="M181" i="1" s="1"/>
  <c r="G182" i="1"/>
  <c r="C182" i="1"/>
  <c r="M182" i="1" s="1" a="1"/>
  <c r="M182" i="1" s="1"/>
  <c r="G183" i="1"/>
  <c r="C183" i="1"/>
  <c r="M183" i="1" s="1" a="1"/>
  <c r="M183" i="1" s="1"/>
  <c r="G184" i="1"/>
  <c r="C184" i="1"/>
  <c r="M184" i="1" s="1" a="1"/>
  <c r="M184" i="1" s="1"/>
  <c r="G185" i="1"/>
  <c r="C185" i="1"/>
  <c r="M185" i="1" s="1" a="1"/>
  <c r="M185" i="1" s="1"/>
  <c r="C186" i="1"/>
  <c r="M186" i="1" s="1" a="1"/>
  <c r="M186" i="1" s="1"/>
  <c r="G186" i="1"/>
  <c r="C187" i="1"/>
  <c r="M187" i="1" s="1" a="1"/>
  <c r="M187" i="1" s="1"/>
  <c r="G187" i="1"/>
  <c r="C188" i="1"/>
  <c r="M188" i="1" s="1" a="1"/>
  <c r="M188" i="1" s="1"/>
  <c r="G188" i="1"/>
  <c r="G189" i="1"/>
  <c r="C189" i="1"/>
  <c r="M189" i="1" s="1" a="1"/>
  <c r="M189" i="1" s="1"/>
  <c r="G190" i="1"/>
  <c r="C190" i="1"/>
  <c r="M190" i="1" s="1" a="1"/>
  <c r="M190" i="1" s="1"/>
  <c r="G191" i="1"/>
  <c r="C191" i="1"/>
  <c r="M191" i="1" s="1" a="1"/>
  <c r="M191" i="1" s="1"/>
  <c r="G192" i="1"/>
  <c r="C192" i="1"/>
  <c r="M192" i="1" s="1" a="1"/>
  <c r="M192" i="1" s="1"/>
  <c r="G193" i="1"/>
  <c r="C193" i="1"/>
  <c r="M193" i="1" s="1" a="1"/>
  <c r="M193" i="1" s="1"/>
  <c r="G194" i="1"/>
  <c r="C194" i="1"/>
  <c r="M194" i="1" s="1" a="1"/>
  <c r="M194" i="1" s="1"/>
  <c r="G195" i="1"/>
  <c r="C195" i="1"/>
  <c r="M195" i="1" s="1" a="1"/>
  <c r="M195" i="1" s="1"/>
  <c r="G196" i="1"/>
  <c r="C196" i="1"/>
  <c r="M196" i="1" s="1" a="1"/>
  <c r="M196" i="1" s="1"/>
  <c r="C197" i="1"/>
  <c r="M197" i="1" s="1" a="1"/>
  <c r="M197" i="1" s="1"/>
  <c r="G197" i="1"/>
  <c r="G198" i="1"/>
  <c r="C198" i="1"/>
  <c r="M198" i="1" s="1" a="1"/>
  <c r="M198" i="1" s="1"/>
  <c r="G199" i="1"/>
  <c r="C199" i="1"/>
  <c r="M199" i="1" s="1" a="1"/>
  <c r="M199" i="1" s="1"/>
  <c r="C200" i="1"/>
  <c r="M200" i="1" s="1" a="1"/>
  <c r="M200" i="1" s="1"/>
  <c r="G200" i="1"/>
  <c r="G201" i="1"/>
  <c r="C201" i="1"/>
  <c r="M201" i="1" s="1" a="1"/>
  <c r="M201" i="1" s="1"/>
  <c r="G202" i="1"/>
  <c r="C202" i="1"/>
  <c r="M202" i="1" s="1" a="1"/>
  <c r="M202" i="1" s="1"/>
  <c r="G203" i="1"/>
  <c r="C203" i="1"/>
  <c r="M203" i="1" s="1" a="1"/>
  <c r="M203" i="1" s="1"/>
  <c r="G204" i="1"/>
  <c r="C204" i="1"/>
  <c r="M204" i="1" s="1" a="1"/>
  <c r="M204" i="1" s="1"/>
  <c r="C205" i="1"/>
  <c r="M205" i="1" s="1" a="1"/>
  <c r="M205" i="1" s="1"/>
  <c r="G205" i="1"/>
  <c r="C206" i="1"/>
  <c r="M206" i="1" s="1" a="1"/>
  <c r="M206" i="1" s="1"/>
  <c r="G206" i="1"/>
  <c r="C207" i="1"/>
  <c r="M207" i="1" s="1" a="1"/>
  <c r="M207" i="1" s="1"/>
  <c r="G207" i="1"/>
  <c r="C208" i="1"/>
  <c r="M208" i="1" s="1" a="1"/>
  <c r="M208" i="1" s="1"/>
  <c r="G208" i="1"/>
  <c r="C209" i="1"/>
  <c r="M209" i="1" s="1" a="1"/>
  <c r="M209" i="1" s="1"/>
  <c r="G209" i="1"/>
  <c r="G210" i="1"/>
  <c r="C210" i="1"/>
  <c r="M210" i="1" s="1" a="1"/>
  <c r="M210" i="1" s="1"/>
  <c r="C211" i="1"/>
  <c r="M211" i="1" s="1" a="1"/>
  <c r="M211" i="1" s="1"/>
  <c r="G211" i="1"/>
  <c r="C212" i="1"/>
  <c r="M212" i="1" s="1" a="1"/>
  <c r="M212" i="1" s="1"/>
  <c r="G212" i="1"/>
  <c r="C213" i="1"/>
  <c r="M213" i="1" s="1" a="1"/>
  <c r="M213" i="1" s="1"/>
  <c r="G213" i="1"/>
  <c r="G214" i="1"/>
  <c r="C214" i="1"/>
  <c r="M214" i="1" s="1" a="1"/>
  <c r="M214" i="1" s="1"/>
  <c r="C215" i="1"/>
  <c r="M215" i="1" s="1" a="1"/>
  <c r="M215" i="1" s="1"/>
  <c r="G215" i="1"/>
  <c r="C216" i="1"/>
  <c r="M216" i="1" s="1" a="1"/>
  <c r="M216" i="1" s="1"/>
  <c r="G216" i="1"/>
  <c r="C217" i="1"/>
  <c r="M217" i="1" s="1" a="1"/>
  <c r="M217" i="1" s="1"/>
  <c r="G217" i="1"/>
  <c r="C218" i="1"/>
  <c r="M218" i="1" s="1" a="1"/>
  <c r="M218" i="1" s="1"/>
  <c r="G218" i="1"/>
  <c r="C219" i="1"/>
  <c r="M219" i="1" s="1" a="1"/>
  <c r="M219" i="1" s="1"/>
  <c r="G219" i="1"/>
  <c r="C220" i="1"/>
  <c r="M220" i="1" s="1" a="1"/>
  <c r="M220" i="1" s="1"/>
  <c r="G220" i="1"/>
  <c r="C221" i="1"/>
  <c r="M221" i="1" s="1" a="1"/>
  <c r="M221" i="1" s="1"/>
  <c r="G221" i="1"/>
  <c r="C222" i="1"/>
  <c r="M222" i="1" s="1" a="1"/>
  <c r="M222" i="1" s="1"/>
  <c r="G222" i="1"/>
  <c r="C223" i="1"/>
  <c r="M223" i="1" s="1" a="1"/>
  <c r="M223" i="1" s="1"/>
  <c r="G223" i="1"/>
  <c r="C224" i="1"/>
  <c r="M224" i="1" s="1" a="1"/>
  <c r="M224" i="1" s="1"/>
  <c r="G224" i="1"/>
  <c r="C225" i="1"/>
  <c r="M225" i="1" s="1" a="1"/>
  <c r="M225" i="1" s="1"/>
  <c r="G225" i="1"/>
  <c r="C226" i="1"/>
  <c r="M226" i="1" s="1" a="1"/>
  <c r="M226" i="1" s="1"/>
  <c r="G226" i="1"/>
  <c r="C227" i="1"/>
  <c r="M227" i="1" s="1" a="1"/>
  <c r="M227" i="1" s="1"/>
  <c r="G227" i="1"/>
  <c r="G228" i="1"/>
  <c r="C228" i="1"/>
  <c r="M228" i="1" s="1" a="1"/>
  <c r="M228" i="1" s="1"/>
  <c r="G229" i="1"/>
  <c r="C229" i="1"/>
  <c r="M229" i="1" s="1" a="1"/>
  <c r="M229" i="1" s="1"/>
  <c r="C230" i="1"/>
  <c r="M230" i="1" s="1" a="1"/>
  <c r="M230" i="1" s="1"/>
  <c r="G230" i="1"/>
  <c r="G231" i="1"/>
  <c r="C231" i="1"/>
  <c r="M231" i="1" s="1" a="1"/>
  <c r="M231" i="1" s="1"/>
  <c r="C232" i="1"/>
  <c r="M232" i="1" s="1" a="1"/>
  <c r="M232" i="1" s="1"/>
  <c r="G232" i="1"/>
  <c r="C233" i="1"/>
  <c r="M233" i="1" s="1" a="1"/>
  <c r="M233" i="1" s="1"/>
  <c r="G233" i="1"/>
  <c r="G234" i="1"/>
  <c r="C234" i="1"/>
  <c r="M234" i="1" s="1" a="1"/>
  <c r="M234" i="1" s="1"/>
  <c r="G235" i="1"/>
  <c r="C235" i="1"/>
  <c r="M235" i="1" s="1" a="1"/>
  <c r="M235" i="1" s="1"/>
  <c r="G236" i="1"/>
  <c r="C236" i="1"/>
  <c r="M236" i="1" s="1" a="1"/>
  <c r="M236" i="1" s="1"/>
  <c r="G237" i="1"/>
  <c r="C237" i="1"/>
  <c r="M237" i="1" s="1" a="1"/>
  <c r="M237" i="1" s="1"/>
  <c r="C238" i="1"/>
  <c r="M238" i="1" s="1" a="1"/>
  <c r="M238" i="1" s="1"/>
  <c r="G238" i="1"/>
  <c r="C239" i="1"/>
  <c r="M239" i="1" s="1" a="1"/>
  <c r="M239" i="1" s="1"/>
  <c r="G239" i="1"/>
  <c r="C240" i="1"/>
  <c r="M240" i="1" s="1" a="1"/>
  <c r="M240" i="1" s="1"/>
  <c r="G240" i="1"/>
  <c r="C241" i="1"/>
  <c r="M241" i="1" s="1" a="1"/>
  <c r="M241" i="1" s="1"/>
  <c r="G241" i="1"/>
  <c r="G242" i="1"/>
  <c r="C242" i="1"/>
  <c r="M242" i="1" s="1" a="1"/>
  <c r="M242" i="1" s="1"/>
  <c r="G17" i="1"/>
  <c r="C17" i="1"/>
  <c r="M17" i="1" s="1" a="1"/>
  <c r="M17" i="1" s="1"/>
  <c r="G18" i="1"/>
  <c r="C18" i="1"/>
  <c r="G19" i="1"/>
  <c r="C19" i="1"/>
  <c r="M19" i="1" s="1" a="1"/>
  <c r="M19" i="1" s="1"/>
  <c r="C20" i="1"/>
  <c r="M20" i="1" s="1" a="1"/>
  <c r="M20" i="1" s="1"/>
  <c r="G20" i="1"/>
  <c r="C21" i="1"/>
  <c r="M21" i="1" s="1" a="1"/>
  <c r="M21" i="1" s="1"/>
  <c r="G21" i="1"/>
  <c r="G22" i="1"/>
  <c r="C22" i="1"/>
  <c r="M22" i="1" s="1" a="1"/>
  <c r="M22" i="1" s="1"/>
  <c r="G23" i="1"/>
  <c r="C23" i="1"/>
  <c r="M23" i="1" s="1" a="1"/>
  <c r="M23" i="1" s="1"/>
  <c r="G24" i="1"/>
  <c r="C24" i="1"/>
  <c r="M24" i="1" s="1" a="1"/>
  <c r="M24" i="1" s="1"/>
  <c r="G25" i="1"/>
  <c r="C25" i="1"/>
  <c r="M25" i="1" s="1" a="1"/>
  <c r="M25" i="1" s="1"/>
  <c r="G26" i="1"/>
  <c r="C26" i="1"/>
  <c r="G27" i="1"/>
  <c r="C27" i="1"/>
  <c r="M27" i="1" s="1" a="1"/>
  <c r="M27" i="1" s="1"/>
  <c r="G28" i="1"/>
  <c r="C28" i="1"/>
  <c r="M28" i="1" s="1" a="1"/>
  <c r="M28" i="1" s="1"/>
  <c r="C29" i="1"/>
  <c r="M29" i="1" s="1" a="1"/>
  <c r="M29" i="1" s="1"/>
  <c r="G29" i="1"/>
  <c r="C30" i="1"/>
  <c r="M30" i="1" s="1" a="1"/>
  <c r="M30" i="1" s="1"/>
  <c r="G30" i="1"/>
  <c r="C31" i="1"/>
  <c r="M31" i="1" s="1" a="1"/>
  <c r="M31" i="1" s="1"/>
  <c r="G31" i="1"/>
  <c r="G32" i="1"/>
  <c r="C32" i="1"/>
  <c r="M32" i="1" s="1" a="1"/>
  <c r="M32" i="1" s="1"/>
  <c r="C33" i="1"/>
  <c r="M33" i="1" s="1" a="1"/>
  <c r="M33" i="1" s="1"/>
  <c r="G33" i="1"/>
  <c r="G34" i="1"/>
  <c r="C34" i="1"/>
  <c r="M34" i="1" s="1" a="1"/>
  <c r="M34" i="1" s="1"/>
  <c r="C35" i="1"/>
  <c r="G35" i="1"/>
  <c r="G36" i="1"/>
  <c r="C36" i="1"/>
  <c r="M36" i="1" s="1" a="1"/>
  <c r="M36" i="1" s="1"/>
  <c r="G37" i="1"/>
  <c r="C37" i="1"/>
  <c r="M37" i="1" s="1" a="1"/>
  <c r="M37" i="1" s="1"/>
  <c r="C38" i="1"/>
  <c r="M38" i="1" s="1" a="1"/>
  <c r="M38" i="1" s="1"/>
  <c r="G38" i="1"/>
  <c r="C39" i="1"/>
  <c r="M39" i="1" s="1" a="1"/>
  <c r="M39" i="1" s="1"/>
  <c r="G39" i="1"/>
  <c r="G40" i="1"/>
  <c r="C40" i="1"/>
  <c r="M40" i="1" s="1" a="1"/>
  <c r="M40" i="1" s="1"/>
  <c r="C41" i="1"/>
  <c r="M41" i="1" s="1" a="1"/>
  <c r="M41" i="1" s="1"/>
  <c r="G41" i="1"/>
  <c r="G42" i="1"/>
  <c r="C42" i="1"/>
  <c r="M42" i="1" s="1" a="1"/>
  <c r="M42" i="1" s="1"/>
  <c r="G43" i="1"/>
  <c r="C43" i="1"/>
  <c r="M43" i="1" s="1" a="1"/>
  <c r="M43" i="1" s="1"/>
  <c r="G44" i="1"/>
  <c r="C44" i="1"/>
  <c r="M44" i="1" s="1" a="1"/>
  <c r="M44" i="1" s="1"/>
  <c r="G45" i="1"/>
  <c r="C45" i="1"/>
  <c r="M45" i="1" s="1" a="1"/>
  <c r="M45" i="1" s="1"/>
  <c r="C46" i="1"/>
  <c r="M46" i="1" s="1" a="1"/>
  <c r="M46" i="1" s="1"/>
  <c r="G46" i="1"/>
  <c r="G47" i="1"/>
  <c r="C47" i="1"/>
  <c r="M47" i="1" s="1" a="1"/>
  <c r="M47" i="1" s="1"/>
  <c r="C48" i="1"/>
  <c r="M48" i="1" s="1" a="1"/>
  <c r="M48" i="1" s="1"/>
  <c r="G48" i="1"/>
  <c r="C49" i="1"/>
  <c r="M49" i="1" s="1" a="1"/>
  <c r="M49" i="1" s="1"/>
  <c r="G49" i="1"/>
  <c r="G50" i="1"/>
  <c r="C50" i="1"/>
  <c r="M50" i="1" s="1" a="1"/>
  <c r="M50" i="1" s="1"/>
  <c r="C51" i="1"/>
  <c r="M51" i="1" s="1" a="1"/>
  <c r="M51" i="1" s="1"/>
  <c r="G51" i="1"/>
  <c r="G52" i="1"/>
  <c r="C52" i="1"/>
  <c r="M52" i="1" s="1" a="1"/>
  <c r="M52" i="1" s="1"/>
  <c r="C53" i="1"/>
  <c r="M53" i="1" s="1" a="1"/>
  <c r="M53" i="1" s="1"/>
  <c r="G53" i="1"/>
  <c r="C54" i="1"/>
  <c r="M54" i="1" s="1" a="1"/>
  <c r="M54" i="1" s="1"/>
  <c r="G54" i="1"/>
  <c r="C55" i="1"/>
  <c r="M55" i="1" s="1" a="1"/>
  <c r="M55" i="1" s="1"/>
  <c r="G55" i="1"/>
  <c r="C56" i="1"/>
  <c r="M56" i="1" s="1" a="1"/>
  <c r="M56" i="1" s="1"/>
  <c r="G56" i="1"/>
  <c r="G57" i="1"/>
  <c r="C57" i="1"/>
  <c r="M57" i="1" s="1" a="1"/>
  <c r="M57" i="1" s="1"/>
  <c r="G58" i="1"/>
  <c r="C58" i="1"/>
  <c r="M58" i="1" s="1" a="1"/>
  <c r="M58" i="1" s="1"/>
  <c r="G59" i="1"/>
  <c r="C59" i="1"/>
  <c r="M59" i="1" s="1" a="1"/>
  <c r="M59" i="1" s="1"/>
  <c r="G60" i="1"/>
  <c r="C60" i="1"/>
  <c r="M60" i="1" s="1" a="1"/>
  <c r="M60" i="1" s="1"/>
  <c r="C61" i="1"/>
  <c r="M61" i="1" s="1" a="1"/>
  <c r="M61" i="1" s="1"/>
  <c r="G61" i="1"/>
  <c r="G62" i="1"/>
  <c r="C62" i="1"/>
  <c r="M62" i="1" s="1" a="1"/>
  <c r="M62" i="1" s="1"/>
  <c r="C63" i="1"/>
  <c r="M63" i="1" s="1" a="1"/>
  <c r="M63" i="1" s="1"/>
  <c r="G63" i="1"/>
  <c r="C64" i="1"/>
  <c r="M64" i="1" s="1" a="1"/>
  <c r="M64" i="1" s="1"/>
  <c r="G64" i="1"/>
  <c r="C65" i="1"/>
  <c r="M65" i="1" s="1" a="1"/>
  <c r="M65" i="1" s="1"/>
  <c r="G65" i="1"/>
  <c r="G66" i="1"/>
  <c r="C66" i="1"/>
  <c r="M66" i="1" s="1" a="1"/>
  <c r="M66" i="1" s="1"/>
  <c r="G67" i="1"/>
  <c r="C67" i="1"/>
  <c r="M67" i="1" s="1" a="1"/>
  <c r="M67" i="1" s="1"/>
  <c r="G68" i="1"/>
  <c r="C68" i="1"/>
  <c r="M68" i="1" s="1" a="1"/>
  <c r="M68" i="1" s="1"/>
  <c r="G69" i="1"/>
  <c r="C69" i="1"/>
  <c r="M69" i="1" s="1" a="1"/>
  <c r="M69" i="1" s="1"/>
  <c r="C70" i="1"/>
  <c r="M70" i="1" s="1" a="1"/>
  <c r="M70" i="1" s="1"/>
  <c r="G70" i="1"/>
  <c r="C71" i="1"/>
  <c r="M71" i="1" s="1" a="1"/>
  <c r="M71" i="1" s="1"/>
  <c r="G71" i="1"/>
  <c r="C72" i="1"/>
  <c r="M72" i="1" s="1" a="1"/>
  <c r="M72" i="1" s="1"/>
  <c r="G72" i="1"/>
  <c r="C73" i="1"/>
  <c r="M73" i="1" s="1" a="1"/>
  <c r="M73" i="1" s="1"/>
  <c r="G73" i="1"/>
  <c r="C74" i="1"/>
  <c r="M74" i="1" s="1" a="1"/>
  <c r="M74" i="1" s="1"/>
  <c r="G74" i="1"/>
  <c r="C75" i="1"/>
  <c r="M75" i="1" s="1" a="1"/>
  <c r="M75" i="1" s="1"/>
  <c r="G75" i="1"/>
  <c r="C76" i="1"/>
  <c r="M76" i="1" s="1" a="1"/>
  <c r="M76" i="1" s="1"/>
  <c r="G76" i="1"/>
  <c r="C77" i="1"/>
  <c r="M77" i="1" s="1" a="1"/>
  <c r="M77" i="1" s="1"/>
  <c r="G77" i="1"/>
  <c r="C78" i="1"/>
  <c r="M78" i="1" s="1" a="1"/>
  <c r="M78" i="1" s="1"/>
  <c r="G78" i="1"/>
  <c r="G79" i="1"/>
  <c r="C79" i="1"/>
  <c r="M79" i="1" s="1" a="1"/>
  <c r="M79" i="1" s="1"/>
  <c r="G80" i="1"/>
  <c r="C80" i="1"/>
  <c r="M80" i="1" s="1" a="1"/>
  <c r="M80" i="1" s="1"/>
  <c r="G81" i="1"/>
  <c r="C81" i="1"/>
  <c r="M81" i="1" s="1" a="1"/>
  <c r="M81" i="1" s="1"/>
  <c r="G82" i="1"/>
  <c r="C82" i="1"/>
  <c r="M82" i="1" s="1" a="1"/>
  <c r="M82" i="1" s="1"/>
  <c r="G83" i="1"/>
  <c r="C83" i="1"/>
  <c r="M83" i="1" s="1" a="1"/>
  <c r="M83" i="1" s="1"/>
  <c r="C84" i="1"/>
  <c r="M84" i="1" s="1" a="1"/>
  <c r="M84" i="1" s="1"/>
  <c r="G84" i="1"/>
  <c r="C85" i="1"/>
  <c r="M85" i="1" s="1" a="1"/>
  <c r="M85" i="1" s="1"/>
  <c r="G85" i="1"/>
  <c r="C86" i="1"/>
  <c r="M86" i="1" s="1" a="1"/>
  <c r="M86" i="1" s="1"/>
  <c r="G86" i="1"/>
  <c r="C87" i="1"/>
  <c r="M87" i="1" s="1" a="1"/>
  <c r="M87" i="1" s="1"/>
  <c r="G87" i="1"/>
  <c r="C88" i="1"/>
  <c r="M88" i="1" s="1" a="1"/>
  <c r="M88" i="1" s="1"/>
  <c r="G88" i="1"/>
  <c r="G89" i="1"/>
  <c r="C89" i="1"/>
  <c r="M89" i="1" s="1" a="1"/>
  <c r="M89" i="1" s="1"/>
  <c r="C510" i="1"/>
  <c r="M510" i="1" s="1" a="1"/>
  <c r="M510" i="1" s="1"/>
  <c r="G510" i="1"/>
  <c r="C511" i="1"/>
  <c r="M511" i="1" s="1" a="1"/>
  <c r="M511" i="1" s="1"/>
  <c r="G511" i="1"/>
  <c r="C512" i="1"/>
  <c r="M512" i="1" s="1" a="1"/>
  <c r="M512" i="1" s="1"/>
  <c r="G512" i="1"/>
  <c r="C513" i="1"/>
  <c r="M513" i="1" s="1" a="1"/>
  <c r="M513" i="1" s="1"/>
  <c r="G513" i="1"/>
  <c r="G514" i="1"/>
  <c r="C514" i="1"/>
  <c r="M514" i="1" s="1" a="1"/>
  <c r="M514" i="1" s="1"/>
  <c r="C515" i="1"/>
  <c r="M515" i="1" s="1" a="1"/>
  <c r="M515" i="1" s="1"/>
  <c r="G515" i="1"/>
  <c r="C516" i="1"/>
  <c r="M516" i="1" s="1" a="1"/>
  <c r="M516" i="1" s="1"/>
  <c r="G516" i="1"/>
  <c r="G517" i="1"/>
  <c r="C517" i="1"/>
  <c r="M517" i="1" s="1" a="1"/>
  <c r="M517" i="1" s="1"/>
  <c r="G518" i="1"/>
  <c r="C518" i="1"/>
  <c r="M518" i="1" s="1" a="1"/>
  <c r="M518" i="1" s="1"/>
  <c r="G519" i="1"/>
  <c r="C519" i="1"/>
  <c r="M519" i="1" s="1" a="1"/>
  <c r="M519" i="1" s="1"/>
  <c r="C520" i="1"/>
  <c r="M520" i="1" s="1" a="1"/>
  <c r="M520" i="1" s="1"/>
  <c r="G520" i="1"/>
  <c r="C521" i="1"/>
  <c r="M521" i="1" s="1" a="1"/>
  <c r="M521" i="1" s="1"/>
  <c r="G521" i="1"/>
  <c r="G522" i="1"/>
  <c r="C522" i="1"/>
  <c r="M522" i="1" s="1" a="1"/>
  <c r="M522" i="1" s="1"/>
  <c r="G523" i="1"/>
  <c r="C523" i="1"/>
  <c r="M523" i="1" s="1" a="1"/>
  <c r="M523" i="1" s="1"/>
  <c r="G524" i="1"/>
  <c r="C524" i="1"/>
  <c r="M524" i="1" s="1" a="1"/>
  <c r="M524" i="1" s="1"/>
  <c r="G525" i="1"/>
  <c r="C525" i="1"/>
  <c r="M525" i="1" s="1" a="1"/>
  <c r="M525" i="1" s="1"/>
  <c r="G526" i="1"/>
  <c r="C526" i="1"/>
  <c r="M526" i="1" s="1" a="1"/>
  <c r="M526" i="1" s="1"/>
  <c r="G527" i="1"/>
  <c r="C527" i="1"/>
  <c r="M527" i="1" s="1" a="1"/>
  <c r="M527" i="1" s="1"/>
  <c r="G528" i="1"/>
  <c r="C528" i="1"/>
  <c r="M528" i="1" s="1" a="1"/>
  <c r="M528" i="1" s="1"/>
  <c r="G529" i="1"/>
  <c r="C529" i="1"/>
  <c r="M529" i="1" s="1" a="1"/>
  <c r="M529" i="1" s="1"/>
  <c r="G530" i="1"/>
  <c r="C530" i="1"/>
  <c r="M530" i="1" s="1" a="1"/>
  <c r="M530" i="1" s="1"/>
  <c r="G531" i="1"/>
  <c r="C531" i="1"/>
  <c r="M531" i="1" s="1" a="1"/>
  <c r="M531" i="1" s="1"/>
  <c r="C532" i="1"/>
  <c r="M532" i="1" s="1" a="1"/>
  <c r="M532" i="1" s="1"/>
  <c r="G532" i="1"/>
  <c r="G533" i="1"/>
  <c r="C533" i="1"/>
  <c r="M533" i="1" s="1" a="1"/>
  <c r="M533" i="1" s="1"/>
  <c r="C534" i="1"/>
  <c r="M534" i="1" s="1" a="1"/>
  <c r="M534" i="1" s="1"/>
  <c r="G534" i="1"/>
  <c r="C535" i="1"/>
  <c r="M535" i="1" s="1" a="1"/>
  <c r="M535" i="1" s="1"/>
  <c r="G535" i="1"/>
  <c r="G536" i="1"/>
  <c r="C536" i="1"/>
  <c r="M536" i="1" s="1" a="1"/>
  <c r="M536" i="1" s="1"/>
  <c r="G537" i="1"/>
  <c r="C537" i="1"/>
  <c r="M537" i="1" s="1" a="1"/>
  <c r="M537" i="1" s="1"/>
  <c r="C538" i="1"/>
  <c r="M538" i="1" s="1" a="1"/>
  <c r="M538" i="1" s="1"/>
  <c r="G538" i="1"/>
  <c r="C539" i="1"/>
  <c r="M539" i="1" s="1" a="1"/>
  <c r="M539" i="1" s="1"/>
  <c r="G539" i="1"/>
  <c r="G540" i="1"/>
  <c r="C540" i="1"/>
  <c r="M540" i="1" s="1" a="1"/>
  <c r="M540" i="1" s="1"/>
  <c r="G541" i="1"/>
  <c r="C541" i="1"/>
  <c r="M541" i="1" s="1" a="1"/>
  <c r="M541" i="1" s="1"/>
  <c r="G542" i="1"/>
  <c r="C542" i="1"/>
  <c r="M542" i="1" s="1" a="1"/>
  <c r="M542" i="1" s="1"/>
  <c r="G543" i="1"/>
  <c r="C543" i="1"/>
  <c r="M543" i="1" s="1" a="1"/>
  <c r="M543" i="1" s="1"/>
  <c r="G544" i="1"/>
  <c r="C544" i="1"/>
  <c r="M544" i="1" s="1" a="1"/>
  <c r="M544" i="1" s="1"/>
  <c r="C545" i="1"/>
  <c r="M545" i="1" s="1" a="1"/>
  <c r="M545" i="1" s="1"/>
  <c r="G545" i="1"/>
  <c r="G546" i="1"/>
  <c r="C546" i="1"/>
  <c r="M546" i="1" s="1" a="1"/>
  <c r="M546" i="1" s="1"/>
  <c r="G547" i="1"/>
  <c r="C547" i="1"/>
  <c r="M547" i="1" s="1" a="1"/>
  <c r="M547" i="1" s="1"/>
  <c r="G548" i="1"/>
  <c r="C548" i="1"/>
  <c r="M548" i="1" s="1" a="1"/>
  <c r="M548" i="1" s="1"/>
  <c r="G549" i="1"/>
  <c r="C549" i="1"/>
  <c r="M549" i="1" s="1" a="1"/>
  <c r="M549" i="1" s="1"/>
  <c r="G550" i="1"/>
  <c r="C550" i="1"/>
  <c r="M550" i="1" s="1" a="1"/>
  <c r="M550" i="1" s="1"/>
  <c r="G551" i="1"/>
  <c r="C551" i="1"/>
  <c r="M551" i="1" s="1" a="1"/>
  <c r="M551" i="1" s="1"/>
  <c r="G552" i="1"/>
  <c r="C552" i="1"/>
  <c r="M552" i="1" s="1" a="1"/>
  <c r="M552" i="1" s="1"/>
  <c r="G553" i="1"/>
  <c r="C553" i="1"/>
  <c r="M553" i="1" s="1" a="1"/>
  <c r="M553" i="1" s="1"/>
  <c r="C554" i="1"/>
  <c r="M554" i="1" s="1" a="1"/>
  <c r="M554" i="1" s="1"/>
  <c r="G554" i="1"/>
  <c r="G555" i="1"/>
  <c r="C555" i="1"/>
  <c r="M555" i="1" s="1" a="1"/>
  <c r="M555" i="1" s="1"/>
  <c r="C556" i="1"/>
  <c r="M556" i="1" s="1" a="1"/>
  <c r="M556" i="1" s="1"/>
  <c r="G556" i="1"/>
  <c r="C557" i="1"/>
  <c r="M557" i="1" s="1" a="1"/>
  <c r="M557" i="1" s="1"/>
  <c r="G557" i="1"/>
  <c r="G558" i="1"/>
  <c r="C558" i="1"/>
  <c r="M558" i="1" s="1" a="1"/>
  <c r="M558" i="1" s="1"/>
  <c r="C559" i="1"/>
  <c r="M559" i="1" s="1" a="1"/>
  <c r="M559" i="1" s="1"/>
  <c r="G559" i="1"/>
  <c r="C560" i="1"/>
  <c r="M560" i="1" s="1" a="1"/>
  <c r="M560" i="1" s="1"/>
  <c r="G560" i="1"/>
  <c r="C561" i="1"/>
  <c r="M561" i="1" s="1" a="1"/>
  <c r="M561" i="1" s="1"/>
  <c r="G561" i="1"/>
  <c r="G562" i="1"/>
  <c r="C562" i="1"/>
  <c r="M562" i="1" s="1" a="1"/>
  <c r="M562" i="1" s="1"/>
  <c r="C563" i="1"/>
  <c r="M563" i="1" s="1" a="1"/>
  <c r="M563" i="1" s="1"/>
  <c r="G563" i="1"/>
  <c r="C564" i="1"/>
  <c r="M564" i="1" s="1" a="1"/>
  <c r="M564" i="1" s="1"/>
  <c r="G564" i="1"/>
  <c r="C565" i="1"/>
  <c r="M565" i="1" s="1" a="1"/>
  <c r="M565" i="1" s="1"/>
  <c r="G565" i="1"/>
  <c r="G566" i="1"/>
  <c r="C566" i="1"/>
  <c r="M566" i="1" s="1" a="1"/>
  <c r="M566" i="1" s="1"/>
  <c r="G567" i="1"/>
  <c r="C567" i="1"/>
  <c r="M567" i="1" s="1" a="1"/>
  <c r="M567" i="1" s="1"/>
  <c r="C568" i="1"/>
  <c r="M568" i="1" s="1" a="1"/>
  <c r="M568" i="1" s="1"/>
  <c r="G568" i="1"/>
  <c r="G569" i="1"/>
  <c r="C569" i="1"/>
  <c r="M569" i="1" s="1" a="1"/>
  <c r="M569" i="1" s="1"/>
  <c r="G570" i="1"/>
  <c r="C570" i="1"/>
  <c r="M570" i="1" s="1" a="1"/>
  <c r="M570" i="1" s="1"/>
  <c r="C571" i="1"/>
  <c r="M571" i="1" s="1" a="1"/>
  <c r="M571" i="1" s="1"/>
  <c r="G571" i="1"/>
  <c r="C572" i="1"/>
  <c r="M572" i="1" s="1" a="1"/>
  <c r="M572" i="1" s="1"/>
  <c r="G572" i="1"/>
  <c r="C573" i="1"/>
  <c r="M573" i="1" s="1" a="1"/>
  <c r="M573" i="1" s="1"/>
  <c r="G573" i="1"/>
  <c r="G574" i="1"/>
  <c r="C574" i="1"/>
  <c r="M574" i="1" s="1" a="1"/>
  <c r="M574" i="1" s="1"/>
  <c r="G575" i="1"/>
  <c r="C575" i="1"/>
  <c r="M575" i="1" s="1" a="1"/>
  <c r="M575" i="1" s="1"/>
  <c r="G576" i="1"/>
  <c r="C576" i="1"/>
  <c r="M576" i="1" s="1" a="1"/>
  <c r="M576" i="1" s="1"/>
  <c r="C577" i="1"/>
  <c r="M577" i="1" s="1" a="1"/>
  <c r="M577" i="1" s="1"/>
  <c r="G577" i="1"/>
  <c r="G578" i="1"/>
  <c r="C578" i="1"/>
  <c r="M578" i="1" s="1" a="1"/>
  <c r="M578" i="1" s="1"/>
  <c r="G579" i="1"/>
  <c r="C579" i="1"/>
  <c r="M579" i="1" s="1" a="1"/>
  <c r="M579" i="1" s="1"/>
  <c r="G580" i="1"/>
  <c r="C580" i="1"/>
  <c r="M580" i="1" s="1" a="1"/>
  <c r="M580" i="1" s="1"/>
  <c r="G581" i="1"/>
  <c r="C581" i="1"/>
  <c r="M581" i="1" s="1" a="1"/>
  <c r="M581" i="1" s="1"/>
  <c r="C582" i="1"/>
  <c r="M582" i="1" s="1" a="1"/>
  <c r="M582" i="1" s="1"/>
  <c r="G582" i="1"/>
  <c r="G583" i="1"/>
  <c r="C583" i="1"/>
  <c r="M583" i="1" s="1" a="1"/>
  <c r="M583" i="1" s="1"/>
  <c r="C584" i="1"/>
  <c r="M584" i="1" s="1" a="1"/>
  <c r="M584" i="1" s="1"/>
  <c r="G584" i="1"/>
  <c r="G585" i="1"/>
  <c r="C585" i="1"/>
  <c r="M585" i="1" s="1" a="1"/>
  <c r="M585" i="1" s="1"/>
  <c r="G586" i="1"/>
  <c r="C586" i="1"/>
  <c r="M586" i="1" s="1" a="1"/>
  <c r="M586" i="1" s="1"/>
  <c r="C587" i="1"/>
  <c r="M587" i="1" s="1" a="1"/>
  <c r="M587" i="1" s="1"/>
  <c r="G587" i="1"/>
  <c r="G588" i="1"/>
  <c r="C588" i="1"/>
  <c r="M588" i="1" s="1" a="1"/>
  <c r="M588" i="1" s="1"/>
  <c r="G589" i="1"/>
  <c r="C589" i="1"/>
  <c r="M589" i="1" s="1" a="1"/>
  <c r="M589" i="1" s="1"/>
  <c r="G590" i="1"/>
  <c r="C590" i="1"/>
  <c r="M590" i="1" s="1" a="1"/>
  <c r="M590" i="1" s="1"/>
  <c r="G591" i="1"/>
  <c r="C591" i="1"/>
  <c r="M591" i="1" s="1" a="1"/>
  <c r="M591" i="1" s="1"/>
  <c r="G592" i="1"/>
  <c r="C592" i="1"/>
  <c r="M592" i="1" s="1" a="1"/>
  <c r="M592" i="1" s="1"/>
  <c r="G593" i="1"/>
  <c r="C593" i="1"/>
  <c r="M593" i="1" s="1" a="1"/>
  <c r="M593" i="1" s="1"/>
  <c r="G594" i="1"/>
  <c r="C594" i="1"/>
  <c r="M594" i="1" s="1" a="1"/>
  <c r="M594" i="1" s="1"/>
  <c r="G595" i="1"/>
  <c r="C595" i="1"/>
  <c r="M595" i="1" s="1" a="1"/>
  <c r="M595" i="1" s="1"/>
  <c r="C596" i="1"/>
  <c r="M596" i="1" s="1" a="1"/>
  <c r="M596" i="1" s="1"/>
  <c r="G596" i="1"/>
  <c r="G597" i="1"/>
  <c r="C597" i="1"/>
  <c r="M597" i="1" s="1" a="1"/>
  <c r="M597" i="1" s="1"/>
  <c r="G598" i="1"/>
  <c r="C598" i="1"/>
  <c r="M598" i="1" s="1" a="1"/>
  <c r="M598" i="1" s="1"/>
  <c r="G599" i="1"/>
  <c r="C599" i="1"/>
  <c r="M599" i="1" s="1" a="1"/>
  <c r="M599" i="1" s="1"/>
  <c r="G600" i="1"/>
  <c r="C600" i="1"/>
  <c r="M600" i="1" s="1" a="1"/>
  <c r="M600" i="1" s="1"/>
  <c r="C601" i="1"/>
  <c r="M601" i="1" s="1" a="1"/>
  <c r="M601" i="1" s="1"/>
  <c r="G601" i="1"/>
  <c r="C602" i="1"/>
  <c r="M602" i="1" s="1" a="1"/>
  <c r="M602" i="1" s="1"/>
  <c r="G602" i="1"/>
  <c r="C603" i="1"/>
  <c r="M603" i="1" s="1" a="1"/>
  <c r="M603" i="1" s="1"/>
  <c r="G603" i="1"/>
  <c r="G604" i="1"/>
  <c r="C604" i="1"/>
  <c r="M604" i="1" s="1" a="1"/>
  <c r="M604" i="1" s="1"/>
  <c r="C605" i="1"/>
  <c r="M605" i="1" s="1" a="1"/>
  <c r="M605" i="1" s="1"/>
  <c r="G605" i="1"/>
  <c r="C606" i="1"/>
  <c r="M606" i="1" s="1" a="1"/>
  <c r="M606" i="1" s="1"/>
  <c r="G606" i="1"/>
  <c r="C607" i="1"/>
  <c r="M607" i="1" s="1" a="1"/>
  <c r="M607" i="1" s="1"/>
  <c r="G607" i="1"/>
  <c r="C608" i="1"/>
  <c r="M608" i="1" s="1" a="1"/>
  <c r="M608" i="1" s="1"/>
  <c r="G608" i="1"/>
  <c r="C609" i="1"/>
  <c r="M609" i="1" s="1" a="1"/>
  <c r="M609" i="1" s="1"/>
  <c r="G609" i="1"/>
  <c r="G610" i="1"/>
  <c r="C610" i="1"/>
  <c r="M610" i="1" s="1" a="1"/>
  <c r="M610" i="1" s="1"/>
  <c r="G611" i="1"/>
  <c r="C611" i="1"/>
  <c r="M611" i="1" s="1" a="1"/>
  <c r="M611" i="1" s="1"/>
  <c r="G612" i="1"/>
  <c r="C612" i="1"/>
  <c r="M612" i="1" s="1" a="1"/>
  <c r="M612" i="1" s="1"/>
  <c r="G613" i="1"/>
  <c r="C613" i="1"/>
  <c r="M613" i="1" s="1" a="1"/>
  <c r="M613" i="1" s="1"/>
  <c r="C614" i="1"/>
  <c r="M614" i="1" s="1" a="1"/>
  <c r="M614" i="1" s="1"/>
  <c r="G614" i="1"/>
  <c r="C615" i="1"/>
  <c r="M615" i="1" s="1" a="1"/>
  <c r="M615" i="1" s="1"/>
  <c r="G615" i="1"/>
  <c r="G616" i="1"/>
  <c r="C616" i="1"/>
  <c r="M616" i="1" s="1" a="1"/>
  <c r="M616" i="1" s="1"/>
  <c r="G617" i="1"/>
  <c r="C617" i="1"/>
  <c r="M617" i="1" s="1" a="1"/>
  <c r="M617" i="1" s="1"/>
  <c r="G618" i="1"/>
  <c r="C618" i="1"/>
  <c r="M618" i="1" s="1" a="1"/>
  <c r="M618" i="1" s="1"/>
  <c r="G619" i="1"/>
  <c r="C619" i="1"/>
  <c r="M619" i="1" s="1" a="1"/>
  <c r="M619" i="1" s="1"/>
  <c r="G620" i="1"/>
  <c r="C620" i="1"/>
  <c r="M620" i="1" s="1" a="1"/>
  <c r="M620" i="1" s="1"/>
  <c r="C621" i="1"/>
  <c r="M621" i="1" s="1" a="1"/>
  <c r="M621" i="1" s="1"/>
  <c r="G621" i="1"/>
  <c r="C622" i="1"/>
  <c r="M622" i="1" s="1" a="1"/>
  <c r="M622" i="1" s="1"/>
  <c r="G622" i="1"/>
  <c r="C623" i="1"/>
  <c r="M623" i="1" s="1" a="1"/>
  <c r="M623" i="1" s="1"/>
  <c r="G623" i="1"/>
  <c r="C624" i="1"/>
  <c r="M624" i="1" s="1" a="1"/>
  <c r="M624" i="1" s="1"/>
  <c r="G624" i="1"/>
  <c r="C625" i="1"/>
  <c r="M625" i="1" s="1" a="1"/>
  <c r="M625" i="1" s="1"/>
  <c r="G625" i="1"/>
  <c r="G626" i="1"/>
  <c r="C626" i="1"/>
  <c r="M626" i="1" s="1" a="1"/>
  <c r="M626" i="1" s="1"/>
  <c r="C627" i="1"/>
  <c r="M627" i="1" s="1" a="1"/>
  <c r="M627" i="1" s="1"/>
  <c r="G627" i="1"/>
  <c r="G628" i="1"/>
  <c r="C628" i="1"/>
  <c r="M628" i="1" s="1" a="1"/>
  <c r="M628" i="1" s="1"/>
  <c r="C629" i="1"/>
  <c r="M629" i="1" s="1" a="1"/>
  <c r="M629" i="1" s="1"/>
  <c r="G629" i="1"/>
  <c r="C630" i="1"/>
  <c r="M630" i="1" s="1" a="1"/>
  <c r="M630" i="1" s="1"/>
  <c r="G630" i="1"/>
  <c r="C631" i="1"/>
  <c r="M631" i="1" s="1" a="1"/>
  <c r="M631" i="1" s="1"/>
  <c r="G631" i="1"/>
  <c r="C632" i="1"/>
  <c r="M632" i="1" s="1" a="1"/>
  <c r="M632" i="1" s="1"/>
  <c r="G632" i="1"/>
  <c r="G633" i="1"/>
  <c r="C633" i="1"/>
  <c r="M633" i="1" s="1" a="1"/>
  <c r="M633" i="1" s="1"/>
  <c r="G634" i="1"/>
  <c r="C634" i="1"/>
  <c r="M634" i="1" s="1" a="1"/>
  <c r="M634" i="1" s="1"/>
  <c r="G635" i="1"/>
  <c r="C635" i="1"/>
  <c r="M635" i="1" s="1" a="1"/>
  <c r="M635" i="1" s="1"/>
  <c r="G636" i="1"/>
  <c r="C636" i="1"/>
  <c r="M636" i="1" s="1" a="1"/>
  <c r="M636" i="1" s="1"/>
  <c r="G637" i="1"/>
  <c r="C637" i="1"/>
  <c r="M637" i="1" s="1" a="1"/>
  <c r="M637" i="1" s="1"/>
  <c r="G638" i="1"/>
  <c r="C638" i="1"/>
  <c r="M638" i="1" s="1" a="1"/>
  <c r="M638" i="1" s="1"/>
  <c r="G639" i="1"/>
  <c r="C639" i="1"/>
  <c r="M639" i="1" s="1" a="1"/>
  <c r="M639" i="1" s="1"/>
  <c r="G640" i="1"/>
  <c r="C640" i="1"/>
  <c r="M640" i="1" s="1" a="1"/>
  <c r="M640" i="1" s="1"/>
  <c r="G641" i="1"/>
  <c r="C641" i="1"/>
  <c r="M641" i="1" s="1" a="1"/>
  <c r="M641" i="1" s="1"/>
  <c r="C642" i="1"/>
  <c r="M642" i="1" s="1" a="1"/>
  <c r="M642" i="1" s="1"/>
  <c r="G642" i="1"/>
  <c r="G643" i="1"/>
  <c r="C643" i="1"/>
  <c r="M643" i="1" s="1" a="1"/>
  <c r="M643" i="1" s="1"/>
  <c r="C644" i="1"/>
  <c r="M644" i="1" s="1" a="1"/>
  <c r="M644" i="1" s="1"/>
  <c r="G644" i="1"/>
  <c r="C645" i="1"/>
  <c r="M645" i="1" s="1" a="1"/>
  <c r="M645" i="1" s="1"/>
  <c r="G645" i="1"/>
  <c r="C646" i="1"/>
  <c r="M646" i="1" s="1" a="1"/>
  <c r="M646" i="1" s="1"/>
  <c r="G646" i="1"/>
  <c r="C647" i="1"/>
  <c r="M647" i="1" s="1" a="1"/>
  <c r="M647" i="1" s="1"/>
  <c r="G647" i="1"/>
  <c r="C648" i="1"/>
  <c r="M648" i="1" s="1" a="1"/>
  <c r="M648" i="1" s="1"/>
  <c r="G648" i="1"/>
  <c r="G649" i="1"/>
  <c r="C649" i="1"/>
  <c r="M649" i="1" s="1" a="1"/>
  <c r="M649" i="1" s="1"/>
  <c r="G650" i="1"/>
  <c r="C650" i="1"/>
  <c r="M650" i="1" s="1" a="1"/>
  <c r="M650" i="1" s="1"/>
  <c r="C651" i="1"/>
  <c r="M651" i="1" s="1" a="1"/>
  <c r="M651" i="1" s="1"/>
  <c r="G651" i="1"/>
  <c r="G652" i="1"/>
  <c r="C652" i="1"/>
  <c r="M652" i="1" s="1" a="1"/>
  <c r="M652" i="1" s="1"/>
  <c r="C653" i="1"/>
  <c r="M653" i="1" s="1" a="1"/>
  <c r="M653" i="1" s="1"/>
  <c r="G653" i="1"/>
  <c r="G654" i="1"/>
  <c r="C654" i="1"/>
  <c r="M654" i="1" s="1" a="1"/>
  <c r="M654" i="1" s="1"/>
  <c r="C655" i="1"/>
  <c r="M655" i="1" s="1" a="1"/>
  <c r="M655" i="1" s="1"/>
  <c r="G655" i="1"/>
  <c r="C656" i="1"/>
  <c r="M656" i="1" s="1" a="1"/>
  <c r="M656" i="1" s="1"/>
  <c r="G656" i="1"/>
  <c r="C657" i="1"/>
  <c r="M657" i="1" s="1" a="1"/>
  <c r="M657" i="1" s="1"/>
  <c r="G657" i="1"/>
  <c r="G658" i="1"/>
  <c r="C658" i="1"/>
  <c r="M658" i="1" s="1" a="1"/>
  <c r="M658" i="1" s="1"/>
  <c r="C659" i="1"/>
  <c r="M659" i="1" s="1" a="1"/>
  <c r="M659" i="1" s="1"/>
  <c r="G659" i="1"/>
  <c r="C660" i="1"/>
  <c r="M660" i="1" s="1" a="1"/>
  <c r="M660" i="1" s="1"/>
  <c r="G660" i="1"/>
  <c r="C661" i="1"/>
  <c r="M661" i="1" s="1" a="1"/>
  <c r="M661" i="1" s="1"/>
  <c r="G661" i="1"/>
  <c r="C662" i="1"/>
  <c r="M662" i="1" s="1" a="1"/>
  <c r="M662" i="1" s="1"/>
  <c r="G662" i="1"/>
  <c r="G663" i="1"/>
  <c r="C663" i="1"/>
  <c r="M663" i="1" s="1" a="1"/>
  <c r="M663" i="1" s="1"/>
  <c r="G664" i="1"/>
  <c r="C664" i="1"/>
  <c r="M664" i="1" s="1" a="1"/>
  <c r="M664" i="1" s="1"/>
  <c r="C665" i="1"/>
  <c r="M665" i="1" s="1" a="1"/>
  <c r="M665" i="1" s="1"/>
  <c r="G665" i="1"/>
  <c r="G666" i="1"/>
  <c r="C666" i="1"/>
  <c r="M666" i="1" s="1" a="1"/>
  <c r="M666" i="1" s="1"/>
  <c r="G667" i="1"/>
  <c r="C667" i="1"/>
  <c r="M667" i="1" s="1" a="1"/>
  <c r="M667" i="1" s="1"/>
  <c r="G668" i="1"/>
  <c r="C668" i="1"/>
  <c r="M668" i="1" s="1" a="1"/>
  <c r="M668" i="1" s="1"/>
  <c r="C669" i="1"/>
  <c r="M669" i="1" s="1" a="1"/>
  <c r="M669" i="1" s="1"/>
  <c r="G669" i="1"/>
  <c r="G670" i="1"/>
  <c r="C670" i="1"/>
  <c r="M670" i="1" s="1" a="1"/>
  <c r="M670" i="1" s="1"/>
  <c r="G671" i="1"/>
  <c r="C671" i="1"/>
  <c r="M671" i="1" s="1" a="1"/>
  <c r="M671" i="1" s="1"/>
  <c r="C672" i="1"/>
  <c r="M672" i="1" s="1" a="1"/>
  <c r="M672" i="1" s="1"/>
  <c r="G672" i="1"/>
  <c r="G673" i="1"/>
  <c r="C673" i="1"/>
  <c r="M673" i="1" s="1" a="1"/>
  <c r="M673" i="1" s="1"/>
  <c r="G674" i="1"/>
  <c r="C674" i="1"/>
  <c r="M674" i="1" s="1" a="1"/>
  <c r="M674" i="1" s="1"/>
  <c r="C675" i="1"/>
  <c r="M675" i="1" s="1" a="1"/>
  <c r="M675" i="1" s="1"/>
  <c r="G675" i="1"/>
  <c r="C676" i="1"/>
  <c r="M676" i="1" s="1" a="1"/>
  <c r="M676" i="1" s="1"/>
  <c r="G676" i="1"/>
  <c r="G677" i="1"/>
  <c r="C677" i="1"/>
  <c r="M677" i="1" s="1" a="1"/>
  <c r="M677" i="1" s="1"/>
  <c r="C678" i="1"/>
  <c r="M678" i="1" s="1" a="1"/>
  <c r="M678" i="1" s="1"/>
  <c r="G678" i="1"/>
  <c r="G679" i="1"/>
  <c r="C679" i="1"/>
  <c r="M679" i="1" s="1" a="1"/>
  <c r="M679" i="1" s="1"/>
  <c r="C680" i="1"/>
  <c r="M680" i="1" s="1" a="1"/>
  <c r="M680" i="1" s="1"/>
  <c r="G680" i="1"/>
  <c r="C681" i="1"/>
  <c r="M681" i="1" s="1" a="1"/>
  <c r="M681" i="1" s="1"/>
  <c r="G681" i="1"/>
  <c r="G682" i="1"/>
  <c r="C682" i="1"/>
  <c r="M682" i="1" s="1" a="1"/>
  <c r="M682" i="1" s="1"/>
  <c r="G683" i="1"/>
  <c r="C683" i="1"/>
  <c r="M683" i="1" s="1" a="1"/>
  <c r="M683" i="1" s="1"/>
  <c r="C684" i="1"/>
  <c r="M684" i="1" s="1" a="1"/>
  <c r="M684" i="1" s="1"/>
  <c r="G684" i="1"/>
  <c r="C685" i="1"/>
  <c r="M685" i="1" s="1" a="1"/>
  <c r="M685" i="1" s="1"/>
  <c r="G685" i="1"/>
  <c r="C686" i="1"/>
  <c r="M686" i="1" s="1" a="1"/>
  <c r="M686" i="1" s="1"/>
  <c r="G686" i="1"/>
  <c r="G687" i="1"/>
  <c r="C687" i="1"/>
  <c r="M687" i="1" s="1" a="1"/>
  <c r="M687" i="1" s="1"/>
  <c r="G688" i="1"/>
  <c r="C688" i="1"/>
  <c r="M688" i="1" s="1" a="1"/>
  <c r="M688" i="1" s="1"/>
  <c r="G689" i="1"/>
  <c r="C689" i="1"/>
  <c r="M689" i="1" s="1" a="1"/>
  <c r="M689" i="1" s="1"/>
  <c r="C690" i="1"/>
  <c r="M690" i="1" s="1" a="1"/>
  <c r="M690" i="1" s="1"/>
  <c r="G690" i="1"/>
  <c r="G691" i="1"/>
  <c r="C691" i="1"/>
  <c r="M691" i="1" s="1" a="1"/>
  <c r="M691" i="1" s="1"/>
  <c r="C692" i="1"/>
  <c r="M692" i="1" s="1" a="1"/>
  <c r="M692" i="1" s="1"/>
  <c r="G692" i="1"/>
  <c r="C693" i="1"/>
  <c r="M693" i="1" s="1" a="1"/>
  <c r="M693" i="1" s="1"/>
  <c r="G693" i="1"/>
  <c r="C694" i="1"/>
  <c r="M694" i="1" s="1" a="1"/>
  <c r="M694" i="1" s="1"/>
  <c r="G694" i="1"/>
  <c r="C695" i="1"/>
  <c r="M695" i="1" s="1" a="1"/>
  <c r="M695" i="1" s="1"/>
  <c r="G695" i="1"/>
  <c r="C696" i="1"/>
  <c r="M696" i="1" s="1" a="1"/>
  <c r="M696" i="1" s="1"/>
  <c r="G696" i="1"/>
  <c r="G697" i="1"/>
  <c r="C697" i="1"/>
  <c r="M697" i="1" s="1" a="1"/>
  <c r="M697" i="1" s="1"/>
  <c r="G698" i="1"/>
  <c r="C698" i="1"/>
  <c r="M698" i="1" s="1" a="1"/>
  <c r="M698" i="1" s="1"/>
  <c r="G699" i="1"/>
  <c r="C699" i="1"/>
  <c r="M699" i="1" s="1" a="1"/>
  <c r="M699" i="1" s="1"/>
  <c r="C700" i="1"/>
  <c r="M700" i="1" s="1" a="1"/>
  <c r="M700" i="1" s="1"/>
  <c r="G700" i="1"/>
  <c r="C701" i="1"/>
  <c r="M701" i="1" s="1" a="1"/>
  <c r="M701" i="1" s="1"/>
  <c r="G701" i="1"/>
  <c r="C702" i="1"/>
  <c r="M702" i="1" s="1" a="1"/>
  <c r="M702" i="1" s="1"/>
  <c r="G702" i="1"/>
  <c r="C703" i="1"/>
  <c r="M703" i="1" s="1" a="1"/>
  <c r="M703" i="1" s="1"/>
  <c r="G703" i="1"/>
  <c r="C704" i="1"/>
  <c r="M704" i="1" s="1" a="1"/>
  <c r="M704" i="1" s="1"/>
  <c r="G704" i="1"/>
  <c r="C705" i="1"/>
  <c r="M705" i="1" s="1" a="1"/>
  <c r="M705" i="1" s="1"/>
  <c r="G705" i="1"/>
  <c r="G706" i="1"/>
  <c r="C706" i="1"/>
  <c r="M706" i="1" s="1" a="1"/>
  <c r="M706" i="1" s="1"/>
  <c r="G707" i="1"/>
  <c r="C707" i="1"/>
  <c r="M707" i="1" s="1" a="1"/>
  <c r="M707" i="1" s="1"/>
  <c r="C708" i="1"/>
  <c r="M708" i="1" s="1" a="1"/>
  <c r="M708" i="1" s="1"/>
  <c r="G708" i="1"/>
  <c r="C709" i="1"/>
  <c r="M709" i="1" s="1" a="1"/>
  <c r="M709" i="1" s="1"/>
  <c r="G709" i="1"/>
  <c r="C710" i="1"/>
  <c r="M710" i="1" s="1" a="1"/>
  <c r="M710" i="1" s="1"/>
  <c r="G710" i="1"/>
  <c r="C711" i="1"/>
  <c r="M711" i="1" s="1" a="1"/>
  <c r="M711" i="1" s="1"/>
  <c r="G711" i="1"/>
  <c r="C712" i="1"/>
  <c r="M712" i="1" s="1" a="1"/>
  <c r="M712" i="1" s="1"/>
  <c r="G712" i="1"/>
  <c r="C713" i="1"/>
  <c r="M713" i="1" s="1" a="1"/>
  <c r="M713" i="1" s="1"/>
  <c r="G713" i="1"/>
  <c r="C714" i="1"/>
  <c r="M714" i="1" s="1" a="1"/>
  <c r="M714" i="1" s="1"/>
  <c r="G714" i="1"/>
  <c r="G715" i="1"/>
  <c r="C715" i="1"/>
  <c r="M715" i="1" s="1" a="1"/>
  <c r="M715" i="1" s="1"/>
  <c r="C716" i="1"/>
  <c r="M716" i="1" s="1" a="1"/>
  <c r="M716" i="1" s="1"/>
  <c r="G716" i="1"/>
  <c r="C717" i="1"/>
  <c r="M717" i="1" s="1" a="1"/>
  <c r="M717" i="1" s="1"/>
  <c r="G717" i="1"/>
  <c r="G718" i="1"/>
  <c r="C718" i="1"/>
  <c r="M718" i="1" s="1" a="1"/>
  <c r="M718" i="1" s="1"/>
  <c r="G719" i="1"/>
  <c r="C719" i="1"/>
  <c r="M719" i="1" s="1" a="1"/>
  <c r="M719" i="1" s="1"/>
  <c r="G720" i="1"/>
  <c r="C720" i="1"/>
  <c r="M720" i="1" s="1" a="1"/>
  <c r="M720" i="1" s="1"/>
  <c r="G721" i="1"/>
  <c r="C721" i="1"/>
  <c r="M721" i="1" s="1" a="1"/>
  <c r="M721" i="1" s="1"/>
  <c r="C722" i="1"/>
  <c r="M722" i="1" s="1" a="1"/>
  <c r="M722" i="1" s="1"/>
  <c r="G722" i="1"/>
  <c r="C723" i="1"/>
  <c r="M723" i="1" s="1" a="1"/>
  <c r="M723" i="1" s="1"/>
  <c r="G723" i="1"/>
  <c r="G724" i="1"/>
  <c r="C724" i="1"/>
  <c r="M724" i="1" s="1" a="1"/>
  <c r="M724" i="1" s="1"/>
  <c r="C725" i="1"/>
  <c r="M725" i="1" s="1" a="1"/>
  <c r="M725" i="1" s="1"/>
  <c r="G725" i="1"/>
  <c r="G726" i="1"/>
  <c r="C726" i="1"/>
  <c r="M726" i="1" s="1" a="1"/>
  <c r="M726" i="1" s="1"/>
  <c r="C727" i="1"/>
  <c r="M727" i="1" s="1" a="1"/>
  <c r="M727" i="1" s="1"/>
  <c r="G727" i="1"/>
  <c r="G728" i="1"/>
  <c r="C728" i="1"/>
  <c r="M728" i="1" s="1" a="1"/>
  <c r="M728" i="1" s="1"/>
  <c r="C729" i="1"/>
  <c r="M729" i="1" s="1" a="1"/>
  <c r="M729" i="1" s="1"/>
  <c r="G729" i="1"/>
  <c r="C730" i="1"/>
  <c r="M730" i="1" s="1" a="1"/>
  <c r="M730" i="1" s="1"/>
  <c r="G730" i="1"/>
  <c r="G731" i="1"/>
  <c r="C731" i="1"/>
  <c r="M731" i="1" s="1" a="1"/>
  <c r="M731" i="1" s="1"/>
  <c r="C732" i="1"/>
  <c r="M732" i="1" s="1" a="1"/>
  <c r="M732" i="1" s="1"/>
  <c r="G732" i="1"/>
  <c r="C733" i="1"/>
  <c r="M733" i="1" s="1" a="1"/>
  <c r="M733" i="1" s="1"/>
  <c r="G733" i="1"/>
  <c r="C734" i="1"/>
  <c r="M734" i="1" s="1" a="1"/>
  <c r="M734" i="1" s="1"/>
  <c r="G734" i="1"/>
  <c r="C735" i="1"/>
  <c r="M735" i="1" s="1" a="1"/>
  <c r="M735" i="1" s="1"/>
  <c r="G735" i="1"/>
  <c r="C736" i="1"/>
  <c r="M736" i="1" s="1" a="1"/>
  <c r="M736" i="1" s="1"/>
  <c r="G736" i="1"/>
  <c r="C737" i="1"/>
  <c r="M737" i="1" s="1" a="1"/>
  <c r="M737" i="1" s="1"/>
  <c r="G737" i="1"/>
  <c r="C738" i="1"/>
  <c r="M738" i="1" s="1" a="1"/>
  <c r="M738" i="1" s="1"/>
  <c r="G738" i="1"/>
  <c r="C739" i="1"/>
  <c r="M739" i="1" s="1" a="1"/>
  <c r="M739" i="1" s="1"/>
  <c r="G739" i="1"/>
  <c r="C740" i="1"/>
  <c r="M740" i="1" s="1" a="1"/>
  <c r="M740" i="1" s="1"/>
  <c r="G740" i="1"/>
  <c r="C741" i="1"/>
  <c r="M741" i="1" s="1" a="1"/>
  <c r="M741" i="1" s="1"/>
  <c r="G741" i="1"/>
  <c r="C742" i="1"/>
  <c r="M742" i="1" s="1" a="1"/>
  <c r="M742" i="1" s="1"/>
  <c r="G742" i="1"/>
  <c r="C743" i="1"/>
  <c r="M743" i="1" s="1" a="1"/>
  <c r="M743" i="1" s="1"/>
  <c r="G743" i="1"/>
  <c r="G744" i="1"/>
  <c r="C744" i="1"/>
  <c r="M744" i="1" s="1" a="1"/>
  <c r="M744" i="1" s="1"/>
  <c r="C745" i="1"/>
  <c r="M745" i="1" s="1" a="1"/>
  <c r="M745" i="1" s="1"/>
  <c r="G745" i="1"/>
  <c r="G746" i="1"/>
  <c r="C746" i="1"/>
  <c r="M746" i="1" s="1" a="1"/>
  <c r="M746" i="1" s="1"/>
  <c r="C747" i="1"/>
  <c r="M747" i="1" s="1" a="1"/>
  <c r="M747" i="1" s="1"/>
  <c r="G747" i="1"/>
  <c r="C748" i="1"/>
  <c r="M748" i="1" s="1" a="1"/>
  <c r="M748" i="1" s="1"/>
  <c r="G748" i="1"/>
  <c r="G749" i="1"/>
  <c r="C749" i="1"/>
  <c r="M749" i="1" s="1" a="1"/>
  <c r="M749" i="1" s="1"/>
  <c r="C750" i="1"/>
  <c r="M750" i="1" s="1" a="1"/>
  <c r="M750" i="1" s="1"/>
  <c r="G750" i="1"/>
  <c r="G751" i="1"/>
  <c r="C751" i="1"/>
  <c r="M751" i="1" s="1" a="1"/>
  <c r="M751" i="1" s="1"/>
  <c r="G752" i="1"/>
  <c r="C752" i="1"/>
  <c r="M752" i="1" s="1" a="1"/>
  <c r="M752" i="1" s="1"/>
  <c r="G753" i="1"/>
  <c r="C753" i="1"/>
  <c r="M753" i="1" s="1" a="1"/>
  <c r="M753" i="1" s="1"/>
  <c r="C754" i="1"/>
  <c r="M754" i="1" s="1" a="1"/>
  <c r="M754" i="1" s="1"/>
  <c r="G754" i="1"/>
  <c r="C755" i="1"/>
  <c r="M755" i="1" s="1" a="1"/>
  <c r="M755" i="1" s="1"/>
  <c r="G755" i="1"/>
  <c r="G756" i="1"/>
  <c r="C756" i="1"/>
  <c r="M756" i="1" s="1" a="1"/>
  <c r="M756" i="1" s="1"/>
  <c r="G757" i="1"/>
  <c r="C757" i="1"/>
  <c r="M757" i="1" s="1" a="1"/>
  <c r="M757" i="1" s="1"/>
  <c r="G758" i="1"/>
  <c r="C758" i="1"/>
  <c r="M758" i="1" s="1" a="1"/>
  <c r="M758" i="1" s="1"/>
  <c r="G759" i="1"/>
  <c r="C759" i="1"/>
  <c r="M759" i="1" s="1" a="1"/>
  <c r="M759" i="1" s="1"/>
  <c r="C760" i="1"/>
  <c r="M760" i="1" s="1" a="1"/>
  <c r="M760" i="1" s="1"/>
  <c r="G760" i="1"/>
  <c r="G761" i="1"/>
  <c r="C761" i="1"/>
  <c r="M761" i="1" s="1" a="1"/>
  <c r="M761" i="1" s="1"/>
  <c r="C762" i="1"/>
  <c r="M762" i="1" s="1" a="1"/>
  <c r="M762" i="1" s="1"/>
  <c r="G762" i="1"/>
  <c r="C763" i="1"/>
  <c r="M763" i="1" s="1" a="1"/>
  <c r="M763" i="1" s="1"/>
  <c r="G763" i="1"/>
  <c r="G764" i="1"/>
  <c r="C764" i="1"/>
  <c r="M764" i="1" s="1" a="1"/>
  <c r="M764" i="1" s="1"/>
  <c r="G765" i="1"/>
  <c r="C765" i="1"/>
  <c r="M765" i="1" s="1" a="1"/>
  <c r="M765" i="1" s="1"/>
  <c r="G766" i="1"/>
  <c r="C766" i="1"/>
  <c r="M766" i="1" s="1" a="1"/>
  <c r="M766" i="1" s="1"/>
  <c r="C767" i="1"/>
  <c r="M767" i="1" s="1" a="1"/>
  <c r="M767" i="1" s="1"/>
  <c r="G767" i="1"/>
  <c r="G768" i="1"/>
  <c r="C768" i="1"/>
  <c r="M768" i="1" s="1" a="1"/>
  <c r="M768" i="1" s="1"/>
  <c r="C769" i="1"/>
  <c r="M769" i="1" s="1" a="1"/>
  <c r="M769" i="1" s="1"/>
  <c r="G769" i="1"/>
  <c r="C770" i="1"/>
  <c r="M770" i="1" s="1" a="1"/>
  <c r="M770" i="1" s="1"/>
  <c r="G770" i="1"/>
  <c r="C771" i="1"/>
  <c r="M771" i="1" s="1" a="1"/>
  <c r="M771" i="1" s="1"/>
  <c r="G771" i="1"/>
  <c r="C772" i="1"/>
  <c r="M772" i="1" s="1" a="1"/>
  <c r="M772" i="1" s="1"/>
  <c r="G772" i="1"/>
  <c r="C773" i="1"/>
  <c r="M773" i="1" s="1" a="1"/>
  <c r="M773" i="1" s="1"/>
  <c r="G773" i="1"/>
  <c r="G774" i="1"/>
  <c r="C774" i="1"/>
  <c r="M774" i="1" s="1" a="1"/>
  <c r="M774" i="1" s="1"/>
  <c r="G775" i="1"/>
  <c r="C775" i="1"/>
  <c r="M775" i="1" s="1" a="1"/>
  <c r="M775" i="1" s="1"/>
  <c r="C776" i="1"/>
  <c r="M776" i="1" s="1" a="1"/>
  <c r="M776" i="1" s="1"/>
  <c r="G776" i="1"/>
  <c r="C777" i="1"/>
  <c r="M777" i="1" s="1" a="1"/>
  <c r="M777" i="1" s="1"/>
  <c r="G777" i="1"/>
  <c r="C778" i="1"/>
  <c r="M778" i="1" s="1" a="1"/>
  <c r="M778" i="1" s="1"/>
  <c r="G778" i="1"/>
  <c r="G779" i="1"/>
  <c r="C779" i="1"/>
  <c r="M779" i="1" s="1" a="1"/>
  <c r="M779" i="1" s="1"/>
  <c r="C780" i="1"/>
  <c r="M780" i="1" s="1" a="1"/>
  <c r="M780" i="1" s="1"/>
  <c r="G780" i="1"/>
  <c r="C781" i="1"/>
  <c r="M781" i="1" s="1" a="1"/>
  <c r="M781" i="1" s="1"/>
  <c r="G781" i="1"/>
  <c r="C782" i="1"/>
  <c r="M782" i="1" s="1" a="1"/>
  <c r="M782" i="1" s="1"/>
  <c r="G782" i="1"/>
  <c r="C783" i="1"/>
  <c r="M783" i="1" s="1" a="1"/>
  <c r="M783" i="1" s="1"/>
  <c r="G783" i="1"/>
  <c r="G784" i="1"/>
  <c r="C784" i="1"/>
  <c r="M784" i="1" s="1" a="1"/>
  <c r="M784" i="1" s="1"/>
  <c r="C785" i="1"/>
  <c r="M785" i="1" s="1" a="1"/>
  <c r="M785" i="1" s="1"/>
  <c r="G785" i="1"/>
  <c r="C786" i="1"/>
  <c r="M786" i="1" s="1" a="1"/>
  <c r="M786" i="1" s="1"/>
  <c r="G786" i="1"/>
  <c r="G787" i="1"/>
  <c r="C787" i="1"/>
  <c r="M787" i="1" s="1" a="1"/>
  <c r="M787" i="1" s="1"/>
  <c r="C788" i="1"/>
  <c r="M788" i="1" s="1" a="1"/>
  <c r="M788" i="1" s="1"/>
  <c r="G788" i="1"/>
  <c r="G789" i="1"/>
  <c r="C789" i="1"/>
  <c r="M789" i="1" s="1" a="1"/>
  <c r="M789" i="1" s="1"/>
  <c r="G790" i="1"/>
  <c r="C790" i="1"/>
  <c r="M790" i="1" s="1" a="1"/>
  <c r="M790" i="1" s="1"/>
  <c r="G791" i="1"/>
  <c r="C791" i="1"/>
  <c r="M791" i="1" s="1" a="1"/>
  <c r="M791" i="1" s="1"/>
  <c r="G792" i="1"/>
  <c r="C792" i="1"/>
  <c r="M792" i="1" s="1" a="1"/>
  <c r="M792" i="1" s="1"/>
  <c r="G793" i="1"/>
  <c r="C793" i="1"/>
  <c r="M793" i="1" s="1" a="1"/>
  <c r="M793" i="1" s="1"/>
  <c r="G794" i="1"/>
  <c r="C794" i="1"/>
  <c r="M794" i="1" s="1" a="1"/>
  <c r="M794" i="1" s="1"/>
  <c r="G795" i="1"/>
  <c r="C795" i="1"/>
  <c r="M795" i="1" s="1" a="1"/>
  <c r="M795" i="1" s="1"/>
  <c r="C796" i="1"/>
  <c r="M796" i="1" s="1" a="1"/>
  <c r="M796" i="1" s="1"/>
  <c r="G796" i="1"/>
  <c r="G797" i="1"/>
  <c r="C797" i="1"/>
  <c r="M797" i="1" s="1" a="1"/>
  <c r="M797" i="1" s="1"/>
  <c r="C798" i="1"/>
  <c r="M798" i="1" s="1" a="1"/>
  <c r="M798" i="1" s="1"/>
  <c r="G798" i="1"/>
  <c r="C799" i="1"/>
  <c r="M799" i="1" s="1" a="1"/>
  <c r="M799" i="1" s="1"/>
  <c r="G799" i="1"/>
  <c r="G800" i="1"/>
  <c r="C800" i="1"/>
  <c r="M800" i="1" s="1" a="1"/>
  <c r="M800" i="1" s="1"/>
  <c r="C801" i="1"/>
  <c r="M801" i="1" s="1" a="1"/>
  <c r="M801" i="1" s="1"/>
  <c r="G801" i="1"/>
  <c r="G802" i="1"/>
  <c r="C802" i="1"/>
  <c r="M802" i="1" s="1" a="1"/>
  <c r="M802" i="1" s="1"/>
  <c r="C803" i="1"/>
  <c r="M803" i="1" s="1" a="1"/>
  <c r="M803" i="1" s="1"/>
  <c r="G803" i="1"/>
  <c r="C804" i="1"/>
  <c r="M804" i="1" s="1" a="1"/>
  <c r="M804" i="1" s="1"/>
  <c r="G804" i="1"/>
  <c r="G805" i="1"/>
  <c r="C805" i="1"/>
  <c r="M805" i="1" s="1" a="1"/>
  <c r="M805" i="1" s="1"/>
  <c r="G806" i="1"/>
  <c r="C806" i="1"/>
  <c r="M806" i="1" s="1" a="1"/>
  <c r="M806" i="1" s="1"/>
  <c r="G807" i="1"/>
  <c r="C807" i="1"/>
  <c r="M807" i="1" s="1" a="1"/>
  <c r="M807" i="1" s="1"/>
  <c r="G808" i="1"/>
  <c r="C808" i="1"/>
  <c r="M808" i="1" s="1" a="1"/>
  <c r="M808" i="1" s="1"/>
  <c r="G809" i="1"/>
  <c r="C809" i="1"/>
  <c r="M809" i="1" s="1" a="1"/>
  <c r="M809" i="1" s="1"/>
  <c r="G810" i="1"/>
  <c r="C810" i="1"/>
  <c r="M810" i="1" s="1" a="1"/>
  <c r="M810" i="1" s="1"/>
  <c r="C811" i="1"/>
  <c r="M811" i="1" s="1" a="1"/>
  <c r="M811" i="1" s="1"/>
  <c r="G811" i="1"/>
  <c r="G812" i="1"/>
  <c r="C812" i="1"/>
  <c r="M812" i="1" s="1" a="1"/>
  <c r="M812" i="1" s="1"/>
  <c r="C813" i="1"/>
  <c r="M813" i="1" s="1" a="1"/>
  <c r="M813" i="1" s="1"/>
  <c r="G813" i="1"/>
  <c r="G814" i="1"/>
  <c r="C814" i="1"/>
  <c r="M814" i="1" s="1" a="1"/>
  <c r="M814" i="1" s="1"/>
  <c r="G815" i="1"/>
  <c r="C815" i="1"/>
  <c r="M815" i="1" s="1" a="1"/>
  <c r="M815" i="1" s="1"/>
  <c r="G816" i="1"/>
  <c r="C816" i="1"/>
  <c r="M816" i="1" s="1" a="1"/>
  <c r="M816" i="1" s="1"/>
  <c r="C817" i="1"/>
  <c r="M817" i="1" s="1" a="1"/>
  <c r="M817" i="1" s="1"/>
  <c r="G817" i="1"/>
  <c r="C818" i="1"/>
  <c r="M818" i="1" s="1" a="1"/>
  <c r="M818" i="1" s="1"/>
  <c r="G818" i="1"/>
  <c r="G819" i="1"/>
  <c r="C819" i="1"/>
  <c r="M819" i="1" s="1" a="1"/>
  <c r="M819" i="1" s="1"/>
  <c r="G820" i="1"/>
  <c r="C820" i="1"/>
  <c r="M820" i="1" s="1" a="1"/>
  <c r="M820" i="1" s="1"/>
  <c r="C821" i="1"/>
  <c r="M821" i="1" s="1" a="1"/>
  <c r="M821" i="1" s="1"/>
  <c r="G821" i="1"/>
  <c r="G822" i="1"/>
  <c r="C822" i="1"/>
  <c r="M822" i="1" s="1" a="1"/>
  <c r="M822" i="1" s="1"/>
  <c r="G823" i="1"/>
  <c r="C823" i="1"/>
  <c r="M823" i="1" s="1" a="1"/>
  <c r="M823" i="1" s="1"/>
  <c r="C824" i="1"/>
  <c r="M824" i="1" s="1" a="1"/>
  <c r="M824" i="1" s="1"/>
  <c r="G824" i="1"/>
  <c r="G825" i="1"/>
  <c r="C825" i="1"/>
  <c r="M825" i="1" s="1" a="1"/>
  <c r="M825" i="1" s="1"/>
  <c r="C826" i="1"/>
  <c r="M826" i="1" s="1" a="1"/>
  <c r="M826" i="1" s="1"/>
  <c r="G826" i="1"/>
  <c r="C827" i="1"/>
  <c r="M827" i="1" s="1" a="1"/>
  <c r="M827" i="1" s="1"/>
  <c r="G827" i="1"/>
  <c r="C828" i="1"/>
  <c r="M828" i="1" s="1" a="1"/>
  <c r="M828" i="1" s="1"/>
  <c r="G828" i="1"/>
  <c r="C829" i="1"/>
  <c r="M829" i="1" s="1" a="1"/>
  <c r="M829" i="1" s="1"/>
  <c r="G829" i="1"/>
  <c r="G830" i="1"/>
  <c r="C830" i="1"/>
  <c r="M830" i="1" s="1" a="1"/>
  <c r="M830" i="1" s="1"/>
  <c r="G831" i="1"/>
  <c r="C831" i="1"/>
  <c r="M831" i="1" s="1" a="1"/>
  <c r="M831" i="1" s="1"/>
  <c r="C832" i="1"/>
  <c r="M832" i="1" s="1" a="1"/>
  <c r="M832" i="1" s="1"/>
  <c r="G832" i="1"/>
  <c r="C833" i="1"/>
  <c r="M833" i="1" s="1" a="1"/>
  <c r="M833" i="1" s="1"/>
  <c r="G833" i="1"/>
  <c r="G834" i="1"/>
  <c r="C834" i="1"/>
  <c r="M834" i="1" s="1" a="1"/>
  <c r="M834" i="1" s="1"/>
  <c r="G835" i="1"/>
  <c r="C835" i="1"/>
  <c r="M835" i="1" s="1" a="1"/>
  <c r="M835" i="1" s="1"/>
  <c r="G836" i="1"/>
  <c r="C836" i="1"/>
  <c r="M836" i="1" s="1" a="1"/>
  <c r="M836" i="1" s="1"/>
  <c r="C837" i="1"/>
  <c r="M837" i="1" s="1" a="1"/>
  <c r="M837" i="1" s="1"/>
  <c r="G837" i="1"/>
  <c r="C838" i="1"/>
  <c r="M838" i="1" s="1" a="1"/>
  <c r="M838" i="1" s="1"/>
  <c r="G838" i="1"/>
  <c r="G839" i="1"/>
  <c r="C839" i="1"/>
  <c r="M839" i="1" s="1" a="1"/>
  <c r="M839" i="1" s="1"/>
  <c r="C840" i="1"/>
  <c r="M840" i="1" s="1" a="1"/>
  <c r="M840" i="1" s="1"/>
  <c r="G840" i="1"/>
  <c r="G841" i="1"/>
  <c r="C841" i="1"/>
  <c r="M841" i="1" s="1" a="1"/>
  <c r="M841" i="1" s="1"/>
  <c r="C842" i="1"/>
  <c r="M842" i="1" s="1" a="1"/>
  <c r="M842" i="1" s="1"/>
  <c r="G842" i="1"/>
  <c r="C843" i="1"/>
  <c r="M843" i="1" s="1" a="1"/>
  <c r="M843" i="1" s="1"/>
  <c r="G843" i="1"/>
  <c r="G844" i="1"/>
  <c r="C844" i="1"/>
  <c r="M844" i="1" s="1" a="1"/>
  <c r="M844" i="1" s="1"/>
  <c r="G845" i="1"/>
  <c r="C845" i="1"/>
  <c r="M845" i="1" s="1" a="1"/>
  <c r="M845" i="1" s="1"/>
  <c r="G846" i="1"/>
  <c r="C846" i="1"/>
  <c r="M846" i="1" s="1" a="1"/>
  <c r="M846" i="1" s="1"/>
  <c r="C847" i="1"/>
  <c r="M847" i="1" s="1" a="1"/>
  <c r="M847" i="1" s="1"/>
  <c r="G847" i="1"/>
  <c r="G848" i="1"/>
  <c r="C848" i="1"/>
  <c r="M848" i="1" s="1" a="1"/>
  <c r="M848" i="1" s="1"/>
  <c r="C849" i="1"/>
  <c r="M849" i="1" s="1" a="1"/>
  <c r="M849" i="1" s="1"/>
  <c r="G849" i="1"/>
  <c r="G850" i="1"/>
  <c r="C850" i="1"/>
  <c r="M850" i="1" s="1" a="1"/>
  <c r="M850" i="1" s="1"/>
  <c r="G851" i="1"/>
  <c r="C851" i="1"/>
  <c r="M851" i="1" s="1" a="1"/>
  <c r="M851" i="1" s="1"/>
  <c r="C852" i="1"/>
  <c r="M852" i="1" s="1" a="1"/>
  <c r="M852" i="1" s="1"/>
  <c r="G852" i="1"/>
  <c r="G853" i="1"/>
  <c r="C853" i="1"/>
  <c r="M853" i="1" s="1" a="1"/>
  <c r="M853" i="1" s="1"/>
  <c r="G854" i="1"/>
  <c r="C854" i="1"/>
  <c r="M854" i="1" s="1" a="1"/>
  <c r="M854" i="1" s="1"/>
  <c r="G855" i="1"/>
  <c r="C855" i="1"/>
  <c r="M855" i="1" s="1" a="1"/>
  <c r="M855" i="1" s="1"/>
  <c r="C856" i="1"/>
  <c r="M856" i="1" s="1" a="1"/>
  <c r="M856" i="1" s="1"/>
  <c r="G856" i="1"/>
  <c r="G857" i="1"/>
  <c r="C857" i="1"/>
  <c r="M857" i="1" s="1" a="1"/>
  <c r="M857" i="1" s="1"/>
  <c r="G858" i="1"/>
  <c r="C858" i="1"/>
  <c r="M858" i="1" s="1" a="1"/>
  <c r="M858" i="1" s="1"/>
  <c r="C859" i="1"/>
  <c r="M859" i="1" s="1" a="1"/>
  <c r="M859" i="1" s="1"/>
  <c r="G859" i="1"/>
  <c r="G860" i="1"/>
  <c r="C860" i="1"/>
  <c r="M860" i="1" s="1" a="1"/>
  <c r="M860" i="1" s="1"/>
  <c r="G861" i="1"/>
  <c r="C861" i="1"/>
  <c r="M861" i="1" s="1" a="1"/>
  <c r="M861" i="1" s="1"/>
  <c r="G862" i="1"/>
  <c r="C862" i="1"/>
  <c r="M862" i="1" s="1" a="1"/>
  <c r="M862" i="1" s="1"/>
  <c r="C863" i="1"/>
  <c r="M863" i="1" s="1" a="1"/>
  <c r="M863" i="1" s="1"/>
  <c r="G863" i="1"/>
  <c r="G864" i="1"/>
  <c r="C864" i="1"/>
  <c r="M864" i="1" s="1" a="1"/>
  <c r="M864" i="1" s="1"/>
  <c r="C865" i="1"/>
  <c r="M865" i="1" s="1" a="1"/>
  <c r="M865" i="1" s="1"/>
  <c r="G865" i="1"/>
  <c r="C866" i="1"/>
  <c r="M866" i="1" s="1" a="1"/>
  <c r="M866" i="1" s="1"/>
  <c r="G866" i="1"/>
  <c r="C867" i="1"/>
  <c r="M867" i="1" s="1" a="1"/>
  <c r="M867" i="1" s="1"/>
  <c r="G867" i="1"/>
  <c r="G868" i="1"/>
  <c r="C868" i="1"/>
  <c r="M868" i="1" s="1" a="1"/>
  <c r="M868" i="1" s="1"/>
  <c r="C869" i="1"/>
  <c r="M869" i="1" s="1" a="1"/>
  <c r="M869" i="1" s="1"/>
  <c r="G869" i="1"/>
  <c r="G870" i="1"/>
  <c r="C870" i="1"/>
  <c r="M870" i="1" s="1" a="1"/>
  <c r="M870" i="1" s="1"/>
  <c r="C871" i="1"/>
  <c r="M871" i="1" s="1" a="1"/>
  <c r="M871" i="1" s="1"/>
  <c r="G871" i="1"/>
  <c r="G872" i="1"/>
  <c r="C872" i="1"/>
  <c r="M872" i="1" s="1" a="1"/>
  <c r="M872" i="1" s="1"/>
  <c r="C873" i="1"/>
  <c r="M873" i="1" s="1" a="1"/>
  <c r="M873" i="1" s="1"/>
  <c r="G873" i="1"/>
  <c r="G874" i="1"/>
  <c r="C874" i="1"/>
  <c r="M874" i="1" s="1" a="1"/>
  <c r="M874" i="1" s="1"/>
  <c r="G875" i="1"/>
  <c r="C875" i="1"/>
  <c r="M875" i="1" s="1" a="1"/>
  <c r="M875" i="1" s="1"/>
  <c r="C876" i="1"/>
  <c r="M876" i="1" s="1" a="1"/>
  <c r="M876" i="1" s="1"/>
  <c r="G876" i="1"/>
  <c r="C877" i="1"/>
  <c r="M877" i="1" s="1" a="1"/>
  <c r="M877" i="1" s="1"/>
  <c r="G877" i="1"/>
  <c r="G878" i="1"/>
  <c r="C878" i="1"/>
  <c r="M878" i="1" s="1" a="1"/>
  <c r="M878" i="1" s="1"/>
  <c r="G879" i="1"/>
  <c r="C879" i="1"/>
  <c r="M879" i="1" s="1" a="1"/>
  <c r="M879" i="1" s="1"/>
  <c r="C880" i="1"/>
  <c r="M880" i="1" s="1" a="1"/>
  <c r="M880" i="1" s="1"/>
  <c r="G880" i="1"/>
  <c r="C881" i="1"/>
  <c r="M881" i="1" s="1" a="1"/>
  <c r="M881" i="1" s="1"/>
  <c r="G881" i="1"/>
  <c r="C882" i="1"/>
  <c r="M882" i="1" s="1" a="1"/>
  <c r="M882" i="1" s="1"/>
  <c r="G882" i="1"/>
  <c r="G883" i="1"/>
  <c r="C883" i="1"/>
  <c r="M883" i="1" s="1" a="1"/>
  <c r="M883" i="1" s="1"/>
  <c r="C884" i="1"/>
  <c r="M884" i="1" s="1" a="1"/>
  <c r="M884" i="1" s="1"/>
  <c r="G884" i="1"/>
  <c r="G885" i="1"/>
  <c r="C885" i="1"/>
  <c r="M885" i="1" s="1" a="1"/>
  <c r="M885" i="1" s="1"/>
  <c r="C886" i="1"/>
  <c r="M886" i="1" s="1" a="1"/>
  <c r="M886" i="1" s="1"/>
  <c r="G886" i="1"/>
  <c r="C887" i="1"/>
  <c r="M887" i="1" s="1" a="1"/>
  <c r="M887" i="1" s="1"/>
  <c r="G887" i="1"/>
  <c r="C888" i="1"/>
  <c r="M888" i="1" s="1" a="1"/>
  <c r="M888" i="1" s="1"/>
  <c r="G888" i="1"/>
  <c r="C889" i="1"/>
  <c r="M889" i="1" s="1" a="1"/>
  <c r="M889" i="1" s="1"/>
  <c r="G889" i="1"/>
  <c r="G890" i="1"/>
  <c r="C890" i="1"/>
  <c r="M890" i="1" s="1" a="1"/>
  <c r="M890" i="1" s="1"/>
  <c r="C891" i="1"/>
  <c r="M891" i="1" s="1" a="1"/>
  <c r="M891" i="1" s="1"/>
  <c r="G891" i="1"/>
  <c r="G892" i="1"/>
  <c r="C892" i="1"/>
  <c r="M892" i="1" s="1" a="1"/>
  <c r="M892" i="1" s="1"/>
  <c r="G893" i="1"/>
  <c r="C893" i="1"/>
  <c r="M893" i="1" s="1" a="1"/>
  <c r="M893" i="1" s="1"/>
  <c r="G894" i="1"/>
  <c r="C894" i="1"/>
  <c r="M894" i="1" s="1" a="1"/>
  <c r="M894" i="1" s="1"/>
  <c r="C895" i="1"/>
  <c r="M895" i="1" s="1" a="1"/>
  <c r="M895" i="1" s="1"/>
  <c r="G895" i="1"/>
  <c r="G896" i="1"/>
  <c r="C896" i="1"/>
  <c r="M896" i="1" s="1" a="1"/>
  <c r="M896" i="1" s="1"/>
  <c r="C897" i="1"/>
  <c r="M897" i="1" s="1" a="1"/>
  <c r="M897" i="1" s="1"/>
  <c r="G897" i="1"/>
  <c r="G898" i="1"/>
  <c r="C898" i="1"/>
  <c r="M898" i="1" s="1" a="1"/>
  <c r="M898" i="1" s="1"/>
  <c r="G899" i="1"/>
  <c r="C899" i="1"/>
  <c r="M899" i="1" s="1" a="1"/>
  <c r="M899" i="1" s="1"/>
  <c r="G900" i="1"/>
  <c r="C900" i="1"/>
  <c r="M900" i="1" s="1" a="1"/>
  <c r="M900" i="1" s="1"/>
  <c r="G901" i="1"/>
  <c r="C901" i="1"/>
  <c r="M901" i="1" s="1" a="1"/>
  <c r="M901" i="1" s="1"/>
  <c r="G902" i="1"/>
  <c r="C902" i="1"/>
  <c r="M902" i="1" s="1" a="1"/>
  <c r="M902" i="1" s="1"/>
  <c r="G903" i="1"/>
  <c r="C903" i="1"/>
  <c r="M903" i="1" s="1" a="1"/>
  <c r="M903" i="1" s="1"/>
  <c r="C904" i="1"/>
  <c r="M904" i="1" s="1" a="1"/>
  <c r="M904" i="1" s="1"/>
  <c r="G904" i="1"/>
  <c r="G905" i="1"/>
  <c r="C905" i="1"/>
  <c r="M905" i="1" s="1" a="1"/>
  <c r="M905" i="1" s="1"/>
  <c r="G906" i="1"/>
  <c r="C906" i="1"/>
  <c r="M906" i="1" s="1" a="1"/>
  <c r="M906" i="1" s="1"/>
  <c r="G907" i="1"/>
  <c r="C907" i="1"/>
  <c r="M907" i="1" s="1" a="1"/>
  <c r="M907" i="1" s="1"/>
  <c r="C908" i="1"/>
  <c r="M908" i="1" s="1" a="1"/>
  <c r="M908" i="1" s="1"/>
  <c r="G908" i="1"/>
  <c r="C909" i="1"/>
  <c r="M909" i="1" s="1" a="1"/>
  <c r="M909" i="1" s="1"/>
  <c r="G909" i="1"/>
  <c r="G910" i="1"/>
  <c r="C910" i="1"/>
  <c r="M910" i="1" s="1" a="1"/>
  <c r="M910" i="1" s="1"/>
  <c r="C911" i="1"/>
  <c r="M911" i="1" s="1" a="1"/>
  <c r="M911" i="1" s="1"/>
  <c r="G911" i="1"/>
  <c r="G912" i="1"/>
  <c r="C912" i="1"/>
  <c r="M912" i="1" s="1" a="1"/>
  <c r="M912" i="1" s="1"/>
  <c r="G913" i="1"/>
  <c r="C913" i="1"/>
  <c r="M913" i="1" s="1" a="1"/>
  <c r="M913" i="1" s="1"/>
  <c r="C914" i="1"/>
  <c r="M914" i="1" s="1" a="1"/>
  <c r="M914" i="1" s="1"/>
  <c r="G914" i="1"/>
  <c r="C915" i="1"/>
  <c r="M915" i="1" s="1" a="1"/>
  <c r="M915" i="1" s="1"/>
  <c r="G915" i="1"/>
  <c r="G916" i="1"/>
  <c r="C916" i="1"/>
  <c r="M916" i="1" s="1" a="1"/>
  <c r="M916" i="1" s="1"/>
  <c r="G917" i="1"/>
  <c r="C917" i="1"/>
  <c r="M917" i="1" s="1" a="1"/>
  <c r="M917" i="1" s="1"/>
  <c r="G918" i="1"/>
  <c r="C918" i="1"/>
  <c r="M918" i="1" s="1" a="1"/>
  <c r="M918" i="1" s="1"/>
  <c r="G919" i="1"/>
  <c r="C919" i="1"/>
  <c r="M919" i="1" s="1" a="1"/>
  <c r="M919" i="1" s="1"/>
  <c r="G920" i="1"/>
  <c r="C920" i="1"/>
  <c r="M920" i="1" s="1" a="1"/>
  <c r="M920" i="1" s="1"/>
  <c r="C921" i="1"/>
  <c r="M921" i="1" s="1" a="1"/>
  <c r="M921" i="1" s="1"/>
  <c r="G921" i="1"/>
  <c r="G922" i="1"/>
  <c r="C922" i="1"/>
  <c r="M922" i="1" s="1" a="1"/>
  <c r="M922" i="1" s="1"/>
  <c r="G923" i="1"/>
  <c r="C923" i="1"/>
  <c r="M923" i="1" s="1" a="1"/>
  <c r="M923" i="1" s="1"/>
  <c r="G924" i="1"/>
  <c r="C924" i="1"/>
  <c r="M924" i="1" s="1" a="1"/>
  <c r="M924" i="1" s="1"/>
  <c r="G925" i="1"/>
  <c r="C925" i="1"/>
  <c r="M925" i="1" s="1" a="1"/>
  <c r="M925" i="1" s="1"/>
  <c r="G926" i="1"/>
  <c r="C926" i="1"/>
  <c r="M926" i="1" s="1" a="1"/>
  <c r="M926" i="1" s="1"/>
  <c r="C927" i="1"/>
  <c r="M927" i="1" s="1" a="1"/>
  <c r="M927" i="1" s="1"/>
  <c r="G927" i="1"/>
  <c r="C928" i="1"/>
  <c r="M928" i="1" s="1" a="1"/>
  <c r="M928" i="1" s="1"/>
  <c r="G928" i="1"/>
  <c r="G929" i="1"/>
  <c r="C929" i="1"/>
  <c r="M929" i="1" s="1" a="1"/>
  <c r="M929" i="1" s="1"/>
  <c r="C930" i="1"/>
  <c r="M930" i="1" s="1" a="1"/>
  <c r="M930" i="1" s="1"/>
  <c r="G930" i="1"/>
  <c r="C931" i="1"/>
  <c r="M931" i="1" s="1" a="1"/>
  <c r="M931" i="1" s="1"/>
  <c r="G931" i="1"/>
  <c r="C932" i="1"/>
  <c r="M932" i="1" s="1" a="1"/>
  <c r="M932" i="1" s="1"/>
  <c r="G932" i="1"/>
  <c r="C933" i="1"/>
  <c r="M933" i="1" s="1" a="1"/>
  <c r="M933" i="1" s="1"/>
  <c r="G933" i="1"/>
  <c r="G934" i="1"/>
  <c r="C934" i="1"/>
  <c r="M934" i="1" s="1" a="1"/>
  <c r="M934" i="1" s="1"/>
  <c r="G935" i="1"/>
  <c r="C935" i="1"/>
  <c r="M935" i="1" s="1" a="1"/>
  <c r="M935" i="1" s="1"/>
  <c r="G936" i="1"/>
  <c r="C936" i="1"/>
  <c r="M936" i="1" s="1" a="1"/>
  <c r="M936" i="1" s="1"/>
  <c r="G937" i="1"/>
  <c r="C937" i="1"/>
  <c r="M937" i="1" s="1" a="1"/>
  <c r="M937" i="1" s="1"/>
  <c r="C938" i="1"/>
  <c r="M938" i="1" s="1" a="1"/>
  <c r="M938" i="1" s="1"/>
  <c r="G938" i="1"/>
  <c r="G939" i="1"/>
  <c r="C939" i="1"/>
  <c r="M939" i="1" s="1" a="1"/>
  <c r="M939" i="1" s="1"/>
  <c r="C940" i="1"/>
  <c r="M940" i="1" s="1" a="1"/>
  <c r="M940" i="1" s="1"/>
  <c r="G940" i="1"/>
  <c r="C941" i="1"/>
  <c r="M941" i="1" s="1" a="1"/>
  <c r="M941" i="1" s="1"/>
  <c r="G941" i="1"/>
  <c r="G942" i="1"/>
  <c r="C942" i="1"/>
  <c r="M942" i="1" s="1" a="1"/>
  <c r="M942" i="1" s="1"/>
  <c r="G943" i="1"/>
  <c r="C943" i="1"/>
  <c r="M943" i="1" s="1" a="1"/>
  <c r="M943" i="1" s="1"/>
  <c r="G944" i="1"/>
  <c r="C944" i="1"/>
  <c r="M944" i="1" s="1" a="1"/>
  <c r="M944" i="1" s="1"/>
  <c r="G945" i="1"/>
  <c r="C945" i="1"/>
  <c r="M945" i="1" s="1" a="1"/>
  <c r="M945" i="1" s="1"/>
  <c r="G946" i="1"/>
  <c r="C946" i="1"/>
  <c r="M946" i="1" s="1" a="1"/>
  <c r="M946" i="1" s="1"/>
  <c r="G947" i="1"/>
  <c r="C947" i="1"/>
  <c r="M947" i="1" s="1" a="1"/>
  <c r="M947" i="1" s="1"/>
  <c r="G948" i="1"/>
  <c r="C948" i="1"/>
  <c r="M948" i="1" s="1" a="1"/>
  <c r="M948" i="1" s="1"/>
  <c r="G949" i="1"/>
  <c r="C949" i="1"/>
  <c r="M949" i="1" s="1" a="1"/>
  <c r="M949" i="1" s="1"/>
  <c r="G950" i="1"/>
  <c r="C950" i="1"/>
  <c r="M950" i="1" s="1" a="1"/>
  <c r="M950" i="1" s="1"/>
  <c r="G951" i="1"/>
  <c r="C951" i="1"/>
  <c r="M951" i="1" s="1" a="1"/>
  <c r="M951" i="1" s="1"/>
  <c r="G952" i="1"/>
  <c r="C952" i="1"/>
  <c r="M952" i="1" s="1" a="1"/>
  <c r="M952" i="1" s="1"/>
  <c r="G953" i="1"/>
  <c r="C953" i="1"/>
  <c r="M953" i="1" s="1" a="1"/>
  <c r="M953" i="1" s="1"/>
  <c r="G954" i="1"/>
  <c r="C954" i="1"/>
  <c r="M954" i="1" s="1" a="1"/>
  <c r="M954" i="1" s="1"/>
  <c r="C955" i="1"/>
  <c r="M955" i="1" s="1" a="1"/>
  <c r="M955" i="1" s="1"/>
  <c r="G955" i="1"/>
  <c r="C956" i="1"/>
  <c r="M956" i="1" s="1" a="1"/>
  <c r="M956" i="1" s="1"/>
  <c r="G956" i="1"/>
  <c r="C957" i="1"/>
  <c r="M957" i="1" s="1" a="1"/>
  <c r="M957" i="1" s="1"/>
  <c r="G957" i="1"/>
  <c r="C958" i="1"/>
  <c r="M958" i="1" s="1" a="1"/>
  <c r="M958" i="1" s="1"/>
  <c r="G958" i="1"/>
  <c r="C959" i="1"/>
  <c r="M959" i="1" s="1" a="1"/>
  <c r="M959" i="1" s="1"/>
  <c r="G959" i="1"/>
  <c r="G960" i="1"/>
  <c r="C960" i="1"/>
  <c r="M960" i="1" s="1" a="1"/>
  <c r="M960" i="1" s="1"/>
  <c r="C961" i="1"/>
  <c r="M961" i="1" s="1" a="1"/>
  <c r="M961" i="1" s="1"/>
  <c r="G961" i="1"/>
  <c r="G962" i="1"/>
  <c r="C962" i="1"/>
  <c r="M962" i="1" s="1" a="1"/>
  <c r="M962" i="1" s="1"/>
  <c r="C963" i="1"/>
  <c r="M963" i="1" s="1" a="1"/>
  <c r="M963" i="1" s="1"/>
  <c r="G963" i="1"/>
  <c r="C964" i="1"/>
  <c r="M964" i="1" s="1" a="1"/>
  <c r="M964" i="1" s="1"/>
  <c r="G964" i="1"/>
  <c r="C965" i="1"/>
  <c r="M965" i="1" s="1" a="1"/>
  <c r="M965" i="1" s="1"/>
  <c r="G965" i="1"/>
  <c r="C966" i="1"/>
  <c r="M966" i="1" s="1" a="1"/>
  <c r="M966" i="1" s="1"/>
  <c r="G966" i="1"/>
  <c r="C967" i="1"/>
  <c r="M967" i="1" s="1" a="1"/>
  <c r="M967" i="1" s="1"/>
  <c r="G967" i="1"/>
  <c r="C968" i="1"/>
  <c r="M968" i="1" s="1" a="1"/>
  <c r="M968" i="1" s="1"/>
  <c r="G968" i="1"/>
  <c r="C969" i="1"/>
  <c r="M969" i="1" s="1" a="1"/>
  <c r="M969" i="1" s="1"/>
  <c r="G969" i="1"/>
  <c r="G970" i="1"/>
  <c r="C970" i="1"/>
  <c r="M970" i="1" s="1" a="1"/>
  <c r="M970" i="1" s="1"/>
  <c r="G971" i="1"/>
  <c r="C971" i="1"/>
  <c r="M971" i="1" s="1" a="1"/>
  <c r="M971" i="1" s="1"/>
  <c r="G972" i="1"/>
  <c r="C972" i="1"/>
  <c r="M972" i="1" s="1" a="1"/>
  <c r="M972" i="1" s="1"/>
  <c r="G973" i="1"/>
  <c r="C973" i="1"/>
  <c r="M973" i="1" s="1" a="1"/>
  <c r="M973" i="1" s="1"/>
  <c r="G974" i="1"/>
  <c r="C974" i="1"/>
  <c r="M974" i="1" s="1" a="1"/>
  <c r="M974" i="1" s="1"/>
  <c r="G975" i="1"/>
  <c r="C975" i="1"/>
  <c r="M975" i="1" s="1" a="1"/>
  <c r="M975" i="1" s="1"/>
  <c r="G976" i="1"/>
  <c r="C976" i="1"/>
  <c r="M976" i="1" s="1" a="1"/>
  <c r="M976" i="1" s="1"/>
  <c r="G977" i="1"/>
  <c r="C977" i="1"/>
  <c r="M977" i="1" s="1" a="1"/>
  <c r="M977" i="1" s="1"/>
  <c r="G978" i="1"/>
  <c r="C978" i="1"/>
  <c r="M978" i="1" s="1" a="1"/>
  <c r="M978" i="1" s="1"/>
  <c r="G979" i="1"/>
  <c r="C979" i="1"/>
  <c r="M979" i="1" s="1" a="1"/>
  <c r="M979" i="1" s="1"/>
  <c r="G980" i="1"/>
  <c r="C980" i="1"/>
  <c r="M980" i="1" s="1" a="1"/>
  <c r="M980" i="1" s="1"/>
  <c r="G981" i="1"/>
  <c r="C981" i="1"/>
  <c r="M981" i="1" s="1" a="1"/>
  <c r="M981" i="1" s="1"/>
  <c r="G982" i="1"/>
  <c r="C982" i="1"/>
  <c r="M982" i="1" s="1" a="1"/>
  <c r="M982" i="1" s="1"/>
  <c r="G983" i="1"/>
  <c r="C983" i="1"/>
  <c r="M983" i="1" s="1" a="1"/>
  <c r="M983" i="1" s="1"/>
  <c r="G984" i="1"/>
  <c r="C984" i="1"/>
  <c r="M984" i="1" s="1" a="1"/>
  <c r="M984" i="1" s="1"/>
  <c r="G985" i="1"/>
  <c r="C985" i="1"/>
  <c r="M985" i="1" s="1" a="1"/>
  <c r="M985" i="1" s="1"/>
  <c r="G986" i="1"/>
  <c r="C986" i="1"/>
  <c r="M986" i="1" s="1" a="1"/>
  <c r="M986" i="1" s="1"/>
  <c r="G987" i="1"/>
  <c r="C987" i="1"/>
  <c r="M987" i="1" s="1" a="1"/>
  <c r="M987" i="1" s="1"/>
  <c r="G988" i="1"/>
  <c r="C988" i="1"/>
  <c r="M988" i="1" s="1" a="1"/>
  <c r="M988" i="1" s="1"/>
  <c r="C989" i="1"/>
  <c r="M989" i="1" s="1" a="1"/>
  <c r="M989" i="1" s="1"/>
  <c r="G989" i="1"/>
  <c r="C990" i="1"/>
  <c r="M990" i="1" s="1" a="1"/>
  <c r="M990" i="1" s="1"/>
  <c r="G990" i="1"/>
  <c r="G991" i="1"/>
  <c r="C991" i="1"/>
  <c r="M991" i="1" s="1" a="1"/>
  <c r="M991" i="1" s="1"/>
  <c r="G992" i="1"/>
  <c r="C992" i="1"/>
  <c r="M992" i="1" s="1" a="1"/>
  <c r="M992" i="1" s="1"/>
  <c r="G993" i="1"/>
  <c r="C993" i="1"/>
  <c r="M993" i="1" s="1" a="1"/>
  <c r="M993" i="1" s="1"/>
  <c r="G994" i="1"/>
  <c r="C994" i="1"/>
  <c r="M994" i="1" s="1" a="1"/>
  <c r="M994" i="1" s="1"/>
  <c r="G995" i="1"/>
  <c r="C995" i="1"/>
  <c r="M995" i="1" s="1" a="1"/>
  <c r="M995" i="1" s="1"/>
  <c r="G996" i="1"/>
  <c r="C996" i="1"/>
  <c r="M996" i="1" s="1" a="1"/>
  <c r="M996" i="1" s="1"/>
  <c r="G997" i="1"/>
  <c r="C997" i="1"/>
  <c r="M997" i="1" s="1" a="1"/>
  <c r="M997" i="1" s="1"/>
  <c r="G998" i="1"/>
  <c r="C998" i="1"/>
  <c r="M998" i="1" s="1" a="1"/>
  <c r="M998" i="1" s="1"/>
  <c r="G999" i="1"/>
  <c r="C999" i="1"/>
  <c r="M999" i="1" s="1" a="1"/>
  <c r="M999" i="1" s="1"/>
  <c r="G1000" i="1"/>
  <c r="C1000" i="1"/>
  <c r="M1000" i="1" s="1" a="1"/>
  <c r="M1000" i="1" s="1"/>
  <c r="G1001" i="1"/>
  <c r="C1001" i="1"/>
  <c r="M1001" i="1" s="1" a="1"/>
  <c r="M1001" i="1" s="1"/>
  <c r="G1002" i="1"/>
  <c r="C1002" i="1"/>
  <c r="M1002" i="1" s="1" a="1"/>
  <c r="M1002" i="1" s="1"/>
  <c r="G1003" i="1"/>
  <c r="C1003" i="1"/>
  <c r="M1003" i="1" s="1" a="1"/>
  <c r="M1003" i="1" s="1"/>
  <c r="G1004" i="1"/>
  <c r="C1004" i="1"/>
  <c r="M1004" i="1" s="1" a="1"/>
  <c r="M1004" i="1" s="1"/>
  <c r="G1005" i="1"/>
  <c r="C1005" i="1"/>
  <c r="M1005" i="1" s="1" a="1"/>
  <c r="M1005" i="1" s="1"/>
  <c r="G16" i="1"/>
  <c r="C16" i="1"/>
  <c r="M16" i="1" s="1" a="1"/>
  <c r="M16" i="1" s="1"/>
  <c r="E20" i="3"/>
  <c r="E21" i="3"/>
  <c r="E18" i="3"/>
  <c r="E19" i="3"/>
  <c r="E16" i="3"/>
  <c r="E17" i="3"/>
  <c r="G9" i="3"/>
  <c r="I8" i="2" s="1"/>
  <c r="G7" i="3"/>
  <c r="I6" i="2" s="1"/>
  <c r="G8" i="3"/>
  <c r="I7" i="2" s="1"/>
  <c r="E23" i="4"/>
  <c r="E22" i="4"/>
  <c r="E20" i="4"/>
  <c r="E21" i="4"/>
  <c r="E19" i="4"/>
  <c r="E18" i="4"/>
  <c r="E17" i="4"/>
  <c r="E16" i="4"/>
  <c r="G9" i="4"/>
  <c r="G8" i="4"/>
  <c r="I12" i="2" s="1"/>
  <c r="G7" i="4"/>
  <c r="C16" i="3"/>
  <c r="G10" i="3" s="1"/>
  <c r="I9" i="2" s="1"/>
  <c r="C16" i="4"/>
  <c r="L11" i="5"/>
  <c r="M11" i="5"/>
  <c r="O11" i="5" s="1"/>
  <c r="L12" i="5"/>
  <c r="M12" i="5"/>
  <c r="O12" i="5" s="1"/>
  <c r="L13" i="5"/>
  <c r="M13" i="5"/>
  <c r="O13" i="5" s="1"/>
  <c r="L14" i="5"/>
  <c r="M14" i="5" s="1"/>
  <c r="O14" i="5" s="1"/>
  <c r="L15" i="5"/>
  <c r="M15" i="5" s="1"/>
  <c r="O15" i="5" s="1"/>
  <c r="L16" i="5"/>
  <c r="M16" i="5" s="1"/>
  <c r="O16" i="5" s="1"/>
  <c r="L17" i="5"/>
  <c r="M17" i="5" s="1"/>
  <c r="O17" i="5" s="1"/>
  <c r="L18" i="5"/>
  <c r="M18" i="5" s="1"/>
  <c r="O18" i="5" s="1"/>
  <c r="L19" i="5"/>
  <c r="M19" i="5"/>
  <c r="O19" i="5" s="1"/>
  <c r="L20" i="5"/>
  <c r="M20" i="5" s="1"/>
  <c r="O20" i="5" s="1"/>
  <c r="L21" i="5"/>
  <c r="M21" i="5" s="1"/>
  <c r="O21" i="5" s="1"/>
  <c r="L22" i="5"/>
  <c r="M22" i="5"/>
  <c r="O22" i="5" s="1"/>
  <c r="L23" i="5"/>
  <c r="M23" i="5"/>
  <c r="O23" i="5" s="1"/>
  <c r="L24" i="5"/>
  <c r="M24" i="5" s="1"/>
  <c r="O24" i="5" s="1"/>
  <c r="L25" i="5"/>
  <c r="M25" i="5"/>
  <c r="O25" i="5" s="1"/>
  <c r="L26" i="5"/>
  <c r="M26" i="5" s="1"/>
  <c r="O26" i="5" s="1"/>
  <c r="L27" i="5"/>
  <c r="M27" i="5" s="1"/>
  <c r="O27" i="5" s="1"/>
  <c r="H236" i="1" l="1"/>
  <c r="I236" i="1" s="1"/>
  <c r="J236" i="1" s="1"/>
  <c r="K236" i="1" a="1"/>
  <c r="K236" i="1" s="1"/>
  <c r="K237" i="1" a="1"/>
  <c r="K237" i="1" s="1"/>
  <c r="H237" i="1"/>
  <c r="I237" i="1" s="1"/>
  <c r="J237" i="1" s="1"/>
  <c r="H238" i="1"/>
  <c r="I238" i="1" s="1"/>
  <c r="J238" i="1" s="1"/>
  <c r="K238" i="1" a="1"/>
  <c r="K238" i="1" s="1"/>
  <c r="H239" i="1"/>
  <c r="I239" i="1" s="1"/>
  <c r="J239" i="1" s="1"/>
  <c r="K239" i="1" a="1"/>
  <c r="K239" i="1" s="1"/>
  <c r="H240" i="1"/>
  <c r="I240" i="1" s="1"/>
  <c r="J240" i="1" s="1"/>
  <c r="K240" i="1" a="1"/>
  <c r="K240" i="1" s="1"/>
  <c r="H241" i="1"/>
  <c r="I241" i="1" s="1"/>
  <c r="J241" i="1" s="1"/>
  <c r="K241" i="1" a="1"/>
  <c r="K241" i="1" s="1"/>
  <c r="H242" i="1"/>
  <c r="I242" i="1" s="1"/>
  <c r="J242" i="1" s="1"/>
  <c r="K242" i="1" a="1"/>
  <c r="K242" i="1" s="1"/>
  <c r="D18" i="1"/>
  <c r="E18" i="1" s="1"/>
  <c r="L18" i="1" s="1"/>
  <c r="M18" i="1" a="1"/>
  <c r="M18" i="1" s="1"/>
  <c r="D26" i="1"/>
  <c r="E26" i="1" s="1"/>
  <c r="L26" i="1" s="1"/>
  <c r="M26" i="1" a="1"/>
  <c r="M26" i="1" s="1"/>
  <c r="D35" i="1"/>
  <c r="E35" i="1" s="1"/>
  <c r="L35" i="1" s="1"/>
  <c r="M35" i="1" a="1"/>
  <c r="M35" i="1" s="1"/>
  <c r="Q33" i="1"/>
  <c r="D324" i="1"/>
  <c r="E324" i="1" s="1"/>
  <c r="L324" i="1" s="1"/>
  <c r="D325" i="1"/>
  <c r="E325" i="1" s="1"/>
  <c r="L325" i="1" s="1"/>
  <c r="H355" i="1"/>
  <c r="I355" i="1" s="1"/>
  <c r="J355" i="1" s="1"/>
  <c r="K355" i="1" a="1"/>
  <c r="K355" i="1" s="1"/>
  <c r="H359" i="1"/>
  <c r="I359" i="1" s="1"/>
  <c r="J359" i="1" s="1"/>
  <c r="K359" i="1" a="1"/>
  <c r="K359" i="1" s="1"/>
  <c r="H362" i="1"/>
  <c r="I362" i="1" s="1"/>
  <c r="J362" i="1" s="1"/>
  <c r="K362" i="1" a="1"/>
  <c r="K362" i="1" s="1"/>
  <c r="H365" i="1"/>
  <c r="I365" i="1" s="1"/>
  <c r="J365" i="1" s="1"/>
  <c r="K365" i="1" a="1"/>
  <c r="K365" i="1" s="1"/>
  <c r="H369" i="1"/>
  <c r="I369" i="1" s="1"/>
  <c r="J369" i="1" s="1"/>
  <c r="K369" i="1" a="1"/>
  <c r="K369" i="1" s="1"/>
  <c r="D323" i="1"/>
  <c r="E323" i="1" s="1"/>
  <c r="L323" i="1" s="1"/>
  <c r="D320" i="1"/>
  <c r="E320" i="1" s="1"/>
  <c r="L320" i="1" s="1"/>
  <c r="D321" i="1"/>
  <c r="E321" i="1" s="1"/>
  <c r="L321" i="1" s="1"/>
  <c r="D322" i="1"/>
  <c r="E322" i="1" s="1"/>
  <c r="L322" i="1" s="1"/>
  <c r="D315" i="1"/>
  <c r="E315" i="1" s="1"/>
  <c r="L315" i="1" s="1"/>
  <c r="D318" i="1"/>
  <c r="E318" i="1" s="1"/>
  <c r="L318" i="1" s="1"/>
  <c r="D319" i="1"/>
  <c r="E319" i="1" s="1"/>
  <c r="L319" i="1" s="1"/>
  <c r="D316" i="1"/>
  <c r="E316" i="1" s="1"/>
  <c r="L316" i="1" s="1"/>
  <c r="D317" i="1"/>
  <c r="E317" i="1" s="1"/>
  <c r="L317" i="1" s="1"/>
  <c r="H366" i="1"/>
  <c r="I366" i="1" s="1"/>
  <c r="J366" i="1" s="1"/>
  <c r="K366" i="1" a="1"/>
  <c r="K366" i="1" s="1"/>
  <c r="H367" i="1"/>
  <c r="I367" i="1" s="1"/>
  <c r="J367" i="1" s="1"/>
  <c r="K367" i="1" a="1"/>
  <c r="K367" i="1" s="1"/>
  <c r="H361" i="1"/>
  <c r="I361" i="1" s="1"/>
  <c r="J361" i="1" s="1"/>
  <c r="K361" i="1" a="1"/>
  <c r="K361" i="1" s="1"/>
  <c r="H363" i="1"/>
  <c r="I363" i="1" s="1"/>
  <c r="J363" i="1" s="1"/>
  <c r="K363" i="1" a="1"/>
  <c r="K363" i="1" s="1"/>
  <c r="H232" i="1"/>
  <c r="I232" i="1" s="1"/>
  <c r="J232" i="1" s="1"/>
  <c r="K232" i="1" a="1"/>
  <c r="K232" i="1" s="1"/>
  <c r="H233" i="1"/>
  <c r="I233" i="1" s="1"/>
  <c r="J233" i="1" s="1"/>
  <c r="K233" i="1" a="1"/>
  <c r="K233" i="1" s="1"/>
  <c r="H234" i="1"/>
  <c r="I234" i="1" s="1"/>
  <c r="J234" i="1" s="1"/>
  <c r="K234" i="1" a="1"/>
  <c r="K234" i="1" s="1"/>
  <c r="H235" i="1"/>
  <c r="I235" i="1" s="1"/>
  <c r="J235" i="1" s="1"/>
  <c r="K235" i="1" a="1"/>
  <c r="K235" i="1" s="1"/>
  <c r="D303" i="1"/>
  <c r="E303" i="1" s="1"/>
  <c r="L303" i="1" s="1"/>
  <c r="D305" i="1"/>
  <c r="E305" i="1" s="1"/>
  <c r="L305" i="1" s="1"/>
  <c r="D306" i="1"/>
  <c r="E306" i="1" s="1"/>
  <c r="L306" i="1" s="1"/>
  <c r="D307" i="1"/>
  <c r="E307" i="1" s="1"/>
  <c r="L307" i="1" s="1"/>
  <c r="D309" i="1"/>
  <c r="E309" i="1" s="1"/>
  <c r="L309" i="1" s="1"/>
  <c r="D311" i="1"/>
  <c r="E311" i="1" s="1"/>
  <c r="L311" i="1" s="1"/>
  <c r="D313" i="1"/>
  <c r="E313" i="1" s="1"/>
  <c r="L313" i="1" s="1"/>
  <c r="D304" i="1"/>
  <c r="E304" i="1" s="1"/>
  <c r="L304" i="1" s="1"/>
  <c r="D308" i="1"/>
  <c r="E308" i="1" s="1"/>
  <c r="L308" i="1" s="1"/>
  <c r="D310" i="1"/>
  <c r="E310" i="1" s="1"/>
  <c r="L310" i="1" s="1"/>
  <c r="D312" i="1"/>
  <c r="E312" i="1" s="1"/>
  <c r="L312" i="1" s="1"/>
  <c r="D314" i="1"/>
  <c r="E314" i="1" s="1"/>
  <c r="L314" i="1" s="1"/>
  <c r="K370" i="1" a="1"/>
  <c r="K370" i="1" s="1"/>
  <c r="H370" i="1"/>
  <c r="I370" i="1" s="1"/>
  <c r="J370" i="1" s="1"/>
  <c r="H375" i="1"/>
  <c r="I375" i="1" s="1"/>
  <c r="J375" i="1" s="1"/>
  <c r="K375" i="1" a="1"/>
  <c r="K375" i="1" s="1"/>
  <c r="H380" i="1"/>
  <c r="I380" i="1" s="1"/>
  <c r="J380" i="1" s="1"/>
  <c r="K380" i="1" a="1"/>
  <c r="K380" i="1" s="1"/>
  <c r="H384" i="1"/>
  <c r="I384" i="1" s="1"/>
  <c r="J384" i="1" s="1"/>
  <c r="K384" i="1" a="1"/>
  <c r="K384" i="1" s="1"/>
  <c r="H389" i="1"/>
  <c r="I389" i="1" s="1"/>
  <c r="J389" i="1" s="1"/>
  <c r="K389" i="1" a="1"/>
  <c r="K389" i="1" s="1"/>
  <c r="H394" i="1"/>
  <c r="I394" i="1" s="1"/>
  <c r="J394" i="1" s="1"/>
  <c r="K394" i="1" a="1"/>
  <c r="K394" i="1" s="1"/>
  <c r="K424" i="1" a="1"/>
  <c r="K424" i="1" s="1"/>
  <c r="H424" i="1"/>
  <c r="I424" i="1" s="1"/>
  <c r="J424" i="1" s="1"/>
  <c r="H429" i="1"/>
  <c r="I429" i="1" s="1"/>
  <c r="J429" i="1" s="1"/>
  <c r="K429" i="1" a="1"/>
  <c r="K429" i="1" s="1"/>
  <c r="K434" i="1" a="1"/>
  <c r="K434" i="1" s="1"/>
  <c r="H434" i="1"/>
  <c r="I434" i="1" s="1"/>
  <c r="J434" i="1" s="1"/>
  <c r="H439" i="1"/>
  <c r="I439" i="1" s="1"/>
  <c r="J439" i="1" s="1"/>
  <c r="K439" i="1" a="1"/>
  <c r="K439" i="1" s="1"/>
  <c r="H443" i="1"/>
  <c r="I443" i="1" s="1"/>
  <c r="J443" i="1" s="1"/>
  <c r="K443" i="1" a="1"/>
  <c r="K443" i="1" s="1"/>
  <c r="K447" i="1" a="1"/>
  <c r="K447" i="1" s="1"/>
  <c r="H447" i="1"/>
  <c r="I447" i="1" s="1"/>
  <c r="J447" i="1" s="1"/>
  <c r="K451" i="1" a="1"/>
  <c r="K451" i="1" s="1"/>
  <c r="H451" i="1"/>
  <c r="I451" i="1" s="1"/>
  <c r="J451" i="1" s="1"/>
  <c r="H456" i="1"/>
  <c r="I456" i="1" s="1"/>
  <c r="J456" i="1" s="1"/>
  <c r="K456" i="1" a="1"/>
  <c r="K456" i="1" s="1"/>
  <c r="H460" i="1"/>
  <c r="I460" i="1" s="1"/>
  <c r="J460" i="1" s="1"/>
  <c r="K460" i="1" a="1"/>
  <c r="K460" i="1" s="1"/>
  <c r="H465" i="1"/>
  <c r="I465" i="1" s="1"/>
  <c r="J465" i="1" s="1"/>
  <c r="K465" i="1" a="1"/>
  <c r="K465" i="1" s="1"/>
  <c r="K470" i="1" a="1"/>
  <c r="K470" i="1" s="1"/>
  <c r="H470" i="1"/>
  <c r="I470" i="1" s="1"/>
  <c r="J470" i="1" s="1"/>
  <c r="K474" i="1" a="1"/>
  <c r="K474" i="1" s="1"/>
  <c r="H474" i="1"/>
  <c r="I474" i="1" s="1"/>
  <c r="J474" i="1" s="1"/>
  <c r="H372" i="1"/>
  <c r="I372" i="1" s="1"/>
  <c r="J372" i="1" s="1"/>
  <c r="K372" i="1" a="1"/>
  <c r="K372" i="1" s="1"/>
  <c r="K377" i="1" a="1"/>
  <c r="K377" i="1" s="1"/>
  <c r="H377" i="1"/>
  <c r="I377" i="1" s="1"/>
  <c r="J377" i="1" s="1"/>
  <c r="K382" i="1" a="1"/>
  <c r="K382" i="1" s="1"/>
  <c r="H382" i="1"/>
  <c r="I382" i="1" s="1"/>
  <c r="J382" i="1" s="1"/>
  <c r="K387" i="1" a="1"/>
  <c r="K387" i="1" s="1"/>
  <c r="H387" i="1"/>
  <c r="I387" i="1" s="1"/>
  <c r="J387" i="1" s="1"/>
  <c r="K391" i="1" a="1"/>
  <c r="K391" i="1" s="1"/>
  <c r="H391" i="1"/>
  <c r="I391" i="1" s="1"/>
  <c r="J391" i="1" s="1"/>
  <c r="K396" i="1" a="1"/>
  <c r="K396" i="1" s="1"/>
  <c r="H396" i="1"/>
  <c r="I396" i="1" s="1"/>
  <c r="J396" i="1" s="1"/>
  <c r="H426" i="1"/>
  <c r="I426" i="1" s="1"/>
  <c r="J426" i="1" s="1"/>
  <c r="K426" i="1" a="1"/>
  <c r="K426" i="1" s="1"/>
  <c r="H430" i="1"/>
  <c r="I430" i="1" s="1"/>
  <c r="J430" i="1" s="1"/>
  <c r="K430" i="1" a="1"/>
  <c r="K430" i="1" s="1"/>
  <c r="K433" i="1" a="1"/>
  <c r="K433" i="1" s="1"/>
  <c r="H433" i="1"/>
  <c r="I433" i="1" s="1"/>
  <c r="J433" i="1" s="1"/>
  <c r="K437" i="1" a="1"/>
  <c r="K437" i="1" s="1"/>
  <c r="H437" i="1"/>
  <c r="I437" i="1" s="1"/>
  <c r="J437" i="1" s="1"/>
  <c r="K441" i="1" a="1"/>
  <c r="K441" i="1" s="1"/>
  <c r="H441" i="1"/>
  <c r="I441" i="1" s="1"/>
  <c r="J441" i="1" s="1"/>
  <c r="H445" i="1"/>
  <c r="I445" i="1" s="1"/>
  <c r="J445" i="1" s="1"/>
  <c r="K445" i="1" a="1"/>
  <c r="K445" i="1" s="1"/>
  <c r="H449" i="1"/>
  <c r="I449" i="1" s="1"/>
  <c r="J449" i="1" s="1"/>
  <c r="K449" i="1" a="1"/>
  <c r="K449" i="1" s="1"/>
  <c r="H454" i="1"/>
  <c r="I454" i="1" s="1"/>
  <c r="J454" i="1" s="1"/>
  <c r="K454" i="1" a="1"/>
  <c r="K454" i="1" s="1"/>
  <c r="K459" i="1" a="1"/>
  <c r="K459" i="1" s="1"/>
  <c r="H459" i="1"/>
  <c r="I459" i="1" s="1"/>
  <c r="J459" i="1" s="1"/>
  <c r="H463" i="1"/>
  <c r="I463" i="1" s="1"/>
  <c r="J463" i="1" s="1"/>
  <c r="K463" i="1" a="1"/>
  <c r="K463" i="1" s="1"/>
  <c r="H468" i="1"/>
  <c r="I468" i="1" s="1"/>
  <c r="J468" i="1" s="1"/>
  <c r="K468" i="1" a="1"/>
  <c r="K468" i="1" s="1"/>
  <c r="H472" i="1"/>
  <c r="I472" i="1" s="1"/>
  <c r="J472" i="1" s="1"/>
  <c r="K472" i="1" a="1"/>
  <c r="K472" i="1" s="1"/>
  <c r="K373" i="1" a="1"/>
  <c r="K373" i="1" s="1"/>
  <c r="H373" i="1"/>
  <c r="I373" i="1" s="1"/>
  <c r="J373" i="1" s="1"/>
  <c r="H376" i="1"/>
  <c r="I376" i="1" s="1"/>
  <c r="J376" i="1" s="1"/>
  <c r="K376" i="1" a="1"/>
  <c r="K376" i="1" s="1"/>
  <c r="K379" i="1" a="1"/>
  <c r="K379" i="1" s="1"/>
  <c r="H379" i="1"/>
  <c r="I379" i="1" s="1"/>
  <c r="J379" i="1" s="1"/>
  <c r="K383" i="1" a="1"/>
  <c r="K383" i="1" s="1"/>
  <c r="H383" i="1"/>
  <c r="I383" i="1" s="1"/>
  <c r="J383" i="1" s="1"/>
  <c r="K386" i="1" a="1"/>
  <c r="K386" i="1" s="1"/>
  <c r="H386" i="1"/>
  <c r="I386" i="1" s="1"/>
  <c r="J386" i="1" s="1"/>
  <c r="K390" i="1" a="1"/>
  <c r="K390" i="1" s="1"/>
  <c r="H390" i="1"/>
  <c r="I390" i="1" s="1"/>
  <c r="J390" i="1" s="1"/>
  <c r="H393" i="1"/>
  <c r="I393" i="1" s="1"/>
  <c r="J393" i="1" s="1"/>
  <c r="K393" i="1" a="1"/>
  <c r="K393" i="1" s="1"/>
  <c r="H414" i="1"/>
  <c r="I414" i="1" s="1"/>
  <c r="J414" i="1" s="1"/>
  <c r="K414" i="1" a="1"/>
  <c r="K414" i="1" s="1"/>
  <c r="H418" i="1"/>
  <c r="I418" i="1" s="1"/>
  <c r="J418" i="1" s="1"/>
  <c r="K418" i="1" a="1"/>
  <c r="K418" i="1" s="1"/>
  <c r="K420" i="1" a="1"/>
  <c r="K420" i="1" s="1"/>
  <c r="H420" i="1"/>
  <c r="I420" i="1" s="1"/>
  <c r="J420" i="1" s="1"/>
  <c r="K425" i="1" a="1"/>
  <c r="K425" i="1" s="1"/>
  <c r="H425" i="1"/>
  <c r="I425" i="1" s="1"/>
  <c r="J425" i="1" s="1"/>
  <c r="K428" i="1" a="1"/>
  <c r="K428" i="1" s="1"/>
  <c r="H428" i="1"/>
  <c r="I428" i="1" s="1"/>
  <c r="J428" i="1" s="1"/>
  <c r="K432" i="1" a="1"/>
  <c r="K432" i="1" s="1"/>
  <c r="H432" i="1"/>
  <c r="I432" i="1" s="1"/>
  <c r="J432" i="1" s="1"/>
  <c r="H436" i="1"/>
  <c r="I436" i="1" s="1"/>
  <c r="J436" i="1" s="1"/>
  <c r="K436" i="1" a="1"/>
  <c r="K436" i="1" s="1"/>
  <c r="K440" i="1" a="1"/>
  <c r="K440" i="1" s="1"/>
  <c r="H440" i="1"/>
  <c r="I440" i="1" s="1"/>
  <c r="J440" i="1" s="1"/>
  <c r="K444" i="1" a="1"/>
  <c r="K444" i="1" s="1"/>
  <c r="H444" i="1"/>
  <c r="I444" i="1" s="1"/>
  <c r="J444" i="1" s="1"/>
  <c r="K448" i="1" a="1"/>
  <c r="K448" i="1" s="1"/>
  <c r="H448" i="1"/>
  <c r="I448" i="1" s="1"/>
  <c r="J448" i="1" s="1"/>
  <c r="K452" i="1" a="1"/>
  <c r="K452" i="1" s="1"/>
  <c r="H452" i="1"/>
  <c r="I452" i="1" s="1"/>
  <c r="J452" i="1" s="1"/>
  <c r="H455" i="1"/>
  <c r="I455" i="1" s="1"/>
  <c r="J455" i="1" s="1"/>
  <c r="K455" i="1" a="1"/>
  <c r="K455" i="1" s="1"/>
  <c r="K458" i="1" a="1"/>
  <c r="K458" i="1" s="1"/>
  <c r="H458" i="1"/>
  <c r="I458" i="1" s="1"/>
  <c r="J458" i="1" s="1"/>
  <c r="K462" i="1" a="1"/>
  <c r="K462" i="1" s="1"/>
  <c r="H462" i="1"/>
  <c r="I462" i="1" s="1"/>
  <c r="J462" i="1" s="1"/>
  <c r="K466" i="1" a="1"/>
  <c r="K466" i="1" s="1"/>
  <c r="H466" i="1"/>
  <c r="I466" i="1" s="1"/>
  <c r="J466" i="1" s="1"/>
  <c r="K469" i="1" a="1"/>
  <c r="K469" i="1" s="1"/>
  <c r="H469" i="1"/>
  <c r="I469" i="1" s="1"/>
  <c r="J469" i="1" s="1"/>
  <c r="H473" i="1"/>
  <c r="I473" i="1" s="1"/>
  <c r="J473" i="1" s="1"/>
  <c r="K473" i="1" a="1"/>
  <c r="K473" i="1" s="1"/>
  <c r="D274" i="1"/>
  <c r="E274" i="1" s="1"/>
  <c r="L274" i="1" s="1"/>
  <c r="D276" i="1"/>
  <c r="E276" i="1" s="1"/>
  <c r="L276" i="1" s="1"/>
  <c r="D278" i="1"/>
  <c r="E278" i="1" s="1"/>
  <c r="L278" i="1" s="1"/>
  <c r="D280" i="1"/>
  <c r="E280" i="1" s="1"/>
  <c r="L280" i="1" s="1"/>
  <c r="D282" i="1"/>
  <c r="E282" i="1" s="1"/>
  <c r="L282" i="1" s="1"/>
  <c r="D283" i="1"/>
  <c r="E283" i="1" s="1"/>
  <c r="L283" i="1" s="1"/>
  <c r="D285" i="1"/>
  <c r="E285" i="1" s="1"/>
  <c r="L285" i="1" s="1"/>
  <c r="D287" i="1"/>
  <c r="E287" i="1" s="1"/>
  <c r="L287" i="1" s="1"/>
  <c r="D289" i="1"/>
  <c r="E289" i="1" s="1"/>
  <c r="L289" i="1" s="1"/>
  <c r="D291" i="1"/>
  <c r="E291" i="1" s="1"/>
  <c r="L291" i="1" s="1"/>
  <c r="D293" i="1"/>
  <c r="E293" i="1" s="1"/>
  <c r="L293" i="1" s="1"/>
  <c r="D295" i="1"/>
  <c r="E295" i="1" s="1"/>
  <c r="L295" i="1" s="1"/>
  <c r="D297" i="1"/>
  <c r="E297" i="1" s="1"/>
  <c r="L297" i="1" s="1"/>
  <c r="D299" i="1"/>
  <c r="E299" i="1" s="1"/>
  <c r="L299" i="1" s="1"/>
  <c r="D301" i="1"/>
  <c r="E301" i="1" s="1"/>
  <c r="L301" i="1" s="1"/>
  <c r="K354" i="1" a="1"/>
  <c r="K354" i="1" s="1"/>
  <c r="H354" i="1"/>
  <c r="I354" i="1" s="1"/>
  <c r="J354" i="1" s="1"/>
  <c r="D275" i="1"/>
  <c r="E275" i="1" s="1"/>
  <c r="L275" i="1" s="1"/>
  <c r="D277" i="1"/>
  <c r="E277" i="1" s="1"/>
  <c r="L277" i="1" s="1"/>
  <c r="D279" i="1"/>
  <c r="E279" i="1" s="1"/>
  <c r="L279" i="1" s="1"/>
  <c r="D281" i="1"/>
  <c r="E281" i="1" s="1"/>
  <c r="L281" i="1" s="1"/>
  <c r="D284" i="1"/>
  <c r="E284" i="1" s="1"/>
  <c r="L284" i="1" s="1"/>
  <c r="D286" i="1"/>
  <c r="E286" i="1" s="1"/>
  <c r="L286" i="1" s="1"/>
  <c r="D288" i="1"/>
  <c r="E288" i="1" s="1"/>
  <c r="L288" i="1" s="1"/>
  <c r="D290" i="1"/>
  <c r="E290" i="1" s="1"/>
  <c r="L290" i="1" s="1"/>
  <c r="D292" i="1"/>
  <c r="E292" i="1" s="1"/>
  <c r="L292" i="1" s="1"/>
  <c r="D294" i="1"/>
  <c r="E294" i="1" s="1"/>
  <c r="L294" i="1" s="1"/>
  <c r="D296" i="1"/>
  <c r="E296" i="1" s="1"/>
  <c r="L296" i="1" s="1"/>
  <c r="D298" i="1"/>
  <c r="E298" i="1" s="1"/>
  <c r="L298" i="1" s="1"/>
  <c r="D300" i="1"/>
  <c r="E300" i="1" s="1"/>
  <c r="L300" i="1" s="1"/>
  <c r="D302" i="1"/>
  <c r="E302" i="1" s="1"/>
  <c r="L302" i="1" s="1"/>
  <c r="K243" i="1" a="1"/>
  <c r="K243" i="1" s="1"/>
  <c r="H243" i="1"/>
  <c r="I243" i="1" s="1"/>
  <c r="J243" i="1" s="1"/>
  <c r="H244" i="1"/>
  <c r="I244" i="1" s="1"/>
  <c r="J244" i="1" s="1"/>
  <c r="K244" i="1" a="1"/>
  <c r="K244" i="1" s="1"/>
  <c r="H245" i="1"/>
  <c r="I245" i="1" s="1"/>
  <c r="J245" i="1" s="1"/>
  <c r="K245" i="1" a="1"/>
  <c r="K245" i="1" s="1"/>
  <c r="K246" i="1" a="1"/>
  <c r="K246" i="1" s="1"/>
  <c r="H246" i="1"/>
  <c r="I246" i="1" s="1"/>
  <c r="J246" i="1" s="1"/>
  <c r="K247" i="1" a="1"/>
  <c r="K247" i="1" s="1"/>
  <c r="H247" i="1"/>
  <c r="I247" i="1" s="1"/>
  <c r="J247" i="1" s="1"/>
  <c r="K248" i="1" a="1"/>
  <c r="K248" i="1" s="1"/>
  <c r="H248" i="1"/>
  <c r="I248" i="1" s="1"/>
  <c r="J248" i="1" s="1"/>
  <c r="H249" i="1"/>
  <c r="I249" i="1" s="1"/>
  <c r="J249" i="1" s="1"/>
  <c r="K249" i="1" a="1"/>
  <c r="K249" i="1" s="1"/>
  <c r="H250" i="1"/>
  <c r="I250" i="1" s="1"/>
  <c r="J250" i="1" s="1"/>
  <c r="K250" i="1" a="1"/>
  <c r="K250" i="1" s="1"/>
  <c r="H251" i="1"/>
  <c r="I251" i="1" s="1"/>
  <c r="J251" i="1" s="1"/>
  <c r="K251" i="1" a="1"/>
  <c r="K251" i="1" s="1"/>
  <c r="K252" i="1" a="1"/>
  <c r="K252" i="1" s="1"/>
  <c r="H252" i="1"/>
  <c r="I252" i="1" s="1"/>
  <c r="J252" i="1" s="1"/>
  <c r="K253" i="1" a="1"/>
  <c r="K253" i="1" s="1"/>
  <c r="H253" i="1"/>
  <c r="I253" i="1" s="1"/>
  <c r="J253" i="1" s="1"/>
  <c r="K254" i="1" a="1"/>
  <c r="K254" i="1" s="1"/>
  <c r="H254" i="1"/>
  <c r="I254" i="1" s="1"/>
  <c r="J254" i="1" s="1"/>
  <c r="H255" i="1"/>
  <c r="I255" i="1" s="1"/>
  <c r="J255" i="1" s="1"/>
  <c r="K255" i="1" a="1"/>
  <c r="K255" i="1" s="1"/>
  <c r="K256" i="1" a="1"/>
  <c r="K256" i="1" s="1"/>
  <c r="H256" i="1"/>
  <c r="I256" i="1" s="1"/>
  <c r="J256" i="1" s="1"/>
  <c r="H257" i="1"/>
  <c r="I257" i="1" s="1"/>
  <c r="J257" i="1" s="1"/>
  <c r="K257" i="1" a="1"/>
  <c r="K257" i="1" s="1"/>
  <c r="K258" i="1" a="1"/>
  <c r="K258" i="1" s="1"/>
  <c r="H258" i="1"/>
  <c r="I258" i="1" s="1"/>
  <c r="J258" i="1" s="1"/>
  <c r="H259" i="1"/>
  <c r="I259" i="1" s="1"/>
  <c r="J259" i="1" s="1"/>
  <c r="K259" i="1" a="1"/>
  <c r="K259" i="1" s="1"/>
  <c r="K260" i="1" a="1"/>
  <c r="K260" i="1" s="1"/>
  <c r="H260" i="1"/>
  <c r="I260" i="1" s="1"/>
  <c r="J260" i="1" s="1"/>
  <c r="H261" i="1"/>
  <c r="I261" i="1" s="1"/>
  <c r="J261" i="1" s="1"/>
  <c r="K261" i="1" a="1"/>
  <c r="K261" i="1" s="1"/>
  <c r="K262" i="1" a="1"/>
  <c r="K262" i="1" s="1"/>
  <c r="H262" i="1"/>
  <c r="I262" i="1" s="1"/>
  <c r="J262" i="1" s="1"/>
  <c r="H263" i="1"/>
  <c r="I263" i="1" s="1"/>
  <c r="J263" i="1" s="1"/>
  <c r="K263" i="1" a="1"/>
  <c r="K263" i="1" s="1"/>
  <c r="K264" i="1" a="1"/>
  <c r="K264" i="1" s="1"/>
  <c r="H264" i="1"/>
  <c r="I264" i="1" s="1"/>
  <c r="J264" i="1" s="1"/>
  <c r="H265" i="1"/>
  <c r="I265" i="1" s="1"/>
  <c r="J265" i="1" s="1"/>
  <c r="K265" i="1" a="1"/>
  <c r="K265" i="1" s="1"/>
  <c r="H266" i="1"/>
  <c r="I266" i="1" s="1"/>
  <c r="J266" i="1" s="1"/>
  <c r="K266" i="1" a="1"/>
  <c r="K266" i="1" s="1"/>
  <c r="H267" i="1"/>
  <c r="I267" i="1" s="1"/>
  <c r="J267" i="1" s="1"/>
  <c r="K267" i="1" a="1"/>
  <c r="K267" i="1" s="1"/>
  <c r="K268" i="1" a="1"/>
  <c r="K268" i="1" s="1"/>
  <c r="H268" i="1"/>
  <c r="I268" i="1" s="1"/>
  <c r="J268" i="1" s="1"/>
  <c r="H269" i="1"/>
  <c r="I269" i="1" s="1"/>
  <c r="J269" i="1" s="1"/>
  <c r="K269" i="1" a="1"/>
  <c r="K269" i="1" s="1"/>
  <c r="H270" i="1"/>
  <c r="I270" i="1" s="1"/>
  <c r="J270" i="1" s="1"/>
  <c r="K270" i="1" a="1"/>
  <c r="K270" i="1" s="1"/>
  <c r="H271" i="1"/>
  <c r="I271" i="1" s="1"/>
  <c r="J271" i="1" s="1"/>
  <c r="K271" i="1" a="1"/>
  <c r="K271" i="1" s="1"/>
  <c r="K272" i="1" a="1"/>
  <c r="K272" i="1" s="1"/>
  <c r="H272" i="1"/>
  <c r="I272" i="1" s="1"/>
  <c r="J272" i="1" s="1"/>
  <c r="H273" i="1"/>
  <c r="I273" i="1" s="1"/>
  <c r="J273" i="1" s="1"/>
  <c r="K273" i="1" a="1"/>
  <c r="K273" i="1" s="1"/>
  <c r="D489" i="1"/>
  <c r="E489" i="1" s="1"/>
  <c r="L489" i="1" s="1"/>
  <c r="H489" i="1"/>
  <c r="I489" i="1" s="1"/>
  <c r="J489" i="1" s="1"/>
  <c r="K489" i="1" a="1"/>
  <c r="K489" i="1" s="1"/>
  <c r="D490" i="1"/>
  <c r="E490" i="1" s="1"/>
  <c r="L490" i="1" s="1"/>
  <c r="H490" i="1"/>
  <c r="I490" i="1" s="1"/>
  <c r="J490" i="1" s="1"/>
  <c r="K490" i="1" a="1"/>
  <c r="K490" i="1" s="1"/>
  <c r="D491" i="1"/>
  <c r="E491" i="1" s="1"/>
  <c r="L491" i="1" s="1"/>
  <c r="H491" i="1"/>
  <c r="I491" i="1" s="1"/>
  <c r="J491" i="1" s="1"/>
  <c r="K491" i="1" a="1"/>
  <c r="K491" i="1" s="1"/>
  <c r="D492" i="1"/>
  <c r="E492" i="1" s="1"/>
  <c r="L492" i="1" s="1"/>
  <c r="K492" i="1" a="1"/>
  <c r="K492" i="1" s="1"/>
  <c r="H492" i="1"/>
  <c r="I492" i="1" s="1"/>
  <c r="J492" i="1" s="1"/>
  <c r="D493" i="1"/>
  <c r="E493" i="1" s="1"/>
  <c r="L493" i="1" s="1"/>
  <c r="K493" i="1" a="1"/>
  <c r="K493" i="1" s="1"/>
  <c r="H493" i="1"/>
  <c r="I493" i="1" s="1"/>
  <c r="J493" i="1" s="1"/>
  <c r="D494" i="1"/>
  <c r="E494" i="1" s="1"/>
  <c r="L494" i="1" s="1"/>
  <c r="K494" i="1" a="1"/>
  <c r="K494" i="1" s="1"/>
  <c r="H494" i="1"/>
  <c r="I494" i="1" s="1"/>
  <c r="J494" i="1" s="1"/>
  <c r="D495" i="1"/>
  <c r="E495" i="1" s="1"/>
  <c r="L495" i="1" s="1"/>
  <c r="K495" i="1" a="1"/>
  <c r="K495" i="1" s="1"/>
  <c r="H495" i="1"/>
  <c r="I495" i="1" s="1"/>
  <c r="J495" i="1" s="1"/>
  <c r="D496" i="1"/>
  <c r="E496" i="1" s="1"/>
  <c r="L496" i="1" s="1"/>
  <c r="K496" i="1" a="1"/>
  <c r="K496" i="1" s="1"/>
  <c r="H496" i="1"/>
  <c r="I496" i="1" s="1"/>
  <c r="J496" i="1" s="1"/>
  <c r="D497" i="1"/>
  <c r="E497" i="1" s="1"/>
  <c r="L497" i="1" s="1"/>
  <c r="K497" i="1" a="1"/>
  <c r="K497" i="1" s="1"/>
  <c r="H497" i="1"/>
  <c r="I497" i="1" s="1"/>
  <c r="J497" i="1" s="1"/>
  <c r="D498" i="1"/>
  <c r="E498" i="1" s="1"/>
  <c r="L498" i="1" s="1"/>
  <c r="K498" i="1" a="1"/>
  <c r="K498" i="1" s="1"/>
  <c r="H498" i="1"/>
  <c r="I498" i="1" s="1"/>
  <c r="J498" i="1" s="1"/>
  <c r="D499" i="1"/>
  <c r="E499" i="1" s="1"/>
  <c r="L499" i="1" s="1"/>
  <c r="K499" i="1" a="1"/>
  <c r="K499" i="1" s="1"/>
  <c r="H499" i="1"/>
  <c r="I499" i="1" s="1"/>
  <c r="J499" i="1" s="1"/>
  <c r="D500" i="1"/>
  <c r="E500" i="1" s="1"/>
  <c r="L500" i="1" s="1"/>
  <c r="K500" i="1" a="1"/>
  <c r="K500" i="1" s="1"/>
  <c r="H500" i="1"/>
  <c r="I500" i="1" s="1"/>
  <c r="J500" i="1" s="1"/>
  <c r="D501" i="1"/>
  <c r="E501" i="1" s="1"/>
  <c r="L501" i="1" s="1"/>
  <c r="K501" i="1" a="1"/>
  <c r="K501" i="1" s="1"/>
  <c r="H501" i="1"/>
  <c r="I501" i="1" s="1"/>
  <c r="J501" i="1" s="1"/>
  <c r="D502" i="1"/>
  <c r="E502" i="1" s="1"/>
  <c r="L502" i="1" s="1"/>
  <c r="K502" i="1" a="1"/>
  <c r="K502" i="1" s="1"/>
  <c r="H502" i="1"/>
  <c r="I502" i="1" s="1"/>
  <c r="J502" i="1" s="1"/>
  <c r="D503" i="1"/>
  <c r="E503" i="1" s="1"/>
  <c r="L503" i="1" s="1"/>
  <c r="K503" i="1" a="1"/>
  <c r="K503" i="1" s="1"/>
  <c r="H503" i="1"/>
  <c r="I503" i="1" s="1"/>
  <c r="J503" i="1" s="1"/>
  <c r="D504" i="1"/>
  <c r="E504" i="1" s="1"/>
  <c r="L504" i="1" s="1"/>
  <c r="K504" i="1" a="1"/>
  <c r="K504" i="1" s="1"/>
  <c r="H504" i="1"/>
  <c r="I504" i="1" s="1"/>
  <c r="J504" i="1" s="1"/>
  <c r="D505" i="1"/>
  <c r="E505" i="1" s="1"/>
  <c r="L505" i="1" s="1"/>
  <c r="K505" i="1" a="1"/>
  <c r="K505" i="1" s="1"/>
  <c r="H505" i="1"/>
  <c r="I505" i="1" s="1"/>
  <c r="J505" i="1" s="1"/>
  <c r="D506" i="1"/>
  <c r="E506" i="1" s="1"/>
  <c r="L506" i="1" s="1"/>
  <c r="H506" i="1"/>
  <c r="I506" i="1" s="1"/>
  <c r="J506" i="1" s="1"/>
  <c r="K506" i="1" a="1"/>
  <c r="K506" i="1" s="1"/>
  <c r="D507" i="1"/>
  <c r="E507" i="1" s="1"/>
  <c r="L507" i="1" s="1"/>
  <c r="H507" i="1"/>
  <c r="I507" i="1" s="1"/>
  <c r="J507" i="1" s="1"/>
  <c r="K507" i="1" a="1"/>
  <c r="K507" i="1" s="1"/>
  <c r="D508" i="1"/>
  <c r="E508" i="1" s="1"/>
  <c r="L508" i="1" s="1"/>
  <c r="K508" i="1" a="1"/>
  <c r="K508" i="1" s="1"/>
  <c r="H508" i="1"/>
  <c r="I508" i="1" s="1"/>
  <c r="J508" i="1" s="1"/>
  <c r="D509" i="1"/>
  <c r="E509" i="1" s="1"/>
  <c r="L509" i="1" s="1"/>
  <c r="H509" i="1"/>
  <c r="I509" i="1" s="1"/>
  <c r="J509" i="1" s="1"/>
  <c r="K509" i="1" a="1"/>
  <c r="K509" i="1" s="1"/>
  <c r="H274" i="1"/>
  <c r="I274" i="1" s="1"/>
  <c r="J274" i="1" s="1"/>
  <c r="K274" i="1" a="1"/>
  <c r="K274" i="1" s="1"/>
  <c r="H275" i="1"/>
  <c r="I275" i="1" s="1"/>
  <c r="J275" i="1" s="1"/>
  <c r="K275" i="1" a="1"/>
  <c r="K275" i="1" s="1"/>
  <c r="H276" i="1"/>
  <c r="I276" i="1" s="1"/>
  <c r="J276" i="1" s="1"/>
  <c r="K276" i="1" a="1"/>
  <c r="K276" i="1" s="1"/>
  <c r="K277" i="1" a="1"/>
  <c r="K277" i="1" s="1"/>
  <c r="H277" i="1"/>
  <c r="I277" i="1" s="1"/>
  <c r="J277" i="1" s="1"/>
  <c r="K278" i="1" a="1"/>
  <c r="K278" i="1" s="1"/>
  <c r="H278" i="1"/>
  <c r="I278" i="1" s="1"/>
  <c r="J278" i="1" s="1"/>
  <c r="K279" i="1" a="1"/>
  <c r="K279" i="1" s="1"/>
  <c r="H279" i="1"/>
  <c r="I279" i="1" s="1"/>
  <c r="J279" i="1" s="1"/>
  <c r="K280" i="1" a="1"/>
  <c r="K280" i="1" s="1"/>
  <c r="H280" i="1"/>
  <c r="I280" i="1" s="1"/>
  <c r="J280" i="1" s="1"/>
  <c r="H281" i="1"/>
  <c r="I281" i="1" s="1"/>
  <c r="J281" i="1" s="1"/>
  <c r="K281" i="1" a="1"/>
  <c r="K281" i="1" s="1"/>
  <c r="H282" i="1"/>
  <c r="I282" i="1" s="1"/>
  <c r="J282" i="1" s="1"/>
  <c r="K282" i="1" a="1"/>
  <c r="K282" i="1" s="1"/>
  <c r="K283" i="1" a="1"/>
  <c r="K283" i="1" s="1"/>
  <c r="H283" i="1"/>
  <c r="I283" i="1" s="1"/>
  <c r="J283" i="1" s="1"/>
  <c r="K284" i="1" a="1"/>
  <c r="K284" i="1" s="1"/>
  <c r="H284" i="1"/>
  <c r="I284" i="1" s="1"/>
  <c r="J284" i="1" s="1"/>
  <c r="K285" i="1" a="1"/>
  <c r="K285" i="1" s="1"/>
  <c r="H285" i="1"/>
  <c r="I285" i="1" s="1"/>
  <c r="J285" i="1" s="1"/>
  <c r="H286" i="1"/>
  <c r="I286" i="1" s="1"/>
  <c r="J286" i="1" s="1"/>
  <c r="K286" i="1" a="1"/>
  <c r="K286" i="1" s="1"/>
  <c r="H287" i="1"/>
  <c r="I287" i="1" s="1"/>
  <c r="J287" i="1" s="1"/>
  <c r="K287" i="1" a="1"/>
  <c r="K287" i="1" s="1"/>
  <c r="K288" i="1" a="1"/>
  <c r="K288" i="1" s="1"/>
  <c r="H288" i="1"/>
  <c r="I288" i="1" s="1"/>
  <c r="J288" i="1" s="1"/>
  <c r="K289" i="1" a="1"/>
  <c r="K289" i="1" s="1"/>
  <c r="H289" i="1"/>
  <c r="I289" i="1" s="1"/>
  <c r="J289" i="1" s="1"/>
  <c r="K290" i="1" a="1"/>
  <c r="K290" i="1" s="1"/>
  <c r="H290" i="1"/>
  <c r="I290" i="1" s="1"/>
  <c r="J290" i="1" s="1"/>
  <c r="H291" i="1"/>
  <c r="I291" i="1" s="1"/>
  <c r="J291" i="1" s="1"/>
  <c r="K291" i="1" a="1"/>
  <c r="K291" i="1" s="1"/>
  <c r="K292" i="1" a="1"/>
  <c r="K292" i="1" s="1"/>
  <c r="H292" i="1"/>
  <c r="I292" i="1" s="1"/>
  <c r="J292" i="1" s="1"/>
  <c r="K293" i="1" a="1"/>
  <c r="K293" i="1" s="1"/>
  <c r="H293" i="1"/>
  <c r="I293" i="1" s="1"/>
  <c r="J293" i="1" s="1"/>
  <c r="H294" i="1"/>
  <c r="I294" i="1" s="1"/>
  <c r="J294" i="1" s="1"/>
  <c r="K294" i="1" a="1"/>
  <c r="K294" i="1" s="1"/>
  <c r="H295" i="1"/>
  <c r="I295" i="1" s="1"/>
  <c r="J295" i="1" s="1"/>
  <c r="K295" i="1" a="1"/>
  <c r="K295" i="1" s="1"/>
  <c r="H296" i="1"/>
  <c r="I296" i="1" s="1"/>
  <c r="J296" i="1" s="1"/>
  <c r="K296" i="1" a="1"/>
  <c r="K296" i="1" s="1"/>
  <c r="K297" i="1" a="1"/>
  <c r="K297" i="1" s="1"/>
  <c r="H297" i="1"/>
  <c r="I297" i="1" s="1"/>
  <c r="J297" i="1" s="1"/>
  <c r="K298" i="1" a="1"/>
  <c r="K298" i="1" s="1"/>
  <c r="H298" i="1"/>
  <c r="I298" i="1" s="1"/>
  <c r="J298" i="1" s="1"/>
  <c r="H299" i="1"/>
  <c r="I299" i="1" s="1"/>
  <c r="J299" i="1" s="1"/>
  <c r="K299" i="1" a="1"/>
  <c r="K299" i="1" s="1"/>
  <c r="K300" i="1" a="1"/>
  <c r="K300" i="1" s="1"/>
  <c r="H300" i="1"/>
  <c r="I300" i="1" s="1"/>
  <c r="J300" i="1" s="1"/>
  <c r="K301" i="1" a="1"/>
  <c r="K301" i="1" s="1"/>
  <c r="H301" i="1"/>
  <c r="I301" i="1" s="1"/>
  <c r="J301" i="1" s="1"/>
  <c r="K302" i="1" a="1"/>
  <c r="K302" i="1" s="1"/>
  <c r="H302" i="1"/>
  <c r="I302" i="1" s="1"/>
  <c r="J302" i="1" s="1"/>
  <c r="K303" i="1" a="1"/>
  <c r="K303" i="1" s="1"/>
  <c r="H303" i="1"/>
  <c r="I303" i="1" s="1"/>
  <c r="J303" i="1" s="1"/>
  <c r="K304" i="1" a="1"/>
  <c r="K304" i="1" s="1"/>
  <c r="H304" i="1"/>
  <c r="I304" i="1" s="1"/>
  <c r="J304" i="1" s="1"/>
  <c r="K305" i="1" a="1"/>
  <c r="K305" i="1" s="1"/>
  <c r="H305" i="1"/>
  <c r="I305" i="1" s="1"/>
  <c r="J305" i="1" s="1"/>
  <c r="K306" i="1" a="1"/>
  <c r="K306" i="1" s="1"/>
  <c r="H306" i="1"/>
  <c r="I306" i="1" s="1"/>
  <c r="J306" i="1" s="1"/>
  <c r="K307" i="1" a="1"/>
  <c r="K307" i="1" s="1"/>
  <c r="H307" i="1"/>
  <c r="I307" i="1" s="1"/>
  <c r="J307" i="1" s="1"/>
  <c r="H356" i="1"/>
  <c r="I356" i="1" s="1"/>
  <c r="J356" i="1" s="1"/>
  <c r="K356" i="1" a="1"/>
  <c r="K356" i="1" s="1"/>
  <c r="H360" i="1"/>
  <c r="I360" i="1" s="1"/>
  <c r="J360" i="1" s="1"/>
  <c r="K360" i="1" a="1"/>
  <c r="K360" i="1" s="1"/>
  <c r="K364" i="1" a="1"/>
  <c r="K364" i="1" s="1"/>
  <c r="H364" i="1"/>
  <c r="I364" i="1" s="1"/>
  <c r="J364" i="1" s="1"/>
  <c r="K368" i="1" a="1"/>
  <c r="K368" i="1" s="1"/>
  <c r="H368" i="1"/>
  <c r="I368" i="1" s="1"/>
  <c r="J368" i="1" s="1"/>
  <c r="K371" i="1" a="1"/>
  <c r="K371" i="1" s="1"/>
  <c r="H371" i="1"/>
  <c r="I371" i="1" s="1"/>
  <c r="J371" i="1" s="1"/>
  <c r="K374" i="1" a="1"/>
  <c r="K374" i="1" s="1"/>
  <c r="H374" i="1"/>
  <c r="I374" i="1" s="1"/>
  <c r="J374" i="1" s="1"/>
  <c r="H378" i="1"/>
  <c r="I378" i="1" s="1"/>
  <c r="J378" i="1" s="1"/>
  <c r="K378" i="1" a="1"/>
  <c r="K378" i="1" s="1"/>
  <c r="K381" i="1" a="1"/>
  <c r="K381" i="1" s="1"/>
  <c r="H381" i="1"/>
  <c r="I381" i="1" s="1"/>
  <c r="J381" i="1" s="1"/>
  <c r="H385" i="1"/>
  <c r="I385" i="1" s="1"/>
  <c r="J385" i="1" s="1"/>
  <c r="K385" i="1" a="1"/>
  <c r="K385" i="1" s="1"/>
  <c r="H388" i="1"/>
  <c r="I388" i="1" s="1"/>
  <c r="J388" i="1" s="1"/>
  <c r="K388" i="1" a="1"/>
  <c r="K388" i="1" s="1"/>
  <c r="H392" i="1"/>
  <c r="I392" i="1" s="1"/>
  <c r="J392" i="1" s="1"/>
  <c r="K392" i="1" a="1"/>
  <c r="K392" i="1" s="1"/>
  <c r="H395" i="1"/>
  <c r="I395" i="1" s="1"/>
  <c r="J395" i="1" s="1"/>
  <c r="K395" i="1" a="1"/>
  <c r="K395" i="1" s="1"/>
  <c r="H417" i="1"/>
  <c r="I417" i="1" s="1"/>
  <c r="J417" i="1" s="1"/>
  <c r="K417" i="1" a="1"/>
  <c r="K417" i="1" s="1"/>
  <c r="K422" i="1" a="1"/>
  <c r="K422" i="1" s="1"/>
  <c r="H422" i="1"/>
  <c r="I422" i="1" s="1"/>
  <c r="J422" i="1" s="1"/>
  <c r="K423" i="1" a="1"/>
  <c r="K423" i="1" s="1"/>
  <c r="H423" i="1"/>
  <c r="I423" i="1" s="1"/>
  <c r="J423" i="1" s="1"/>
  <c r="K427" i="1" a="1"/>
  <c r="K427" i="1" s="1"/>
  <c r="H427" i="1"/>
  <c r="I427" i="1" s="1"/>
  <c r="J427" i="1" s="1"/>
  <c r="K431" i="1" a="1"/>
  <c r="K431" i="1" s="1"/>
  <c r="H431" i="1"/>
  <c r="I431" i="1" s="1"/>
  <c r="J431" i="1" s="1"/>
  <c r="H435" i="1"/>
  <c r="I435" i="1" s="1"/>
  <c r="J435" i="1" s="1"/>
  <c r="K435" i="1" a="1"/>
  <c r="K435" i="1" s="1"/>
  <c r="H438" i="1"/>
  <c r="I438" i="1" s="1"/>
  <c r="J438" i="1" s="1"/>
  <c r="K438" i="1" a="1"/>
  <c r="K438" i="1" s="1"/>
  <c r="H442" i="1"/>
  <c r="I442" i="1" s="1"/>
  <c r="J442" i="1" s="1"/>
  <c r="K442" i="1" a="1"/>
  <c r="K442" i="1" s="1"/>
  <c r="H446" i="1"/>
  <c r="I446" i="1" s="1"/>
  <c r="J446" i="1" s="1"/>
  <c r="K446" i="1" a="1"/>
  <c r="K446" i="1" s="1"/>
  <c r="K450" i="1" a="1"/>
  <c r="K450" i="1" s="1"/>
  <c r="H450" i="1"/>
  <c r="I450" i="1" s="1"/>
  <c r="J450" i="1" s="1"/>
  <c r="H453" i="1"/>
  <c r="I453" i="1" s="1"/>
  <c r="J453" i="1" s="1"/>
  <c r="K453" i="1" a="1"/>
  <c r="K453" i="1" s="1"/>
  <c r="H457" i="1"/>
  <c r="I457" i="1" s="1"/>
  <c r="J457" i="1" s="1"/>
  <c r="K457" i="1" a="1"/>
  <c r="K457" i="1" s="1"/>
  <c r="K461" i="1" a="1"/>
  <c r="K461" i="1" s="1"/>
  <c r="H461" i="1"/>
  <c r="I461" i="1" s="1"/>
  <c r="J461" i="1" s="1"/>
  <c r="H464" i="1"/>
  <c r="I464" i="1" s="1"/>
  <c r="J464" i="1" s="1"/>
  <c r="K464" i="1" a="1"/>
  <c r="K464" i="1" s="1"/>
  <c r="K467" i="1" a="1"/>
  <c r="K467" i="1" s="1"/>
  <c r="H467" i="1"/>
  <c r="I467" i="1" s="1"/>
  <c r="J467" i="1" s="1"/>
  <c r="K471" i="1" a="1"/>
  <c r="K471" i="1" s="1"/>
  <c r="H471" i="1"/>
  <c r="I471" i="1" s="1"/>
  <c r="J471" i="1" s="1"/>
  <c r="K475" i="1" a="1"/>
  <c r="K475" i="1" s="1"/>
  <c r="H475" i="1"/>
  <c r="I475" i="1" s="1"/>
  <c r="J475" i="1" s="1"/>
  <c r="H479" i="1"/>
  <c r="I479" i="1" s="1"/>
  <c r="J479" i="1" s="1"/>
  <c r="K479" i="1" a="1"/>
  <c r="K479" i="1" s="1"/>
  <c r="H482" i="1"/>
  <c r="I482" i="1" s="1"/>
  <c r="J482" i="1" s="1"/>
  <c r="K482" i="1" a="1"/>
  <c r="K482" i="1" s="1"/>
  <c r="K486" i="1" a="1"/>
  <c r="K486" i="1" s="1"/>
  <c r="H486" i="1"/>
  <c r="I486" i="1" s="1"/>
  <c r="J486" i="1" s="1"/>
  <c r="D326" i="1"/>
  <c r="E326" i="1" s="1"/>
  <c r="L326" i="1" s="1"/>
  <c r="D327" i="1"/>
  <c r="E327" i="1" s="1"/>
  <c r="L327" i="1" s="1"/>
  <c r="D328" i="1"/>
  <c r="E328" i="1" s="1"/>
  <c r="L328" i="1" s="1"/>
  <c r="D329" i="1"/>
  <c r="E329" i="1" s="1"/>
  <c r="L329" i="1" s="1"/>
  <c r="D330" i="1"/>
  <c r="E330" i="1" s="1"/>
  <c r="L330" i="1" s="1"/>
  <c r="D331" i="1"/>
  <c r="E331" i="1" s="1"/>
  <c r="L331" i="1" s="1"/>
  <c r="D332" i="1"/>
  <c r="E332" i="1" s="1"/>
  <c r="L332" i="1" s="1"/>
  <c r="D333" i="1"/>
  <c r="E333" i="1" s="1"/>
  <c r="L333" i="1" s="1"/>
  <c r="D334" i="1"/>
  <c r="E334" i="1" s="1"/>
  <c r="L334" i="1" s="1"/>
  <c r="D335" i="1"/>
  <c r="E335" i="1" s="1"/>
  <c r="L335" i="1" s="1"/>
  <c r="D336" i="1"/>
  <c r="E336" i="1" s="1"/>
  <c r="L336" i="1" s="1"/>
  <c r="D337" i="1"/>
  <c r="E337" i="1" s="1"/>
  <c r="L337" i="1" s="1"/>
  <c r="D338" i="1"/>
  <c r="E338" i="1" s="1"/>
  <c r="L338" i="1" s="1"/>
  <c r="D339" i="1"/>
  <c r="E339" i="1" s="1"/>
  <c r="L339" i="1" s="1"/>
  <c r="D340" i="1"/>
  <c r="E340" i="1" s="1"/>
  <c r="L340" i="1" s="1"/>
  <c r="D341" i="1"/>
  <c r="E341" i="1" s="1"/>
  <c r="L341" i="1" s="1"/>
  <c r="D342" i="1"/>
  <c r="E342" i="1" s="1"/>
  <c r="L342" i="1" s="1"/>
  <c r="D343" i="1"/>
  <c r="E343" i="1" s="1"/>
  <c r="L343" i="1" s="1"/>
  <c r="D344" i="1"/>
  <c r="E344" i="1" s="1"/>
  <c r="L344" i="1" s="1"/>
  <c r="D345" i="1"/>
  <c r="E345" i="1" s="1"/>
  <c r="L345" i="1" s="1"/>
  <c r="D346" i="1"/>
  <c r="E346" i="1" s="1"/>
  <c r="L346" i="1" s="1"/>
  <c r="D347" i="1"/>
  <c r="E347" i="1" s="1"/>
  <c r="L347" i="1" s="1"/>
  <c r="D348" i="1"/>
  <c r="E348" i="1" s="1"/>
  <c r="L348" i="1" s="1"/>
  <c r="D349" i="1"/>
  <c r="E349" i="1" s="1"/>
  <c r="L349" i="1" s="1"/>
  <c r="D350" i="1"/>
  <c r="E350" i="1" s="1"/>
  <c r="L350" i="1" s="1"/>
  <c r="D351" i="1"/>
  <c r="E351" i="1" s="1"/>
  <c r="L351" i="1" s="1"/>
  <c r="D352" i="1"/>
  <c r="E352" i="1" s="1"/>
  <c r="L352" i="1" s="1"/>
  <c r="D353" i="1"/>
  <c r="E353" i="1" s="1"/>
  <c r="L353" i="1" s="1"/>
  <c r="D354" i="1"/>
  <c r="E354" i="1" s="1"/>
  <c r="L354" i="1" s="1"/>
  <c r="D355" i="1"/>
  <c r="E355" i="1" s="1"/>
  <c r="L355" i="1" s="1"/>
  <c r="D356" i="1"/>
  <c r="E356" i="1" s="1"/>
  <c r="L356" i="1" s="1"/>
  <c r="D357" i="1"/>
  <c r="E357" i="1" s="1"/>
  <c r="L357" i="1" s="1"/>
  <c r="D358" i="1"/>
  <c r="E358" i="1" s="1"/>
  <c r="L358" i="1" s="1"/>
  <c r="D359" i="1"/>
  <c r="E359" i="1" s="1"/>
  <c r="L359" i="1" s="1"/>
  <c r="D360" i="1"/>
  <c r="E360" i="1" s="1"/>
  <c r="L360" i="1" s="1"/>
  <c r="D361" i="1"/>
  <c r="E361" i="1" s="1"/>
  <c r="L361" i="1" s="1"/>
  <c r="D362" i="1"/>
  <c r="E362" i="1" s="1"/>
  <c r="L362" i="1" s="1"/>
  <c r="D363" i="1"/>
  <c r="E363" i="1" s="1"/>
  <c r="L363" i="1" s="1"/>
  <c r="D364" i="1"/>
  <c r="E364" i="1" s="1"/>
  <c r="L364" i="1" s="1"/>
  <c r="D365" i="1"/>
  <c r="E365" i="1" s="1"/>
  <c r="L365" i="1" s="1"/>
  <c r="D366" i="1"/>
  <c r="E366" i="1" s="1"/>
  <c r="L366" i="1" s="1"/>
  <c r="D367" i="1"/>
  <c r="E367" i="1" s="1"/>
  <c r="L367" i="1" s="1"/>
  <c r="D368" i="1"/>
  <c r="E368" i="1" s="1"/>
  <c r="L368" i="1" s="1"/>
  <c r="D369" i="1"/>
  <c r="E369" i="1" s="1"/>
  <c r="L369" i="1" s="1"/>
  <c r="D370" i="1"/>
  <c r="E370" i="1" s="1"/>
  <c r="L370" i="1" s="1"/>
  <c r="D371" i="1"/>
  <c r="E371" i="1" s="1"/>
  <c r="L371" i="1" s="1"/>
  <c r="D372" i="1"/>
  <c r="E372" i="1" s="1"/>
  <c r="L372" i="1" s="1"/>
  <c r="D373" i="1"/>
  <c r="E373" i="1" s="1"/>
  <c r="L373" i="1" s="1"/>
  <c r="D374" i="1"/>
  <c r="E374" i="1" s="1"/>
  <c r="L374" i="1" s="1"/>
  <c r="D375" i="1"/>
  <c r="E375" i="1" s="1"/>
  <c r="L375" i="1" s="1"/>
  <c r="D376" i="1"/>
  <c r="E376" i="1" s="1"/>
  <c r="L376" i="1" s="1"/>
  <c r="H478" i="1"/>
  <c r="I478" i="1" s="1"/>
  <c r="J478" i="1" s="1"/>
  <c r="K478" i="1" a="1"/>
  <c r="K478" i="1" s="1"/>
  <c r="H483" i="1"/>
  <c r="I483" i="1" s="1"/>
  <c r="J483" i="1" s="1"/>
  <c r="K483" i="1" a="1"/>
  <c r="K483" i="1" s="1"/>
  <c r="H476" i="1"/>
  <c r="I476" i="1" s="1"/>
  <c r="J476" i="1" s="1"/>
  <c r="K476" i="1" a="1"/>
  <c r="K476" i="1" s="1"/>
  <c r="K481" i="1" a="1"/>
  <c r="K481" i="1" s="1"/>
  <c r="H481" i="1"/>
  <c r="I481" i="1" s="1"/>
  <c r="J481" i="1" s="1"/>
  <c r="H485" i="1"/>
  <c r="I485" i="1" s="1"/>
  <c r="J485" i="1" s="1"/>
  <c r="K485" i="1" a="1"/>
  <c r="K485" i="1" s="1"/>
  <c r="H477" i="1"/>
  <c r="I477" i="1" s="1"/>
  <c r="J477" i="1" s="1"/>
  <c r="K477" i="1" a="1"/>
  <c r="K477" i="1" s="1"/>
  <c r="H480" i="1"/>
  <c r="I480" i="1" s="1"/>
  <c r="J480" i="1" s="1"/>
  <c r="K480" i="1" a="1"/>
  <c r="K480" i="1" s="1"/>
  <c r="H484" i="1"/>
  <c r="I484" i="1" s="1"/>
  <c r="J484" i="1" s="1"/>
  <c r="K484" i="1" a="1"/>
  <c r="K484" i="1" s="1"/>
  <c r="D90" i="1"/>
  <c r="E90" i="1" s="1"/>
  <c r="L90" i="1" s="1"/>
  <c r="D91" i="1"/>
  <c r="E91" i="1" s="1"/>
  <c r="L91" i="1" s="1"/>
  <c r="D92" i="1"/>
  <c r="E92" i="1" s="1"/>
  <c r="L92" i="1" s="1"/>
  <c r="D93" i="1"/>
  <c r="E93" i="1" s="1"/>
  <c r="L93" i="1" s="1"/>
  <c r="D94" i="1"/>
  <c r="E94" i="1" s="1"/>
  <c r="L94" i="1" s="1"/>
  <c r="D95" i="1"/>
  <c r="E95" i="1" s="1"/>
  <c r="L95" i="1" s="1"/>
  <c r="D96" i="1"/>
  <c r="E96" i="1" s="1"/>
  <c r="L96" i="1" s="1"/>
  <c r="H308" i="1"/>
  <c r="I308" i="1" s="1"/>
  <c r="J308" i="1" s="1"/>
  <c r="K308" i="1" a="1"/>
  <c r="K308" i="1" s="1"/>
  <c r="H309" i="1"/>
  <c r="I309" i="1" s="1"/>
  <c r="J309" i="1" s="1"/>
  <c r="K309" i="1" a="1"/>
  <c r="K309" i="1" s="1"/>
  <c r="H310" i="1"/>
  <c r="I310" i="1" s="1"/>
  <c r="J310" i="1" s="1"/>
  <c r="K310" i="1" a="1"/>
  <c r="K310" i="1" s="1"/>
  <c r="H311" i="1"/>
  <c r="I311" i="1" s="1"/>
  <c r="J311" i="1" s="1"/>
  <c r="K311" i="1" a="1"/>
  <c r="K311" i="1" s="1"/>
  <c r="H312" i="1"/>
  <c r="I312" i="1" s="1"/>
  <c r="J312" i="1" s="1"/>
  <c r="K312" i="1" a="1"/>
  <c r="K312" i="1" s="1"/>
  <c r="H313" i="1"/>
  <c r="I313" i="1" s="1"/>
  <c r="J313" i="1" s="1"/>
  <c r="K313" i="1" a="1"/>
  <c r="K313" i="1" s="1"/>
  <c r="H314" i="1"/>
  <c r="I314" i="1" s="1"/>
  <c r="J314" i="1" s="1"/>
  <c r="K314" i="1" a="1"/>
  <c r="K314" i="1" s="1"/>
  <c r="H315" i="1"/>
  <c r="I315" i="1" s="1"/>
  <c r="J315" i="1" s="1"/>
  <c r="K315" i="1" a="1"/>
  <c r="K315" i="1" s="1"/>
  <c r="H316" i="1"/>
  <c r="I316" i="1" s="1"/>
  <c r="J316" i="1" s="1"/>
  <c r="K316" i="1" a="1"/>
  <c r="K316" i="1" s="1"/>
  <c r="H317" i="1"/>
  <c r="I317" i="1" s="1"/>
  <c r="J317" i="1" s="1"/>
  <c r="K317" i="1" a="1"/>
  <c r="K317" i="1" s="1"/>
  <c r="H318" i="1"/>
  <c r="I318" i="1" s="1"/>
  <c r="J318" i="1" s="1"/>
  <c r="K318" i="1" a="1"/>
  <c r="K318" i="1" s="1"/>
  <c r="H319" i="1"/>
  <c r="I319" i="1" s="1"/>
  <c r="J319" i="1" s="1"/>
  <c r="K319" i="1" a="1"/>
  <c r="K319" i="1" s="1"/>
  <c r="H320" i="1"/>
  <c r="I320" i="1" s="1"/>
  <c r="J320" i="1" s="1"/>
  <c r="K320" i="1" a="1"/>
  <c r="K320" i="1" s="1"/>
  <c r="H321" i="1"/>
  <c r="I321" i="1" s="1"/>
  <c r="J321" i="1" s="1"/>
  <c r="K321" i="1" a="1"/>
  <c r="K321" i="1" s="1"/>
  <c r="H322" i="1"/>
  <c r="I322" i="1" s="1"/>
  <c r="J322" i="1" s="1"/>
  <c r="K322" i="1" a="1"/>
  <c r="K322" i="1" s="1"/>
  <c r="H323" i="1"/>
  <c r="I323" i="1" s="1"/>
  <c r="J323" i="1" s="1"/>
  <c r="K323" i="1" a="1"/>
  <c r="K323" i="1" s="1"/>
  <c r="H324" i="1"/>
  <c r="I324" i="1" s="1"/>
  <c r="J324" i="1" s="1"/>
  <c r="K324" i="1" a="1"/>
  <c r="K324" i="1" s="1"/>
  <c r="H325" i="1"/>
  <c r="I325" i="1" s="1"/>
  <c r="J325" i="1" s="1"/>
  <c r="K325" i="1" a="1"/>
  <c r="K325" i="1" s="1"/>
  <c r="H326" i="1"/>
  <c r="I326" i="1" s="1"/>
  <c r="J326" i="1" s="1"/>
  <c r="K326" i="1" a="1"/>
  <c r="K326" i="1" s="1"/>
  <c r="H327" i="1"/>
  <c r="I327" i="1" s="1"/>
  <c r="J327" i="1" s="1"/>
  <c r="K327" i="1" a="1"/>
  <c r="K327" i="1" s="1"/>
  <c r="H328" i="1"/>
  <c r="I328" i="1" s="1"/>
  <c r="J328" i="1" s="1"/>
  <c r="K328" i="1" a="1"/>
  <c r="K328" i="1" s="1"/>
  <c r="H329" i="1"/>
  <c r="I329" i="1" s="1"/>
  <c r="J329" i="1" s="1"/>
  <c r="K329" i="1" a="1"/>
  <c r="K329" i="1" s="1"/>
  <c r="H330" i="1"/>
  <c r="I330" i="1" s="1"/>
  <c r="J330" i="1" s="1"/>
  <c r="K330" i="1" a="1"/>
  <c r="K330" i="1" s="1"/>
  <c r="H331" i="1"/>
  <c r="I331" i="1" s="1"/>
  <c r="J331" i="1" s="1"/>
  <c r="K331" i="1" a="1"/>
  <c r="K331" i="1" s="1"/>
  <c r="H332" i="1"/>
  <c r="I332" i="1" s="1"/>
  <c r="J332" i="1" s="1"/>
  <c r="K332" i="1" a="1"/>
  <c r="K332" i="1" s="1"/>
  <c r="H333" i="1"/>
  <c r="I333" i="1" s="1"/>
  <c r="J333" i="1" s="1"/>
  <c r="K333" i="1" a="1"/>
  <c r="K333" i="1" s="1"/>
  <c r="H334" i="1"/>
  <c r="I334" i="1" s="1"/>
  <c r="J334" i="1" s="1"/>
  <c r="K334" i="1" a="1"/>
  <c r="K334" i="1" s="1"/>
  <c r="H335" i="1"/>
  <c r="I335" i="1" s="1"/>
  <c r="J335" i="1" s="1"/>
  <c r="K335" i="1" a="1"/>
  <c r="K335" i="1" s="1"/>
  <c r="H336" i="1"/>
  <c r="I336" i="1" s="1"/>
  <c r="J336" i="1" s="1"/>
  <c r="K336" i="1" a="1"/>
  <c r="K336" i="1" s="1"/>
  <c r="H337" i="1"/>
  <c r="I337" i="1" s="1"/>
  <c r="J337" i="1" s="1"/>
  <c r="K337" i="1" a="1"/>
  <c r="K337" i="1" s="1"/>
  <c r="H338" i="1"/>
  <c r="I338" i="1" s="1"/>
  <c r="J338" i="1" s="1"/>
  <c r="K338" i="1" a="1"/>
  <c r="K338" i="1" s="1"/>
  <c r="H339" i="1"/>
  <c r="I339" i="1" s="1"/>
  <c r="J339" i="1" s="1"/>
  <c r="K339" i="1" a="1"/>
  <c r="K339" i="1" s="1"/>
  <c r="H340" i="1"/>
  <c r="I340" i="1" s="1"/>
  <c r="J340" i="1" s="1"/>
  <c r="K340" i="1" a="1"/>
  <c r="K340" i="1" s="1"/>
  <c r="K345" i="1" a="1"/>
  <c r="K345" i="1" s="1"/>
  <c r="H345" i="1"/>
  <c r="I345" i="1" s="1"/>
  <c r="J345" i="1" s="1"/>
  <c r="K346" i="1" a="1"/>
  <c r="K346" i="1" s="1"/>
  <c r="H346" i="1"/>
  <c r="I346" i="1" s="1"/>
  <c r="J346" i="1" s="1"/>
  <c r="H348" i="1"/>
  <c r="I348" i="1" s="1"/>
  <c r="J348" i="1" s="1"/>
  <c r="K348" i="1" a="1"/>
  <c r="K348" i="1" s="1"/>
  <c r="H351" i="1"/>
  <c r="I351" i="1" s="1"/>
  <c r="J351" i="1" s="1"/>
  <c r="K351" i="1" a="1"/>
  <c r="K351" i="1" s="1"/>
  <c r="K399" i="1" a="1"/>
  <c r="K399" i="1" s="1"/>
  <c r="H399" i="1"/>
  <c r="I399" i="1" s="1"/>
  <c r="J399" i="1" s="1"/>
  <c r="K402" i="1" a="1"/>
  <c r="K402" i="1" s="1"/>
  <c r="H402" i="1"/>
  <c r="I402" i="1" s="1"/>
  <c r="J402" i="1" s="1"/>
  <c r="K406" i="1" a="1"/>
  <c r="K406" i="1" s="1"/>
  <c r="H406" i="1"/>
  <c r="I406" i="1" s="1"/>
  <c r="J406" i="1" s="1"/>
  <c r="K409" i="1" a="1"/>
  <c r="K409" i="1" s="1"/>
  <c r="H409" i="1"/>
  <c r="I409" i="1" s="1"/>
  <c r="J409" i="1" s="1"/>
  <c r="H413" i="1"/>
  <c r="I413" i="1" s="1"/>
  <c r="J413" i="1" s="1"/>
  <c r="K413" i="1" a="1"/>
  <c r="K413" i="1" s="1"/>
  <c r="D377" i="1"/>
  <c r="E377" i="1" s="1"/>
  <c r="L377" i="1" s="1"/>
  <c r="D378" i="1"/>
  <c r="E378" i="1" s="1"/>
  <c r="L378" i="1" s="1"/>
  <c r="D379" i="1"/>
  <c r="E379" i="1" s="1"/>
  <c r="L379" i="1" s="1"/>
  <c r="D380" i="1"/>
  <c r="E380" i="1" s="1"/>
  <c r="L380" i="1" s="1"/>
  <c r="D381" i="1"/>
  <c r="E381" i="1" s="1"/>
  <c r="L381" i="1" s="1"/>
  <c r="D382" i="1"/>
  <c r="E382" i="1" s="1"/>
  <c r="L382" i="1" s="1"/>
  <c r="D383" i="1"/>
  <c r="E383" i="1" s="1"/>
  <c r="L383" i="1" s="1"/>
  <c r="D384" i="1"/>
  <c r="E384" i="1" s="1"/>
  <c r="L384" i="1" s="1"/>
  <c r="D385" i="1"/>
  <c r="E385" i="1" s="1"/>
  <c r="L385" i="1" s="1"/>
  <c r="D386" i="1"/>
  <c r="E386" i="1" s="1"/>
  <c r="L386" i="1" s="1"/>
  <c r="D387" i="1"/>
  <c r="E387" i="1" s="1"/>
  <c r="L387" i="1" s="1"/>
  <c r="D388" i="1"/>
  <c r="E388" i="1" s="1"/>
  <c r="L388" i="1" s="1"/>
  <c r="D389" i="1"/>
  <c r="E389" i="1" s="1"/>
  <c r="L389" i="1" s="1"/>
  <c r="D390" i="1"/>
  <c r="E390" i="1" s="1"/>
  <c r="L390" i="1" s="1"/>
  <c r="D391" i="1"/>
  <c r="E391" i="1" s="1"/>
  <c r="L391" i="1" s="1"/>
  <c r="D392" i="1"/>
  <c r="E392" i="1" s="1"/>
  <c r="L392" i="1" s="1"/>
  <c r="D393" i="1"/>
  <c r="E393" i="1" s="1"/>
  <c r="L393" i="1" s="1"/>
  <c r="D394" i="1"/>
  <c r="E394" i="1" s="1"/>
  <c r="L394" i="1" s="1"/>
  <c r="D395" i="1"/>
  <c r="E395" i="1" s="1"/>
  <c r="L395" i="1" s="1"/>
  <c r="D396" i="1"/>
  <c r="E396" i="1" s="1"/>
  <c r="L396" i="1" s="1"/>
  <c r="D397" i="1"/>
  <c r="E397" i="1" s="1"/>
  <c r="L397" i="1" s="1"/>
  <c r="D398" i="1"/>
  <c r="E398" i="1" s="1"/>
  <c r="L398" i="1" s="1"/>
  <c r="D399" i="1"/>
  <c r="E399" i="1" s="1"/>
  <c r="L399" i="1" s="1"/>
  <c r="D400" i="1"/>
  <c r="E400" i="1" s="1"/>
  <c r="L400" i="1" s="1"/>
  <c r="D401" i="1"/>
  <c r="E401" i="1" s="1"/>
  <c r="L401" i="1" s="1"/>
  <c r="D402" i="1"/>
  <c r="E402" i="1" s="1"/>
  <c r="L402" i="1" s="1"/>
  <c r="D403" i="1"/>
  <c r="E403" i="1" s="1"/>
  <c r="L403" i="1" s="1"/>
  <c r="D404" i="1"/>
  <c r="E404" i="1" s="1"/>
  <c r="L404" i="1" s="1"/>
  <c r="D405" i="1"/>
  <c r="E405" i="1" s="1"/>
  <c r="L405" i="1" s="1"/>
  <c r="D406" i="1"/>
  <c r="E406" i="1" s="1"/>
  <c r="L406" i="1" s="1"/>
  <c r="D407" i="1"/>
  <c r="E407" i="1" s="1"/>
  <c r="L407" i="1" s="1"/>
  <c r="D408" i="1"/>
  <c r="E408" i="1" s="1"/>
  <c r="L408" i="1" s="1"/>
  <c r="D409" i="1"/>
  <c r="E409" i="1" s="1"/>
  <c r="L409" i="1" s="1"/>
  <c r="D410" i="1"/>
  <c r="E410" i="1" s="1"/>
  <c r="L410" i="1" s="1"/>
  <c r="D411" i="1"/>
  <c r="E411" i="1" s="1"/>
  <c r="L411" i="1" s="1"/>
  <c r="D412" i="1"/>
  <c r="E412" i="1" s="1"/>
  <c r="L412" i="1" s="1"/>
  <c r="D413" i="1"/>
  <c r="E413" i="1" s="1"/>
  <c r="L413" i="1" s="1"/>
  <c r="D414" i="1"/>
  <c r="E414" i="1" s="1"/>
  <c r="L414" i="1" s="1"/>
  <c r="D415" i="1"/>
  <c r="E415" i="1" s="1"/>
  <c r="L415" i="1" s="1"/>
  <c r="D416" i="1"/>
  <c r="E416" i="1" s="1"/>
  <c r="L416" i="1" s="1"/>
  <c r="D417" i="1"/>
  <c r="E417" i="1" s="1"/>
  <c r="L417" i="1" s="1"/>
  <c r="D418" i="1"/>
  <c r="E418" i="1" s="1"/>
  <c r="L418" i="1" s="1"/>
  <c r="D419" i="1"/>
  <c r="E419" i="1" s="1"/>
  <c r="L419" i="1" s="1"/>
  <c r="D420" i="1"/>
  <c r="E420" i="1" s="1"/>
  <c r="L420" i="1" s="1"/>
  <c r="D421" i="1"/>
  <c r="E421" i="1" s="1"/>
  <c r="L421" i="1" s="1"/>
  <c r="D422" i="1"/>
  <c r="E422" i="1" s="1"/>
  <c r="L422" i="1" s="1"/>
  <c r="D423" i="1"/>
  <c r="E423" i="1" s="1"/>
  <c r="L423" i="1" s="1"/>
  <c r="D424" i="1"/>
  <c r="E424" i="1" s="1"/>
  <c r="L424" i="1" s="1"/>
  <c r="D425" i="1"/>
  <c r="E425" i="1" s="1"/>
  <c r="L425" i="1" s="1"/>
  <c r="D426" i="1"/>
  <c r="E426" i="1" s="1"/>
  <c r="L426" i="1" s="1"/>
  <c r="D427" i="1"/>
  <c r="E427" i="1" s="1"/>
  <c r="L427" i="1" s="1"/>
  <c r="D428" i="1"/>
  <c r="E428" i="1" s="1"/>
  <c r="L428" i="1" s="1"/>
  <c r="D429" i="1"/>
  <c r="E429" i="1" s="1"/>
  <c r="L429" i="1" s="1"/>
  <c r="D430" i="1"/>
  <c r="E430" i="1" s="1"/>
  <c r="L430" i="1" s="1"/>
  <c r="D431" i="1"/>
  <c r="E431" i="1" s="1"/>
  <c r="L431" i="1" s="1"/>
  <c r="D432" i="1"/>
  <c r="E432" i="1" s="1"/>
  <c r="L432" i="1" s="1"/>
  <c r="D433" i="1"/>
  <c r="E433" i="1" s="1"/>
  <c r="L433" i="1" s="1"/>
  <c r="D434" i="1"/>
  <c r="E434" i="1" s="1"/>
  <c r="L434" i="1" s="1"/>
  <c r="D435" i="1"/>
  <c r="E435" i="1" s="1"/>
  <c r="L435" i="1" s="1"/>
  <c r="D436" i="1"/>
  <c r="E436" i="1" s="1"/>
  <c r="L436" i="1" s="1"/>
  <c r="D437" i="1"/>
  <c r="E437" i="1" s="1"/>
  <c r="L437" i="1" s="1"/>
  <c r="D438" i="1"/>
  <c r="E438" i="1" s="1"/>
  <c r="L438" i="1" s="1"/>
  <c r="D439" i="1"/>
  <c r="E439" i="1" s="1"/>
  <c r="L439" i="1" s="1"/>
  <c r="D440" i="1"/>
  <c r="E440" i="1" s="1"/>
  <c r="L440" i="1" s="1"/>
  <c r="D441" i="1"/>
  <c r="E441" i="1" s="1"/>
  <c r="L441" i="1" s="1"/>
  <c r="D442" i="1"/>
  <c r="E442" i="1" s="1"/>
  <c r="L442" i="1" s="1"/>
  <c r="D443" i="1"/>
  <c r="E443" i="1" s="1"/>
  <c r="L443" i="1" s="1"/>
  <c r="D444" i="1"/>
  <c r="E444" i="1" s="1"/>
  <c r="L444" i="1" s="1"/>
  <c r="D445" i="1"/>
  <c r="E445" i="1" s="1"/>
  <c r="L445" i="1" s="1"/>
  <c r="D446" i="1"/>
  <c r="E446" i="1" s="1"/>
  <c r="L446" i="1" s="1"/>
  <c r="D447" i="1"/>
  <c r="E447" i="1" s="1"/>
  <c r="L447" i="1" s="1"/>
  <c r="D448" i="1"/>
  <c r="E448" i="1" s="1"/>
  <c r="L448" i="1" s="1"/>
  <c r="D449" i="1"/>
  <c r="E449" i="1" s="1"/>
  <c r="L449" i="1" s="1"/>
  <c r="D450" i="1"/>
  <c r="E450" i="1" s="1"/>
  <c r="L450" i="1" s="1"/>
  <c r="D451" i="1"/>
  <c r="E451" i="1" s="1"/>
  <c r="L451" i="1" s="1"/>
  <c r="D452" i="1"/>
  <c r="E452" i="1" s="1"/>
  <c r="L452" i="1" s="1"/>
  <c r="D453" i="1"/>
  <c r="E453" i="1" s="1"/>
  <c r="L453" i="1" s="1"/>
  <c r="D454" i="1"/>
  <c r="E454" i="1" s="1"/>
  <c r="L454" i="1" s="1"/>
  <c r="D455" i="1"/>
  <c r="E455" i="1" s="1"/>
  <c r="L455" i="1" s="1"/>
  <c r="D456" i="1"/>
  <c r="E456" i="1" s="1"/>
  <c r="L456" i="1" s="1"/>
  <c r="D457" i="1"/>
  <c r="E457" i="1" s="1"/>
  <c r="L457" i="1" s="1"/>
  <c r="D458" i="1"/>
  <c r="E458" i="1" s="1"/>
  <c r="L458" i="1" s="1"/>
  <c r="D459" i="1"/>
  <c r="E459" i="1" s="1"/>
  <c r="L459" i="1" s="1"/>
  <c r="D460" i="1"/>
  <c r="E460" i="1" s="1"/>
  <c r="L460" i="1" s="1"/>
  <c r="D461" i="1"/>
  <c r="E461" i="1" s="1"/>
  <c r="L461" i="1" s="1"/>
  <c r="D462" i="1"/>
  <c r="E462" i="1" s="1"/>
  <c r="L462" i="1" s="1"/>
  <c r="D463" i="1"/>
  <c r="E463" i="1" s="1"/>
  <c r="L463" i="1" s="1"/>
  <c r="D464" i="1"/>
  <c r="E464" i="1" s="1"/>
  <c r="L464" i="1" s="1"/>
  <c r="D465" i="1"/>
  <c r="E465" i="1" s="1"/>
  <c r="L465" i="1" s="1"/>
  <c r="D466" i="1"/>
  <c r="E466" i="1" s="1"/>
  <c r="L466" i="1" s="1"/>
  <c r="D467" i="1"/>
  <c r="E467" i="1" s="1"/>
  <c r="L467" i="1" s="1"/>
  <c r="D468" i="1"/>
  <c r="E468" i="1" s="1"/>
  <c r="L468" i="1" s="1"/>
  <c r="D469" i="1"/>
  <c r="E469" i="1" s="1"/>
  <c r="L469" i="1" s="1"/>
  <c r="D470" i="1"/>
  <c r="E470" i="1" s="1"/>
  <c r="L470" i="1" s="1"/>
  <c r="D471" i="1"/>
  <c r="E471" i="1" s="1"/>
  <c r="L471" i="1" s="1"/>
  <c r="D472" i="1"/>
  <c r="E472" i="1" s="1"/>
  <c r="L472" i="1" s="1"/>
  <c r="D473" i="1"/>
  <c r="E473" i="1" s="1"/>
  <c r="L473" i="1" s="1"/>
  <c r="D474" i="1"/>
  <c r="E474" i="1" s="1"/>
  <c r="L474" i="1" s="1"/>
  <c r="D475" i="1"/>
  <c r="E475" i="1" s="1"/>
  <c r="L475" i="1" s="1"/>
  <c r="D476" i="1"/>
  <c r="E476" i="1" s="1"/>
  <c r="L476" i="1" s="1"/>
  <c r="D477" i="1"/>
  <c r="E477" i="1" s="1"/>
  <c r="L477" i="1" s="1"/>
  <c r="D478" i="1"/>
  <c r="E478" i="1" s="1"/>
  <c r="L478" i="1" s="1"/>
  <c r="D479" i="1"/>
  <c r="E479" i="1" s="1"/>
  <c r="L479" i="1" s="1"/>
  <c r="D480" i="1"/>
  <c r="E480" i="1" s="1"/>
  <c r="L480" i="1" s="1"/>
  <c r="D481" i="1"/>
  <c r="E481" i="1" s="1"/>
  <c r="L481" i="1" s="1"/>
  <c r="D482" i="1"/>
  <c r="E482" i="1" s="1"/>
  <c r="L482" i="1" s="1"/>
  <c r="D483" i="1"/>
  <c r="E483" i="1" s="1"/>
  <c r="L483" i="1" s="1"/>
  <c r="D484" i="1"/>
  <c r="E484" i="1" s="1"/>
  <c r="L484" i="1" s="1"/>
  <c r="D485" i="1"/>
  <c r="E485" i="1" s="1"/>
  <c r="L485" i="1" s="1"/>
  <c r="D486" i="1"/>
  <c r="E486" i="1" s="1"/>
  <c r="L486" i="1" s="1"/>
  <c r="D487" i="1"/>
  <c r="E487" i="1" s="1"/>
  <c r="L487" i="1" s="1"/>
  <c r="D488" i="1"/>
  <c r="E488" i="1" s="1"/>
  <c r="L488" i="1" s="1"/>
  <c r="K341" i="1" a="1"/>
  <c r="K341" i="1" s="1"/>
  <c r="H341" i="1"/>
  <c r="I341" i="1" s="1"/>
  <c r="J341" i="1" s="1"/>
  <c r="K347" i="1" a="1"/>
  <c r="K347" i="1" s="1"/>
  <c r="H347" i="1"/>
  <c r="I347" i="1" s="1"/>
  <c r="J347" i="1" s="1"/>
  <c r="K353" i="1" a="1"/>
  <c r="K353" i="1" s="1"/>
  <c r="H353" i="1"/>
  <c r="I353" i="1" s="1"/>
  <c r="J353" i="1" s="1"/>
  <c r="K357" i="1" a="1"/>
  <c r="K357" i="1" s="1"/>
  <c r="H357" i="1"/>
  <c r="I357" i="1" s="1"/>
  <c r="J357" i="1" s="1"/>
  <c r="H398" i="1"/>
  <c r="I398" i="1" s="1"/>
  <c r="J398" i="1" s="1"/>
  <c r="K398" i="1" a="1"/>
  <c r="K398" i="1" s="1"/>
  <c r="H403" i="1"/>
  <c r="I403" i="1" s="1"/>
  <c r="J403" i="1" s="1"/>
  <c r="K403" i="1" a="1"/>
  <c r="K403" i="1" s="1"/>
  <c r="H407" i="1"/>
  <c r="I407" i="1" s="1"/>
  <c r="J407" i="1" s="1"/>
  <c r="K407" i="1" a="1"/>
  <c r="K407" i="1" s="1"/>
  <c r="K411" i="1" a="1"/>
  <c r="K411" i="1" s="1"/>
  <c r="H411" i="1"/>
  <c r="I411" i="1" s="1"/>
  <c r="J411" i="1" s="1"/>
  <c r="H415" i="1"/>
  <c r="I415" i="1" s="1"/>
  <c r="J415" i="1" s="1"/>
  <c r="K415" i="1" a="1"/>
  <c r="K415" i="1" s="1"/>
  <c r="K419" i="1" a="1"/>
  <c r="K419" i="1" s="1"/>
  <c r="H419" i="1"/>
  <c r="I419" i="1" s="1"/>
  <c r="J419" i="1" s="1"/>
  <c r="K487" i="1" a="1"/>
  <c r="K487" i="1" s="1"/>
  <c r="H487" i="1"/>
  <c r="I487" i="1" s="1"/>
  <c r="J487" i="1" s="1"/>
  <c r="H342" i="1"/>
  <c r="I342" i="1" s="1"/>
  <c r="J342" i="1" s="1"/>
  <c r="K342" i="1" a="1"/>
  <c r="K342" i="1" s="1"/>
  <c r="H352" i="1"/>
  <c r="I352" i="1" s="1"/>
  <c r="J352" i="1" s="1"/>
  <c r="K352" i="1" a="1"/>
  <c r="K352" i="1" s="1"/>
  <c r="H358" i="1"/>
  <c r="I358" i="1" s="1"/>
  <c r="J358" i="1" s="1"/>
  <c r="K358" i="1" a="1"/>
  <c r="K358" i="1" s="1"/>
  <c r="H400" i="1"/>
  <c r="I400" i="1" s="1"/>
  <c r="J400" i="1" s="1"/>
  <c r="K400" i="1" a="1"/>
  <c r="K400" i="1" s="1"/>
  <c r="H404" i="1"/>
  <c r="I404" i="1" s="1"/>
  <c r="J404" i="1" s="1"/>
  <c r="K404" i="1" a="1"/>
  <c r="K404" i="1" s="1"/>
  <c r="K408" i="1" a="1"/>
  <c r="K408" i="1" s="1"/>
  <c r="H408" i="1"/>
  <c r="I408" i="1" s="1"/>
  <c r="J408" i="1" s="1"/>
  <c r="K412" i="1" a="1"/>
  <c r="K412" i="1" s="1"/>
  <c r="H412" i="1"/>
  <c r="I412" i="1" s="1"/>
  <c r="J412" i="1" s="1"/>
  <c r="K416" i="1" a="1"/>
  <c r="K416" i="1" s="1"/>
  <c r="H416" i="1"/>
  <c r="I416" i="1" s="1"/>
  <c r="J416" i="1" s="1"/>
  <c r="K421" i="1" a="1"/>
  <c r="K421" i="1" s="1"/>
  <c r="H421" i="1"/>
  <c r="I421" i="1" s="1"/>
  <c r="J421" i="1" s="1"/>
  <c r="K344" i="1" a="1"/>
  <c r="K344" i="1" s="1"/>
  <c r="H344" i="1"/>
  <c r="I344" i="1" s="1"/>
  <c r="J344" i="1" s="1"/>
  <c r="K349" i="1" a="1"/>
  <c r="K349" i="1" s="1"/>
  <c r="H349" i="1"/>
  <c r="I349" i="1" s="1"/>
  <c r="J349" i="1" s="1"/>
  <c r="K397" i="1" a="1"/>
  <c r="K397" i="1" s="1"/>
  <c r="H397" i="1"/>
  <c r="I397" i="1" s="1"/>
  <c r="J397" i="1" s="1"/>
  <c r="H401" i="1"/>
  <c r="I401" i="1" s="1"/>
  <c r="J401" i="1" s="1"/>
  <c r="K401" i="1" a="1"/>
  <c r="K401" i="1" s="1"/>
  <c r="K405" i="1" a="1"/>
  <c r="K405" i="1" s="1"/>
  <c r="H405" i="1"/>
  <c r="I405" i="1" s="1"/>
  <c r="J405" i="1" s="1"/>
  <c r="H410" i="1"/>
  <c r="I410" i="1" s="1"/>
  <c r="J410" i="1" s="1"/>
  <c r="K410" i="1" a="1"/>
  <c r="K410" i="1" s="1"/>
  <c r="K488" i="1" a="1"/>
  <c r="K488" i="1" s="1"/>
  <c r="H488" i="1"/>
  <c r="I488" i="1" s="1"/>
  <c r="J488" i="1" s="1"/>
  <c r="K343" i="1" a="1"/>
  <c r="K343" i="1" s="1"/>
  <c r="H343" i="1"/>
  <c r="I343" i="1" s="1"/>
  <c r="J343" i="1" s="1"/>
  <c r="H350" i="1"/>
  <c r="I350" i="1" s="1"/>
  <c r="J350" i="1" s="1"/>
  <c r="K350" i="1" a="1"/>
  <c r="K350" i="1" s="1"/>
  <c r="D243" i="1"/>
  <c r="E243" i="1" s="1"/>
  <c r="L243" i="1" s="1"/>
  <c r="D244" i="1"/>
  <c r="E244" i="1" s="1"/>
  <c r="L244" i="1" s="1"/>
  <c r="D245" i="1"/>
  <c r="E245" i="1" s="1"/>
  <c r="L245" i="1" s="1"/>
  <c r="D246" i="1"/>
  <c r="E246" i="1" s="1"/>
  <c r="L246" i="1" s="1"/>
  <c r="D247" i="1"/>
  <c r="E247" i="1" s="1"/>
  <c r="L247" i="1" s="1"/>
  <c r="D248" i="1"/>
  <c r="E248" i="1" s="1"/>
  <c r="L248" i="1" s="1"/>
  <c r="D249" i="1"/>
  <c r="E249" i="1" s="1"/>
  <c r="L249" i="1" s="1"/>
  <c r="D250" i="1"/>
  <c r="E250" i="1" s="1"/>
  <c r="L250" i="1" s="1"/>
  <c r="D251" i="1"/>
  <c r="E251" i="1" s="1"/>
  <c r="L251" i="1" s="1"/>
  <c r="D252" i="1"/>
  <c r="E252" i="1" s="1"/>
  <c r="L252" i="1" s="1"/>
  <c r="D253" i="1"/>
  <c r="E253" i="1" s="1"/>
  <c r="L253" i="1" s="1"/>
  <c r="D254" i="1"/>
  <c r="E254" i="1" s="1"/>
  <c r="L254" i="1" s="1"/>
  <c r="D255" i="1"/>
  <c r="E255" i="1" s="1"/>
  <c r="L255" i="1" s="1"/>
  <c r="D256" i="1"/>
  <c r="E256" i="1" s="1"/>
  <c r="L256" i="1" s="1"/>
  <c r="D257" i="1"/>
  <c r="E257" i="1" s="1"/>
  <c r="L257" i="1" s="1"/>
  <c r="D258" i="1"/>
  <c r="E258" i="1" s="1"/>
  <c r="L258" i="1" s="1"/>
  <c r="D259" i="1"/>
  <c r="E259" i="1" s="1"/>
  <c r="L259" i="1" s="1"/>
  <c r="D260" i="1"/>
  <c r="E260" i="1" s="1"/>
  <c r="L260" i="1" s="1"/>
  <c r="D261" i="1"/>
  <c r="E261" i="1" s="1"/>
  <c r="L261" i="1" s="1"/>
  <c r="D262" i="1"/>
  <c r="E262" i="1" s="1"/>
  <c r="L262" i="1" s="1"/>
  <c r="D263" i="1"/>
  <c r="E263" i="1" s="1"/>
  <c r="L263" i="1" s="1"/>
  <c r="D264" i="1"/>
  <c r="E264" i="1" s="1"/>
  <c r="L264" i="1" s="1"/>
  <c r="D265" i="1"/>
  <c r="E265" i="1" s="1"/>
  <c r="L265" i="1" s="1"/>
  <c r="D266" i="1"/>
  <c r="E266" i="1" s="1"/>
  <c r="L266" i="1" s="1"/>
  <c r="D267" i="1"/>
  <c r="E267" i="1" s="1"/>
  <c r="L267" i="1" s="1"/>
  <c r="D268" i="1"/>
  <c r="E268" i="1" s="1"/>
  <c r="L268" i="1" s="1"/>
  <c r="D269" i="1"/>
  <c r="E269" i="1" s="1"/>
  <c r="L269" i="1" s="1"/>
  <c r="D270" i="1"/>
  <c r="E270" i="1" s="1"/>
  <c r="L270" i="1" s="1"/>
  <c r="D271" i="1"/>
  <c r="E271" i="1" s="1"/>
  <c r="L271" i="1" s="1"/>
  <c r="D272" i="1"/>
  <c r="E272" i="1" s="1"/>
  <c r="L272" i="1" s="1"/>
  <c r="D273" i="1"/>
  <c r="E273" i="1" s="1"/>
  <c r="L273" i="1" s="1"/>
  <c r="H90" i="1"/>
  <c r="I90" i="1" s="1"/>
  <c r="J90" i="1" s="1"/>
  <c r="K90" i="1" a="1"/>
  <c r="K90" i="1" s="1"/>
  <c r="K91" i="1" a="1"/>
  <c r="K91" i="1" s="1"/>
  <c r="H91" i="1"/>
  <c r="I91" i="1" s="1"/>
  <c r="J91" i="1" s="1"/>
  <c r="K92" i="1" a="1"/>
  <c r="K92" i="1" s="1"/>
  <c r="H92" i="1"/>
  <c r="I92" i="1" s="1"/>
  <c r="J92" i="1" s="1"/>
  <c r="K93" i="1" a="1"/>
  <c r="K93" i="1" s="1"/>
  <c r="H93" i="1"/>
  <c r="I93" i="1" s="1"/>
  <c r="J93" i="1" s="1"/>
  <c r="K94" i="1" a="1"/>
  <c r="K94" i="1" s="1"/>
  <c r="H94" i="1"/>
  <c r="I94" i="1" s="1"/>
  <c r="J94" i="1" s="1"/>
  <c r="K95" i="1" a="1"/>
  <c r="K95" i="1" s="1"/>
  <c r="H95" i="1"/>
  <c r="I95" i="1" s="1"/>
  <c r="J95" i="1" s="1"/>
  <c r="K96" i="1" a="1"/>
  <c r="K96" i="1" s="1"/>
  <c r="H96" i="1"/>
  <c r="I96" i="1" s="1"/>
  <c r="J96" i="1" s="1"/>
  <c r="K97" i="1" a="1"/>
  <c r="K97" i="1" s="1"/>
  <c r="H97" i="1"/>
  <c r="I97" i="1" s="1"/>
  <c r="J97" i="1" s="1"/>
  <c r="D97" i="1"/>
  <c r="E97" i="1" s="1"/>
  <c r="L97" i="1" s="1"/>
  <c r="K98" i="1" a="1"/>
  <c r="K98" i="1" s="1"/>
  <c r="H98" i="1"/>
  <c r="I98" i="1" s="1"/>
  <c r="J98" i="1" s="1"/>
  <c r="D98" i="1"/>
  <c r="E98" i="1" s="1"/>
  <c r="L98" i="1" s="1"/>
  <c r="D99" i="1"/>
  <c r="E99" i="1" s="1"/>
  <c r="L99" i="1" s="1"/>
  <c r="K99" i="1" a="1"/>
  <c r="K99" i="1" s="1"/>
  <c r="H99" i="1"/>
  <c r="I99" i="1" s="1"/>
  <c r="J99" i="1" s="1"/>
  <c r="D100" i="1"/>
  <c r="E100" i="1" s="1"/>
  <c r="L100" i="1" s="1"/>
  <c r="K100" i="1" a="1"/>
  <c r="K100" i="1" s="1"/>
  <c r="H100" i="1"/>
  <c r="I100" i="1" s="1"/>
  <c r="J100" i="1" s="1"/>
  <c r="D101" i="1"/>
  <c r="E101" i="1" s="1"/>
  <c r="L101" i="1" s="1"/>
  <c r="K101" i="1" a="1"/>
  <c r="K101" i="1" s="1"/>
  <c r="H101" i="1"/>
  <c r="I101" i="1" s="1"/>
  <c r="J101" i="1" s="1"/>
  <c r="K102" i="1" a="1"/>
  <c r="K102" i="1" s="1"/>
  <c r="H102" i="1"/>
  <c r="I102" i="1" s="1"/>
  <c r="J102" i="1" s="1"/>
  <c r="D102" i="1"/>
  <c r="E102" i="1" s="1"/>
  <c r="L102" i="1" s="1"/>
  <c r="K103" i="1" a="1"/>
  <c r="K103" i="1" s="1"/>
  <c r="H103" i="1"/>
  <c r="I103" i="1" s="1"/>
  <c r="J103" i="1" s="1"/>
  <c r="D103" i="1"/>
  <c r="E103" i="1" s="1"/>
  <c r="L103" i="1" s="1"/>
  <c r="H104" i="1"/>
  <c r="I104" i="1" s="1"/>
  <c r="J104" i="1" s="1"/>
  <c r="K104" i="1" a="1"/>
  <c r="K104" i="1" s="1"/>
  <c r="D104" i="1"/>
  <c r="E104" i="1" s="1"/>
  <c r="L104" i="1" s="1"/>
  <c r="H105" i="1"/>
  <c r="I105" i="1" s="1"/>
  <c r="J105" i="1" s="1"/>
  <c r="K105" i="1" a="1"/>
  <c r="K105" i="1" s="1"/>
  <c r="D105" i="1"/>
  <c r="E105" i="1" s="1"/>
  <c r="L105" i="1" s="1"/>
  <c r="K106" i="1" a="1"/>
  <c r="K106" i="1" s="1"/>
  <c r="H106" i="1"/>
  <c r="I106" i="1" s="1"/>
  <c r="J106" i="1" s="1"/>
  <c r="D106" i="1"/>
  <c r="E106" i="1" s="1"/>
  <c r="L106" i="1" s="1"/>
  <c r="D107" i="1"/>
  <c r="E107" i="1" s="1"/>
  <c r="L107" i="1" s="1"/>
  <c r="K107" i="1" a="1"/>
  <c r="K107" i="1" s="1"/>
  <c r="H107" i="1"/>
  <c r="I107" i="1" s="1"/>
  <c r="J107" i="1" s="1"/>
  <c r="K108" i="1" a="1"/>
  <c r="K108" i="1" s="1"/>
  <c r="H108" i="1"/>
  <c r="I108" i="1" s="1"/>
  <c r="J108" i="1" s="1"/>
  <c r="D108" i="1"/>
  <c r="E108" i="1" s="1"/>
  <c r="L108" i="1" s="1"/>
  <c r="K109" i="1" a="1"/>
  <c r="K109" i="1" s="1"/>
  <c r="H109" i="1"/>
  <c r="I109" i="1" s="1"/>
  <c r="J109" i="1" s="1"/>
  <c r="D109" i="1"/>
  <c r="E109" i="1" s="1"/>
  <c r="L109" i="1" s="1"/>
  <c r="H110" i="1"/>
  <c r="I110" i="1" s="1"/>
  <c r="J110" i="1" s="1"/>
  <c r="K110" i="1" a="1"/>
  <c r="K110" i="1" s="1"/>
  <c r="D110" i="1"/>
  <c r="E110" i="1" s="1"/>
  <c r="L110" i="1" s="1"/>
  <c r="K111" i="1" a="1"/>
  <c r="K111" i="1" s="1"/>
  <c r="H111" i="1"/>
  <c r="I111" i="1" s="1"/>
  <c r="J111" i="1" s="1"/>
  <c r="D111" i="1"/>
  <c r="E111" i="1" s="1"/>
  <c r="L111" i="1" s="1"/>
  <c r="K112" i="1" a="1"/>
  <c r="K112" i="1" s="1"/>
  <c r="H112" i="1"/>
  <c r="I112" i="1" s="1"/>
  <c r="J112" i="1" s="1"/>
  <c r="D112" i="1"/>
  <c r="E112" i="1" s="1"/>
  <c r="L112" i="1" s="1"/>
  <c r="K113" i="1" a="1"/>
  <c r="K113" i="1" s="1"/>
  <c r="H113" i="1"/>
  <c r="I113" i="1" s="1"/>
  <c r="J113" i="1" s="1"/>
  <c r="D113" i="1"/>
  <c r="E113" i="1" s="1"/>
  <c r="L113" i="1" s="1"/>
  <c r="K114" i="1" a="1"/>
  <c r="K114" i="1" s="1"/>
  <c r="H114" i="1"/>
  <c r="I114" i="1" s="1"/>
  <c r="J114" i="1" s="1"/>
  <c r="D114" i="1"/>
  <c r="E114" i="1" s="1"/>
  <c r="L114" i="1" s="1"/>
  <c r="K115" i="1" a="1"/>
  <c r="K115" i="1" s="1"/>
  <c r="H115" i="1"/>
  <c r="I115" i="1" s="1"/>
  <c r="J115" i="1" s="1"/>
  <c r="D115" i="1"/>
  <c r="E115" i="1" s="1"/>
  <c r="L115" i="1" s="1"/>
  <c r="K116" i="1" a="1"/>
  <c r="K116" i="1" s="1"/>
  <c r="H116" i="1"/>
  <c r="I116" i="1" s="1"/>
  <c r="J116" i="1" s="1"/>
  <c r="D116" i="1"/>
  <c r="E116" i="1" s="1"/>
  <c r="L116" i="1" s="1"/>
  <c r="K117" i="1" a="1"/>
  <c r="K117" i="1" s="1"/>
  <c r="H117" i="1"/>
  <c r="I117" i="1" s="1"/>
  <c r="J117" i="1" s="1"/>
  <c r="D117" i="1"/>
  <c r="E117" i="1" s="1"/>
  <c r="L117" i="1" s="1"/>
  <c r="K118" i="1" a="1"/>
  <c r="K118" i="1" s="1"/>
  <c r="H118" i="1"/>
  <c r="I118" i="1" s="1"/>
  <c r="J118" i="1" s="1"/>
  <c r="D118" i="1"/>
  <c r="E118" i="1" s="1"/>
  <c r="L118" i="1" s="1"/>
  <c r="K119" i="1" a="1"/>
  <c r="K119" i="1" s="1"/>
  <c r="H119" i="1"/>
  <c r="I119" i="1" s="1"/>
  <c r="J119" i="1" s="1"/>
  <c r="D119" i="1"/>
  <c r="E119" i="1" s="1"/>
  <c r="L119" i="1" s="1"/>
  <c r="H120" i="1"/>
  <c r="I120" i="1" s="1"/>
  <c r="J120" i="1" s="1"/>
  <c r="K120" i="1" a="1"/>
  <c r="K120" i="1" s="1"/>
  <c r="D120" i="1"/>
  <c r="E120" i="1" s="1"/>
  <c r="L120" i="1" s="1"/>
  <c r="H121" i="1"/>
  <c r="I121" i="1" s="1"/>
  <c r="J121" i="1" s="1"/>
  <c r="K121" i="1" a="1"/>
  <c r="K121" i="1" s="1"/>
  <c r="D121" i="1"/>
  <c r="E121" i="1" s="1"/>
  <c r="L121" i="1" s="1"/>
  <c r="K122" i="1" a="1"/>
  <c r="K122" i="1" s="1"/>
  <c r="H122" i="1"/>
  <c r="I122" i="1" s="1"/>
  <c r="J122" i="1" s="1"/>
  <c r="D122" i="1"/>
  <c r="E122" i="1" s="1"/>
  <c r="L122" i="1" s="1"/>
  <c r="K123" i="1" a="1"/>
  <c r="K123" i="1" s="1"/>
  <c r="H123" i="1"/>
  <c r="I123" i="1" s="1"/>
  <c r="J123" i="1" s="1"/>
  <c r="D123" i="1"/>
  <c r="E123" i="1" s="1"/>
  <c r="L123" i="1" s="1"/>
  <c r="H124" i="1"/>
  <c r="I124" i="1" s="1"/>
  <c r="J124" i="1" s="1"/>
  <c r="K124" i="1" a="1"/>
  <c r="K124" i="1" s="1"/>
  <c r="D124" i="1"/>
  <c r="E124" i="1" s="1"/>
  <c r="L124" i="1" s="1"/>
  <c r="H125" i="1"/>
  <c r="I125" i="1" s="1"/>
  <c r="J125" i="1" s="1"/>
  <c r="K125" i="1" a="1"/>
  <c r="K125" i="1" s="1"/>
  <c r="D125" i="1"/>
  <c r="E125" i="1" s="1"/>
  <c r="L125" i="1" s="1"/>
  <c r="D126" i="1"/>
  <c r="E126" i="1" s="1"/>
  <c r="L126" i="1" s="1"/>
  <c r="K126" i="1" a="1"/>
  <c r="K126" i="1" s="1"/>
  <c r="H126" i="1"/>
  <c r="I126" i="1" s="1"/>
  <c r="J126" i="1" s="1"/>
  <c r="D127" i="1"/>
  <c r="E127" i="1" s="1"/>
  <c r="L127" i="1" s="1"/>
  <c r="H127" i="1"/>
  <c r="I127" i="1" s="1"/>
  <c r="J127" i="1" s="1"/>
  <c r="K127" i="1" a="1"/>
  <c r="K127" i="1" s="1"/>
  <c r="H128" i="1"/>
  <c r="I128" i="1" s="1"/>
  <c r="J128" i="1" s="1"/>
  <c r="K128" i="1" a="1"/>
  <c r="K128" i="1" s="1"/>
  <c r="D128" i="1"/>
  <c r="E128" i="1" s="1"/>
  <c r="L128" i="1" s="1"/>
  <c r="K129" i="1" a="1"/>
  <c r="K129" i="1" s="1"/>
  <c r="H129" i="1"/>
  <c r="I129" i="1" s="1"/>
  <c r="J129" i="1" s="1"/>
  <c r="D129" i="1"/>
  <c r="E129" i="1" s="1"/>
  <c r="L129" i="1" s="1"/>
  <c r="D130" i="1"/>
  <c r="E130" i="1" s="1"/>
  <c r="L130" i="1" s="1"/>
  <c r="H130" i="1"/>
  <c r="I130" i="1" s="1"/>
  <c r="J130" i="1" s="1"/>
  <c r="K130" i="1" a="1"/>
  <c r="K130" i="1" s="1"/>
  <c r="K131" i="1" a="1"/>
  <c r="K131" i="1" s="1"/>
  <c r="H131" i="1"/>
  <c r="I131" i="1" s="1"/>
  <c r="J131" i="1" s="1"/>
  <c r="D131" i="1"/>
  <c r="E131" i="1" s="1"/>
  <c r="L131" i="1" s="1"/>
  <c r="K132" i="1" a="1"/>
  <c r="K132" i="1" s="1"/>
  <c r="H132" i="1"/>
  <c r="I132" i="1" s="1"/>
  <c r="J132" i="1" s="1"/>
  <c r="D132" i="1"/>
  <c r="E132" i="1" s="1"/>
  <c r="L132" i="1" s="1"/>
  <c r="K133" i="1" a="1"/>
  <c r="K133" i="1" s="1"/>
  <c r="H133" i="1"/>
  <c r="I133" i="1" s="1"/>
  <c r="J133" i="1" s="1"/>
  <c r="D133" i="1"/>
  <c r="E133" i="1" s="1"/>
  <c r="L133" i="1" s="1"/>
  <c r="K134" i="1" a="1"/>
  <c r="K134" i="1" s="1"/>
  <c r="H134" i="1"/>
  <c r="I134" i="1" s="1"/>
  <c r="J134" i="1" s="1"/>
  <c r="D134" i="1"/>
  <c r="E134" i="1" s="1"/>
  <c r="L134" i="1" s="1"/>
  <c r="K135" i="1" a="1"/>
  <c r="K135" i="1" s="1"/>
  <c r="H135" i="1"/>
  <c r="I135" i="1" s="1"/>
  <c r="J135" i="1" s="1"/>
  <c r="D135" i="1"/>
  <c r="E135" i="1" s="1"/>
  <c r="L135" i="1" s="1"/>
  <c r="H136" i="1"/>
  <c r="I136" i="1" s="1"/>
  <c r="J136" i="1" s="1"/>
  <c r="K136" i="1" a="1"/>
  <c r="K136" i="1" s="1"/>
  <c r="D136" i="1"/>
  <c r="E136" i="1" s="1"/>
  <c r="L136" i="1" s="1"/>
  <c r="H137" i="1"/>
  <c r="I137" i="1" s="1"/>
  <c r="J137" i="1" s="1"/>
  <c r="K137" i="1" a="1"/>
  <c r="K137" i="1" s="1"/>
  <c r="D137" i="1"/>
  <c r="E137" i="1" s="1"/>
  <c r="L137" i="1" s="1"/>
  <c r="H138" i="1"/>
  <c r="I138" i="1" s="1"/>
  <c r="J138" i="1" s="1"/>
  <c r="K138" i="1" a="1"/>
  <c r="K138" i="1" s="1"/>
  <c r="D138" i="1"/>
  <c r="E138" i="1" s="1"/>
  <c r="L138" i="1" s="1"/>
  <c r="H139" i="1"/>
  <c r="I139" i="1" s="1"/>
  <c r="J139" i="1" s="1"/>
  <c r="K139" i="1" a="1"/>
  <c r="K139" i="1" s="1"/>
  <c r="D139" i="1"/>
  <c r="E139" i="1" s="1"/>
  <c r="L139" i="1" s="1"/>
  <c r="D140" i="1"/>
  <c r="E140" i="1" s="1"/>
  <c r="L140" i="1" s="1"/>
  <c r="K140" i="1" a="1"/>
  <c r="K140" i="1" s="1"/>
  <c r="H140" i="1"/>
  <c r="I140" i="1" s="1"/>
  <c r="J140" i="1" s="1"/>
  <c r="D141" i="1"/>
  <c r="E141" i="1" s="1"/>
  <c r="L141" i="1" s="1"/>
  <c r="H141" i="1"/>
  <c r="I141" i="1" s="1"/>
  <c r="J141" i="1" s="1"/>
  <c r="K141" i="1" a="1"/>
  <c r="K141" i="1" s="1"/>
  <c r="D142" i="1"/>
  <c r="E142" i="1" s="1"/>
  <c r="L142" i="1" s="1"/>
  <c r="K142" i="1" a="1"/>
  <c r="K142" i="1" s="1"/>
  <c r="H142" i="1"/>
  <c r="I142" i="1" s="1"/>
  <c r="J142" i="1" s="1"/>
  <c r="H143" i="1"/>
  <c r="I143" i="1" s="1"/>
  <c r="J143" i="1" s="1"/>
  <c r="K143" i="1" a="1"/>
  <c r="K143" i="1" s="1"/>
  <c r="D143" i="1"/>
  <c r="E143" i="1" s="1"/>
  <c r="L143" i="1" s="1"/>
  <c r="D144" i="1"/>
  <c r="E144" i="1" s="1"/>
  <c r="L144" i="1" s="1"/>
  <c r="H144" i="1"/>
  <c r="I144" i="1" s="1"/>
  <c r="J144" i="1" s="1"/>
  <c r="K144" i="1" a="1"/>
  <c r="K144" i="1" s="1"/>
  <c r="H145" i="1"/>
  <c r="I145" i="1" s="1"/>
  <c r="J145" i="1" s="1"/>
  <c r="K145" i="1" a="1"/>
  <c r="K145" i="1" s="1"/>
  <c r="D145" i="1"/>
  <c r="E145" i="1" s="1"/>
  <c r="L145" i="1" s="1"/>
  <c r="H146" i="1"/>
  <c r="I146" i="1" s="1"/>
  <c r="J146" i="1" s="1"/>
  <c r="K146" i="1" a="1"/>
  <c r="K146" i="1" s="1"/>
  <c r="D146" i="1"/>
  <c r="E146" i="1" s="1"/>
  <c r="L146" i="1" s="1"/>
  <c r="D147" i="1"/>
  <c r="E147" i="1" s="1"/>
  <c r="L147" i="1" s="1"/>
  <c r="H147" i="1"/>
  <c r="I147" i="1" s="1"/>
  <c r="J147" i="1" s="1"/>
  <c r="K147" i="1" a="1"/>
  <c r="K147" i="1" s="1"/>
  <c r="D148" i="1"/>
  <c r="E148" i="1" s="1"/>
  <c r="L148" i="1" s="1"/>
  <c r="H148" i="1"/>
  <c r="I148" i="1" s="1"/>
  <c r="J148" i="1" s="1"/>
  <c r="K148" i="1" a="1"/>
  <c r="K148" i="1" s="1"/>
  <c r="D149" i="1"/>
  <c r="E149" i="1" s="1"/>
  <c r="L149" i="1" s="1"/>
  <c r="K149" i="1" a="1"/>
  <c r="K149" i="1" s="1"/>
  <c r="H149" i="1"/>
  <c r="I149" i="1" s="1"/>
  <c r="J149" i="1" s="1"/>
  <c r="D150" i="1"/>
  <c r="E150" i="1" s="1"/>
  <c r="L150" i="1" s="1"/>
  <c r="K150" i="1" a="1"/>
  <c r="K150" i="1" s="1"/>
  <c r="H150" i="1"/>
  <c r="I150" i="1" s="1"/>
  <c r="J150" i="1" s="1"/>
  <c r="D151" i="1"/>
  <c r="E151" i="1" s="1"/>
  <c r="L151" i="1" s="1"/>
  <c r="K151" i="1" a="1"/>
  <c r="K151" i="1" s="1"/>
  <c r="H151" i="1"/>
  <c r="I151" i="1" s="1"/>
  <c r="J151" i="1" s="1"/>
  <c r="H152" i="1"/>
  <c r="I152" i="1" s="1"/>
  <c r="J152" i="1" s="1"/>
  <c r="K152" i="1" a="1"/>
  <c r="K152" i="1" s="1"/>
  <c r="D152" i="1"/>
  <c r="E152" i="1" s="1"/>
  <c r="L152" i="1" s="1"/>
  <c r="D153" i="1"/>
  <c r="E153" i="1" s="1"/>
  <c r="L153" i="1" s="1"/>
  <c r="K153" i="1" a="1"/>
  <c r="K153" i="1" s="1"/>
  <c r="H153" i="1"/>
  <c r="I153" i="1" s="1"/>
  <c r="J153" i="1" s="1"/>
  <c r="D154" i="1"/>
  <c r="E154" i="1" s="1"/>
  <c r="L154" i="1" s="1"/>
  <c r="K154" i="1" a="1"/>
  <c r="K154" i="1" s="1"/>
  <c r="H154" i="1"/>
  <c r="I154" i="1" s="1"/>
  <c r="J154" i="1" s="1"/>
  <c r="D155" i="1"/>
  <c r="E155" i="1" s="1"/>
  <c r="L155" i="1" s="1"/>
  <c r="H155" i="1"/>
  <c r="I155" i="1" s="1"/>
  <c r="J155" i="1" s="1"/>
  <c r="K155" i="1" a="1"/>
  <c r="K155" i="1" s="1"/>
  <c r="D156" i="1"/>
  <c r="E156" i="1" s="1"/>
  <c r="L156" i="1" s="1"/>
  <c r="H156" i="1"/>
  <c r="I156" i="1" s="1"/>
  <c r="J156" i="1" s="1"/>
  <c r="K156" i="1" a="1"/>
  <c r="K156" i="1" s="1"/>
  <c r="D157" i="1"/>
  <c r="E157" i="1" s="1"/>
  <c r="L157" i="1" s="1"/>
  <c r="H157" i="1"/>
  <c r="I157" i="1" s="1"/>
  <c r="J157" i="1" s="1"/>
  <c r="K157" i="1" a="1"/>
  <c r="K157" i="1" s="1"/>
  <c r="D158" i="1"/>
  <c r="E158" i="1" s="1"/>
  <c r="L158" i="1" s="1"/>
  <c r="H158" i="1"/>
  <c r="I158" i="1" s="1"/>
  <c r="J158" i="1" s="1"/>
  <c r="K158" i="1" a="1"/>
  <c r="K158" i="1" s="1"/>
  <c r="D159" i="1"/>
  <c r="E159" i="1" s="1"/>
  <c r="L159" i="1" s="1"/>
  <c r="H159" i="1"/>
  <c r="I159" i="1" s="1"/>
  <c r="J159" i="1" s="1"/>
  <c r="K159" i="1" a="1"/>
  <c r="K159" i="1" s="1"/>
  <c r="D160" i="1"/>
  <c r="E160" i="1" s="1"/>
  <c r="L160" i="1" s="1"/>
  <c r="H160" i="1"/>
  <c r="I160" i="1" s="1"/>
  <c r="J160" i="1" s="1"/>
  <c r="K160" i="1" a="1"/>
  <c r="K160" i="1" s="1"/>
  <c r="D161" i="1"/>
  <c r="E161" i="1" s="1"/>
  <c r="L161" i="1" s="1"/>
  <c r="K161" i="1" a="1"/>
  <c r="K161" i="1" s="1"/>
  <c r="H161" i="1"/>
  <c r="I161" i="1" s="1"/>
  <c r="J161" i="1" s="1"/>
  <c r="D162" i="1"/>
  <c r="E162" i="1" s="1"/>
  <c r="L162" i="1" s="1"/>
  <c r="H162" i="1"/>
  <c r="I162" i="1" s="1"/>
  <c r="J162" i="1" s="1"/>
  <c r="K162" i="1" a="1"/>
  <c r="K162" i="1" s="1"/>
  <c r="D163" i="1"/>
  <c r="E163" i="1" s="1"/>
  <c r="L163" i="1" s="1"/>
  <c r="H163" i="1"/>
  <c r="I163" i="1" s="1"/>
  <c r="J163" i="1" s="1"/>
  <c r="K163" i="1" a="1"/>
  <c r="K163" i="1" s="1"/>
  <c r="H164" i="1"/>
  <c r="I164" i="1" s="1"/>
  <c r="J164" i="1" s="1"/>
  <c r="K164" i="1" a="1"/>
  <c r="K164" i="1" s="1"/>
  <c r="D164" i="1"/>
  <c r="E164" i="1" s="1"/>
  <c r="L164" i="1" s="1"/>
  <c r="H165" i="1"/>
  <c r="I165" i="1" s="1"/>
  <c r="J165" i="1" s="1"/>
  <c r="K165" i="1" a="1"/>
  <c r="K165" i="1" s="1"/>
  <c r="D165" i="1"/>
  <c r="E165" i="1" s="1"/>
  <c r="L165" i="1" s="1"/>
  <c r="H166" i="1"/>
  <c r="I166" i="1" s="1"/>
  <c r="J166" i="1" s="1"/>
  <c r="K166" i="1" a="1"/>
  <c r="K166" i="1" s="1"/>
  <c r="D166" i="1"/>
  <c r="E166" i="1" s="1"/>
  <c r="L166" i="1" s="1"/>
  <c r="H167" i="1"/>
  <c r="I167" i="1" s="1"/>
  <c r="J167" i="1" s="1"/>
  <c r="K167" i="1" a="1"/>
  <c r="K167" i="1" s="1"/>
  <c r="D167" i="1"/>
  <c r="E167" i="1" s="1"/>
  <c r="L167" i="1" s="1"/>
  <c r="H168" i="1"/>
  <c r="I168" i="1" s="1"/>
  <c r="J168" i="1" s="1"/>
  <c r="K168" i="1" a="1"/>
  <c r="K168" i="1" s="1"/>
  <c r="D168" i="1"/>
  <c r="E168" i="1" s="1"/>
  <c r="L168" i="1" s="1"/>
  <c r="H169" i="1"/>
  <c r="I169" i="1" s="1"/>
  <c r="J169" i="1" s="1"/>
  <c r="K169" i="1" a="1"/>
  <c r="K169" i="1" s="1"/>
  <c r="D169" i="1"/>
  <c r="E169" i="1" s="1"/>
  <c r="L169" i="1" s="1"/>
  <c r="H170" i="1"/>
  <c r="I170" i="1" s="1"/>
  <c r="J170" i="1" s="1"/>
  <c r="K170" i="1" a="1"/>
  <c r="K170" i="1" s="1"/>
  <c r="D170" i="1"/>
  <c r="E170" i="1" s="1"/>
  <c r="L170" i="1" s="1"/>
  <c r="H171" i="1"/>
  <c r="I171" i="1" s="1"/>
  <c r="J171" i="1" s="1"/>
  <c r="K171" i="1" a="1"/>
  <c r="K171" i="1" s="1"/>
  <c r="D171" i="1"/>
  <c r="E171" i="1" s="1"/>
  <c r="L171" i="1" s="1"/>
  <c r="K172" i="1" a="1"/>
  <c r="K172" i="1" s="1"/>
  <c r="H172" i="1"/>
  <c r="I172" i="1" s="1"/>
  <c r="J172" i="1" s="1"/>
  <c r="D172" i="1"/>
  <c r="E172" i="1" s="1"/>
  <c r="L172" i="1" s="1"/>
  <c r="H173" i="1"/>
  <c r="I173" i="1" s="1"/>
  <c r="J173" i="1" s="1"/>
  <c r="K173" i="1" a="1"/>
  <c r="K173" i="1" s="1"/>
  <c r="D173" i="1"/>
  <c r="E173" i="1" s="1"/>
  <c r="L173" i="1" s="1"/>
  <c r="H174" i="1"/>
  <c r="I174" i="1" s="1"/>
  <c r="J174" i="1" s="1"/>
  <c r="K174" i="1" a="1"/>
  <c r="K174" i="1" s="1"/>
  <c r="D174" i="1"/>
  <c r="E174" i="1" s="1"/>
  <c r="L174" i="1" s="1"/>
  <c r="H175" i="1"/>
  <c r="I175" i="1" s="1"/>
  <c r="J175" i="1" s="1"/>
  <c r="K175" i="1" a="1"/>
  <c r="K175" i="1" s="1"/>
  <c r="D175" i="1"/>
  <c r="E175" i="1" s="1"/>
  <c r="L175" i="1" s="1"/>
  <c r="H176" i="1"/>
  <c r="I176" i="1" s="1"/>
  <c r="J176" i="1" s="1"/>
  <c r="K176" i="1" a="1"/>
  <c r="K176" i="1" s="1"/>
  <c r="D176" i="1"/>
  <c r="E176" i="1" s="1"/>
  <c r="L176" i="1" s="1"/>
  <c r="K177" i="1" a="1"/>
  <c r="K177" i="1" s="1"/>
  <c r="H177" i="1"/>
  <c r="I177" i="1" s="1"/>
  <c r="J177" i="1" s="1"/>
  <c r="D177" i="1"/>
  <c r="E177" i="1" s="1"/>
  <c r="L177" i="1" s="1"/>
  <c r="K178" i="1" a="1"/>
  <c r="K178" i="1" s="1"/>
  <c r="H178" i="1"/>
  <c r="I178" i="1" s="1"/>
  <c r="J178" i="1" s="1"/>
  <c r="D178" i="1"/>
  <c r="E178" i="1" s="1"/>
  <c r="L178" i="1" s="1"/>
  <c r="H179" i="1"/>
  <c r="I179" i="1" s="1"/>
  <c r="J179" i="1" s="1"/>
  <c r="K179" i="1" a="1"/>
  <c r="K179" i="1" s="1"/>
  <c r="D179" i="1"/>
  <c r="E179" i="1" s="1"/>
  <c r="L179" i="1" s="1"/>
  <c r="K180" i="1" a="1"/>
  <c r="K180" i="1" s="1"/>
  <c r="H180" i="1"/>
  <c r="I180" i="1" s="1"/>
  <c r="J180" i="1" s="1"/>
  <c r="D180" i="1"/>
  <c r="E180" i="1" s="1"/>
  <c r="L180" i="1" s="1"/>
  <c r="K181" i="1" a="1"/>
  <c r="K181" i="1" s="1"/>
  <c r="H181" i="1"/>
  <c r="I181" i="1" s="1"/>
  <c r="J181" i="1" s="1"/>
  <c r="D181" i="1"/>
  <c r="E181" i="1" s="1"/>
  <c r="L181" i="1" s="1"/>
  <c r="K182" i="1" a="1"/>
  <c r="K182" i="1" s="1"/>
  <c r="H182" i="1"/>
  <c r="I182" i="1" s="1"/>
  <c r="J182" i="1" s="1"/>
  <c r="D182" i="1"/>
  <c r="E182" i="1" s="1"/>
  <c r="L182" i="1" s="1"/>
  <c r="K183" i="1" a="1"/>
  <c r="K183" i="1" s="1"/>
  <c r="H183" i="1"/>
  <c r="I183" i="1" s="1"/>
  <c r="J183" i="1" s="1"/>
  <c r="D183" i="1"/>
  <c r="E183" i="1" s="1"/>
  <c r="L183" i="1" s="1"/>
  <c r="K184" i="1" a="1"/>
  <c r="K184" i="1" s="1"/>
  <c r="H184" i="1"/>
  <c r="I184" i="1" s="1"/>
  <c r="J184" i="1" s="1"/>
  <c r="D184" i="1"/>
  <c r="E184" i="1" s="1"/>
  <c r="L184" i="1" s="1"/>
  <c r="H185" i="1"/>
  <c r="I185" i="1" s="1"/>
  <c r="J185" i="1" s="1"/>
  <c r="K185" i="1" a="1"/>
  <c r="K185" i="1" s="1"/>
  <c r="D185" i="1"/>
  <c r="E185" i="1" s="1"/>
  <c r="L185" i="1" s="1"/>
  <c r="D186" i="1"/>
  <c r="E186" i="1" s="1"/>
  <c r="L186" i="1" s="1"/>
  <c r="H186" i="1"/>
  <c r="I186" i="1" s="1"/>
  <c r="J186" i="1" s="1"/>
  <c r="K186" i="1" a="1"/>
  <c r="K186" i="1" s="1"/>
  <c r="D187" i="1"/>
  <c r="E187" i="1" s="1"/>
  <c r="L187" i="1" s="1"/>
  <c r="H187" i="1"/>
  <c r="I187" i="1" s="1"/>
  <c r="J187" i="1" s="1"/>
  <c r="K187" i="1" a="1"/>
  <c r="K187" i="1" s="1"/>
  <c r="D188" i="1"/>
  <c r="E188" i="1" s="1"/>
  <c r="L188" i="1" s="1"/>
  <c r="H188" i="1"/>
  <c r="I188" i="1" s="1"/>
  <c r="J188" i="1" s="1"/>
  <c r="K188" i="1" a="1"/>
  <c r="K188" i="1" s="1"/>
  <c r="H189" i="1"/>
  <c r="I189" i="1" s="1"/>
  <c r="J189" i="1" s="1"/>
  <c r="K189" i="1" a="1"/>
  <c r="K189" i="1" s="1"/>
  <c r="D189" i="1"/>
  <c r="E189" i="1" s="1"/>
  <c r="L189" i="1" s="1"/>
  <c r="H190" i="1"/>
  <c r="I190" i="1" s="1"/>
  <c r="J190" i="1" s="1"/>
  <c r="K190" i="1" a="1"/>
  <c r="K190" i="1" s="1"/>
  <c r="D190" i="1"/>
  <c r="E190" i="1" s="1"/>
  <c r="L190" i="1" s="1"/>
  <c r="H191" i="1"/>
  <c r="I191" i="1" s="1"/>
  <c r="J191" i="1" s="1"/>
  <c r="K191" i="1" a="1"/>
  <c r="K191" i="1" s="1"/>
  <c r="D191" i="1"/>
  <c r="E191" i="1" s="1"/>
  <c r="L191" i="1" s="1"/>
  <c r="H192" i="1"/>
  <c r="I192" i="1" s="1"/>
  <c r="J192" i="1" s="1"/>
  <c r="K192" i="1" a="1"/>
  <c r="K192" i="1" s="1"/>
  <c r="D192" i="1"/>
  <c r="E192" i="1" s="1"/>
  <c r="L192" i="1" s="1"/>
  <c r="H193" i="1"/>
  <c r="I193" i="1" s="1"/>
  <c r="J193" i="1" s="1"/>
  <c r="K193" i="1" a="1"/>
  <c r="K193" i="1" s="1"/>
  <c r="D193" i="1"/>
  <c r="E193" i="1" s="1"/>
  <c r="L193" i="1" s="1"/>
  <c r="H194" i="1"/>
  <c r="I194" i="1" s="1"/>
  <c r="J194" i="1" s="1"/>
  <c r="K194" i="1" a="1"/>
  <c r="K194" i="1" s="1"/>
  <c r="D194" i="1"/>
  <c r="E194" i="1" s="1"/>
  <c r="L194" i="1" s="1"/>
  <c r="K195" i="1" a="1"/>
  <c r="K195" i="1" s="1"/>
  <c r="H195" i="1"/>
  <c r="I195" i="1" s="1"/>
  <c r="J195" i="1" s="1"/>
  <c r="D195" i="1"/>
  <c r="E195" i="1" s="1"/>
  <c r="L195" i="1" s="1"/>
  <c r="H196" i="1"/>
  <c r="I196" i="1" s="1"/>
  <c r="J196" i="1" s="1"/>
  <c r="K196" i="1" a="1"/>
  <c r="K196" i="1" s="1"/>
  <c r="D196" i="1"/>
  <c r="E196" i="1" s="1"/>
  <c r="L196" i="1" s="1"/>
  <c r="D197" i="1"/>
  <c r="E197" i="1" s="1"/>
  <c r="L197" i="1" s="1"/>
  <c r="H197" i="1"/>
  <c r="I197" i="1" s="1"/>
  <c r="J197" i="1" s="1"/>
  <c r="K197" i="1" a="1"/>
  <c r="K197" i="1" s="1"/>
  <c r="H198" i="1"/>
  <c r="I198" i="1" s="1"/>
  <c r="J198" i="1" s="1"/>
  <c r="K198" i="1" a="1"/>
  <c r="K198" i="1" s="1"/>
  <c r="D198" i="1"/>
  <c r="E198" i="1" s="1"/>
  <c r="L198" i="1" s="1"/>
  <c r="H199" i="1"/>
  <c r="I199" i="1" s="1"/>
  <c r="J199" i="1" s="1"/>
  <c r="K199" i="1" a="1"/>
  <c r="K199" i="1" s="1"/>
  <c r="D199" i="1"/>
  <c r="E199" i="1" s="1"/>
  <c r="L199" i="1" s="1"/>
  <c r="D200" i="1"/>
  <c r="E200" i="1" s="1"/>
  <c r="L200" i="1" s="1"/>
  <c r="H200" i="1"/>
  <c r="I200" i="1" s="1"/>
  <c r="J200" i="1" s="1"/>
  <c r="K200" i="1" a="1"/>
  <c r="K200" i="1" s="1"/>
  <c r="H201" i="1"/>
  <c r="I201" i="1" s="1"/>
  <c r="J201" i="1" s="1"/>
  <c r="K201" i="1" a="1"/>
  <c r="K201" i="1" s="1"/>
  <c r="D201" i="1"/>
  <c r="E201" i="1" s="1"/>
  <c r="L201" i="1" s="1"/>
  <c r="K202" i="1" a="1"/>
  <c r="K202" i="1" s="1"/>
  <c r="H202" i="1"/>
  <c r="I202" i="1" s="1"/>
  <c r="J202" i="1" s="1"/>
  <c r="D202" i="1"/>
  <c r="E202" i="1" s="1"/>
  <c r="L202" i="1" s="1"/>
  <c r="H203" i="1"/>
  <c r="I203" i="1" s="1"/>
  <c r="J203" i="1" s="1"/>
  <c r="K203" i="1" a="1"/>
  <c r="K203" i="1" s="1"/>
  <c r="D203" i="1"/>
  <c r="E203" i="1" s="1"/>
  <c r="L203" i="1" s="1"/>
  <c r="K204" i="1" a="1"/>
  <c r="K204" i="1" s="1"/>
  <c r="H204" i="1"/>
  <c r="I204" i="1" s="1"/>
  <c r="J204" i="1" s="1"/>
  <c r="D204" i="1"/>
  <c r="E204" i="1" s="1"/>
  <c r="L204" i="1" s="1"/>
  <c r="D205" i="1"/>
  <c r="E205" i="1" s="1"/>
  <c r="L205" i="1" s="1"/>
  <c r="H205" i="1"/>
  <c r="I205" i="1" s="1"/>
  <c r="J205" i="1" s="1"/>
  <c r="K205" i="1" a="1"/>
  <c r="K205" i="1" s="1"/>
  <c r="D206" i="1"/>
  <c r="E206" i="1" s="1"/>
  <c r="L206" i="1" s="1"/>
  <c r="H206" i="1"/>
  <c r="I206" i="1" s="1"/>
  <c r="J206" i="1" s="1"/>
  <c r="K206" i="1" a="1"/>
  <c r="K206" i="1" s="1"/>
  <c r="D207" i="1"/>
  <c r="E207" i="1" s="1"/>
  <c r="L207" i="1" s="1"/>
  <c r="H207" i="1"/>
  <c r="I207" i="1" s="1"/>
  <c r="J207" i="1" s="1"/>
  <c r="K207" i="1" a="1"/>
  <c r="K207" i="1" s="1"/>
  <c r="D208" i="1"/>
  <c r="E208" i="1" s="1"/>
  <c r="L208" i="1" s="1"/>
  <c r="H208" i="1"/>
  <c r="I208" i="1" s="1"/>
  <c r="J208" i="1" s="1"/>
  <c r="K208" i="1" a="1"/>
  <c r="K208" i="1" s="1"/>
  <c r="D209" i="1"/>
  <c r="E209" i="1" s="1"/>
  <c r="L209" i="1" s="1"/>
  <c r="K209" i="1" a="1"/>
  <c r="K209" i="1" s="1"/>
  <c r="H209" i="1"/>
  <c r="I209" i="1" s="1"/>
  <c r="J209" i="1" s="1"/>
  <c r="K210" i="1" a="1"/>
  <c r="K210" i="1" s="1"/>
  <c r="H210" i="1"/>
  <c r="I210" i="1" s="1"/>
  <c r="J210" i="1" s="1"/>
  <c r="D210" i="1"/>
  <c r="E210" i="1" s="1"/>
  <c r="L210" i="1" s="1"/>
  <c r="D211" i="1"/>
  <c r="E211" i="1" s="1"/>
  <c r="L211" i="1" s="1"/>
  <c r="K211" i="1" a="1"/>
  <c r="K211" i="1" s="1"/>
  <c r="H211" i="1"/>
  <c r="I211" i="1" s="1"/>
  <c r="J211" i="1" s="1"/>
  <c r="D212" i="1"/>
  <c r="E212" i="1" s="1"/>
  <c r="L212" i="1" s="1"/>
  <c r="H212" i="1"/>
  <c r="I212" i="1" s="1"/>
  <c r="J212" i="1" s="1"/>
  <c r="K212" i="1" a="1"/>
  <c r="K212" i="1" s="1"/>
  <c r="D213" i="1"/>
  <c r="E213" i="1" s="1"/>
  <c r="L213" i="1" s="1"/>
  <c r="H213" i="1"/>
  <c r="I213" i="1" s="1"/>
  <c r="J213" i="1" s="1"/>
  <c r="K213" i="1" a="1"/>
  <c r="K213" i="1" s="1"/>
  <c r="H214" i="1"/>
  <c r="I214" i="1" s="1"/>
  <c r="J214" i="1" s="1"/>
  <c r="K214" i="1" a="1"/>
  <c r="K214" i="1" s="1"/>
  <c r="D214" i="1"/>
  <c r="E214" i="1" s="1"/>
  <c r="L214" i="1" s="1"/>
  <c r="D215" i="1"/>
  <c r="E215" i="1" s="1"/>
  <c r="L215" i="1" s="1"/>
  <c r="H215" i="1"/>
  <c r="I215" i="1" s="1"/>
  <c r="J215" i="1" s="1"/>
  <c r="K215" i="1" a="1"/>
  <c r="K215" i="1" s="1"/>
  <c r="D216" i="1"/>
  <c r="E216" i="1" s="1"/>
  <c r="L216" i="1" s="1"/>
  <c r="H216" i="1"/>
  <c r="I216" i="1" s="1"/>
  <c r="J216" i="1" s="1"/>
  <c r="K216" i="1" a="1"/>
  <c r="K216" i="1" s="1"/>
  <c r="D217" i="1"/>
  <c r="E217" i="1" s="1"/>
  <c r="L217" i="1" s="1"/>
  <c r="H217" i="1"/>
  <c r="I217" i="1" s="1"/>
  <c r="J217" i="1" s="1"/>
  <c r="K217" i="1" a="1"/>
  <c r="K217" i="1" s="1"/>
  <c r="D218" i="1"/>
  <c r="E218" i="1" s="1"/>
  <c r="L218" i="1" s="1"/>
  <c r="K218" i="1" a="1"/>
  <c r="K218" i="1" s="1"/>
  <c r="H218" i="1"/>
  <c r="I218" i="1" s="1"/>
  <c r="J218" i="1" s="1"/>
  <c r="D219" i="1"/>
  <c r="E219" i="1" s="1"/>
  <c r="L219" i="1" s="1"/>
  <c r="K219" i="1" a="1"/>
  <c r="K219" i="1" s="1"/>
  <c r="H219" i="1"/>
  <c r="I219" i="1" s="1"/>
  <c r="J219" i="1" s="1"/>
  <c r="D220" i="1"/>
  <c r="E220" i="1" s="1"/>
  <c r="L220" i="1" s="1"/>
  <c r="K220" i="1" a="1"/>
  <c r="K220" i="1" s="1"/>
  <c r="H220" i="1"/>
  <c r="I220" i="1" s="1"/>
  <c r="J220" i="1" s="1"/>
  <c r="D221" i="1"/>
  <c r="E221" i="1" s="1"/>
  <c r="L221" i="1" s="1"/>
  <c r="K221" i="1" a="1"/>
  <c r="K221" i="1" s="1"/>
  <c r="H221" i="1"/>
  <c r="I221" i="1" s="1"/>
  <c r="J221" i="1" s="1"/>
  <c r="D222" i="1"/>
  <c r="E222" i="1" s="1"/>
  <c r="L222" i="1" s="1"/>
  <c r="H222" i="1"/>
  <c r="I222" i="1" s="1"/>
  <c r="J222" i="1" s="1"/>
  <c r="K222" i="1" a="1"/>
  <c r="K222" i="1" s="1"/>
  <c r="D223" i="1"/>
  <c r="E223" i="1" s="1"/>
  <c r="L223" i="1" s="1"/>
  <c r="H223" i="1"/>
  <c r="I223" i="1" s="1"/>
  <c r="J223" i="1" s="1"/>
  <c r="K223" i="1" a="1"/>
  <c r="K223" i="1" s="1"/>
  <c r="D224" i="1"/>
  <c r="E224" i="1" s="1"/>
  <c r="L224" i="1" s="1"/>
  <c r="H224" i="1"/>
  <c r="I224" i="1" s="1"/>
  <c r="J224" i="1" s="1"/>
  <c r="K224" i="1" a="1"/>
  <c r="K224" i="1" s="1"/>
  <c r="D225" i="1"/>
  <c r="E225" i="1" s="1"/>
  <c r="L225" i="1" s="1"/>
  <c r="K225" i="1" a="1"/>
  <c r="K225" i="1" s="1"/>
  <c r="H225" i="1"/>
  <c r="I225" i="1" s="1"/>
  <c r="J225" i="1" s="1"/>
  <c r="D226" i="1"/>
  <c r="E226" i="1" s="1"/>
  <c r="L226" i="1" s="1"/>
  <c r="H226" i="1"/>
  <c r="I226" i="1" s="1"/>
  <c r="J226" i="1" s="1"/>
  <c r="K226" i="1" a="1"/>
  <c r="K226" i="1" s="1"/>
  <c r="D227" i="1"/>
  <c r="E227" i="1" s="1"/>
  <c r="L227" i="1" s="1"/>
  <c r="H227" i="1"/>
  <c r="I227" i="1" s="1"/>
  <c r="J227" i="1" s="1"/>
  <c r="K227" i="1" a="1"/>
  <c r="K227" i="1" s="1"/>
  <c r="K228" i="1" a="1"/>
  <c r="K228" i="1" s="1"/>
  <c r="H228" i="1"/>
  <c r="I228" i="1" s="1"/>
  <c r="J228" i="1" s="1"/>
  <c r="D228" i="1"/>
  <c r="E228" i="1" s="1"/>
  <c r="L228" i="1" s="1"/>
  <c r="H229" i="1"/>
  <c r="I229" i="1" s="1"/>
  <c r="J229" i="1" s="1"/>
  <c r="K229" i="1" a="1"/>
  <c r="K229" i="1" s="1"/>
  <c r="D229" i="1"/>
  <c r="E229" i="1" s="1"/>
  <c r="L229" i="1" s="1"/>
  <c r="D230" i="1"/>
  <c r="E230" i="1" s="1"/>
  <c r="L230" i="1" s="1"/>
  <c r="H230" i="1"/>
  <c r="I230" i="1" s="1"/>
  <c r="J230" i="1" s="1"/>
  <c r="K230" i="1" a="1"/>
  <c r="K230" i="1" s="1"/>
  <c r="K231" i="1" a="1"/>
  <c r="K231" i="1" s="1"/>
  <c r="H231" i="1"/>
  <c r="I231" i="1" s="1"/>
  <c r="J231" i="1" s="1"/>
  <c r="D231" i="1"/>
  <c r="E231" i="1" s="1"/>
  <c r="L231" i="1" s="1"/>
  <c r="D232" i="1"/>
  <c r="E232" i="1" s="1"/>
  <c r="L232" i="1" s="1"/>
  <c r="D233" i="1"/>
  <c r="E233" i="1" s="1"/>
  <c r="L233" i="1" s="1"/>
  <c r="D234" i="1"/>
  <c r="E234" i="1" s="1"/>
  <c r="L234" i="1" s="1"/>
  <c r="D235" i="1"/>
  <c r="E235" i="1" s="1"/>
  <c r="L235" i="1" s="1"/>
  <c r="D236" i="1"/>
  <c r="E236" i="1" s="1"/>
  <c r="L236" i="1" s="1"/>
  <c r="D237" i="1"/>
  <c r="E237" i="1" s="1"/>
  <c r="L237" i="1" s="1"/>
  <c r="D238" i="1"/>
  <c r="E238" i="1" s="1"/>
  <c r="L238" i="1" s="1"/>
  <c r="D239" i="1"/>
  <c r="E239" i="1" s="1"/>
  <c r="L239" i="1" s="1"/>
  <c r="D240" i="1"/>
  <c r="E240" i="1" s="1"/>
  <c r="L240" i="1" s="1"/>
  <c r="D241" i="1"/>
  <c r="E241" i="1" s="1"/>
  <c r="L241" i="1" s="1"/>
  <c r="D242" i="1"/>
  <c r="E242" i="1" s="1"/>
  <c r="L242" i="1" s="1"/>
  <c r="H17" i="1"/>
  <c r="I17" i="1" s="1"/>
  <c r="J17" i="1" s="1"/>
  <c r="K17" i="1" a="1"/>
  <c r="K17" i="1" s="1"/>
  <c r="D17" i="1"/>
  <c r="E17" i="1" s="1"/>
  <c r="L17" i="1" s="1"/>
  <c r="H18" i="1"/>
  <c r="I18" i="1" s="1"/>
  <c r="J18" i="1" s="1"/>
  <c r="K18" i="1" a="1"/>
  <c r="K18" i="1" s="1"/>
  <c r="H19" i="1"/>
  <c r="I19" i="1" s="1"/>
  <c r="J19" i="1" s="1"/>
  <c r="K19" i="1" a="1"/>
  <c r="K19" i="1" s="1"/>
  <c r="D19" i="1"/>
  <c r="E19" i="1" s="1"/>
  <c r="L19" i="1" s="1"/>
  <c r="D20" i="1"/>
  <c r="E20" i="1" s="1"/>
  <c r="L20" i="1" s="1"/>
  <c r="H20" i="1"/>
  <c r="I20" i="1" s="1"/>
  <c r="J20" i="1" s="1"/>
  <c r="K20" i="1" a="1"/>
  <c r="K20" i="1" s="1"/>
  <c r="D21" i="1"/>
  <c r="E21" i="1" s="1"/>
  <c r="L21" i="1" s="1"/>
  <c r="H21" i="1"/>
  <c r="I21" i="1" s="1"/>
  <c r="J21" i="1" s="1"/>
  <c r="K21" i="1" a="1"/>
  <c r="K21" i="1" s="1"/>
  <c r="H22" i="1"/>
  <c r="I22" i="1" s="1"/>
  <c r="J22" i="1" s="1"/>
  <c r="K22" i="1" a="1"/>
  <c r="K22" i="1" s="1"/>
  <c r="D22" i="1"/>
  <c r="E22" i="1" s="1"/>
  <c r="L22" i="1" s="1"/>
  <c r="H23" i="1"/>
  <c r="I23" i="1" s="1"/>
  <c r="J23" i="1" s="1"/>
  <c r="K23" i="1" a="1"/>
  <c r="K23" i="1" s="1"/>
  <c r="D23" i="1"/>
  <c r="E23" i="1" s="1"/>
  <c r="L23" i="1" s="1"/>
  <c r="H24" i="1"/>
  <c r="I24" i="1" s="1"/>
  <c r="J24" i="1" s="1"/>
  <c r="K24" i="1" a="1"/>
  <c r="K24" i="1" s="1"/>
  <c r="D24" i="1"/>
  <c r="E24" i="1" s="1"/>
  <c r="L24" i="1" s="1"/>
  <c r="H25" i="1"/>
  <c r="I25" i="1" s="1"/>
  <c r="J25" i="1" s="1"/>
  <c r="K25" i="1" a="1"/>
  <c r="K25" i="1" s="1"/>
  <c r="D25" i="1"/>
  <c r="E25" i="1" s="1"/>
  <c r="L25" i="1" s="1"/>
  <c r="H26" i="1"/>
  <c r="I26" i="1" s="1"/>
  <c r="J26" i="1" s="1"/>
  <c r="K26" i="1" a="1"/>
  <c r="K26" i="1" s="1"/>
  <c r="H27" i="1"/>
  <c r="I27" i="1" s="1"/>
  <c r="J27" i="1" s="1"/>
  <c r="K27" i="1" a="1"/>
  <c r="K27" i="1" s="1"/>
  <c r="D27" i="1"/>
  <c r="E27" i="1" s="1"/>
  <c r="L27" i="1" s="1"/>
  <c r="H28" i="1"/>
  <c r="I28" i="1" s="1"/>
  <c r="J28" i="1" s="1"/>
  <c r="K28" i="1" a="1"/>
  <c r="K28" i="1" s="1"/>
  <c r="D28" i="1"/>
  <c r="E28" i="1" s="1"/>
  <c r="L28" i="1" s="1"/>
  <c r="D29" i="1"/>
  <c r="E29" i="1" s="1"/>
  <c r="L29" i="1" s="1"/>
  <c r="H29" i="1"/>
  <c r="I29" i="1" s="1"/>
  <c r="J29" i="1" s="1"/>
  <c r="K29" i="1" a="1"/>
  <c r="K29" i="1" s="1"/>
  <c r="D30" i="1"/>
  <c r="E30" i="1" s="1"/>
  <c r="L30" i="1" s="1"/>
  <c r="H30" i="1"/>
  <c r="I30" i="1" s="1"/>
  <c r="J30" i="1" s="1"/>
  <c r="K30" i="1" a="1"/>
  <c r="K30" i="1" s="1"/>
  <c r="D31" i="1"/>
  <c r="E31" i="1" s="1"/>
  <c r="L31" i="1" s="1"/>
  <c r="H31" i="1"/>
  <c r="I31" i="1" s="1"/>
  <c r="J31" i="1" s="1"/>
  <c r="K31" i="1" a="1"/>
  <c r="K31" i="1" s="1"/>
  <c r="H32" i="1"/>
  <c r="I32" i="1" s="1"/>
  <c r="J32" i="1" s="1"/>
  <c r="K32" i="1" a="1"/>
  <c r="K32" i="1" s="1"/>
  <c r="D32" i="1"/>
  <c r="E32" i="1" s="1"/>
  <c r="L32" i="1" s="1"/>
  <c r="D33" i="1"/>
  <c r="E33" i="1" s="1"/>
  <c r="L33" i="1" s="1"/>
  <c r="H33" i="1"/>
  <c r="I33" i="1" s="1"/>
  <c r="J33" i="1" s="1"/>
  <c r="K33" i="1" a="1"/>
  <c r="K33" i="1" s="1"/>
  <c r="H34" i="1"/>
  <c r="I34" i="1" s="1"/>
  <c r="J34" i="1" s="1"/>
  <c r="K34" i="1" a="1"/>
  <c r="K34" i="1" s="1"/>
  <c r="D34" i="1"/>
  <c r="E34" i="1" s="1"/>
  <c r="L34" i="1" s="1"/>
  <c r="H35" i="1"/>
  <c r="I35" i="1" s="1"/>
  <c r="J35" i="1" s="1"/>
  <c r="K35" i="1" a="1"/>
  <c r="K35" i="1" s="1"/>
  <c r="H36" i="1"/>
  <c r="I36" i="1" s="1"/>
  <c r="J36" i="1" s="1"/>
  <c r="K36" i="1" a="1"/>
  <c r="K36" i="1" s="1"/>
  <c r="D36" i="1"/>
  <c r="E36" i="1" s="1"/>
  <c r="L36" i="1" s="1"/>
  <c r="H37" i="1"/>
  <c r="I37" i="1" s="1"/>
  <c r="J37" i="1" s="1"/>
  <c r="K37" i="1" a="1"/>
  <c r="K37" i="1" s="1"/>
  <c r="D37" i="1"/>
  <c r="E37" i="1" s="1"/>
  <c r="L37" i="1" s="1"/>
  <c r="D38" i="1"/>
  <c r="E38" i="1" s="1"/>
  <c r="L38" i="1" s="1"/>
  <c r="H38" i="1"/>
  <c r="I38" i="1" s="1"/>
  <c r="J38" i="1" s="1"/>
  <c r="K38" i="1" a="1"/>
  <c r="K38" i="1" s="1"/>
  <c r="D39" i="1"/>
  <c r="E39" i="1" s="1"/>
  <c r="L39" i="1" s="1"/>
  <c r="H39" i="1"/>
  <c r="I39" i="1" s="1"/>
  <c r="J39" i="1" s="1"/>
  <c r="K39" i="1" a="1"/>
  <c r="K39" i="1" s="1"/>
  <c r="H40" i="1"/>
  <c r="I40" i="1" s="1"/>
  <c r="J40" i="1" s="1"/>
  <c r="K40" i="1" a="1"/>
  <c r="K40" i="1" s="1"/>
  <c r="D40" i="1"/>
  <c r="E40" i="1" s="1"/>
  <c r="L40" i="1" s="1"/>
  <c r="D41" i="1"/>
  <c r="E41" i="1" s="1"/>
  <c r="L41" i="1" s="1"/>
  <c r="H41" i="1"/>
  <c r="I41" i="1" s="1"/>
  <c r="J41" i="1" s="1"/>
  <c r="K41" i="1" a="1"/>
  <c r="K41" i="1" s="1"/>
  <c r="H42" i="1"/>
  <c r="I42" i="1" s="1"/>
  <c r="J42" i="1" s="1"/>
  <c r="K42" i="1" a="1"/>
  <c r="K42" i="1" s="1"/>
  <c r="D42" i="1"/>
  <c r="E42" i="1" s="1"/>
  <c r="L42" i="1" s="1"/>
  <c r="H43" i="1"/>
  <c r="I43" i="1" s="1"/>
  <c r="J43" i="1" s="1"/>
  <c r="K43" i="1" a="1"/>
  <c r="K43" i="1" s="1"/>
  <c r="D43" i="1"/>
  <c r="E43" i="1" s="1"/>
  <c r="L43" i="1" s="1"/>
  <c r="H44" i="1"/>
  <c r="I44" i="1" s="1"/>
  <c r="J44" i="1" s="1"/>
  <c r="K44" i="1" a="1"/>
  <c r="K44" i="1" s="1"/>
  <c r="D44" i="1"/>
  <c r="E44" i="1" s="1"/>
  <c r="L44" i="1" s="1"/>
  <c r="H45" i="1"/>
  <c r="I45" i="1" s="1"/>
  <c r="J45" i="1" s="1"/>
  <c r="K45" i="1" a="1"/>
  <c r="K45" i="1" s="1"/>
  <c r="D45" i="1"/>
  <c r="E45" i="1" s="1"/>
  <c r="L45" i="1" s="1"/>
  <c r="D46" i="1"/>
  <c r="E46" i="1" s="1"/>
  <c r="L46" i="1" s="1"/>
  <c r="H46" i="1"/>
  <c r="I46" i="1" s="1"/>
  <c r="J46" i="1" s="1"/>
  <c r="K46" i="1" a="1"/>
  <c r="K46" i="1" s="1"/>
  <c r="H47" i="1"/>
  <c r="I47" i="1" s="1"/>
  <c r="J47" i="1" s="1"/>
  <c r="K47" i="1" a="1"/>
  <c r="K47" i="1" s="1"/>
  <c r="D47" i="1"/>
  <c r="E47" i="1" s="1"/>
  <c r="L47" i="1" s="1"/>
  <c r="D48" i="1"/>
  <c r="E48" i="1" s="1"/>
  <c r="L48" i="1" s="1"/>
  <c r="H48" i="1"/>
  <c r="I48" i="1" s="1"/>
  <c r="J48" i="1" s="1"/>
  <c r="K48" i="1" a="1"/>
  <c r="K48" i="1" s="1"/>
  <c r="D49" i="1"/>
  <c r="E49" i="1" s="1"/>
  <c r="L49" i="1" s="1"/>
  <c r="H49" i="1"/>
  <c r="I49" i="1" s="1"/>
  <c r="J49" i="1" s="1"/>
  <c r="K49" i="1" a="1"/>
  <c r="K49" i="1" s="1"/>
  <c r="H50" i="1"/>
  <c r="I50" i="1" s="1"/>
  <c r="J50" i="1" s="1"/>
  <c r="K50" i="1" a="1"/>
  <c r="K50" i="1" s="1"/>
  <c r="D50" i="1"/>
  <c r="E50" i="1" s="1"/>
  <c r="L50" i="1" s="1"/>
  <c r="D51" i="1"/>
  <c r="E51" i="1" s="1"/>
  <c r="L51" i="1" s="1"/>
  <c r="H51" i="1"/>
  <c r="I51" i="1" s="1"/>
  <c r="J51" i="1" s="1"/>
  <c r="K51" i="1" a="1"/>
  <c r="K51" i="1" s="1"/>
  <c r="H52" i="1"/>
  <c r="I52" i="1" s="1"/>
  <c r="J52" i="1" s="1"/>
  <c r="K52" i="1" a="1"/>
  <c r="K52" i="1" s="1"/>
  <c r="D52" i="1"/>
  <c r="E52" i="1" s="1"/>
  <c r="L52" i="1" s="1"/>
  <c r="D53" i="1"/>
  <c r="E53" i="1" s="1"/>
  <c r="L53" i="1" s="1"/>
  <c r="H53" i="1"/>
  <c r="I53" i="1" s="1"/>
  <c r="J53" i="1" s="1"/>
  <c r="K53" i="1" a="1"/>
  <c r="K53" i="1" s="1"/>
  <c r="D54" i="1"/>
  <c r="E54" i="1" s="1"/>
  <c r="L54" i="1" s="1"/>
  <c r="H54" i="1"/>
  <c r="I54" i="1" s="1"/>
  <c r="J54" i="1" s="1"/>
  <c r="K54" i="1" a="1"/>
  <c r="K54" i="1" s="1"/>
  <c r="D55" i="1"/>
  <c r="E55" i="1" s="1"/>
  <c r="L55" i="1" s="1"/>
  <c r="H55" i="1"/>
  <c r="I55" i="1" s="1"/>
  <c r="J55" i="1" s="1"/>
  <c r="K55" i="1" a="1"/>
  <c r="K55" i="1" s="1"/>
  <c r="D56" i="1"/>
  <c r="E56" i="1" s="1"/>
  <c r="L56" i="1" s="1"/>
  <c r="H56" i="1"/>
  <c r="I56" i="1" s="1"/>
  <c r="J56" i="1" s="1"/>
  <c r="K56" i="1" a="1"/>
  <c r="K56" i="1" s="1"/>
  <c r="H57" i="1"/>
  <c r="I57" i="1" s="1"/>
  <c r="J57" i="1" s="1"/>
  <c r="K57" i="1" a="1"/>
  <c r="K57" i="1" s="1"/>
  <c r="D57" i="1"/>
  <c r="E57" i="1" s="1"/>
  <c r="L57" i="1" s="1"/>
  <c r="H58" i="1"/>
  <c r="I58" i="1" s="1"/>
  <c r="J58" i="1" s="1"/>
  <c r="K58" i="1" a="1"/>
  <c r="K58" i="1" s="1"/>
  <c r="D58" i="1"/>
  <c r="E58" i="1" s="1"/>
  <c r="L58" i="1" s="1"/>
  <c r="H59" i="1"/>
  <c r="I59" i="1" s="1"/>
  <c r="J59" i="1" s="1"/>
  <c r="K59" i="1" a="1"/>
  <c r="K59" i="1" s="1"/>
  <c r="D59" i="1"/>
  <c r="E59" i="1" s="1"/>
  <c r="L59" i="1" s="1"/>
  <c r="H60" i="1"/>
  <c r="I60" i="1" s="1"/>
  <c r="J60" i="1" s="1"/>
  <c r="K60" i="1" a="1"/>
  <c r="K60" i="1" s="1"/>
  <c r="D60" i="1"/>
  <c r="E60" i="1" s="1"/>
  <c r="L60" i="1" s="1"/>
  <c r="D61" i="1"/>
  <c r="E61" i="1" s="1"/>
  <c r="L61" i="1" s="1"/>
  <c r="H61" i="1"/>
  <c r="I61" i="1" s="1"/>
  <c r="J61" i="1" s="1"/>
  <c r="K61" i="1" a="1"/>
  <c r="K61" i="1" s="1"/>
  <c r="H62" i="1"/>
  <c r="I62" i="1" s="1"/>
  <c r="J62" i="1" s="1"/>
  <c r="K62" i="1" a="1"/>
  <c r="K62" i="1" s="1"/>
  <c r="D62" i="1"/>
  <c r="E62" i="1" s="1"/>
  <c r="L62" i="1" s="1"/>
  <c r="D63" i="1"/>
  <c r="E63" i="1" s="1"/>
  <c r="L63" i="1" s="1"/>
  <c r="H63" i="1"/>
  <c r="I63" i="1" s="1"/>
  <c r="J63" i="1" s="1"/>
  <c r="K63" i="1" a="1"/>
  <c r="K63" i="1" s="1"/>
  <c r="D64" i="1"/>
  <c r="E64" i="1" s="1"/>
  <c r="L64" i="1" s="1"/>
  <c r="H64" i="1"/>
  <c r="I64" i="1" s="1"/>
  <c r="J64" i="1" s="1"/>
  <c r="K64" i="1" a="1"/>
  <c r="K64" i="1" s="1"/>
  <c r="D65" i="1"/>
  <c r="E65" i="1" s="1"/>
  <c r="L65" i="1" s="1"/>
  <c r="H65" i="1"/>
  <c r="I65" i="1" s="1"/>
  <c r="J65" i="1" s="1"/>
  <c r="K65" i="1" a="1"/>
  <c r="K65" i="1" s="1"/>
  <c r="H66" i="1"/>
  <c r="I66" i="1" s="1"/>
  <c r="J66" i="1" s="1"/>
  <c r="K66" i="1" a="1"/>
  <c r="K66" i="1" s="1"/>
  <c r="D66" i="1"/>
  <c r="E66" i="1" s="1"/>
  <c r="L66" i="1" s="1"/>
  <c r="H67" i="1"/>
  <c r="I67" i="1" s="1"/>
  <c r="J67" i="1" s="1"/>
  <c r="K67" i="1" a="1"/>
  <c r="K67" i="1" s="1"/>
  <c r="D67" i="1"/>
  <c r="E67" i="1" s="1"/>
  <c r="L67" i="1" s="1"/>
  <c r="H68" i="1"/>
  <c r="I68" i="1" s="1"/>
  <c r="J68" i="1" s="1"/>
  <c r="K68" i="1" a="1"/>
  <c r="K68" i="1" s="1"/>
  <c r="D68" i="1"/>
  <c r="E68" i="1" s="1"/>
  <c r="L68" i="1" s="1"/>
  <c r="H69" i="1"/>
  <c r="I69" i="1" s="1"/>
  <c r="J69" i="1" s="1"/>
  <c r="K69" i="1" a="1"/>
  <c r="K69" i="1" s="1"/>
  <c r="D69" i="1"/>
  <c r="E69" i="1" s="1"/>
  <c r="L69" i="1" s="1"/>
  <c r="D70" i="1"/>
  <c r="E70" i="1" s="1"/>
  <c r="L70" i="1" s="1"/>
  <c r="H70" i="1"/>
  <c r="I70" i="1" s="1"/>
  <c r="J70" i="1" s="1"/>
  <c r="K70" i="1" a="1"/>
  <c r="K70" i="1" s="1"/>
  <c r="D71" i="1"/>
  <c r="E71" i="1" s="1"/>
  <c r="L71" i="1" s="1"/>
  <c r="H71" i="1"/>
  <c r="I71" i="1" s="1"/>
  <c r="J71" i="1" s="1"/>
  <c r="K71" i="1" a="1"/>
  <c r="K71" i="1" s="1"/>
  <c r="D72" i="1"/>
  <c r="E72" i="1" s="1"/>
  <c r="L72" i="1" s="1"/>
  <c r="H72" i="1"/>
  <c r="I72" i="1" s="1"/>
  <c r="J72" i="1" s="1"/>
  <c r="K72" i="1" a="1"/>
  <c r="K72" i="1" s="1"/>
  <c r="D73" i="1"/>
  <c r="E73" i="1" s="1"/>
  <c r="L73" i="1" s="1"/>
  <c r="H73" i="1"/>
  <c r="I73" i="1" s="1"/>
  <c r="J73" i="1" s="1"/>
  <c r="K73" i="1" a="1"/>
  <c r="K73" i="1" s="1"/>
  <c r="D74" i="1"/>
  <c r="E74" i="1" s="1"/>
  <c r="L74" i="1" s="1"/>
  <c r="H74" i="1"/>
  <c r="I74" i="1" s="1"/>
  <c r="J74" i="1" s="1"/>
  <c r="K74" i="1" a="1"/>
  <c r="K74" i="1" s="1"/>
  <c r="D75" i="1"/>
  <c r="E75" i="1" s="1"/>
  <c r="L75" i="1" s="1"/>
  <c r="H75" i="1"/>
  <c r="I75" i="1" s="1"/>
  <c r="J75" i="1" s="1"/>
  <c r="K75" i="1" a="1"/>
  <c r="K75" i="1" s="1"/>
  <c r="D76" i="1"/>
  <c r="E76" i="1" s="1"/>
  <c r="L76" i="1" s="1"/>
  <c r="H76" i="1"/>
  <c r="I76" i="1" s="1"/>
  <c r="J76" i="1" s="1"/>
  <c r="K76" i="1" a="1"/>
  <c r="K76" i="1" s="1"/>
  <c r="D77" i="1"/>
  <c r="E77" i="1" s="1"/>
  <c r="L77" i="1" s="1"/>
  <c r="H77" i="1"/>
  <c r="I77" i="1" s="1"/>
  <c r="J77" i="1" s="1"/>
  <c r="K77" i="1" a="1"/>
  <c r="K77" i="1" s="1"/>
  <c r="D78" i="1"/>
  <c r="E78" i="1" s="1"/>
  <c r="L78" i="1" s="1"/>
  <c r="H78" i="1"/>
  <c r="I78" i="1" s="1"/>
  <c r="J78" i="1" s="1"/>
  <c r="K78" i="1" a="1"/>
  <c r="K78" i="1" s="1"/>
  <c r="H79" i="1"/>
  <c r="I79" i="1" s="1"/>
  <c r="J79" i="1" s="1"/>
  <c r="K79" i="1" a="1"/>
  <c r="K79" i="1" s="1"/>
  <c r="D79" i="1"/>
  <c r="E79" i="1" s="1"/>
  <c r="L79" i="1" s="1"/>
  <c r="H80" i="1"/>
  <c r="I80" i="1" s="1"/>
  <c r="J80" i="1" s="1"/>
  <c r="K80" i="1" a="1"/>
  <c r="K80" i="1" s="1"/>
  <c r="D80" i="1"/>
  <c r="E80" i="1" s="1"/>
  <c r="L80" i="1" s="1"/>
  <c r="H81" i="1"/>
  <c r="I81" i="1" s="1"/>
  <c r="J81" i="1" s="1"/>
  <c r="K81" i="1" a="1"/>
  <c r="K81" i="1" s="1"/>
  <c r="D81" i="1"/>
  <c r="E81" i="1" s="1"/>
  <c r="L81" i="1" s="1"/>
  <c r="H82" i="1"/>
  <c r="I82" i="1" s="1"/>
  <c r="J82" i="1" s="1"/>
  <c r="K82" i="1" a="1"/>
  <c r="K82" i="1" s="1"/>
  <c r="D82" i="1"/>
  <c r="E82" i="1" s="1"/>
  <c r="L82" i="1" s="1"/>
  <c r="H83" i="1"/>
  <c r="I83" i="1" s="1"/>
  <c r="J83" i="1" s="1"/>
  <c r="K83" i="1" a="1"/>
  <c r="K83" i="1" s="1"/>
  <c r="D83" i="1"/>
  <c r="E83" i="1" s="1"/>
  <c r="L83" i="1" s="1"/>
  <c r="D84" i="1"/>
  <c r="E84" i="1" s="1"/>
  <c r="L84" i="1" s="1"/>
  <c r="H84" i="1"/>
  <c r="I84" i="1" s="1"/>
  <c r="J84" i="1" s="1"/>
  <c r="K84" i="1" a="1"/>
  <c r="K84" i="1" s="1"/>
  <c r="D85" i="1"/>
  <c r="E85" i="1" s="1"/>
  <c r="L85" i="1" s="1"/>
  <c r="H85" i="1"/>
  <c r="I85" i="1" s="1"/>
  <c r="J85" i="1" s="1"/>
  <c r="K85" i="1" a="1"/>
  <c r="K85" i="1" s="1"/>
  <c r="D86" i="1"/>
  <c r="E86" i="1" s="1"/>
  <c r="L86" i="1" s="1"/>
  <c r="H86" i="1"/>
  <c r="I86" i="1" s="1"/>
  <c r="J86" i="1" s="1"/>
  <c r="K86" i="1" a="1"/>
  <c r="K86" i="1" s="1"/>
  <c r="D87" i="1"/>
  <c r="E87" i="1" s="1"/>
  <c r="L87" i="1" s="1"/>
  <c r="H87" i="1"/>
  <c r="I87" i="1" s="1"/>
  <c r="J87" i="1" s="1"/>
  <c r="K87" i="1" a="1"/>
  <c r="K87" i="1" s="1"/>
  <c r="D88" i="1"/>
  <c r="E88" i="1" s="1"/>
  <c r="L88" i="1" s="1"/>
  <c r="H88" i="1"/>
  <c r="I88" i="1" s="1"/>
  <c r="J88" i="1" s="1"/>
  <c r="K88" i="1" a="1"/>
  <c r="K88" i="1" s="1"/>
  <c r="H89" i="1"/>
  <c r="I89" i="1" s="1"/>
  <c r="J89" i="1" s="1"/>
  <c r="K89" i="1" a="1"/>
  <c r="K89" i="1" s="1"/>
  <c r="D89" i="1"/>
  <c r="E89" i="1" s="1"/>
  <c r="L89" i="1" s="1"/>
  <c r="D510" i="1"/>
  <c r="E510" i="1" s="1"/>
  <c r="L510" i="1" s="1"/>
  <c r="H510" i="1"/>
  <c r="I510" i="1" s="1"/>
  <c r="J510" i="1" s="1"/>
  <c r="K510" i="1" a="1"/>
  <c r="K510" i="1" s="1"/>
  <c r="D511" i="1"/>
  <c r="E511" i="1" s="1"/>
  <c r="L511" i="1" s="1"/>
  <c r="H511" i="1"/>
  <c r="I511" i="1" s="1"/>
  <c r="J511" i="1" s="1"/>
  <c r="K511" i="1" a="1"/>
  <c r="K511" i="1" s="1"/>
  <c r="D512" i="1"/>
  <c r="E512" i="1" s="1"/>
  <c r="L512" i="1" s="1"/>
  <c r="H512" i="1"/>
  <c r="I512" i="1" s="1"/>
  <c r="J512" i="1" s="1"/>
  <c r="K512" i="1" a="1"/>
  <c r="K512" i="1" s="1"/>
  <c r="D513" i="1"/>
  <c r="E513" i="1" s="1"/>
  <c r="L513" i="1" s="1"/>
  <c r="H513" i="1"/>
  <c r="I513" i="1" s="1"/>
  <c r="J513" i="1" s="1"/>
  <c r="K513" i="1" a="1"/>
  <c r="K513" i="1" s="1"/>
  <c r="H514" i="1"/>
  <c r="I514" i="1" s="1"/>
  <c r="J514" i="1" s="1"/>
  <c r="K514" i="1" a="1"/>
  <c r="K514" i="1" s="1"/>
  <c r="D514" i="1"/>
  <c r="E514" i="1" s="1"/>
  <c r="L514" i="1" s="1"/>
  <c r="D515" i="1"/>
  <c r="E515" i="1" s="1"/>
  <c r="L515" i="1" s="1"/>
  <c r="H515" i="1"/>
  <c r="I515" i="1" s="1"/>
  <c r="J515" i="1" s="1"/>
  <c r="K515" i="1" a="1"/>
  <c r="K515" i="1" s="1"/>
  <c r="D516" i="1"/>
  <c r="E516" i="1" s="1"/>
  <c r="L516" i="1" s="1"/>
  <c r="H516" i="1"/>
  <c r="I516" i="1" s="1"/>
  <c r="J516" i="1" s="1"/>
  <c r="K516" i="1" a="1"/>
  <c r="K516" i="1" s="1"/>
  <c r="H517" i="1"/>
  <c r="I517" i="1" s="1"/>
  <c r="J517" i="1" s="1"/>
  <c r="K517" i="1" a="1"/>
  <c r="K517" i="1" s="1"/>
  <c r="D517" i="1"/>
  <c r="E517" i="1" s="1"/>
  <c r="L517" i="1" s="1"/>
  <c r="H518" i="1"/>
  <c r="I518" i="1" s="1"/>
  <c r="J518" i="1" s="1"/>
  <c r="K518" i="1" a="1"/>
  <c r="K518" i="1" s="1"/>
  <c r="D518" i="1"/>
  <c r="E518" i="1" s="1"/>
  <c r="L518" i="1" s="1"/>
  <c r="H519" i="1"/>
  <c r="I519" i="1" s="1"/>
  <c r="J519" i="1" s="1"/>
  <c r="K519" i="1" a="1"/>
  <c r="K519" i="1" s="1"/>
  <c r="D519" i="1"/>
  <c r="E519" i="1" s="1"/>
  <c r="L519" i="1" s="1"/>
  <c r="D520" i="1"/>
  <c r="E520" i="1" s="1"/>
  <c r="L520" i="1" s="1"/>
  <c r="H520" i="1"/>
  <c r="I520" i="1" s="1"/>
  <c r="J520" i="1" s="1"/>
  <c r="K520" i="1" a="1"/>
  <c r="K520" i="1" s="1"/>
  <c r="D521" i="1"/>
  <c r="E521" i="1" s="1"/>
  <c r="L521" i="1" s="1"/>
  <c r="H521" i="1"/>
  <c r="I521" i="1" s="1"/>
  <c r="J521" i="1" s="1"/>
  <c r="K521" i="1" a="1"/>
  <c r="K521" i="1" s="1"/>
  <c r="H522" i="1"/>
  <c r="I522" i="1" s="1"/>
  <c r="J522" i="1" s="1"/>
  <c r="K522" i="1" a="1"/>
  <c r="K522" i="1" s="1"/>
  <c r="D522" i="1"/>
  <c r="E522" i="1" s="1"/>
  <c r="L522" i="1" s="1"/>
  <c r="H523" i="1"/>
  <c r="I523" i="1" s="1"/>
  <c r="J523" i="1" s="1"/>
  <c r="K523" i="1" a="1"/>
  <c r="K523" i="1" s="1"/>
  <c r="D523" i="1"/>
  <c r="E523" i="1" s="1"/>
  <c r="L523" i="1" s="1"/>
  <c r="H524" i="1"/>
  <c r="I524" i="1" s="1"/>
  <c r="J524" i="1" s="1"/>
  <c r="K524" i="1" a="1"/>
  <c r="K524" i="1" s="1"/>
  <c r="D524" i="1"/>
  <c r="E524" i="1" s="1"/>
  <c r="L524" i="1" s="1"/>
  <c r="H525" i="1"/>
  <c r="I525" i="1" s="1"/>
  <c r="J525" i="1" s="1"/>
  <c r="K525" i="1" a="1"/>
  <c r="K525" i="1" s="1"/>
  <c r="D525" i="1"/>
  <c r="E525" i="1" s="1"/>
  <c r="L525" i="1" s="1"/>
  <c r="H526" i="1"/>
  <c r="I526" i="1" s="1"/>
  <c r="J526" i="1" s="1"/>
  <c r="K526" i="1" a="1"/>
  <c r="K526" i="1" s="1"/>
  <c r="D526" i="1"/>
  <c r="E526" i="1" s="1"/>
  <c r="L526" i="1" s="1"/>
  <c r="K527" i="1" a="1"/>
  <c r="K527" i="1" s="1"/>
  <c r="H527" i="1"/>
  <c r="I527" i="1" s="1"/>
  <c r="J527" i="1" s="1"/>
  <c r="D527" i="1"/>
  <c r="E527" i="1" s="1"/>
  <c r="L527" i="1" s="1"/>
  <c r="K528" i="1" a="1"/>
  <c r="K528" i="1" s="1"/>
  <c r="H528" i="1"/>
  <c r="I528" i="1" s="1"/>
  <c r="J528" i="1" s="1"/>
  <c r="D528" i="1"/>
  <c r="E528" i="1" s="1"/>
  <c r="L528" i="1" s="1"/>
  <c r="H529" i="1"/>
  <c r="I529" i="1" s="1"/>
  <c r="J529" i="1" s="1"/>
  <c r="K529" i="1" a="1"/>
  <c r="K529" i="1" s="1"/>
  <c r="D529" i="1"/>
  <c r="E529" i="1" s="1"/>
  <c r="L529" i="1" s="1"/>
  <c r="K530" i="1" a="1"/>
  <c r="K530" i="1" s="1"/>
  <c r="H530" i="1"/>
  <c r="I530" i="1" s="1"/>
  <c r="J530" i="1" s="1"/>
  <c r="D530" i="1"/>
  <c r="E530" i="1" s="1"/>
  <c r="L530" i="1" s="1"/>
  <c r="H531" i="1"/>
  <c r="I531" i="1" s="1"/>
  <c r="J531" i="1" s="1"/>
  <c r="K531" i="1" a="1"/>
  <c r="K531" i="1" s="1"/>
  <c r="D531" i="1"/>
  <c r="E531" i="1" s="1"/>
  <c r="L531" i="1" s="1"/>
  <c r="D532" i="1"/>
  <c r="E532" i="1" s="1"/>
  <c r="L532" i="1" s="1"/>
  <c r="K532" i="1" a="1"/>
  <c r="K532" i="1" s="1"/>
  <c r="H532" i="1"/>
  <c r="I532" i="1" s="1"/>
  <c r="J532" i="1" s="1"/>
  <c r="K533" i="1" a="1"/>
  <c r="K533" i="1" s="1"/>
  <c r="H533" i="1"/>
  <c r="I533" i="1" s="1"/>
  <c r="J533" i="1" s="1"/>
  <c r="D533" i="1"/>
  <c r="E533" i="1" s="1"/>
  <c r="L533" i="1" s="1"/>
  <c r="D534" i="1"/>
  <c r="E534" i="1" s="1"/>
  <c r="L534" i="1" s="1"/>
  <c r="K534" i="1" a="1"/>
  <c r="K534" i="1" s="1"/>
  <c r="H534" i="1"/>
  <c r="I534" i="1" s="1"/>
  <c r="J534" i="1" s="1"/>
  <c r="D535" i="1"/>
  <c r="E535" i="1" s="1"/>
  <c r="L535" i="1" s="1"/>
  <c r="H535" i="1"/>
  <c r="I535" i="1" s="1"/>
  <c r="J535" i="1" s="1"/>
  <c r="K535" i="1" a="1"/>
  <c r="K535" i="1" s="1"/>
  <c r="K536" i="1" a="1"/>
  <c r="K536" i="1" s="1"/>
  <c r="H536" i="1"/>
  <c r="I536" i="1" s="1"/>
  <c r="J536" i="1" s="1"/>
  <c r="D536" i="1"/>
  <c r="E536" i="1" s="1"/>
  <c r="L536" i="1" s="1"/>
  <c r="H537" i="1"/>
  <c r="I537" i="1" s="1"/>
  <c r="J537" i="1" s="1"/>
  <c r="K537" i="1" a="1"/>
  <c r="K537" i="1" s="1"/>
  <c r="D537" i="1"/>
  <c r="E537" i="1" s="1"/>
  <c r="L537" i="1" s="1"/>
  <c r="D538" i="1"/>
  <c r="E538" i="1" s="1"/>
  <c r="L538" i="1" s="1"/>
  <c r="K538" i="1" a="1"/>
  <c r="K538" i="1" s="1"/>
  <c r="H538" i="1"/>
  <c r="I538" i="1" s="1"/>
  <c r="J538" i="1" s="1"/>
  <c r="D539" i="1"/>
  <c r="E539" i="1" s="1"/>
  <c r="L539" i="1" s="1"/>
  <c r="H539" i="1"/>
  <c r="I539" i="1" s="1"/>
  <c r="J539" i="1" s="1"/>
  <c r="K539" i="1" a="1"/>
  <c r="K539" i="1" s="1"/>
  <c r="K540" i="1" a="1"/>
  <c r="K540" i="1" s="1"/>
  <c r="H540" i="1"/>
  <c r="I540" i="1" s="1"/>
  <c r="J540" i="1" s="1"/>
  <c r="D540" i="1"/>
  <c r="E540" i="1" s="1"/>
  <c r="L540" i="1" s="1"/>
  <c r="K541" i="1" a="1"/>
  <c r="K541" i="1" s="1"/>
  <c r="H541" i="1"/>
  <c r="I541" i="1" s="1"/>
  <c r="J541" i="1" s="1"/>
  <c r="D541" i="1"/>
  <c r="E541" i="1" s="1"/>
  <c r="L541" i="1" s="1"/>
  <c r="K542" i="1" a="1"/>
  <c r="K542" i="1" s="1"/>
  <c r="H542" i="1"/>
  <c r="I542" i="1" s="1"/>
  <c r="J542" i="1" s="1"/>
  <c r="D542" i="1"/>
  <c r="E542" i="1" s="1"/>
  <c r="L542" i="1" s="1"/>
  <c r="H543" i="1"/>
  <c r="I543" i="1" s="1"/>
  <c r="J543" i="1" s="1"/>
  <c r="K543" i="1" a="1"/>
  <c r="K543" i="1" s="1"/>
  <c r="D543" i="1"/>
  <c r="E543" i="1" s="1"/>
  <c r="L543" i="1" s="1"/>
  <c r="K544" i="1" a="1"/>
  <c r="K544" i="1" s="1"/>
  <c r="H544" i="1"/>
  <c r="I544" i="1" s="1"/>
  <c r="J544" i="1" s="1"/>
  <c r="D544" i="1"/>
  <c r="E544" i="1" s="1"/>
  <c r="L544" i="1" s="1"/>
  <c r="D545" i="1"/>
  <c r="E545" i="1" s="1"/>
  <c r="L545" i="1" s="1"/>
  <c r="K545" i="1" a="1"/>
  <c r="K545" i="1" s="1"/>
  <c r="H545" i="1"/>
  <c r="I545" i="1" s="1"/>
  <c r="J545" i="1" s="1"/>
  <c r="H546" i="1"/>
  <c r="I546" i="1" s="1"/>
  <c r="J546" i="1" s="1"/>
  <c r="K546" i="1" a="1"/>
  <c r="K546" i="1" s="1"/>
  <c r="D546" i="1"/>
  <c r="E546" i="1" s="1"/>
  <c r="L546" i="1" s="1"/>
  <c r="K547" i="1" a="1"/>
  <c r="K547" i="1" s="1"/>
  <c r="H547" i="1"/>
  <c r="I547" i="1" s="1"/>
  <c r="J547" i="1" s="1"/>
  <c r="D547" i="1"/>
  <c r="E547" i="1" s="1"/>
  <c r="L547" i="1" s="1"/>
  <c r="K548" i="1" a="1"/>
  <c r="K548" i="1" s="1"/>
  <c r="H548" i="1"/>
  <c r="I548" i="1" s="1"/>
  <c r="J548" i="1" s="1"/>
  <c r="D548" i="1"/>
  <c r="E548" i="1" s="1"/>
  <c r="L548" i="1" s="1"/>
  <c r="H549" i="1"/>
  <c r="I549" i="1" s="1"/>
  <c r="J549" i="1" s="1"/>
  <c r="K549" i="1" a="1"/>
  <c r="K549" i="1" s="1"/>
  <c r="D549" i="1"/>
  <c r="E549" i="1" s="1"/>
  <c r="L549" i="1" s="1"/>
  <c r="K550" i="1" a="1"/>
  <c r="K550" i="1" s="1"/>
  <c r="H550" i="1"/>
  <c r="I550" i="1" s="1"/>
  <c r="J550" i="1" s="1"/>
  <c r="D550" i="1"/>
  <c r="E550" i="1" s="1"/>
  <c r="L550" i="1" s="1"/>
  <c r="K551" i="1" a="1"/>
  <c r="K551" i="1" s="1"/>
  <c r="H551" i="1"/>
  <c r="I551" i="1" s="1"/>
  <c r="J551" i="1" s="1"/>
  <c r="D551" i="1"/>
  <c r="E551" i="1" s="1"/>
  <c r="L551" i="1" s="1"/>
  <c r="H552" i="1"/>
  <c r="I552" i="1" s="1"/>
  <c r="J552" i="1" s="1"/>
  <c r="K552" i="1" a="1"/>
  <c r="K552" i="1" s="1"/>
  <c r="D552" i="1"/>
  <c r="E552" i="1" s="1"/>
  <c r="L552" i="1" s="1"/>
  <c r="K553" i="1" a="1"/>
  <c r="K553" i="1" s="1"/>
  <c r="H553" i="1"/>
  <c r="I553" i="1" s="1"/>
  <c r="J553" i="1" s="1"/>
  <c r="D553" i="1"/>
  <c r="E553" i="1" s="1"/>
  <c r="L553" i="1" s="1"/>
  <c r="D554" i="1"/>
  <c r="E554" i="1" s="1"/>
  <c r="L554" i="1" s="1"/>
  <c r="K554" i="1" a="1"/>
  <c r="K554" i="1" s="1"/>
  <c r="H554" i="1"/>
  <c r="I554" i="1" s="1"/>
  <c r="J554" i="1" s="1"/>
  <c r="H555" i="1"/>
  <c r="I555" i="1" s="1"/>
  <c r="J555" i="1" s="1"/>
  <c r="K555" i="1" a="1"/>
  <c r="K555" i="1" s="1"/>
  <c r="D555" i="1"/>
  <c r="E555" i="1" s="1"/>
  <c r="L555" i="1" s="1"/>
  <c r="D556" i="1"/>
  <c r="E556" i="1" s="1"/>
  <c r="L556" i="1" s="1"/>
  <c r="K556" i="1" a="1"/>
  <c r="K556" i="1" s="1"/>
  <c r="H556" i="1"/>
  <c r="I556" i="1" s="1"/>
  <c r="J556" i="1" s="1"/>
  <c r="D557" i="1"/>
  <c r="E557" i="1" s="1"/>
  <c r="L557" i="1" s="1"/>
  <c r="K557" i="1" a="1"/>
  <c r="K557" i="1" s="1"/>
  <c r="H557" i="1"/>
  <c r="I557" i="1" s="1"/>
  <c r="J557" i="1" s="1"/>
  <c r="H558" i="1"/>
  <c r="I558" i="1" s="1"/>
  <c r="J558" i="1" s="1"/>
  <c r="K558" i="1" a="1"/>
  <c r="K558" i="1" s="1"/>
  <c r="D558" i="1"/>
  <c r="E558" i="1" s="1"/>
  <c r="L558" i="1" s="1"/>
  <c r="D559" i="1"/>
  <c r="E559" i="1" s="1"/>
  <c r="L559" i="1" s="1"/>
  <c r="K559" i="1" a="1"/>
  <c r="K559" i="1" s="1"/>
  <c r="H559" i="1"/>
  <c r="I559" i="1" s="1"/>
  <c r="J559" i="1" s="1"/>
  <c r="D560" i="1"/>
  <c r="E560" i="1" s="1"/>
  <c r="L560" i="1" s="1"/>
  <c r="K560" i="1" a="1"/>
  <c r="K560" i="1" s="1"/>
  <c r="H560" i="1"/>
  <c r="I560" i="1" s="1"/>
  <c r="J560" i="1" s="1"/>
  <c r="D561" i="1"/>
  <c r="E561" i="1" s="1"/>
  <c r="L561" i="1" s="1"/>
  <c r="K561" i="1" a="1"/>
  <c r="K561" i="1" s="1"/>
  <c r="H561" i="1"/>
  <c r="I561" i="1" s="1"/>
  <c r="J561" i="1" s="1"/>
  <c r="H562" i="1"/>
  <c r="I562" i="1" s="1"/>
  <c r="J562" i="1" s="1"/>
  <c r="K562" i="1" a="1"/>
  <c r="K562" i="1" s="1"/>
  <c r="D562" i="1"/>
  <c r="E562" i="1" s="1"/>
  <c r="L562" i="1" s="1"/>
  <c r="D563" i="1"/>
  <c r="E563" i="1" s="1"/>
  <c r="L563" i="1" s="1"/>
  <c r="K563" i="1" a="1"/>
  <c r="K563" i="1" s="1"/>
  <c r="H563" i="1"/>
  <c r="I563" i="1" s="1"/>
  <c r="J563" i="1" s="1"/>
  <c r="D564" i="1"/>
  <c r="E564" i="1" s="1"/>
  <c r="L564" i="1" s="1"/>
  <c r="H564" i="1"/>
  <c r="I564" i="1" s="1"/>
  <c r="J564" i="1" s="1"/>
  <c r="K564" i="1" a="1"/>
  <c r="K564" i="1" s="1"/>
  <c r="D565" i="1"/>
  <c r="E565" i="1" s="1"/>
  <c r="L565" i="1" s="1"/>
  <c r="K565" i="1" a="1"/>
  <c r="K565" i="1" s="1"/>
  <c r="H565" i="1"/>
  <c r="I565" i="1" s="1"/>
  <c r="J565" i="1" s="1"/>
  <c r="K566" i="1" a="1"/>
  <c r="K566" i="1" s="1"/>
  <c r="H566" i="1"/>
  <c r="I566" i="1" s="1"/>
  <c r="J566" i="1" s="1"/>
  <c r="D566" i="1"/>
  <c r="E566" i="1" s="1"/>
  <c r="L566" i="1" s="1"/>
  <c r="K567" i="1" a="1"/>
  <c r="K567" i="1" s="1"/>
  <c r="H567" i="1"/>
  <c r="I567" i="1" s="1"/>
  <c r="J567" i="1" s="1"/>
  <c r="D567" i="1"/>
  <c r="E567" i="1" s="1"/>
  <c r="L567" i="1" s="1"/>
  <c r="D568" i="1"/>
  <c r="E568" i="1" s="1"/>
  <c r="L568" i="1" s="1"/>
  <c r="H568" i="1"/>
  <c r="I568" i="1" s="1"/>
  <c r="J568" i="1" s="1"/>
  <c r="K568" i="1" a="1"/>
  <c r="K568" i="1" s="1"/>
  <c r="K569" i="1" a="1"/>
  <c r="K569" i="1" s="1"/>
  <c r="H569" i="1"/>
  <c r="I569" i="1" s="1"/>
  <c r="J569" i="1" s="1"/>
  <c r="D569" i="1"/>
  <c r="E569" i="1" s="1"/>
  <c r="L569" i="1" s="1"/>
  <c r="H570" i="1"/>
  <c r="I570" i="1" s="1"/>
  <c r="J570" i="1" s="1"/>
  <c r="K570" i="1" a="1"/>
  <c r="K570" i="1" s="1"/>
  <c r="D570" i="1"/>
  <c r="E570" i="1" s="1"/>
  <c r="L570" i="1" s="1"/>
  <c r="D571" i="1"/>
  <c r="E571" i="1" s="1"/>
  <c r="L571" i="1" s="1"/>
  <c r="K571" i="1" a="1"/>
  <c r="K571" i="1" s="1"/>
  <c r="H571" i="1"/>
  <c r="I571" i="1" s="1"/>
  <c r="J571" i="1" s="1"/>
  <c r="D572" i="1"/>
  <c r="E572" i="1" s="1"/>
  <c r="L572" i="1" s="1"/>
  <c r="K572" i="1" a="1"/>
  <c r="K572" i="1" s="1"/>
  <c r="H572" i="1"/>
  <c r="I572" i="1" s="1"/>
  <c r="J572" i="1" s="1"/>
  <c r="D573" i="1"/>
  <c r="E573" i="1" s="1"/>
  <c r="L573" i="1" s="1"/>
  <c r="K573" i="1" a="1"/>
  <c r="K573" i="1" s="1"/>
  <c r="H573" i="1"/>
  <c r="I573" i="1" s="1"/>
  <c r="J573" i="1" s="1"/>
  <c r="K574" i="1" a="1"/>
  <c r="K574" i="1" s="1"/>
  <c r="H574" i="1"/>
  <c r="I574" i="1" s="1"/>
  <c r="J574" i="1" s="1"/>
  <c r="D574" i="1"/>
  <c r="E574" i="1" s="1"/>
  <c r="L574" i="1" s="1"/>
  <c r="H575" i="1"/>
  <c r="I575" i="1" s="1"/>
  <c r="J575" i="1" s="1"/>
  <c r="K575" i="1" a="1"/>
  <c r="K575" i="1" s="1"/>
  <c r="D575" i="1"/>
  <c r="E575" i="1" s="1"/>
  <c r="L575" i="1" s="1"/>
  <c r="K576" i="1" a="1"/>
  <c r="K576" i="1" s="1"/>
  <c r="H576" i="1"/>
  <c r="I576" i="1" s="1"/>
  <c r="J576" i="1" s="1"/>
  <c r="D576" i="1"/>
  <c r="E576" i="1" s="1"/>
  <c r="L576" i="1" s="1"/>
  <c r="D577" i="1"/>
  <c r="E577" i="1" s="1"/>
  <c r="L577" i="1" s="1"/>
  <c r="H577" i="1"/>
  <c r="I577" i="1" s="1"/>
  <c r="J577" i="1" s="1"/>
  <c r="K577" i="1" a="1"/>
  <c r="K577" i="1" s="1"/>
  <c r="K578" i="1" a="1"/>
  <c r="K578" i="1" s="1"/>
  <c r="H578" i="1"/>
  <c r="I578" i="1" s="1"/>
  <c r="J578" i="1" s="1"/>
  <c r="D578" i="1"/>
  <c r="E578" i="1" s="1"/>
  <c r="L578" i="1" s="1"/>
  <c r="H579" i="1"/>
  <c r="I579" i="1" s="1"/>
  <c r="J579" i="1" s="1"/>
  <c r="K579" i="1" a="1"/>
  <c r="K579" i="1" s="1"/>
  <c r="D579" i="1"/>
  <c r="E579" i="1" s="1"/>
  <c r="L579" i="1" s="1"/>
  <c r="K580" i="1" a="1"/>
  <c r="K580" i="1" s="1"/>
  <c r="H580" i="1"/>
  <c r="I580" i="1" s="1"/>
  <c r="J580" i="1" s="1"/>
  <c r="D580" i="1"/>
  <c r="E580" i="1" s="1"/>
  <c r="L580" i="1" s="1"/>
  <c r="K581" i="1" a="1"/>
  <c r="K581" i="1" s="1"/>
  <c r="H581" i="1"/>
  <c r="I581" i="1" s="1"/>
  <c r="J581" i="1" s="1"/>
  <c r="D581" i="1"/>
  <c r="E581" i="1" s="1"/>
  <c r="L581" i="1" s="1"/>
  <c r="D582" i="1"/>
  <c r="E582" i="1" s="1"/>
  <c r="L582" i="1" s="1"/>
  <c r="K582" i="1" a="1"/>
  <c r="K582" i="1" s="1"/>
  <c r="H582" i="1"/>
  <c r="I582" i="1" s="1"/>
  <c r="J582" i="1" s="1"/>
  <c r="H583" i="1"/>
  <c r="I583" i="1" s="1"/>
  <c r="J583" i="1" s="1"/>
  <c r="K583" i="1" a="1"/>
  <c r="K583" i="1" s="1"/>
  <c r="D583" i="1"/>
  <c r="E583" i="1" s="1"/>
  <c r="L583" i="1" s="1"/>
  <c r="D584" i="1"/>
  <c r="E584" i="1" s="1"/>
  <c r="L584" i="1" s="1"/>
  <c r="K584" i="1" a="1"/>
  <c r="K584" i="1" s="1"/>
  <c r="H584" i="1"/>
  <c r="I584" i="1" s="1"/>
  <c r="J584" i="1" s="1"/>
  <c r="K585" i="1" a="1"/>
  <c r="K585" i="1" s="1"/>
  <c r="H585" i="1"/>
  <c r="I585" i="1" s="1"/>
  <c r="J585" i="1" s="1"/>
  <c r="D585" i="1"/>
  <c r="E585" i="1" s="1"/>
  <c r="L585" i="1" s="1"/>
  <c r="H586" i="1"/>
  <c r="I586" i="1" s="1"/>
  <c r="J586" i="1" s="1"/>
  <c r="K586" i="1" a="1"/>
  <c r="K586" i="1" s="1"/>
  <c r="D586" i="1"/>
  <c r="E586" i="1" s="1"/>
  <c r="L586" i="1" s="1"/>
  <c r="D587" i="1"/>
  <c r="E587" i="1" s="1"/>
  <c r="L587" i="1" s="1"/>
  <c r="K587" i="1" a="1"/>
  <c r="K587" i="1" s="1"/>
  <c r="H587" i="1"/>
  <c r="I587" i="1" s="1"/>
  <c r="J587" i="1" s="1"/>
  <c r="H588" i="1"/>
  <c r="I588" i="1" s="1"/>
  <c r="J588" i="1" s="1"/>
  <c r="K588" i="1" a="1"/>
  <c r="K588" i="1" s="1"/>
  <c r="D588" i="1"/>
  <c r="E588" i="1" s="1"/>
  <c r="L588" i="1" s="1"/>
  <c r="K589" i="1" a="1"/>
  <c r="K589" i="1" s="1"/>
  <c r="H589" i="1"/>
  <c r="I589" i="1" s="1"/>
  <c r="J589" i="1" s="1"/>
  <c r="D589" i="1"/>
  <c r="E589" i="1" s="1"/>
  <c r="L589" i="1" s="1"/>
  <c r="K590" i="1" a="1"/>
  <c r="K590" i="1" s="1"/>
  <c r="H590" i="1"/>
  <c r="I590" i="1" s="1"/>
  <c r="J590" i="1" s="1"/>
  <c r="D590" i="1"/>
  <c r="E590" i="1" s="1"/>
  <c r="L590" i="1" s="1"/>
  <c r="K591" i="1" a="1"/>
  <c r="K591" i="1" s="1"/>
  <c r="H591" i="1"/>
  <c r="I591" i="1" s="1"/>
  <c r="J591" i="1" s="1"/>
  <c r="D591" i="1"/>
  <c r="E591" i="1" s="1"/>
  <c r="L591" i="1" s="1"/>
  <c r="H592" i="1"/>
  <c r="I592" i="1" s="1"/>
  <c r="J592" i="1" s="1"/>
  <c r="K592" i="1" a="1"/>
  <c r="K592" i="1" s="1"/>
  <c r="D592" i="1"/>
  <c r="E592" i="1" s="1"/>
  <c r="L592" i="1" s="1"/>
  <c r="K593" i="1" a="1"/>
  <c r="K593" i="1" s="1"/>
  <c r="H593" i="1"/>
  <c r="I593" i="1" s="1"/>
  <c r="J593" i="1" s="1"/>
  <c r="D593" i="1"/>
  <c r="E593" i="1" s="1"/>
  <c r="L593" i="1" s="1"/>
  <c r="H594" i="1"/>
  <c r="I594" i="1" s="1"/>
  <c r="J594" i="1" s="1"/>
  <c r="K594" i="1" a="1"/>
  <c r="K594" i="1" s="1"/>
  <c r="D594" i="1"/>
  <c r="E594" i="1" s="1"/>
  <c r="L594" i="1" s="1"/>
  <c r="K595" i="1" a="1"/>
  <c r="K595" i="1" s="1"/>
  <c r="H595" i="1"/>
  <c r="I595" i="1" s="1"/>
  <c r="J595" i="1" s="1"/>
  <c r="D595" i="1"/>
  <c r="E595" i="1" s="1"/>
  <c r="L595" i="1" s="1"/>
  <c r="D596" i="1"/>
  <c r="E596" i="1" s="1"/>
  <c r="L596" i="1" s="1"/>
  <c r="K596" i="1" a="1"/>
  <c r="K596" i="1" s="1"/>
  <c r="H596" i="1"/>
  <c r="I596" i="1" s="1"/>
  <c r="J596" i="1" s="1"/>
  <c r="K597" i="1" a="1"/>
  <c r="K597" i="1" s="1"/>
  <c r="H597" i="1"/>
  <c r="I597" i="1" s="1"/>
  <c r="J597" i="1" s="1"/>
  <c r="D597" i="1"/>
  <c r="E597" i="1" s="1"/>
  <c r="L597" i="1" s="1"/>
  <c r="H598" i="1"/>
  <c r="I598" i="1" s="1"/>
  <c r="J598" i="1" s="1"/>
  <c r="K598" i="1" a="1"/>
  <c r="K598" i="1" s="1"/>
  <c r="D598" i="1"/>
  <c r="E598" i="1" s="1"/>
  <c r="L598" i="1" s="1"/>
  <c r="K599" i="1" a="1"/>
  <c r="K599" i="1" s="1"/>
  <c r="H599" i="1"/>
  <c r="I599" i="1" s="1"/>
  <c r="J599" i="1" s="1"/>
  <c r="D599" i="1"/>
  <c r="E599" i="1" s="1"/>
  <c r="L599" i="1" s="1"/>
  <c r="K600" i="1" a="1"/>
  <c r="K600" i="1" s="1"/>
  <c r="H600" i="1"/>
  <c r="I600" i="1" s="1"/>
  <c r="J600" i="1" s="1"/>
  <c r="D600" i="1"/>
  <c r="E600" i="1" s="1"/>
  <c r="L600" i="1" s="1"/>
  <c r="D601" i="1"/>
  <c r="E601" i="1" s="1"/>
  <c r="L601" i="1" s="1"/>
  <c r="H601" i="1"/>
  <c r="I601" i="1" s="1"/>
  <c r="J601" i="1" s="1"/>
  <c r="K601" i="1" a="1"/>
  <c r="K601" i="1" s="1"/>
  <c r="D602" i="1"/>
  <c r="E602" i="1" s="1"/>
  <c r="L602" i="1" s="1"/>
  <c r="K602" i="1" a="1"/>
  <c r="K602" i="1" s="1"/>
  <c r="H602" i="1"/>
  <c r="I602" i="1" s="1"/>
  <c r="J602" i="1" s="1"/>
  <c r="D603" i="1"/>
  <c r="E603" i="1" s="1"/>
  <c r="L603" i="1" s="1"/>
  <c r="K603" i="1" a="1"/>
  <c r="K603" i="1" s="1"/>
  <c r="H603" i="1"/>
  <c r="I603" i="1" s="1"/>
  <c r="J603" i="1" s="1"/>
  <c r="K604" i="1" a="1"/>
  <c r="K604" i="1" s="1"/>
  <c r="H604" i="1"/>
  <c r="I604" i="1" s="1"/>
  <c r="J604" i="1" s="1"/>
  <c r="D604" i="1"/>
  <c r="E604" i="1" s="1"/>
  <c r="L604" i="1" s="1"/>
  <c r="D605" i="1"/>
  <c r="E605" i="1" s="1"/>
  <c r="L605" i="1" s="1"/>
  <c r="H605" i="1"/>
  <c r="I605" i="1" s="1"/>
  <c r="J605" i="1" s="1"/>
  <c r="K605" i="1" a="1"/>
  <c r="K605" i="1" s="1"/>
  <c r="D606" i="1"/>
  <c r="E606" i="1" s="1"/>
  <c r="L606" i="1" s="1"/>
  <c r="K606" i="1" a="1"/>
  <c r="K606" i="1" s="1"/>
  <c r="H606" i="1"/>
  <c r="I606" i="1" s="1"/>
  <c r="J606" i="1" s="1"/>
  <c r="D607" i="1"/>
  <c r="E607" i="1" s="1"/>
  <c r="L607" i="1" s="1"/>
  <c r="H607" i="1"/>
  <c r="I607" i="1" s="1"/>
  <c r="J607" i="1" s="1"/>
  <c r="K607" i="1" a="1"/>
  <c r="K607" i="1" s="1"/>
  <c r="D608" i="1"/>
  <c r="E608" i="1" s="1"/>
  <c r="L608" i="1" s="1"/>
  <c r="K608" i="1" a="1"/>
  <c r="K608" i="1" s="1"/>
  <c r="H608" i="1"/>
  <c r="I608" i="1" s="1"/>
  <c r="J608" i="1" s="1"/>
  <c r="D609" i="1"/>
  <c r="E609" i="1" s="1"/>
  <c r="L609" i="1" s="1"/>
  <c r="K609" i="1" a="1"/>
  <c r="K609" i="1" s="1"/>
  <c r="H609" i="1"/>
  <c r="I609" i="1" s="1"/>
  <c r="J609" i="1" s="1"/>
  <c r="H610" i="1"/>
  <c r="I610" i="1" s="1"/>
  <c r="J610" i="1" s="1"/>
  <c r="K610" i="1" a="1"/>
  <c r="K610" i="1" s="1"/>
  <c r="D610" i="1"/>
  <c r="E610" i="1" s="1"/>
  <c r="L610" i="1" s="1"/>
  <c r="K611" i="1" a="1"/>
  <c r="K611" i="1" s="1"/>
  <c r="H611" i="1"/>
  <c r="I611" i="1" s="1"/>
  <c r="J611" i="1" s="1"/>
  <c r="D611" i="1"/>
  <c r="E611" i="1" s="1"/>
  <c r="L611" i="1" s="1"/>
  <c r="K612" i="1" a="1"/>
  <c r="K612" i="1" s="1"/>
  <c r="H612" i="1"/>
  <c r="I612" i="1" s="1"/>
  <c r="J612" i="1" s="1"/>
  <c r="D612" i="1"/>
  <c r="E612" i="1" s="1"/>
  <c r="L612" i="1" s="1"/>
  <c r="K613" i="1" a="1"/>
  <c r="K613" i="1" s="1"/>
  <c r="H613" i="1"/>
  <c r="I613" i="1" s="1"/>
  <c r="J613" i="1" s="1"/>
  <c r="D613" i="1"/>
  <c r="E613" i="1" s="1"/>
  <c r="L613" i="1" s="1"/>
  <c r="D614" i="1"/>
  <c r="E614" i="1" s="1"/>
  <c r="L614" i="1" s="1"/>
  <c r="H614" i="1"/>
  <c r="I614" i="1" s="1"/>
  <c r="J614" i="1" s="1"/>
  <c r="K614" i="1" a="1"/>
  <c r="K614" i="1" s="1"/>
  <c r="D615" i="1"/>
  <c r="E615" i="1" s="1"/>
  <c r="L615" i="1" s="1"/>
  <c r="K615" i="1" a="1"/>
  <c r="K615" i="1" s="1"/>
  <c r="H615" i="1"/>
  <c r="I615" i="1" s="1"/>
  <c r="J615" i="1" s="1"/>
  <c r="K616" i="1" a="1"/>
  <c r="K616" i="1" s="1"/>
  <c r="H616" i="1"/>
  <c r="I616" i="1" s="1"/>
  <c r="J616" i="1" s="1"/>
  <c r="D616" i="1"/>
  <c r="E616" i="1" s="1"/>
  <c r="L616" i="1" s="1"/>
  <c r="K617" i="1" a="1"/>
  <c r="K617" i="1" s="1"/>
  <c r="H617" i="1"/>
  <c r="I617" i="1" s="1"/>
  <c r="J617" i="1" s="1"/>
  <c r="D617" i="1"/>
  <c r="E617" i="1" s="1"/>
  <c r="L617" i="1" s="1"/>
  <c r="H618" i="1"/>
  <c r="I618" i="1" s="1"/>
  <c r="J618" i="1" s="1"/>
  <c r="K618" i="1" a="1"/>
  <c r="K618" i="1" s="1"/>
  <c r="D618" i="1"/>
  <c r="E618" i="1" s="1"/>
  <c r="L618" i="1" s="1"/>
  <c r="K619" i="1" a="1"/>
  <c r="K619" i="1" s="1"/>
  <c r="H619" i="1"/>
  <c r="I619" i="1" s="1"/>
  <c r="J619" i="1" s="1"/>
  <c r="D619" i="1"/>
  <c r="E619" i="1" s="1"/>
  <c r="L619" i="1" s="1"/>
  <c r="K620" i="1" a="1"/>
  <c r="K620" i="1" s="1"/>
  <c r="H620" i="1"/>
  <c r="I620" i="1" s="1"/>
  <c r="J620" i="1" s="1"/>
  <c r="D620" i="1"/>
  <c r="E620" i="1" s="1"/>
  <c r="L620" i="1" s="1"/>
  <c r="D621" i="1"/>
  <c r="E621" i="1" s="1"/>
  <c r="L621" i="1" s="1"/>
  <c r="H621" i="1"/>
  <c r="I621" i="1" s="1"/>
  <c r="J621" i="1" s="1"/>
  <c r="K621" i="1" a="1"/>
  <c r="K621" i="1" s="1"/>
  <c r="D622" i="1"/>
  <c r="E622" i="1" s="1"/>
  <c r="L622" i="1" s="1"/>
  <c r="K622" i="1" a="1"/>
  <c r="K622" i="1" s="1"/>
  <c r="H622" i="1"/>
  <c r="I622" i="1" s="1"/>
  <c r="J622" i="1" s="1"/>
  <c r="D623" i="1"/>
  <c r="E623" i="1" s="1"/>
  <c r="L623" i="1" s="1"/>
  <c r="K623" i="1" a="1"/>
  <c r="K623" i="1" s="1"/>
  <c r="H623" i="1"/>
  <c r="I623" i="1" s="1"/>
  <c r="J623" i="1" s="1"/>
  <c r="D624" i="1"/>
  <c r="E624" i="1" s="1"/>
  <c r="L624" i="1" s="1"/>
  <c r="H624" i="1"/>
  <c r="I624" i="1" s="1"/>
  <c r="J624" i="1" s="1"/>
  <c r="K624" i="1" a="1"/>
  <c r="K624" i="1" s="1"/>
  <c r="D625" i="1"/>
  <c r="E625" i="1" s="1"/>
  <c r="L625" i="1" s="1"/>
  <c r="K625" i="1" a="1"/>
  <c r="K625" i="1" s="1"/>
  <c r="H625" i="1"/>
  <c r="I625" i="1" s="1"/>
  <c r="J625" i="1" s="1"/>
  <c r="H626" i="1"/>
  <c r="I626" i="1" s="1"/>
  <c r="J626" i="1" s="1"/>
  <c r="K626" i="1" a="1"/>
  <c r="K626" i="1" s="1"/>
  <c r="D626" i="1"/>
  <c r="E626" i="1" s="1"/>
  <c r="L626" i="1" s="1"/>
  <c r="D627" i="1"/>
  <c r="E627" i="1" s="1"/>
  <c r="L627" i="1" s="1"/>
  <c r="K627" i="1" a="1"/>
  <c r="K627" i="1" s="1"/>
  <c r="H627" i="1"/>
  <c r="I627" i="1" s="1"/>
  <c r="J627" i="1" s="1"/>
  <c r="K628" i="1" a="1"/>
  <c r="K628" i="1" s="1"/>
  <c r="H628" i="1"/>
  <c r="I628" i="1" s="1"/>
  <c r="J628" i="1" s="1"/>
  <c r="D628" i="1"/>
  <c r="E628" i="1" s="1"/>
  <c r="L628" i="1" s="1"/>
  <c r="D629" i="1"/>
  <c r="E629" i="1" s="1"/>
  <c r="L629" i="1" s="1"/>
  <c r="K629" i="1" a="1"/>
  <c r="K629" i="1" s="1"/>
  <c r="H629" i="1"/>
  <c r="I629" i="1" s="1"/>
  <c r="J629" i="1" s="1"/>
  <c r="D630" i="1"/>
  <c r="E630" i="1" s="1"/>
  <c r="L630" i="1" s="1"/>
  <c r="H630" i="1"/>
  <c r="I630" i="1" s="1"/>
  <c r="J630" i="1" s="1"/>
  <c r="K630" i="1" a="1"/>
  <c r="K630" i="1" s="1"/>
  <c r="D631" i="1"/>
  <c r="E631" i="1" s="1"/>
  <c r="L631" i="1" s="1"/>
  <c r="K631" i="1" a="1"/>
  <c r="K631" i="1" s="1"/>
  <c r="H631" i="1"/>
  <c r="I631" i="1" s="1"/>
  <c r="J631" i="1" s="1"/>
  <c r="D632" i="1"/>
  <c r="E632" i="1" s="1"/>
  <c r="L632" i="1" s="1"/>
  <c r="K632" i="1" a="1"/>
  <c r="K632" i="1" s="1"/>
  <c r="H632" i="1"/>
  <c r="I632" i="1" s="1"/>
  <c r="J632" i="1" s="1"/>
  <c r="H633" i="1"/>
  <c r="I633" i="1" s="1"/>
  <c r="J633" i="1" s="1"/>
  <c r="K633" i="1" a="1"/>
  <c r="K633" i="1" s="1"/>
  <c r="D633" i="1"/>
  <c r="E633" i="1" s="1"/>
  <c r="L633" i="1" s="1"/>
  <c r="K634" i="1" a="1"/>
  <c r="K634" i="1" s="1"/>
  <c r="H634" i="1"/>
  <c r="I634" i="1" s="1"/>
  <c r="J634" i="1" s="1"/>
  <c r="D634" i="1"/>
  <c r="E634" i="1" s="1"/>
  <c r="L634" i="1" s="1"/>
  <c r="K635" i="1" a="1"/>
  <c r="K635" i="1" s="1"/>
  <c r="H635" i="1"/>
  <c r="I635" i="1" s="1"/>
  <c r="J635" i="1" s="1"/>
  <c r="D635" i="1"/>
  <c r="E635" i="1" s="1"/>
  <c r="L635" i="1" s="1"/>
  <c r="K636" i="1" a="1"/>
  <c r="K636" i="1" s="1"/>
  <c r="H636" i="1"/>
  <c r="I636" i="1" s="1"/>
  <c r="J636" i="1" s="1"/>
  <c r="D636" i="1"/>
  <c r="E636" i="1" s="1"/>
  <c r="L636" i="1" s="1"/>
  <c r="H637" i="1"/>
  <c r="I637" i="1" s="1"/>
  <c r="J637" i="1" s="1"/>
  <c r="K637" i="1" a="1"/>
  <c r="K637" i="1" s="1"/>
  <c r="D637" i="1"/>
  <c r="E637" i="1" s="1"/>
  <c r="L637" i="1" s="1"/>
  <c r="K638" i="1" a="1"/>
  <c r="K638" i="1" s="1"/>
  <c r="H638" i="1"/>
  <c r="I638" i="1" s="1"/>
  <c r="J638" i="1" s="1"/>
  <c r="D638" i="1"/>
  <c r="E638" i="1" s="1"/>
  <c r="L638" i="1" s="1"/>
  <c r="K639" i="1" a="1"/>
  <c r="K639" i="1" s="1"/>
  <c r="H639" i="1"/>
  <c r="I639" i="1" s="1"/>
  <c r="J639" i="1" s="1"/>
  <c r="D639" i="1"/>
  <c r="E639" i="1" s="1"/>
  <c r="L639" i="1" s="1"/>
  <c r="K640" i="1" a="1"/>
  <c r="K640" i="1" s="1"/>
  <c r="H640" i="1"/>
  <c r="I640" i="1" s="1"/>
  <c r="J640" i="1" s="1"/>
  <c r="D640" i="1"/>
  <c r="E640" i="1" s="1"/>
  <c r="L640" i="1" s="1"/>
  <c r="H641" i="1"/>
  <c r="I641" i="1" s="1"/>
  <c r="J641" i="1" s="1"/>
  <c r="K641" i="1" a="1"/>
  <c r="K641" i="1" s="1"/>
  <c r="D641" i="1"/>
  <c r="E641" i="1" s="1"/>
  <c r="L641" i="1" s="1"/>
  <c r="D642" i="1"/>
  <c r="E642" i="1" s="1"/>
  <c r="L642" i="1" s="1"/>
  <c r="K642" i="1" a="1"/>
  <c r="K642" i="1" s="1"/>
  <c r="H642" i="1"/>
  <c r="I642" i="1" s="1"/>
  <c r="J642" i="1" s="1"/>
  <c r="K643" i="1" a="1"/>
  <c r="K643" i="1" s="1"/>
  <c r="H643" i="1"/>
  <c r="I643" i="1" s="1"/>
  <c r="J643" i="1" s="1"/>
  <c r="D643" i="1"/>
  <c r="E643" i="1" s="1"/>
  <c r="L643" i="1" s="1"/>
  <c r="D644" i="1"/>
  <c r="E644" i="1" s="1"/>
  <c r="L644" i="1" s="1"/>
  <c r="H644" i="1"/>
  <c r="I644" i="1" s="1"/>
  <c r="J644" i="1" s="1"/>
  <c r="K644" i="1" a="1"/>
  <c r="K644" i="1" s="1"/>
  <c r="D645" i="1"/>
  <c r="E645" i="1" s="1"/>
  <c r="L645" i="1" s="1"/>
  <c r="K645" i="1" a="1"/>
  <c r="K645" i="1" s="1"/>
  <c r="H645" i="1"/>
  <c r="I645" i="1" s="1"/>
  <c r="J645" i="1" s="1"/>
  <c r="D646" i="1"/>
  <c r="E646" i="1" s="1"/>
  <c r="L646" i="1" s="1"/>
  <c r="K646" i="1" a="1"/>
  <c r="K646" i="1" s="1"/>
  <c r="H646" i="1"/>
  <c r="I646" i="1" s="1"/>
  <c r="J646" i="1" s="1"/>
  <c r="D647" i="1"/>
  <c r="E647" i="1" s="1"/>
  <c r="L647" i="1" s="1"/>
  <c r="H647" i="1"/>
  <c r="I647" i="1" s="1"/>
  <c r="J647" i="1" s="1"/>
  <c r="K647" i="1" a="1"/>
  <c r="K647" i="1" s="1"/>
  <c r="D648" i="1"/>
  <c r="E648" i="1" s="1"/>
  <c r="L648" i="1" s="1"/>
  <c r="K648" i="1" a="1"/>
  <c r="K648" i="1" s="1"/>
  <c r="H648" i="1"/>
  <c r="I648" i="1" s="1"/>
  <c r="J648" i="1" s="1"/>
  <c r="K649" i="1" a="1"/>
  <c r="K649" i="1" s="1"/>
  <c r="H649" i="1"/>
  <c r="I649" i="1" s="1"/>
  <c r="J649" i="1" s="1"/>
  <c r="D649" i="1"/>
  <c r="E649" i="1" s="1"/>
  <c r="L649" i="1" s="1"/>
  <c r="H650" i="1"/>
  <c r="I650" i="1" s="1"/>
  <c r="J650" i="1" s="1"/>
  <c r="K650" i="1" a="1"/>
  <c r="K650" i="1" s="1"/>
  <c r="D650" i="1"/>
  <c r="E650" i="1" s="1"/>
  <c r="L650" i="1" s="1"/>
  <c r="D651" i="1"/>
  <c r="E651" i="1" s="1"/>
  <c r="L651" i="1" s="1"/>
  <c r="K651" i="1" a="1"/>
  <c r="K651" i="1" s="1"/>
  <c r="H651" i="1"/>
  <c r="I651" i="1" s="1"/>
  <c r="J651" i="1" s="1"/>
  <c r="K652" i="1" a="1"/>
  <c r="K652" i="1" s="1"/>
  <c r="H652" i="1"/>
  <c r="I652" i="1" s="1"/>
  <c r="J652" i="1" s="1"/>
  <c r="D652" i="1"/>
  <c r="E652" i="1" s="1"/>
  <c r="L652" i="1" s="1"/>
  <c r="D653" i="1"/>
  <c r="E653" i="1" s="1"/>
  <c r="L653" i="1" s="1"/>
  <c r="H653" i="1"/>
  <c r="I653" i="1" s="1"/>
  <c r="J653" i="1" s="1"/>
  <c r="K653" i="1" a="1"/>
  <c r="K653" i="1" s="1"/>
  <c r="K654" i="1" a="1"/>
  <c r="K654" i="1" s="1"/>
  <c r="H654" i="1"/>
  <c r="I654" i="1" s="1"/>
  <c r="J654" i="1" s="1"/>
  <c r="D654" i="1"/>
  <c r="E654" i="1" s="1"/>
  <c r="L654" i="1" s="1"/>
  <c r="D655" i="1"/>
  <c r="E655" i="1" s="1"/>
  <c r="L655" i="1" s="1"/>
  <c r="K655" i="1" a="1"/>
  <c r="K655" i="1" s="1"/>
  <c r="H655" i="1"/>
  <c r="I655" i="1" s="1"/>
  <c r="J655" i="1" s="1"/>
  <c r="D656" i="1"/>
  <c r="E656" i="1" s="1"/>
  <c r="L656" i="1" s="1"/>
  <c r="H656" i="1"/>
  <c r="I656" i="1" s="1"/>
  <c r="J656" i="1" s="1"/>
  <c r="K656" i="1" a="1"/>
  <c r="K656" i="1" s="1"/>
  <c r="D657" i="1"/>
  <c r="E657" i="1" s="1"/>
  <c r="L657" i="1" s="1"/>
  <c r="K657" i="1" a="1"/>
  <c r="K657" i="1" s="1"/>
  <c r="H657" i="1"/>
  <c r="I657" i="1" s="1"/>
  <c r="J657" i="1" s="1"/>
  <c r="K658" i="1" a="1"/>
  <c r="K658" i="1" s="1"/>
  <c r="H658" i="1"/>
  <c r="I658" i="1" s="1"/>
  <c r="J658" i="1" s="1"/>
  <c r="D658" i="1"/>
  <c r="E658" i="1" s="1"/>
  <c r="L658" i="1" s="1"/>
  <c r="D659" i="1"/>
  <c r="E659" i="1" s="1"/>
  <c r="L659" i="1" s="1"/>
  <c r="H659" i="1"/>
  <c r="I659" i="1" s="1"/>
  <c r="J659" i="1" s="1"/>
  <c r="K659" i="1" a="1"/>
  <c r="K659" i="1" s="1"/>
  <c r="D660" i="1"/>
  <c r="E660" i="1" s="1"/>
  <c r="L660" i="1" s="1"/>
  <c r="K660" i="1" a="1"/>
  <c r="K660" i="1" s="1"/>
  <c r="H660" i="1"/>
  <c r="I660" i="1" s="1"/>
  <c r="J660" i="1" s="1"/>
  <c r="D661" i="1"/>
  <c r="E661" i="1" s="1"/>
  <c r="L661" i="1" s="1"/>
  <c r="K661" i="1" a="1"/>
  <c r="K661" i="1" s="1"/>
  <c r="H661" i="1"/>
  <c r="I661" i="1" s="1"/>
  <c r="J661" i="1" s="1"/>
  <c r="D662" i="1"/>
  <c r="E662" i="1" s="1"/>
  <c r="L662" i="1" s="1"/>
  <c r="H662" i="1"/>
  <c r="I662" i="1" s="1"/>
  <c r="J662" i="1" s="1"/>
  <c r="K662" i="1" a="1"/>
  <c r="K662" i="1" s="1"/>
  <c r="K663" i="1" a="1"/>
  <c r="K663" i="1" s="1"/>
  <c r="H663" i="1"/>
  <c r="I663" i="1" s="1"/>
  <c r="J663" i="1" s="1"/>
  <c r="D663" i="1"/>
  <c r="E663" i="1" s="1"/>
  <c r="L663" i="1" s="1"/>
  <c r="H664" i="1"/>
  <c r="I664" i="1" s="1"/>
  <c r="J664" i="1" s="1"/>
  <c r="K664" i="1" a="1"/>
  <c r="K664" i="1" s="1"/>
  <c r="D664" i="1"/>
  <c r="E664" i="1" s="1"/>
  <c r="L664" i="1" s="1"/>
  <c r="D665" i="1"/>
  <c r="E665" i="1" s="1"/>
  <c r="L665" i="1" s="1"/>
  <c r="K665" i="1" a="1"/>
  <c r="K665" i="1" s="1"/>
  <c r="H665" i="1"/>
  <c r="I665" i="1" s="1"/>
  <c r="J665" i="1" s="1"/>
  <c r="K666" i="1" a="1"/>
  <c r="K666" i="1" s="1"/>
  <c r="H666" i="1"/>
  <c r="I666" i="1" s="1"/>
  <c r="J666" i="1" s="1"/>
  <c r="D666" i="1"/>
  <c r="E666" i="1" s="1"/>
  <c r="L666" i="1" s="1"/>
  <c r="H667" i="1"/>
  <c r="I667" i="1" s="1"/>
  <c r="J667" i="1" s="1"/>
  <c r="K667" i="1" a="1"/>
  <c r="K667" i="1" s="1"/>
  <c r="D667" i="1"/>
  <c r="E667" i="1" s="1"/>
  <c r="L667" i="1" s="1"/>
  <c r="K668" i="1" a="1"/>
  <c r="K668" i="1" s="1"/>
  <c r="H668" i="1"/>
  <c r="I668" i="1" s="1"/>
  <c r="J668" i="1" s="1"/>
  <c r="D668" i="1"/>
  <c r="E668" i="1" s="1"/>
  <c r="L668" i="1" s="1"/>
  <c r="D669" i="1"/>
  <c r="E669" i="1" s="1"/>
  <c r="L669" i="1" s="1"/>
  <c r="K669" i="1" a="1"/>
  <c r="K669" i="1" s="1"/>
  <c r="H669" i="1"/>
  <c r="I669" i="1" s="1"/>
  <c r="J669" i="1" s="1"/>
  <c r="H670" i="1"/>
  <c r="I670" i="1" s="1"/>
  <c r="J670" i="1" s="1"/>
  <c r="K670" i="1" a="1"/>
  <c r="K670" i="1" s="1"/>
  <c r="D670" i="1"/>
  <c r="E670" i="1" s="1"/>
  <c r="L670" i="1" s="1"/>
  <c r="K671" i="1" a="1"/>
  <c r="K671" i="1" s="1"/>
  <c r="H671" i="1"/>
  <c r="I671" i="1" s="1"/>
  <c r="J671" i="1" s="1"/>
  <c r="D671" i="1"/>
  <c r="E671" i="1" s="1"/>
  <c r="L671" i="1" s="1"/>
  <c r="D672" i="1"/>
  <c r="E672" i="1" s="1"/>
  <c r="L672" i="1" s="1"/>
  <c r="K672" i="1" a="1"/>
  <c r="K672" i="1" s="1"/>
  <c r="H672" i="1"/>
  <c r="I672" i="1" s="1"/>
  <c r="J672" i="1" s="1"/>
  <c r="H673" i="1"/>
  <c r="I673" i="1" s="1"/>
  <c r="J673" i="1" s="1"/>
  <c r="K673" i="1" a="1"/>
  <c r="K673" i="1" s="1"/>
  <c r="D673" i="1"/>
  <c r="E673" i="1" s="1"/>
  <c r="L673" i="1" s="1"/>
  <c r="K674" i="1" a="1"/>
  <c r="K674" i="1" s="1"/>
  <c r="H674" i="1"/>
  <c r="I674" i="1" s="1"/>
  <c r="J674" i="1" s="1"/>
  <c r="D674" i="1"/>
  <c r="E674" i="1" s="1"/>
  <c r="L674" i="1" s="1"/>
  <c r="D675" i="1"/>
  <c r="E675" i="1" s="1"/>
  <c r="L675" i="1" s="1"/>
  <c r="K675" i="1" a="1"/>
  <c r="K675" i="1" s="1"/>
  <c r="H675" i="1"/>
  <c r="I675" i="1" s="1"/>
  <c r="J675" i="1" s="1"/>
  <c r="D676" i="1"/>
  <c r="E676" i="1" s="1"/>
  <c r="L676" i="1" s="1"/>
  <c r="H676" i="1"/>
  <c r="I676" i="1" s="1"/>
  <c r="J676" i="1" s="1"/>
  <c r="K676" i="1" a="1"/>
  <c r="K676" i="1" s="1"/>
  <c r="K677" i="1" a="1"/>
  <c r="K677" i="1" s="1"/>
  <c r="H677" i="1"/>
  <c r="I677" i="1" s="1"/>
  <c r="J677" i="1" s="1"/>
  <c r="D677" i="1"/>
  <c r="E677" i="1" s="1"/>
  <c r="L677" i="1" s="1"/>
  <c r="D678" i="1"/>
  <c r="E678" i="1" s="1"/>
  <c r="L678" i="1" s="1"/>
  <c r="K678" i="1" a="1"/>
  <c r="K678" i="1" s="1"/>
  <c r="H678" i="1"/>
  <c r="I678" i="1" s="1"/>
  <c r="J678" i="1" s="1"/>
  <c r="H679" i="1"/>
  <c r="I679" i="1" s="1"/>
  <c r="J679" i="1" s="1"/>
  <c r="K679" i="1" a="1"/>
  <c r="K679" i="1" s="1"/>
  <c r="D679" i="1"/>
  <c r="E679" i="1" s="1"/>
  <c r="L679" i="1" s="1"/>
  <c r="D680" i="1"/>
  <c r="E680" i="1" s="1"/>
  <c r="L680" i="1" s="1"/>
  <c r="K680" i="1" a="1"/>
  <c r="K680" i="1" s="1"/>
  <c r="H680" i="1"/>
  <c r="I680" i="1" s="1"/>
  <c r="J680" i="1" s="1"/>
  <c r="D681" i="1"/>
  <c r="E681" i="1" s="1"/>
  <c r="L681" i="1" s="1"/>
  <c r="H681" i="1"/>
  <c r="I681" i="1" s="1"/>
  <c r="J681" i="1" s="1"/>
  <c r="K681" i="1" a="1"/>
  <c r="K681" i="1" s="1"/>
  <c r="K682" i="1" a="1"/>
  <c r="K682" i="1" s="1"/>
  <c r="H682" i="1"/>
  <c r="I682" i="1" s="1"/>
  <c r="J682" i="1" s="1"/>
  <c r="D682" i="1"/>
  <c r="E682" i="1" s="1"/>
  <c r="L682" i="1" s="1"/>
  <c r="K683" i="1" a="1"/>
  <c r="K683" i="1" s="1"/>
  <c r="H683" i="1"/>
  <c r="I683" i="1" s="1"/>
  <c r="J683" i="1" s="1"/>
  <c r="D683" i="1"/>
  <c r="E683" i="1" s="1"/>
  <c r="L683" i="1" s="1"/>
  <c r="D684" i="1"/>
  <c r="E684" i="1" s="1"/>
  <c r="L684" i="1" s="1"/>
  <c r="H684" i="1"/>
  <c r="I684" i="1" s="1"/>
  <c r="J684" i="1" s="1"/>
  <c r="K684" i="1" a="1"/>
  <c r="K684" i="1" s="1"/>
  <c r="D685" i="1"/>
  <c r="E685" i="1" s="1"/>
  <c r="L685" i="1" s="1"/>
  <c r="K685" i="1" a="1"/>
  <c r="K685" i="1" s="1"/>
  <c r="H685" i="1"/>
  <c r="I685" i="1" s="1"/>
  <c r="J685" i="1" s="1"/>
  <c r="D686" i="1"/>
  <c r="E686" i="1" s="1"/>
  <c r="L686" i="1" s="1"/>
  <c r="K686" i="1" a="1"/>
  <c r="K686" i="1" s="1"/>
  <c r="H686" i="1"/>
  <c r="I686" i="1" s="1"/>
  <c r="J686" i="1" s="1"/>
  <c r="H687" i="1"/>
  <c r="I687" i="1" s="1"/>
  <c r="J687" i="1" s="1"/>
  <c r="K687" i="1" a="1"/>
  <c r="K687" i="1" s="1"/>
  <c r="D687" i="1"/>
  <c r="E687" i="1" s="1"/>
  <c r="L687" i="1" s="1"/>
  <c r="K688" i="1" a="1"/>
  <c r="K688" i="1" s="1"/>
  <c r="H688" i="1"/>
  <c r="I688" i="1" s="1"/>
  <c r="J688" i="1" s="1"/>
  <c r="D688" i="1"/>
  <c r="E688" i="1" s="1"/>
  <c r="L688" i="1" s="1"/>
  <c r="K689" i="1" a="1"/>
  <c r="K689" i="1" s="1"/>
  <c r="H689" i="1"/>
  <c r="I689" i="1" s="1"/>
  <c r="J689" i="1" s="1"/>
  <c r="D689" i="1"/>
  <c r="E689" i="1" s="1"/>
  <c r="L689" i="1" s="1"/>
  <c r="D690" i="1"/>
  <c r="E690" i="1" s="1"/>
  <c r="L690" i="1" s="1"/>
  <c r="H690" i="1"/>
  <c r="I690" i="1" s="1"/>
  <c r="J690" i="1" s="1"/>
  <c r="K690" i="1" a="1"/>
  <c r="K690" i="1" s="1"/>
  <c r="K691" i="1" a="1"/>
  <c r="K691" i="1" s="1"/>
  <c r="H691" i="1"/>
  <c r="I691" i="1" s="1"/>
  <c r="J691" i="1" s="1"/>
  <c r="D691" i="1"/>
  <c r="E691" i="1" s="1"/>
  <c r="L691" i="1" s="1"/>
  <c r="D692" i="1"/>
  <c r="E692" i="1" s="1"/>
  <c r="L692" i="1" s="1"/>
  <c r="K692" i="1" a="1"/>
  <c r="K692" i="1" s="1"/>
  <c r="H692" i="1"/>
  <c r="I692" i="1" s="1"/>
  <c r="J692" i="1" s="1"/>
  <c r="D693" i="1"/>
  <c r="E693" i="1" s="1"/>
  <c r="L693" i="1" s="1"/>
  <c r="H693" i="1"/>
  <c r="I693" i="1" s="1"/>
  <c r="J693" i="1" s="1"/>
  <c r="K693" i="1" a="1"/>
  <c r="K693" i="1" s="1"/>
  <c r="D694" i="1"/>
  <c r="E694" i="1" s="1"/>
  <c r="L694" i="1" s="1"/>
  <c r="K694" i="1" a="1"/>
  <c r="K694" i="1" s="1"/>
  <c r="H694" i="1"/>
  <c r="I694" i="1" s="1"/>
  <c r="J694" i="1" s="1"/>
  <c r="D695" i="1"/>
  <c r="E695" i="1" s="1"/>
  <c r="L695" i="1" s="1"/>
  <c r="K695" i="1" a="1"/>
  <c r="K695" i="1" s="1"/>
  <c r="H695" i="1"/>
  <c r="I695" i="1" s="1"/>
  <c r="J695" i="1" s="1"/>
  <c r="D696" i="1"/>
  <c r="E696" i="1" s="1"/>
  <c r="L696" i="1" s="1"/>
  <c r="K696" i="1" a="1"/>
  <c r="K696" i="1" s="1"/>
  <c r="H696" i="1"/>
  <c r="I696" i="1" s="1"/>
  <c r="J696" i="1" s="1"/>
  <c r="H697" i="1"/>
  <c r="I697" i="1" s="1"/>
  <c r="J697" i="1" s="1"/>
  <c r="K697" i="1" a="1"/>
  <c r="K697" i="1" s="1"/>
  <c r="D697" i="1"/>
  <c r="E697" i="1" s="1"/>
  <c r="L697" i="1" s="1"/>
  <c r="K698" i="1" a="1"/>
  <c r="K698" i="1" s="1"/>
  <c r="H698" i="1"/>
  <c r="I698" i="1" s="1"/>
  <c r="J698" i="1" s="1"/>
  <c r="D698" i="1"/>
  <c r="E698" i="1" s="1"/>
  <c r="L698" i="1" s="1"/>
  <c r="K699" i="1" a="1"/>
  <c r="K699" i="1" s="1"/>
  <c r="H699" i="1"/>
  <c r="I699" i="1" s="1"/>
  <c r="J699" i="1" s="1"/>
  <c r="D699" i="1"/>
  <c r="E699" i="1" s="1"/>
  <c r="L699" i="1" s="1"/>
  <c r="D700" i="1"/>
  <c r="E700" i="1" s="1"/>
  <c r="L700" i="1" s="1"/>
  <c r="H700" i="1"/>
  <c r="I700" i="1" s="1"/>
  <c r="J700" i="1" s="1"/>
  <c r="K700" i="1" a="1"/>
  <c r="K700" i="1" s="1"/>
  <c r="D701" i="1"/>
  <c r="E701" i="1" s="1"/>
  <c r="L701" i="1" s="1"/>
  <c r="K701" i="1" a="1"/>
  <c r="K701" i="1" s="1"/>
  <c r="H701" i="1"/>
  <c r="I701" i="1" s="1"/>
  <c r="J701" i="1" s="1"/>
  <c r="D702" i="1"/>
  <c r="E702" i="1" s="1"/>
  <c r="L702" i="1" s="1"/>
  <c r="K702" i="1" a="1"/>
  <c r="K702" i="1" s="1"/>
  <c r="H702" i="1"/>
  <c r="I702" i="1" s="1"/>
  <c r="J702" i="1" s="1"/>
  <c r="D703" i="1"/>
  <c r="E703" i="1" s="1"/>
  <c r="L703" i="1" s="1"/>
  <c r="H703" i="1"/>
  <c r="I703" i="1" s="1"/>
  <c r="J703" i="1" s="1"/>
  <c r="K703" i="1" a="1"/>
  <c r="K703" i="1" s="1"/>
  <c r="D704" i="1"/>
  <c r="E704" i="1" s="1"/>
  <c r="L704" i="1" s="1"/>
  <c r="K704" i="1" a="1"/>
  <c r="K704" i="1" s="1"/>
  <c r="H704" i="1"/>
  <c r="I704" i="1" s="1"/>
  <c r="J704" i="1" s="1"/>
  <c r="D705" i="1"/>
  <c r="E705" i="1" s="1"/>
  <c r="L705" i="1" s="1"/>
  <c r="K705" i="1" a="1"/>
  <c r="K705" i="1" s="1"/>
  <c r="H705" i="1"/>
  <c r="I705" i="1" s="1"/>
  <c r="J705" i="1" s="1"/>
  <c r="H706" i="1"/>
  <c r="I706" i="1" s="1"/>
  <c r="J706" i="1" s="1"/>
  <c r="K706" i="1" a="1"/>
  <c r="K706" i="1" s="1"/>
  <c r="D706" i="1"/>
  <c r="E706" i="1" s="1"/>
  <c r="L706" i="1" s="1"/>
  <c r="K707" i="1" a="1"/>
  <c r="K707" i="1" s="1"/>
  <c r="H707" i="1"/>
  <c r="I707" i="1" s="1"/>
  <c r="J707" i="1" s="1"/>
  <c r="D707" i="1"/>
  <c r="E707" i="1" s="1"/>
  <c r="L707" i="1" s="1"/>
  <c r="D708" i="1"/>
  <c r="E708" i="1" s="1"/>
  <c r="L708" i="1" s="1"/>
  <c r="K708" i="1" a="1"/>
  <c r="K708" i="1" s="1"/>
  <c r="H708" i="1"/>
  <c r="I708" i="1" s="1"/>
  <c r="J708" i="1" s="1"/>
  <c r="D709" i="1"/>
  <c r="E709" i="1" s="1"/>
  <c r="L709" i="1" s="1"/>
  <c r="H709" i="1"/>
  <c r="I709" i="1" s="1"/>
  <c r="J709" i="1" s="1"/>
  <c r="K709" i="1" a="1"/>
  <c r="K709" i="1" s="1"/>
  <c r="D710" i="1"/>
  <c r="E710" i="1" s="1"/>
  <c r="L710" i="1" s="1"/>
  <c r="K710" i="1" a="1"/>
  <c r="K710" i="1" s="1"/>
  <c r="H710" i="1"/>
  <c r="I710" i="1" s="1"/>
  <c r="J710" i="1" s="1"/>
  <c r="D711" i="1"/>
  <c r="E711" i="1" s="1"/>
  <c r="L711" i="1" s="1"/>
  <c r="K711" i="1" a="1"/>
  <c r="K711" i="1" s="1"/>
  <c r="H711" i="1"/>
  <c r="I711" i="1" s="1"/>
  <c r="J711" i="1" s="1"/>
  <c r="D712" i="1"/>
  <c r="E712" i="1" s="1"/>
  <c r="L712" i="1" s="1"/>
  <c r="H712" i="1"/>
  <c r="I712" i="1" s="1"/>
  <c r="J712" i="1" s="1"/>
  <c r="K712" i="1" a="1"/>
  <c r="K712" i="1" s="1"/>
  <c r="D713" i="1"/>
  <c r="E713" i="1" s="1"/>
  <c r="L713" i="1" s="1"/>
  <c r="K713" i="1" a="1"/>
  <c r="K713" i="1" s="1"/>
  <c r="H713" i="1"/>
  <c r="I713" i="1" s="1"/>
  <c r="J713" i="1" s="1"/>
  <c r="D714" i="1"/>
  <c r="E714" i="1" s="1"/>
  <c r="L714" i="1" s="1"/>
  <c r="K714" i="1" a="1"/>
  <c r="K714" i="1" s="1"/>
  <c r="H714" i="1"/>
  <c r="I714" i="1" s="1"/>
  <c r="J714" i="1" s="1"/>
  <c r="H715" i="1"/>
  <c r="I715" i="1" s="1"/>
  <c r="J715" i="1" s="1"/>
  <c r="K715" i="1" a="1"/>
  <c r="K715" i="1" s="1"/>
  <c r="D715" i="1"/>
  <c r="E715" i="1" s="1"/>
  <c r="L715" i="1" s="1"/>
  <c r="D716" i="1"/>
  <c r="E716" i="1" s="1"/>
  <c r="L716" i="1" s="1"/>
  <c r="K716" i="1" a="1"/>
  <c r="K716" i="1" s="1"/>
  <c r="H716" i="1"/>
  <c r="I716" i="1" s="1"/>
  <c r="J716" i="1" s="1"/>
  <c r="D717" i="1"/>
  <c r="E717" i="1" s="1"/>
  <c r="L717" i="1" s="1"/>
  <c r="K717" i="1" a="1"/>
  <c r="K717" i="1" s="1"/>
  <c r="H717" i="1"/>
  <c r="I717" i="1" s="1"/>
  <c r="J717" i="1" s="1"/>
  <c r="H718" i="1"/>
  <c r="I718" i="1" s="1"/>
  <c r="J718" i="1" s="1"/>
  <c r="K718" i="1" a="1"/>
  <c r="K718" i="1" s="1"/>
  <c r="D718" i="1"/>
  <c r="E718" i="1" s="1"/>
  <c r="L718" i="1" s="1"/>
  <c r="K719" i="1" a="1"/>
  <c r="K719" i="1" s="1"/>
  <c r="H719" i="1"/>
  <c r="I719" i="1" s="1"/>
  <c r="J719" i="1" s="1"/>
  <c r="D719" i="1"/>
  <c r="E719" i="1" s="1"/>
  <c r="L719" i="1" s="1"/>
  <c r="K720" i="1" a="1"/>
  <c r="K720" i="1" s="1"/>
  <c r="H720" i="1"/>
  <c r="I720" i="1" s="1"/>
  <c r="J720" i="1" s="1"/>
  <c r="D720" i="1"/>
  <c r="E720" i="1" s="1"/>
  <c r="L720" i="1" s="1"/>
  <c r="K721" i="1" a="1"/>
  <c r="K721" i="1" s="1"/>
  <c r="H721" i="1"/>
  <c r="I721" i="1" s="1"/>
  <c r="J721" i="1" s="1"/>
  <c r="D721" i="1"/>
  <c r="E721" i="1" s="1"/>
  <c r="L721" i="1" s="1"/>
  <c r="D722" i="1"/>
  <c r="E722" i="1" s="1"/>
  <c r="L722" i="1" s="1"/>
  <c r="H722" i="1"/>
  <c r="I722" i="1" s="1"/>
  <c r="J722" i="1" s="1"/>
  <c r="K722" i="1" a="1"/>
  <c r="K722" i="1" s="1"/>
  <c r="D723" i="1"/>
  <c r="E723" i="1" s="1"/>
  <c r="L723" i="1" s="1"/>
  <c r="H723" i="1"/>
  <c r="I723" i="1" s="1"/>
  <c r="J723" i="1" s="1"/>
  <c r="K723" i="1" a="1"/>
  <c r="K723" i="1" s="1"/>
  <c r="K724" i="1" a="1"/>
  <c r="K724" i="1" s="1"/>
  <c r="H724" i="1"/>
  <c r="I724" i="1" s="1"/>
  <c r="J724" i="1" s="1"/>
  <c r="D724" i="1"/>
  <c r="E724" i="1" s="1"/>
  <c r="L724" i="1" s="1"/>
  <c r="D725" i="1"/>
  <c r="E725" i="1" s="1"/>
  <c r="L725" i="1" s="1"/>
  <c r="K725" i="1" a="1"/>
  <c r="K725" i="1" s="1"/>
  <c r="H725" i="1"/>
  <c r="I725" i="1" s="1"/>
  <c r="J725" i="1" s="1"/>
  <c r="H726" i="1"/>
  <c r="I726" i="1" s="1"/>
  <c r="J726" i="1" s="1"/>
  <c r="K726" i="1" a="1"/>
  <c r="K726" i="1" s="1"/>
  <c r="D726" i="1"/>
  <c r="E726" i="1" s="1"/>
  <c r="L726" i="1" s="1"/>
  <c r="D727" i="1"/>
  <c r="E727" i="1" s="1"/>
  <c r="L727" i="1" s="1"/>
  <c r="K727" i="1" a="1"/>
  <c r="K727" i="1" s="1"/>
  <c r="H727" i="1"/>
  <c r="I727" i="1" s="1"/>
  <c r="J727" i="1" s="1"/>
  <c r="K728" i="1" a="1"/>
  <c r="K728" i="1" s="1"/>
  <c r="H728" i="1"/>
  <c r="I728" i="1" s="1"/>
  <c r="J728" i="1" s="1"/>
  <c r="D728" i="1"/>
  <c r="E728" i="1" s="1"/>
  <c r="L728" i="1" s="1"/>
  <c r="D729" i="1"/>
  <c r="E729" i="1" s="1"/>
  <c r="L729" i="1" s="1"/>
  <c r="H729" i="1"/>
  <c r="I729" i="1" s="1"/>
  <c r="J729" i="1" s="1"/>
  <c r="K729" i="1" a="1"/>
  <c r="K729" i="1" s="1"/>
  <c r="D730" i="1"/>
  <c r="E730" i="1" s="1"/>
  <c r="L730" i="1" s="1"/>
  <c r="K730" i="1" a="1"/>
  <c r="K730" i="1" s="1"/>
  <c r="H730" i="1"/>
  <c r="I730" i="1" s="1"/>
  <c r="J730" i="1" s="1"/>
  <c r="K731" i="1" a="1"/>
  <c r="K731" i="1" s="1"/>
  <c r="H731" i="1"/>
  <c r="I731" i="1" s="1"/>
  <c r="J731" i="1" s="1"/>
  <c r="D731" i="1"/>
  <c r="E731" i="1" s="1"/>
  <c r="L731" i="1" s="1"/>
  <c r="D732" i="1"/>
  <c r="E732" i="1" s="1"/>
  <c r="L732" i="1" s="1"/>
  <c r="H732" i="1"/>
  <c r="I732" i="1" s="1"/>
  <c r="J732" i="1" s="1"/>
  <c r="K732" i="1" a="1"/>
  <c r="K732" i="1" s="1"/>
  <c r="D733" i="1"/>
  <c r="E733" i="1" s="1"/>
  <c r="L733" i="1" s="1"/>
  <c r="K733" i="1" a="1"/>
  <c r="K733" i="1" s="1"/>
  <c r="H733" i="1"/>
  <c r="I733" i="1" s="1"/>
  <c r="J733" i="1" s="1"/>
  <c r="D734" i="1"/>
  <c r="E734" i="1" s="1"/>
  <c r="L734" i="1" s="1"/>
  <c r="H734" i="1"/>
  <c r="I734" i="1" s="1"/>
  <c r="J734" i="1" s="1"/>
  <c r="K734" i="1" a="1"/>
  <c r="K734" i="1" s="1"/>
  <c r="D735" i="1"/>
  <c r="E735" i="1" s="1"/>
  <c r="L735" i="1" s="1"/>
  <c r="K735" i="1" a="1"/>
  <c r="K735" i="1" s="1"/>
  <c r="H735" i="1"/>
  <c r="I735" i="1" s="1"/>
  <c r="J735" i="1" s="1"/>
  <c r="D736" i="1"/>
  <c r="E736" i="1" s="1"/>
  <c r="L736" i="1" s="1"/>
  <c r="K736" i="1" a="1"/>
  <c r="K736" i="1" s="1"/>
  <c r="H736" i="1"/>
  <c r="I736" i="1" s="1"/>
  <c r="J736" i="1" s="1"/>
  <c r="D737" i="1"/>
  <c r="E737" i="1" s="1"/>
  <c r="L737" i="1" s="1"/>
  <c r="K737" i="1" a="1"/>
  <c r="K737" i="1" s="1"/>
  <c r="H737" i="1"/>
  <c r="I737" i="1" s="1"/>
  <c r="J737" i="1" s="1"/>
  <c r="D738" i="1"/>
  <c r="E738" i="1" s="1"/>
  <c r="L738" i="1" s="1"/>
  <c r="H738" i="1"/>
  <c r="I738" i="1" s="1"/>
  <c r="J738" i="1" s="1"/>
  <c r="K738" i="1" a="1"/>
  <c r="K738" i="1" s="1"/>
  <c r="D739" i="1"/>
  <c r="E739" i="1" s="1"/>
  <c r="L739" i="1" s="1"/>
  <c r="K739" i="1" a="1"/>
  <c r="K739" i="1" s="1"/>
  <c r="H739" i="1"/>
  <c r="I739" i="1" s="1"/>
  <c r="J739" i="1" s="1"/>
  <c r="D740" i="1"/>
  <c r="E740" i="1" s="1"/>
  <c r="L740" i="1" s="1"/>
  <c r="K740" i="1" a="1"/>
  <c r="K740" i="1" s="1"/>
  <c r="H740" i="1"/>
  <c r="I740" i="1" s="1"/>
  <c r="J740" i="1" s="1"/>
  <c r="D741" i="1"/>
  <c r="E741" i="1" s="1"/>
  <c r="L741" i="1" s="1"/>
  <c r="H741" i="1"/>
  <c r="I741" i="1" s="1"/>
  <c r="J741" i="1" s="1"/>
  <c r="K741" i="1" a="1"/>
  <c r="K741" i="1" s="1"/>
  <c r="D742" i="1"/>
  <c r="E742" i="1" s="1"/>
  <c r="L742" i="1" s="1"/>
  <c r="K742" i="1" a="1"/>
  <c r="K742" i="1" s="1"/>
  <c r="H742" i="1"/>
  <c r="I742" i="1" s="1"/>
  <c r="J742" i="1" s="1"/>
  <c r="D743" i="1"/>
  <c r="E743" i="1" s="1"/>
  <c r="L743" i="1" s="1"/>
  <c r="K743" i="1" a="1"/>
  <c r="K743" i="1" s="1"/>
  <c r="H743" i="1"/>
  <c r="I743" i="1" s="1"/>
  <c r="J743" i="1" s="1"/>
  <c r="H744" i="1"/>
  <c r="I744" i="1" s="1"/>
  <c r="J744" i="1" s="1"/>
  <c r="K744" i="1" a="1"/>
  <c r="K744" i="1" s="1"/>
  <c r="D744" i="1"/>
  <c r="E744" i="1" s="1"/>
  <c r="L744" i="1" s="1"/>
  <c r="D745" i="1"/>
  <c r="E745" i="1" s="1"/>
  <c r="L745" i="1" s="1"/>
  <c r="K745" i="1" a="1"/>
  <c r="K745" i="1" s="1"/>
  <c r="H745" i="1"/>
  <c r="I745" i="1" s="1"/>
  <c r="J745" i="1" s="1"/>
  <c r="H746" i="1"/>
  <c r="I746" i="1" s="1"/>
  <c r="J746" i="1" s="1"/>
  <c r="K746" i="1" a="1"/>
  <c r="K746" i="1" s="1"/>
  <c r="D746" i="1"/>
  <c r="E746" i="1" s="1"/>
  <c r="L746" i="1" s="1"/>
  <c r="D747" i="1"/>
  <c r="E747" i="1" s="1"/>
  <c r="L747" i="1" s="1"/>
  <c r="K747" i="1" a="1"/>
  <c r="K747" i="1" s="1"/>
  <c r="H747" i="1"/>
  <c r="I747" i="1" s="1"/>
  <c r="J747" i="1" s="1"/>
  <c r="D748" i="1"/>
  <c r="E748" i="1" s="1"/>
  <c r="L748" i="1" s="1"/>
  <c r="K748" i="1" a="1"/>
  <c r="K748" i="1" s="1"/>
  <c r="H748" i="1"/>
  <c r="I748" i="1" s="1"/>
  <c r="J748" i="1" s="1"/>
  <c r="H749" i="1"/>
  <c r="I749" i="1" s="1"/>
  <c r="J749" i="1" s="1"/>
  <c r="K749" i="1" a="1"/>
  <c r="K749" i="1" s="1"/>
  <c r="D749" i="1"/>
  <c r="E749" i="1" s="1"/>
  <c r="L749" i="1" s="1"/>
  <c r="D750" i="1"/>
  <c r="E750" i="1" s="1"/>
  <c r="L750" i="1" s="1"/>
  <c r="K750" i="1" a="1"/>
  <c r="K750" i="1" s="1"/>
  <c r="H750" i="1"/>
  <c r="I750" i="1" s="1"/>
  <c r="J750" i="1" s="1"/>
  <c r="K751" i="1" a="1"/>
  <c r="K751" i="1" s="1"/>
  <c r="H751" i="1"/>
  <c r="I751" i="1" s="1"/>
  <c r="J751" i="1" s="1"/>
  <c r="D751" i="1"/>
  <c r="E751" i="1" s="1"/>
  <c r="L751" i="1" s="1"/>
  <c r="H752" i="1"/>
  <c r="I752" i="1" s="1"/>
  <c r="J752" i="1" s="1"/>
  <c r="K752" i="1" a="1"/>
  <c r="K752" i="1" s="1"/>
  <c r="D752" i="1"/>
  <c r="E752" i="1" s="1"/>
  <c r="L752" i="1" s="1"/>
  <c r="K753" i="1" a="1"/>
  <c r="K753" i="1" s="1"/>
  <c r="H753" i="1"/>
  <c r="I753" i="1" s="1"/>
  <c r="J753" i="1" s="1"/>
  <c r="D753" i="1"/>
  <c r="E753" i="1" s="1"/>
  <c r="L753" i="1" s="1"/>
  <c r="D754" i="1"/>
  <c r="E754" i="1" s="1"/>
  <c r="L754" i="1" s="1"/>
  <c r="H754" i="1"/>
  <c r="I754" i="1" s="1"/>
  <c r="J754" i="1" s="1"/>
  <c r="K754" i="1" a="1"/>
  <c r="K754" i="1" s="1"/>
  <c r="D755" i="1"/>
  <c r="E755" i="1" s="1"/>
  <c r="L755" i="1" s="1"/>
  <c r="H755" i="1"/>
  <c r="I755" i="1" s="1"/>
  <c r="J755" i="1" s="1"/>
  <c r="K755" i="1" a="1"/>
  <c r="K755" i="1" s="1"/>
  <c r="K756" i="1" a="1"/>
  <c r="K756" i="1" s="1"/>
  <c r="H756" i="1"/>
  <c r="I756" i="1" s="1"/>
  <c r="J756" i="1" s="1"/>
  <c r="D756" i="1"/>
  <c r="E756" i="1" s="1"/>
  <c r="L756" i="1" s="1"/>
  <c r="H757" i="1"/>
  <c r="I757" i="1" s="1"/>
  <c r="J757" i="1" s="1"/>
  <c r="K757" i="1" a="1"/>
  <c r="K757" i="1" s="1"/>
  <c r="D757" i="1"/>
  <c r="E757" i="1" s="1"/>
  <c r="L757" i="1" s="1"/>
  <c r="K758" i="1" a="1"/>
  <c r="K758" i="1" s="1"/>
  <c r="H758" i="1"/>
  <c r="I758" i="1" s="1"/>
  <c r="J758" i="1" s="1"/>
  <c r="D758" i="1"/>
  <c r="E758" i="1" s="1"/>
  <c r="L758" i="1" s="1"/>
  <c r="K759" i="1" a="1"/>
  <c r="K759" i="1" s="1"/>
  <c r="H759" i="1"/>
  <c r="I759" i="1" s="1"/>
  <c r="J759" i="1" s="1"/>
  <c r="D759" i="1"/>
  <c r="E759" i="1" s="1"/>
  <c r="L759" i="1" s="1"/>
  <c r="D760" i="1"/>
  <c r="E760" i="1" s="1"/>
  <c r="L760" i="1" s="1"/>
  <c r="H760" i="1"/>
  <c r="I760" i="1" s="1"/>
  <c r="J760" i="1" s="1"/>
  <c r="K760" i="1" a="1"/>
  <c r="K760" i="1" s="1"/>
  <c r="H761" i="1"/>
  <c r="I761" i="1" s="1"/>
  <c r="J761" i="1" s="1"/>
  <c r="K761" i="1" a="1"/>
  <c r="K761" i="1" s="1"/>
  <c r="D761" i="1"/>
  <c r="E761" i="1" s="1"/>
  <c r="L761" i="1" s="1"/>
  <c r="D762" i="1"/>
  <c r="E762" i="1" s="1"/>
  <c r="L762" i="1" s="1"/>
  <c r="H762" i="1"/>
  <c r="I762" i="1" s="1"/>
  <c r="J762" i="1" s="1"/>
  <c r="K762" i="1" a="1"/>
  <c r="K762" i="1" s="1"/>
  <c r="D763" i="1"/>
  <c r="E763" i="1" s="1"/>
  <c r="L763" i="1" s="1"/>
  <c r="K763" i="1" a="1"/>
  <c r="K763" i="1" s="1"/>
  <c r="H763" i="1"/>
  <c r="I763" i="1" s="1"/>
  <c r="J763" i="1" s="1"/>
  <c r="K764" i="1" a="1"/>
  <c r="K764" i="1" s="1"/>
  <c r="H764" i="1"/>
  <c r="I764" i="1" s="1"/>
  <c r="J764" i="1" s="1"/>
  <c r="D764" i="1"/>
  <c r="E764" i="1" s="1"/>
  <c r="L764" i="1" s="1"/>
  <c r="H765" i="1"/>
  <c r="I765" i="1" s="1"/>
  <c r="J765" i="1" s="1"/>
  <c r="K765" i="1" a="1"/>
  <c r="K765" i="1" s="1"/>
  <c r="D765" i="1"/>
  <c r="E765" i="1" s="1"/>
  <c r="L765" i="1" s="1"/>
  <c r="H766" i="1"/>
  <c r="I766" i="1" s="1"/>
  <c r="J766" i="1" s="1"/>
  <c r="K766" i="1" a="1"/>
  <c r="K766" i="1" s="1"/>
  <c r="D766" i="1"/>
  <c r="E766" i="1" s="1"/>
  <c r="L766" i="1" s="1"/>
  <c r="D767" i="1"/>
  <c r="E767" i="1" s="1"/>
  <c r="L767" i="1" s="1"/>
  <c r="H767" i="1"/>
  <c r="I767" i="1" s="1"/>
  <c r="J767" i="1" s="1"/>
  <c r="K767" i="1" a="1"/>
  <c r="K767" i="1" s="1"/>
  <c r="H768" i="1"/>
  <c r="I768" i="1" s="1"/>
  <c r="J768" i="1" s="1"/>
  <c r="K768" i="1" a="1"/>
  <c r="K768" i="1" s="1"/>
  <c r="D768" i="1"/>
  <c r="E768" i="1" s="1"/>
  <c r="L768" i="1" s="1"/>
  <c r="D769" i="1"/>
  <c r="E769" i="1" s="1"/>
  <c r="L769" i="1" s="1"/>
  <c r="K769" i="1" a="1"/>
  <c r="K769" i="1" s="1"/>
  <c r="H769" i="1"/>
  <c r="I769" i="1" s="1"/>
  <c r="J769" i="1" s="1"/>
  <c r="D770" i="1"/>
  <c r="E770" i="1" s="1"/>
  <c r="L770" i="1" s="1"/>
  <c r="H770" i="1"/>
  <c r="I770" i="1" s="1"/>
  <c r="J770" i="1" s="1"/>
  <c r="K770" i="1" a="1"/>
  <c r="K770" i="1" s="1"/>
  <c r="D771" i="1"/>
  <c r="E771" i="1" s="1"/>
  <c r="L771" i="1" s="1"/>
  <c r="H771" i="1"/>
  <c r="I771" i="1" s="1"/>
  <c r="J771" i="1" s="1"/>
  <c r="K771" i="1" a="1"/>
  <c r="K771" i="1" s="1"/>
  <c r="D772" i="1"/>
  <c r="E772" i="1" s="1"/>
  <c r="L772" i="1" s="1"/>
  <c r="K772" i="1" a="1"/>
  <c r="K772" i="1" s="1"/>
  <c r="H772" i="1"/>
  <c r="I772" i="1" s="1"/>
  <c r="J772" i="1" s="1"/>
  <c r="D773" i="1"/>
  <c r="E773" i="1" s="1"/>
  <c r="L773" i="1" s="1"/>
  <c r="K773" i="1" a="1"/>
  <c r="K773" i="1" s="1"/>
  <c r="H773" i="1"/>
  <c r="I773" i="1" s="1"/>
  <c r="J773" i="1" s="1"/>
  <c r="H774" i="1"/>
  <c r="I774" i="1" s="1"/>
  <c r="J774" i="1" s="1"/>
  <c r="K774" i="1" a="1"/>
  <c r="K774" i="1" s="1"/>
  <c r="D774" i="1"/>
  <c r="E774" i="1" s="1"/>
  <c r="L774" i="1" s="1"/>
  <c r="H775" i="1"/>
  <c r="I775" i="1" s="1"/>
  <c r="J775" i="1" s="1"/>
  <c r="K775" i="1" a="1"/>
  <c r="K775" i="1" s="1"/>
  <c r="D775" i="1"/>
  <c r="E775" i="1" s="1"/>
  <c r="L775" i="1" s="1"/>
  <c r="D776" i="1"/>
  <c r="E776" i="1" s="1"/>
  <c r="L776" i="1" s="1"/>
  <c r="K776" i="1" a="1"/>
  <c r="K776" i="1" s="1"/>
  <c r="H776" i="1"/>
  <c r="I776" i="1" s="1"/>
  <c r="J776" i="1" s="1"/>
  <c r="D777" i="1"/>
  <c r="E777" i="1" s="1"/>
  <c r="L777" i="1" s="1"/>
  <c r="H777" i="1"/>
  <c r="I777" i="1" s="1"/>
  <c r="J777" i="1" s="1"/>
  <c r="K777" i="1" a="1"/>
  <c r="K777" i="1" s="1"/>
  <c r="D778" i="1"/>
  <c r="E778" i="1" s="1"/>
  <c r="L778" i="1" s="1"/>
  <c r="H778" i="1"/>
  <c r="I778" i="1" s="1"/>
  <c r="J778" i="1" s="1"/>
  <c r="K778" i="1" a="1"/>
  <c r="K778" i="1" s="1"/>
  <c r="K779" i="1" a="1"/>
  <c r="K779" i="1" s="1"/>
  <c r="H779" i="1"/>
  <c r="I779" i="1" s="1"/>
  <c r="J779" i="1" s="1"/>
  <c r="D779" i="1"/>
  <c r="E779" i="1" s="1"/>
  <c r="L779" i="1" s="1"/>
  <c r="D780" i="1"/>
  <c r="E780" i="1" s="1"/>
  <c r="L780" i="1" s="1"/>
  <c r="H780" i="1"/>
  <c r="I780" i="1" s="1"/>
  <c r="J780" i="1" s="1"/>
  <c r="K780" i="1" a="1"/>
  <c r="K780" i="1" s="1"/>
  <c r="D781" i="1"/>
  <c r="E781" i="1" s="1"/>
  <c r="L781" i="1" s="1"/>
  <c r="K781" i="1" a="1"/>
  <c r="K781" i="1" s="1"/>
  <c r="H781" i="1"/>
  <c r="I781" i="1" s="1"/>
  <c r="J781" i="1" s="1"/>
  <c r="D782" i="1"/>
  <c r="E782" i="1" s="1"/>
  <c r="L782" i="1" s="1"/>
  <c r="K782" i="1" a="1"/>
  <c r="K782" i="1" s="1"/>
  <c r="H782" i="1"/>
  <c r="I782" i="1" s="1"/>
  <c r="J782" i="1" s="1"/>
  <c r="D783" i="1"/>
  <c r="E783" i="1" s="1"/>
  <c r="L783" i="1" s="1"/>
  <c r="H783" i="1"/>
  <c r="I783" i="1" s="1"/>
  <c r="J783" i="1" s="1"/>
  <c r="K783" i="1" a="1"/>
  <c r="K783" i="1" s="1"/>
  <c r="K784" i="1" a="1"/>
  <c r="K784" i="1" s="1"/>
  <c r="H784" i="1"/>
  <c r="I784" i="1" s="1"/>
  <c r="J784" i="1" s="1"/>
  <c r="D784" i="1"/>
  <c r="E784" i="1" s="1"/>
  <c r="L784" i="1" s="1"/>
  <c r="D785" i="1"/>
  <c r="E785" i="1" s="1"/>
  <c r="L785" i="1" s="1"/>
  <c r="H785" i="1"/>
  <c r="I785" i="1" s="1"/>
  <c r="J785" i="1" s="1"/>
  <c r="K785" i="1" a="1"/>
  <c r="K785" i="1" s="1"/>
  <c r="D786" i="1"/>
  <c r="E786" i="1" s="1"/>
  <c r="L786" i="1" s="1"/>
  <c r="H786" i="1"/>
  <c r="I786" i="1" s="1"/>
  <c r="J786" i="1" s="1"/>
  <c r="K786" i="1" a="1"/>
  <c r="K786" i="1" s="1"/>
  <c r="K787" i="1" a="1"/>
  <c r="K787" i="1" s="1"/>
  <c r="H787" i="1"/>
  <c r="I787" i="1" s="1"/>
  <c r="J787" i="1" s="1"/>
  <c r="D787" i="1"/>
  <c r="E787" i="1" s="1"/>
  <c r="L787" i="1" s="1"/>
  <c r="D788" i="1"/>
  <c r="E788" i="1" s="1"/>
  <c r="L788" i="1" s="1"/>
  <c r="H788" i="1"/>
  <c r="I788" i="1" s="1"/>
  <c r="J788" i="1" s="1"/>
  <c r="K788" i="1" a="1"/>
  <c r="K788" i="1" s="1"/>
  <c r="H789" i="1"/>
  <c r="I789" i="1" s="1"/>
  <c r="J789" i="1" s="1"/>
  <c r="K789" i="1" a="1"/>
  <c r="K789" i="1" s="1"/>
  <c r="D789" i="1"/>
  <c r="E789" i="1" s="1"/>
  <c r="L789" i="1" s="1"/>
  <c r="K790" i="1" a="1"/>
  <c r="K790" i="1" s="1"/>
  <c r="H790" i="1"/>
  <c r="I790" i="1" s="1"/>
  <c r="J790" i="1" s="1"/>
  <c r="D790" i="1"/>
  <c r="E790" i="1" s="1"/>
  <c r="L790" i="1" s="1"/>
  <c r="K791" i="1" a="1"/>
  <c r="K791" i="1" s="1"/>
  <c r="H791" i="1"/>
  <c r="I791" i="1" s="1"/>
  <c r="J791" i="1" s="1"/>
  <c r="D791" i="1"/>
  <c r="E791" i="1" s="1"/>
  <c r="L791" i="1" s="1"/>
  <c r="H792" i="1"/>
  <c r="I792" i="1" s="1"/>
  <c r="J792" i="1" s="1"/>
  <c r="K792" i="1" a="1"/>
  <c r="K792" i="1" s="1"/>
  <c r="D792" i="1"/>
  <c r="E792" i="1" s="1"/>
  <c r="L792" i="1" s="1"/>
  <c r="H793" i="1"/>
  <c r="I793" i="1" s="1"/>
  <c r="J793" i="1" s="1"/>
  <c r="K793" i="1" a="1"/>
  <c r="K793" i="1" s="1"/>
  <c r="D793" i="1"/>
  <c r="E793" i="1" s="1"/>
  <c r="L793" i="1" s="1"/>
  <c r="K794" i="1" a="1"/>
  <c r="K794" i="1" s="1"/>
  <c r="H794" i="1"/>
  <c r="I794" i="1" s="1"/>
  <c r="J794" i="1" s="1"/>
  <c r="D794" i="1"/>
  <c r="E794" i="1" s="1"/>
  <c r="L794" i="1" s="1"/>
  <c r="K795" i="1" a="1"/>
  <c r="K795" i="1" s="1"/>
  <c r="H795" i="1"/>
  <c r="I795" i="1" s="1"/>
  <c r="J795" i="1" s="1"/>
  <c r="D795" i="1"/>
  <c r="E795" i="1" s="1"/>
  <c r="L795" i="1" s="1"/>
  <c r="D796" i="1"/>
  <c r="E796" i="1" s="1"/>
  <c r="L796" i="1" s="1"/>
  <c r="H796" i="1"/>
  <c r="I796" i="1" s="1"/>
  <c r="J796" i="1" s="1"/>
  <c r="K796" i="1" a="1"/>
  <c r="K796" i="1" s="1"/>
  <c r="H797" i="1"/>
  <c r="I797" i="1" s="1"/>
  <c r="J797" i="1" s="1"/>
  <c r="K797" i="1" a="1"/>
  <c r="K797" i="1" s="1"/>
  <c r="D797" i="1"/>
  <c r="E797" i="1" s="1"/>
  <c r="L797" i="1" s="1"/>
  <c r="D798" i="1"/>
  <c r="E798" i="1" s="1"/>
  <c r="L798" i="1" s="1"/>
  <c r="K798" i="1" a="1"/>
  <c r="K798" i="1" s="1"/>
  <c r="H798" i="1"/>
  <c r="I798" i="1" s="1"/>
  <c r="J798" i="1" s="1"/>
  <c r="D799" i="1"/>
  <c r="E799" i="1" s="1"/>
  <c r="L799" i="1" s="1"/>
  <c r="K799" i="1" a="1"/>
  <c r="K799" i="1" s="1"/>
  <c r="H799" i="1"/>
  <c r="I799" i="1" s="1"/>
  <c r="J799" i="1" s="1"/>
  <c r="H800" i="1"/>
  <c r="I800" i="1" s="1"/>
  <c r="J800" i="1" s="1"/>
  <c r="K800" i="1" a="1"/>
  <c r="K800" i="1" s="1"/>
  <c r="D800" i="1"/>
  <c r="E800" i="1" s="1"/>
  <c r="L800" i="1" s="1"/>
  <c r="D801" i="1"/>
  <c r="E801" i="1" s="1"/>
  <c r="L801" i="1" s="1"/>
  <c r="H801" i="1"/>
  <c r="I801" i="1" s="1"/>
  <c r="J801" i="1" s="1"/>
  <c r="K801" i="1" a="1"/>
  <c r="K801" i="1" s="1"/>
  <c r="H802" i="1"/>
  <c r="I802" i="1" s="1"/>
  <c r="J802" i="1" s="1"/>
  <c r="K802" i="1" a="1"/>
  <c r="K802" i="1" s="1"/>
  <c r="D802" i="1"/>
  <c r="E802" i="1" s="1"/>
  <c r="L802" i="1" s="1"/>
  <c r="D803" i="1"/>
  <c r="E803" i="1" s="1"/>
  <c r="L803" i="1" s="1"/>
  <c r="H803" i="1"/>
  <c r="I803" i="1" s="1"/>
  <c r="J803" i="1" s="1"/>
  <c r="K803" i="1" a="1"/>
  <c r="K803" i="1" s="1"/>
  <c r="D804" i="1"/>
  <c r="E804" i="1" s="1"/>
  <c r="L804" i="1" s="1"/>
  <c r="K804" i="1" a="1"/>
  <c r="K804" i="1" s="1"/>
  <c r="H804" i="1"/>
  <c r="I804" i="1" s="1"/>
  <c r="J804" i="1" s="1"/>
  <c r="H805" i="1"/>
  <c r="I805" i="1" s="1"/>
  <c r="J805" i="1" s="1"/>
  <c r="K805" i="1" a="1"/>
  <c r="K805" i="1" s="1"/>
  <c r="D805" i="1"/>
  <c r="E805" i="1" s="1"/>
  <c r="L805" i="1" s="1"/>
  <c r="H806" i="1"/>
  <c r="I806" i="1" s="1"/>
  <c r="J806" i="1" s="1"/>
  <c r="K806" i="1" a="1"/>
  <c r="K806" i="1" s="1"/>
  <c r="D806" i="1"/>
  <c r="E806" i="1" s="1"/>
  <c r="L806" i="1" s="1"/>
  <c r="H807" i="1"/>
  <c r="I807" i="1" s="1"/>
  <c r="J807" i="1" s="1"/>
  <c r="K807" i="1" a="1"/>
  <c r="K807" i="1" s="1"/>
  <c r="D807" i="1"/>
  <c r="E807" i="1" s="1"/>
  <c r="L807" i="1" s="1"/>
  <c r="H808" i="1"/>
  <c r="I808" i="1" s="1"/>
  <c r="J808" i="1" s="1"/>
  <c r="K808" i="1" a="1"/>
  <c r="K808" i="1" s="1"/>
  <c r="D808" i="1"/>
  <c r="E808" i="1" s="1"/>
  <c r="L808" i="1" s="1"/>
  <c r="H809" i="1"/>
  <c r="I809" i="1" s="1"/>
  <c r="J809" i="1" s="1"/>
  <c r="K809" i="1" a="1"/>
  <c r="K809" i="1" s="1"/>
  <c r="D809" i="1"/>
  <c r="E809" i="1" s="1"/>
  <c r="L809" i="1" s="1"/>
  <c r="H810" i="1"/>
  <c r="I810" i="1" s="1"/>
  <c r="J810" i="1" s="1"/>
  <c r="K810" i="1" a="1"/>
  <c r="K810" i="1" s="1"/>
  <c r="D810" i="1"/>
  <c r="E810" i="1" s="1"/>
  <c r="L810" i="1" s="1"/>
  <c r="D811" i="1"/>
  <c r="E811" i="1" s="1"/>
  <c r="L811" i="1" s="1"/>
  <c r="H811" i="1"/>
  <c r="I811" i="1" s="1"/>
  <c r="J811" i="1" s="1"/>
  <c r="K811" i="1" a="1"/>
  <c r="K811" i="1" s="1"/>
  <c r="H812" i="1"/>
  <c r="I812" i="1" s="1"/>
  <c r="J812" i="1" s="1"/>
  <c r="K812" i="1" a="1"/>
  <c r="K812" i="1" s="1"/>
  <c r="D812" i="1"/>
  <c r="E812" i="1" s="1"/>
  <c r="L812" i="1" s="1"/>
  <c r="D813" i="1"/>
  <c r="E813" i="1" s="1"/>
  <c r="L813" i="1" s="1"/>
  <c r="H813" i="1"/>
  <c r="I813" i="1" s="1"/>
  <c r="J813" i="1" s="1"/>
  <c r="K813" i="1" a="1"/>
  <c r="K813" i="1" s="1"/>
  <c r="H814" i="1"/>
  <c r="I814" i="1" s="1"/>
  <c r="J814" i="1" s="1"/>
  <c r="K814" i="1" a="1"/>
  <c r="K814" i="1" s="1"/>
  <c r="D814" i="1"/>
  <c r="E814" i="1" s="1"/>
  <c r="L814" i="1" s="1"/>
  <c r="H815" i="1"/>
  <c r="I815" i="1" s="1"/>
  <c r="J815" i="1" s="1"/>
  <c r="K815" i="1" a="1"/>
  <c r="K815" i="1" s="1"/>
  <c r="D815" i="1"/>
  <c r="E815" i="1" s="1"/>
  <c r="L815" i="1" s="1"/>
  <c r="H816" i="1"/>
  <c r="I816" i="1" s="1"/>
  <c r="J816" i="1" s="1"/>
  <c r="K816" i="1" a="1"/>
  <c r="K816" i="1" s="1"/>
  <c r="D816" i="1"/>
  <c r="E816" i="1" s="1"/>
  <c r="L816" i="1" s="1"/>
  <c r="D817" i="1"/>
  <c r="E817" i="1" s="1"/>
  <c r="L817" i="1" s="1"/>
  <c r="H817" i="1"/>
  <c r="I817" i="1" s="1"/>
  <c r="J817" i="1" s="1"/>
  <c r="K817" i="1" a="1"/>
  <c r="K817" i="1" s="1"/>
  <c r="D818" i="1"/>
  <c r="E818" i="1" s="1"/>
  <c r="L818" i="1" s="1"/>
  <c r="H818" i="1"/>
  <c r="I818" i="1" s="1"/>
  <c r="J818" i="1" s="1"/>
  <c r="K818" i="1" a="1"/>
  <c r="K818" i="1" s="1"/>
  <c r="H819" i="1"/>
  <c r="I819" i="1" s="1"/>
  <c r="J819" i="1" s="1"/>
  <c r="K819" i="1" a="1"/>
  <c r="K819" i="1" s="1"/>
  <c r="D819" i="1"/>
  <c r="E819" i="1" s="1"/>
  <c r="L819" i="1" s="1"/>
  <c r="H820" i="1"/>
  <c r="I820" i="1" s="1"/>
  <c r="J820" i="1" s="1"/>
  <c r="K820" i="1" a="1"/>
  <c r="K820" i="1" s="1"/>
  <c r="D820" i="1"/>
  <c r="E820" i="1" s="1"/>
  <c r="L820" i="1" s="1"/>
  <c r="D821" i="1"/>
  <c r="E821" i="1" s="1"/>
  <c r="L821" i="1" s="1"/>
  <c r="H821" i="1"/>
  <c r="I821" i="1" s="1"/>
  <c r="J821" i="1" s="1"/>
  <c r="K821" i="1" a="1"/>
  <c r="K821" i="1" s="1"/>
  <c r="H822" i="1"/>
  <c r="I822" i="1" s="1"/>
  <c r="J822" i="1" s="1"/>
  <c r="K822" i="1" a="1"/>
  <c r="K822" i="1" s="1"/>
  <c r="D822" i="1"/>
  <c r="E822" i="1" s="1"/>
  <c r="L822" i="1" s="1"/>
  <c r="H823" i="1"/>
  <c r="I823" i="1" s="1"/>
  <c r="J823" i="1" s="1"/>
  <c r="K823" i="1" a="1"/>
  <c r="K823" i="1" s="1"/>
  <c r="D823" i="1"/>
  <c r="E823" i="1" s="1"/>
  <c r="L823" i="1" s="1"/>
  <c r="D824" i="1"/>
  <c r="E824" i="1" s="1"/>
  <c r="L824" i="1" s="1"/>
  <c r="H824" i="1"/>
  <c r="I824" i="1" s="1"/>
  <c r="J824" i="1" s="1"/>
  <c r="K824" i="1" a="1"/>
  <c r="K824" i="1" s="1"/>
  <c r="H825" i="1"/>
  <c r="I825" i="1" s="1"/>
  <c r="J825" i="1" s="1"/>
  <c r="K825" i="1" a="1"/>
  <c r="K825" i="1" s="1"/>
  <c r="D825" i="1"/>
  <c r="E825" i="1" s="1"/>
  <c r="L825" i="1" s="1"/>
  <c r="D826" i="1"/>
  <c r="E826" i="1" s="1"/>
  <c r="L826" i="1" s="1"/>
  <c r="H826" i="1"/>
  <c r="I826" i="1" s="1"/>
  <c r="J826" i="1" s="1"/>
  <c r="K826" i="1" a="1"/>
  <c r="K826" i="1" s="1"/>
  <c r="D827" i="1"/>
  <c r="E827" i="1" s="1"/>
  <c r="L827" i="1" s="1"/>
  <c r="H827" i="1"/>
  <c r="I827" i="1" s="1"/>
  <c r="J827" i="1" s="1"/>
  <c r="K827" i="1" a="1"/>
  <c r="K827" i="1" s="1"/>
  <c r="D828" i="1"/>
  <c r="E828" i="1" s="1"/>
  <c r="L828" i="1" s="1"/>
  <c r="H828" i="1"/>
  <c r="I828" i="1" s="1"/>
  <c r="J828" i="1" s="1"/>
  <c r="K828" i="1" a="1"/>
  <c r="K828" i="1" s="1"/>
  <c r="D829" i="1"/>
  <c r="E829" i="1" s="1"/>
  <c r="L829" i="1" s="1"/>
  <c r="H829" i="1"/>
  <c r="I829" i="1" s="1"/>
  <c r="J829" i="1" s="1"/>
  <c r="K829" i="1" a="1"/>
  <c r="K829" i="1" s="1"/>
  <c r="H830" i="1"/>
  <c r="I830" i="1" s="1"/>
  <c r="J830" i="1" s="1"/>
  <c r="K830" i="1" a="1"/>
  <c r="K830" i="1" s="1"/>
  <c r="D830" i="1"/>
  <c r="E830" i="1" s="1"/>
  <c r="L830" i="1" s="1"/>
  <c r="H831" i="1"/>
  <c r="I831" i="1" s="1"/>
  <c r="J831" i="1" s="1"/>
  <c r="K831" i="1" a="1"/>
  <c r="K831" i="1" s="1"/>
  <c r="D831" i="1"/>
  <c r="E831" i="1" s="1"/>
  <c r="L831" i="1" s="1"/>
  <c r="D832" i="1"/>
  <c r="E832" i="1" s="1"/>
  <c r="L832" i="1" s="1"/>
  <c r="H832" i="1"/>
  <c r="I832" i="1" s="1"/>
  <c r="J832" i="1" s="1"/>
  <c r="K832" i="1" a="1"/>
  <c r="K832" i="1" s="1"/>
  <c r="D833" i="1"/>
  <c r="E833" i="1" s="1"/>
  <c r="L833" i="1" s="1"/>
  <c r="H833" i="1"/>
  <c r="I833" i="1" s="1"/>
  <c r="J833" i="1" s="1"/>
  <c r="K833" i="1" a="1"/>
  <c r="K833" i="1" s="1"/>
  <c r="H834" i="1"/>
  <c r="I834" i="1" s="1"/>
  <c r="J834" i="1" s="1"/>
  <c r="K834" i="1" a="1"/>
  <c r="K834" i="1" s="1"/>
  <c r="D834" i="1"/>
  <c r="E834" i="1" s="1"/>
  <c r="L834" i="1" s="1"/>
  <c r="H835" i="1"/>
  <c r="I835" i="1" s="1"/>
  <c r="J835" i="1" s="1"/>
  <c r="K835" i="1" a="1"/>
  <c r="K835" i="1" s="1"/>
  <c r="D835" i="1"/>
  <c r="E835" i="1" s="1"/>
  <c r="L835" i="1" s="1"/>
  <c r="H836" i="1"/>
  <c r="I836" i="1" s="1"/>
  <c r="J836" i="1" s="1"/>
  <c r="K836" i="1" a="1"/>
  <c r="K836" i="1" s="1"/>
  <c r="D836" i="1"/>
  <c r="E836" i="1" s="1"/>
  <c r="L836" i="1" s="1"/>
  <c r="D837" i="1"/>
  <c r="E837" i="1" s="1"/>
  <c r="L837" i="1" s="1"/>
  <c r="H837" i="1"/>
  <c r="I837" i="1" s="1"/>
  <c r="J837" i="1" s="1"/>
  <c r="K837" i="1" a="1"/>
  <c r="K837" i="1" s="1"/>
  <c r="D838" i="1"/>
  <c r="E838" i="1" s="1"/>
  <c r="L838" i="1" s="1"/>
  <c r="H838" i="1"/>
  <c r="I838" i="1" s="1"/>
  <c r="J838" i="1" s="1"/>
  <c r="K838" i="1" a="1"/>
  <c r="K838" i="1" s="1"/>
  <c r="H839" i="1"/>
  <c r="I839" i="1" s="1"/>
  <c r="J839" i="1" s="1"/>
  <c r="K839" i="1" a="1"/>
  <c r="K839" i="1" s="1"/>
  <c r="D839" i="1"/>
  <c r="E839" i="1" s="1"/>
  <c r="L839" i="1" s="1"/>
  <c r="D840" i="1"/>
  <c r="E840" i="1" s="1"/>
  <c r="L840" i="1" s="1"/>
  <c r="H840" i="1"/>
  <c r="I840" i="1" s="1"/>
  <c r="J840" i="1" s="1"/>
  <c r="K840" i="1" a="1"/>
  <c r="K840" i="1" s="1"/>
  <c r="H841" i="1"/>
  <c r="I841" i="1" s="1"/>
  <c r="J841" i="1" s="1"/>
  <c r="K841" i="1" a="1"/>
  <c r="K841" i="1" s="1"/>
  <c r="D841" i="1"/>
  <c r="E841" i="1" s="1"/>
  <c r="L841" i="1" s="1"/>
  <c r="D842" i="1"/>
  <c r="E842" i="1" s="1"/>
  <c r="L842" i="1" s="1"/>
  <c r="H842" i="1"/>
  <c r="I842" i="1" s="1"/>
  <c r="J842" i="1" s="1"/>
  <c r="K842" i="1" a="1"/>
  <c r="K842" i="1" s="1"/>
  <c r="D843" i="1"/>
  <c r="E843" i="1" s="1"/>
  <c r="L843" i="1" s="1"/>
  <c r="H843" i="1"/>
  <c r="I843" i="1" s="1"/>
  <c r="J843" i="1" s="1"/>
  <c r="K843" i="1" a="1"/>
  <c r="K843" i="1" s="1"/>
  <c r="H844" i="1"/>
  <c r="I844" i="1" s="1"/>
  <c r="J844" i="1" s="1"/>
  <c r="K844" i="1" a="1"/>
  <c r="K844" i="1" s="1"/>
  <c r="D844" i="1"/>
  <c r="E844" i="1" s="1"/>
  <c r="L844" i="1" s="1"/>
  <c r="H845" i="1"/>
  <c r="I845" i="1" s="1"/>
  <c r="J845" i="1" s="1"/>
  <c r="K845" i="1" a="1"/>
  <c r="K845" i="1" s="1"/>
  <c r="D845" i="1"/>
  <c r="E845" i="1" s="1"/>
  <c r="L845" i="1" s="1"/>
  <c r="H846" i="1"/>
  <c r="I846" i="1" s="1"/>
  <c r="J846" i="1" s="1"/>
  <c r="K846" i="1" a="1"/>
  <c r="K846" i="1" s="1"/>
  <c r="D846" i="1"/>
  <c r="E846" i="1" s="1"/>
  <c r="L846" i="1" s="1"/>
  <c r="D847" i="1"/>
  <c r="E847" i="1" s="1"/>
  <c r="L847" i="1" s="1"/>
  <c r="H847" i="1"/>
  <c r="I847" i="1" s="1"/>
  <c r="J847" i="1" s="1"/>
  <c r="K847" i="1" a="1"/>
  <c r="K847" i="1" s="1"/>
  <c r="H848" i="1"/>
  <c r="I848" i="1" s="1"/>
  <c r="J848" i="1" s="1"/>
  <c r="K848" i="1" a="1"/>
  <c r="K848" i="1" s="1"/>
  <c r="D848" i="1"/>
  <c r="E848" i="1" s="1"/>
  <c r="L848" i="1" s="1"/>
  <c r="D849" i="1"/>
  <c r="E849" i="1" s="1"/>
  <c r="L849" i="1" s="1"/>
  <c r="H849" i="1"/>
  <c r="I849" i="1" s="1"/>
  <c r="J849" i="1" s="1"/>
  <c r="K849" i="1" a="1"/>
  <c r="K849" i="1" s="1"/>
  <c r="H850" i="1"/>
  <c r="I850" i="1" s="1"/>
  <c r="J850" i="1" s="1"/>
  <c r="K850" i="1" a="1"/>
  <c r="K850" i="1" s="1"/>
  <c r="D850" i="1"/>
  <c r="E850" i="1" s="1"/>
  <c r="L850" i="1" s="1"/>
  <c r="H851" i="1"/>
  <c r="I851" i="1" s="1"/>
  <c r="J851" i="1" s="1"/>
  <c r="K851" i="1" a="1"/>
  <c r="K851" i="1" s="1"/>
  <c r="D851" i="1"/>
  <c r="E851" i="1" s="1"/>
  <c r="L851" i="1" s="1"/>
  <c r="D852" i="1"/>
  <c r="E852" i="1" s="1"/>
  <c r="L852" i="1" s="1"/>
  <c r="H852" i="1"/>
  <c r="I852" i="1" s="1"/>
  <c r="J852" i="1" s="1"/>
  <c r="K852" i="1" a="1"/>
  <c r="K852" i="1" s="1"/>
  <c r="H853" i="1"/>
  <c r="I853" i="1" s="1"/>
  <c r="J853" i="1" s="1"/>
  <c r="K853" i="1" a="1"/>
  <c r="K853" i="1" s="1"/>
  <c r="D853" i="1"/>
  <c r="E853" i="1" s="1"/>
  <c r="L853" i="1" s="1"/>
  <c r="H854" i="1"/>
  <c r="I854" i="1" s="1"/>
  <c r="J854" i="1" s="1"/>
  <c r="K854" i="1" a="1"/>
  <c r="K854" i="1" s="1"/>
  <c r="D854" i="1"/>
  <c r="E854" i="1" s="1"/>
  <c r="L854" i="1" s="1"/>
  <c r="H855" i="1"/>
  <c r="I855" i="1" s="1"/>
  <c r="J855" i="1" s="1"/>
  <c r="K855" i="1" a="1"/>
  <c r="K855" i="1" s="1"/>
  <c r="D855" i="1"/>
  <c r="E855" i="1" s="1"/>
  <c r="L855" i="1" s="1"/>
  <c r="D856" i="1"/>
  <c r="E856" i="1" s="1"/>
  <c r="L856" i="1" s="1"/>
  <c r="H856" i="1"/>
  <c r="I856" i="1" s="1"/>
  <c r="J856" i="1" s="1"/>
  <c r="K856" i="1" a="1"/>
  <c r="K856" i="1" s="1"/>
  <c r="H857" i="1"/>
  <c r="I857" i="1" s="1"/>
  <c r="J857" i="1" s="1"/>
  <c r="K857" i="1" a="1"/>
  <c r="K857" i="1" s="1"/>
  <c r="D857" i="1"/>
  <c r="E857" i="1" s="1"/>
  <c r="L857" i="1" s="1"/>
  <c r="H858" i="1"/>
  <c r="I858" i="1" s="1"/>
  <c r="J858" i="1" s="1"/>
  <c r="K858" i="1" a="1"/>
  <c r="K858" i="1" s="1"/>
  <c r="D858" i="1"/>
  <c r="E858" i="1" s="1"/>
  <c r="L858" i="1" s="1"/>
  <c r="D859" i="1"/>
  <c r="E859" i="1" s="1"/>
  <c r="L859" i="1" s="1"/>
  <c r="H859" i="1"/>
  <c r="I859" i="1" s="1"/>
  <c r="J859" i="1" s="1"/>
  <c r="K859" i="1" a="1"/>
  <c r="K859" i="1" s="1"/>
  <c r="H860" i="1"/>
  <c r="I860" i="1" s="1"/>
  <c r="J860" i="1" s="1"/>
  <c r="K860" i="1" a="1"/>
  <c r="K860" i="1" s="1"/>
  <c r="D860" i="1"/>
  <c r="E860" i="1" s="1"/>
  <c r="L860" i="1" s="1"/>
  <c r="H861" i="1"/>
  <c r="I861" i="1" s="1"/>
  <c r="J861" i="1" s="1"/>
  <c r="K861" i="1" a="1"/>
  <c r="K861" i="1" s="1"/>
  <c r="D861" i="1"/>
  <c r="E861" i="1" s="1"/>
  <c r="L861" i="1" s="1"/>
  <c r="H862" i="1"/>
  <c r="I862" i="1" s="1"/>
  <c r="J862" i="1" s="1"/>
  <c r="K862" i="1" a="1"/>
  <c r="K862" i="1" s="1"/>
  <c r="D862" i="1"/>
  <c r="E862" i="1" s="1"/>
  <c r="L862" i="1" s="1"/>
  <c r="D863" i="1"/>
  <c r="E863" i="1" s="1"/>
  <c r="L863" i="1" s="1"/>
  <c r="H863" i="1"/>
  <c r="I863" i="1" s="1"/>
  <c r="J863" i="1" s="1"/>
  <c r="K863" i="1" a="1"/>
  <c r="K863" i="1" s="1"/>
  <c r="H864" i="1"/>
  <c r="I864" i="1" s="1"/>
  <c r="J864" i="1" s="1"/>
  <c r="K864" i="1" a="1"/>
  <c r="K864" i="1" s="1"/>
  <c r="D864" i="1"/>
  <c r="E864" i="1" s="1"/>
  <c r="L864" i="1" s="1"/>
  <c r="D865" i="1"/>
  <c r="E865" i="1" s="1"/>
  <c r="L865" i="1" s="1"/>
  <c r="H865" i="1"/>
  <c r="I865" i="1" s="1"/>
  <c r="J865" i="1" s="1"/>
  <c r="K865" i="1" a="1"/>
  <c r="K865" i="1" s="1"/>
  <c r="D866" i="1"/>
  <c r="E866" i="1" s="1"/>
  <c r="L866" i="1" s="1"/>
  <c r="H866" i="1"/>
  <c r="I866" i="1" s="1"/>
  <c r="J866" i="1" s="1"/>
  <c r="K866" i="1" a="1"/>
  <c r="K866" i="1" s="1"/>
  <c r="D867" i="1"/>
  <c r="E867" i="1" s="1"/>
  <c r="L867" i="1" s="1"/>
  <c r="H867" i="1"/>
  <c r="I867" i="1" s="1"/>
  <c r="J867" i="1" s="1"/>
  <c r="K867" i="1" a="1"/>
  <c r="K867" i="1" s="1"/>
  <c r="H868" i="1"/>
  <c r="I868" i="1" s="1"/>
  <c r="J868" i="1" s="1"/>
  <c r="K868" i="1" a="1"/>
  <c r="K868" i="1" s="1"/>
  <c r="D868" i="1"/>
  <c r="E868" i="1" s="1"/>
  <c r="L868" i="1" s="1"/>
  <c r="D869" i="1"/>
  <c r="E869" i="1" s="1"/>
  <c r="L869" i="1" s="1"/>
  <c r="H869" i="1"/>
  <c r="I869" i="1" s="1"/>
  <c r="J869" i="1" s="1"/>
  <c r="K869" i="1" a="1"/>
  <c r="K869" i="1" s="1"/>
  <c r="H870" i="1"/>
  <c r="I870" i="1" s="1"/>
  <c r="J870" i="1" s="1"/>
  <c r="K870" i="1" a="1"/>
  <c r="K870" i="1" s="1"/>
  <c r="D870" i="1"/>
  <c r="E870" i="1" s="1"/>
  <c r="L870" i="1" s="1"/>
  <c r="D871" i="1"/>
  <c r="E871" i="1" s="1"/>
  <c r="L871" i="1" s="1"/>
  <c r="H871" i="1"/>
  <c r="I871" i="1" s="1"/>
  <c r="J871" i="1" s="1"/>
  <c r="K871" i="1" a="1"/>
  <c r="K871" i="1" s="1"/>
  <c r="H872" i="1"/>
  <c r="I872" i="1" s="1"/>
  <c r="J872" i="1" s="1"/>
  <c r="K872" i="1" a="1"/>
  <c r="K872" i="1" s="1"/>
  <c r="D872" i="1"/>
  <c r="E872" i="1" s="1"/>
  <c r="L872" i="1" s="1"/>
  <c r="D873" i="1"/>
  <c r="E873" i="1" s="1"/>
  <c r="L873" i="1" s="1"/>
  <c r="H873" i="1"/>
  <c r="I873" i="1" s="1"/>
  <c r="J873" i="1" s="1"/>
  <c r="K873" i="1" a="1"/>
  <c r="K873" i="1" s="1"/>
  <c r="H874" i="1"/>
  <c r="I874" i="1" s="1"/>
  <c r="J874" i="1" s="1"/>
  <c r="K874" i="1" a="1"/>
  <c r="K874" i="1" s="1"/>
  <c r="D874" i="1"/>
  <c r="E874" i="1" s="1"/>
  <c r="L874" i="1" s="1"/>
  <c r="H875" i="1"/>
  <c r="I875" i="1" s="1"/>
  <c r="J875" i="1" s="1"/>
  <c r="K875" i="1" a="1"/>
  <c r="K875" i="1" s="1"/>
  <c r="D875" i="1"/>
  <c r="E875" i="1" s="1"/>
  <c r="L875" i="1" s="1"/>
  <c r="D876" i="1"/>
  <c r="E876" i="1" s="1"/>
  <c r="L876" i="1" s="1"/>
  <c r="H876" i="1"/>
  <c r="I876" i="1" s="1"/>
  <c r="J876" i="1" s="1"/>
  <c r="K876" i="1" a="1"/>
  <c r="K876" i="1" s="1"/>
  <c r="D877" i="1"/>
  <c r="E877" i="1" s="1"/>
  <c r="L877" i="1" s="1"/>
  <c r="H877" i="1"/>
  <c r="I877" i="1" s="1"/>
  <c r="J877" i="1" s="1"/>
  <c r="K877" i="1" a="1"/>
  <c r="K877" i="1" s="1"/>
  <c r="H878" i="1"/>
  <c r="I878" i="1" s="1"/>
  <c r="J878" i="1" s="1"/>
  <c r="K878" i="1" a="1"/>
  <c r="K878" i="1" s="1"/>
  <c r="D878" i="1"/>
  <c r="E878" i="1" s="1"/>
  <c r="L878" i="1" s="1"/>
  <c r="H879" i="1"/>
  <c r="I879" i="1" s="1"/>
  <c r="J879" i="1" s="1"/>
  <c r="K879" i="1" a="1"/>
  <c r="K879" i="1" s="1"/>
  <c r="D879" i="1"/>
  <c r="E879" i="1" s="1"/>
  <c r="L879" i="1" s="1"/>
  <c r="D880" i="1"/>
  <c r="E880" i="1" s="1"/>
  <c r="L880" i="1" s="1"/>
  <c r="H880" i="1"/>
  <c r="I880" i="1" s="1"/>
  <c r="J880" i="1" s="1"/>
  <c r="K880" i="1" a="1"/>
  <c r="K880" i="1" s="1"/>
  <c r="D881" i="1"/>
  <c r="E881" i="1" s="1"/>
  <c r="L881" i="1" s="1"/>
  <c r="H881" i="1"/>
  <c r="I881" i="1" s="1"/>
  <c r="J881" i="1" s="1"/>
  <c r="K881" i="1" a="1"/>
  <c r="K881" i="1" s="1"/>
  <c r="D882" i="1"/>
  <c r="E882" i="1" s="1"/>
  <c r="L882" i="1" s="1"/>
  <c r="H882" i="1"/>
  <c r="I882" i="1" s="1"/>
  <c r="J882" i="1" s="1"/>
  <c r="K882" i="1" a="1"/>
  <c r="K882" i="1" s="1"/>
  <c r="H883" i="1"/>
  <c r="I883" i="1" s="1"/>
  <c r="J883" i="1" s="1"/>
  <c r="K883" i="1" a="1"/>
  <c r="K883" i="1" s="1"/>
  <c r="D883" i="1"/>
  <c r="E883" i="1" s="1"/>
  <c r="L883" i="1" s="1"/>
  <c r="D884" i="1"/>
  <c r="E884" i="1" s="1"/>
  <c r="L884" i="1" s="1"/>
  <c r="H884" i="1"/>
  <c r="I884" i="1" s="1"/>
  <c r="J884" i="1" s="1"/>
  <c r="K884" i="1" a="1"/>
  <c r="K884" i="1" s="1"/>
  <c r="H885" i="1"/>
  <c r="I885" i="1" s="1"/>
  <c r="J885" i="1" s="1"/>
  <c r="K885" i="1" a="1"/>
  <c r="K885" i="1" s="1"/>
  <c r="D885" i="1"/>
  <c r="E885" i="1" s="1"/>
  <c r="L885" i="1" s="1"/>
  <c r="D886" i="1"/>
  <c r="E886" i="1" s="1"/>
  <c r="L886" i="1" s="1"/>
  <c r="H886" i="1"/>
  <c r="I886" i="1" s="1"/>
  <c r="J886" i="1" s="1"/>
  <c r="K886" i="1" a="1"/>
  <c r="K886" i="1" s="1"/>
  <c r="D887" i="1"/>
  <c r="E887" i="1" s="1"/>
  <c r="L887" i="1" s="1"/>
  <c r="H887" i="1"/>
  <c r="I887" i="1" s="1"/>
  <c r="J887" i="1" s="1"/>
  <c r="K887" i="1" a="1"/>
  <c r="K887" i="1" s="1"/>
  <c r="D888" i="1"/>
  <c r="E888" i="1" s="1"/>
  <c r="L888" i="1" s="1"/>
  <c r="H888" i="1"/>
  <c r="I888" i="1" s="1"/>
  <c r="J888" i="1" s="1"/>
  <c r="K888" i="1" a="1"/>
  <c r="K888" i="1" s="1"/>
  <c r="D889" i="1"/>
  <c r="E889" i="1" s="1"/>
  <c r="L889" i="1" s="1"/>
  <c r="H889" i="1"/>
  <c r="I889" i="1" s="1"/>
  <c r="J889" i="1" s="1"/>
  <c r="K889" i="1" a="1"/>
  <c r="K889" i="1" s="1"/>
  <c r="H890" i="1"/>
  <c r="I890" i="1" s="1"/>
  <c r="J890" i="1" s="1"/>
  <c r="K890" i="1" a="1"/>
  <c r="K890" i="1" s="1"/>
  <c r="D890" i="1"/>
  <c r="E890" i="1" s="1"/>
  <c r="L890" i="1" s="1"/>
  <c r="D891" i="1"/>
  <c r="E891" i="1" s="1"/>
  <c r="L891" i="1" s="1"/>
  <c r="H891" i="1"/>
  <c r="I891" i="1" s="1"/>
  <c r="J891" i="1" s="1"/>
  <c r="K891" i="1" a="1"/>
  <c r="K891" i="1" s="1"/>
  <c r="H892" i="1"/>
  <c r="I892" i="1" s="1"/>
  <c r="J892" i="1" s="1"/>
  <c r="K892" i="1" a="1"/>
  <c r="K892" i="1" s="1"/>
  <c r="D892" i="1"/>
  <c r="E892" i="1" s="1"/>
  <c r="L892" i="1" s="1"/>
  <c r="H893" i="1"/>
  <c r="I893" i="1" s="1"/>
  <c r="J893" i="1" s="1"/>
  <c r="K893" i="1" a="1"/>
  <c r="K893" i="1" s="1"/>
  <c r="D893" i="1"/>
  <c r="E893" i="1" s="1"/>
  <c r="L893" i="1" s="1"/>
  <c r="H894" i="1"/>
  <c r="I894" i="1" s="1"/>
  <c r="J894" i="1" s="1"/>
  <c r="K894" i="1" a="1"/>
  <c r="K894" i="1" s="1"/>
  <c r="D894" i="1"/>
  <c r="E894" i="1" s="1"/>
  <c r="L894" i="1" s="1"/>
  <c r="D895" i="1"/>
  <c r="E895" i="1" s="1"/>
  <c r="L895" i="1" s="1"/>
  <c r="H895" i="1"/>
  <c r="I895" i="1" s="1"/>
  <c r="J895" i="1" s="1"/>
  <c r="K895" i="1" a="1"/>
  <c r="K895" i="1" s="1"/>
  <c r="H896" i="1"/>
  <c r="I896" i="1" s="1"/>
  <c r="J896" i="1" s="1"/>
  <c r="K896" i="1" a="1"/>
  <c r="K896" i="1" s="1"/>
  <c r="D896" i="1"/>
  <c r="E896" i="1" s="1"/>
  <c r="L896" i="1" s="1"/>
  <c r="D897" i="1"/>
  <c r="E897" i="1" s="1"/>
  <c r="L897" i="1" s="1"/>
  <c r="H897" i="1"/>
  <c r="I897" i="1" s="1"/>
  <c r="J897" i="1" s="1"/>
  <c r="K897" i="1" a="1"/>
  <c r="K897" i="1" s="1"/>
  <c r="H898" i="1"/>
  <c r="I898" i="1" s="1"/>
  <c r="J898" i="1" s="1"/>
  <c r="K898" i="1" a="1"/>
  <c r="K898" i="1" s="1"/>
  <c r="D898" i="1"/>
  <c r="E898" i="1" s="1"/>
  <c r="L898" i="1" s="1"/>
  <c r="H899" i="1"/>
  <c r="I899" i="1" s="1"/>
  <c r="J899" i="1" s="1"/>
  <c r="K899" i="1" a="1"/>
  <c r="K899" i="1" s="1"/>
  <c r="D899" i="1"/>
  <c r="E899" i="1" s="1"/>
  <c r="L899" i="1" s="1"/>
  <c r="H900" i="1"/>
  <c r="I900" i="1" s="1"/>
  <c r="J900" i="1" s="1"/>
  <c r="K900" i="1" a="1"/>
  <c r="K900" i="1" s="1"/>
  <c r="D900" i="1"/>
  <c r="E900" i="1" s="1"/>
  <c r="L900" i="1" s="1"/>
  <c r="H901" i="1"/>
  <c r="I901" i="1" s="1"/>
  <c r="J901" i="1" s="1"/>
  <c r="K901" i="1" a="1"/>
  <c r="K901" i="1" s="1"/>
  <c r="D901" i="1"/>
  <c r="E901" i="1" s="1"/>
  <c r="L901" i="1" s="1"/>
  <c r="H902" i="1"/>
  <c r="I902" i="1" s="1"/>
  <c r="J902" i="1" s="1"/>
  <c r="K902" i="1" a="1"/>
  <c r="K902" i="1" s="1"/>
  <c r="D902" i="1"/>
  <c r="E902" i="1" s="1"/>
  <c r="L902" i="1" s="1"/>
  <c r="H903" i="1"/>
  <c r="I903" i="1" s="1"/>
  <c r="J903" i="1" s="1"/>
  <c r="K903" i="1" a="1"/>
  <c r="K903" i="1" s="1"/>
  <c r="D903" i="1"/>
  <c r="E903" i="1" s="1"/>
  <c r="L903" i="1" s="1"/>
  <c r="D904" i="1"/>
  <c r="E904" i="1" s="1"/>
  <c r="L904" i="1" s="1"/>
  <c r="H904" i="1"/>
  <c r="I904" i="1" s="1"/>
  <c r="J904" i="1" s="1"/>
  <c r="K904" i="1" a="1"/>
  <c r="K904" i="1" s="1"/>
  <c r="H905" i="1"/>
  <c r="I905" i="1" s="1"/>
  <c r="J905" i="1" s="1"/>
  <c r="K905" i="1" a="1"/>
  <c r="K905" i="1" s="1"/>
  <c r="D905" i="1"/>
  <c r="E905" i="1" s="1"/>
  <c r="L905" i="1" s="1"/>
  <c r="H906" i="1"/>
  <c r="I906" i="1" s="1"/>
  <c r="J906" i="1" s="1"/>
  <c r="K906" i="1" a="1"/>
  <c r="K906" i="1" s="1"/>
  <c r="D906" i="1"/>
  <c r="E906" i="1" s="1"/>
  <c r="L906" i="1" s="1"/>
  <c r="H907" i="1"/>
  <c r="I907" i="1" s="1"/>
  <c r="J907" i="1" s="1"/>
  <c r="K907" i="1" a="1"/>
  <c r="K907" i="1" s="1"/>
  <c r="D907" i="1"/>
  <c r="E907" i="1" s="1"/>
  <c r="L907" i="1" s="1"/>
  <c r="D908" i="1"/>
  <c r="E908" i="1" s="1"/>
  <c r="L908" i="1" s="1"/>
  <c r="H908" i="1"/>
  <c r="I908" i="1" s="1"/>
  <c r="J908" i="1" s="1"/>
  <c r="K908" i="1" a="1"/>
  <c r="K908" i="1" s="1"/>
  <c r="D909" i="1"/>
  <c r="E909" i="1" s="1"/>
  <c r="L909" i="1" s="1"/>
  <c r="H909" i="1"/>
  <c r="I909" i="1" s="1"/>
  <c r="J909" i="1" s="1"/>
  <c r="K909" i="1" a="1"/>
  <c r="K909" i="1" s="1"/>
  <c r="H910" i="1"/>
  <c r="I910" i="1" s="1"/>
  <c r="J910" i="1" s="1"/>
  <c r="K910" i="1" a="1"/>
  <c r="K910" i="1" s="1"/>
  <c r="D910" i="1"/>
  <c r="E910" i="1" s="1"/>
  <c r="L910" i="1" s="1"/>
  <c r="D911" i="1"/>
  <c r="E911" i="1" s="1"/>
  <c r="L911" i="1" s="1"/>
  <c r="H911" i="1"/>
  <c r="I911" i="1" s="1"/>
  <c r="J911" i="1" s="1"/>
  <c r="K911" i="1" a="1"/>
  <c r="K911" i="1" s="1"/>
  <c r="H912" i="1"/>
  <c r="I912" i="1" s="1"/>
  <c r="J912" i="1" s="1"/>
  <c r="K912" i="1" a="1"/>
  <c r="K912" i="1" s="1"/>
  <c r="D912" i="1"/>
  <c r="E912" i="1" s="1"/>
  <c r="L912" i="1" s="1"/>
  <c r="H913" i="1"/>
  <c r="I913" i="1" s="1"/>
  <c r="J913" i="1" s="1"/>
  <c r="K913" i="1" a="1"/>
  <c r="K913" i="1" s="1"/>
  <c r="D913" i="1"/>
  <c r="E913" i="1" s="1"/>
  <c r="L913" i="1" s="1"/>
  <c r="D914" i="1"/>
  <c r="E914" i="1" s="1"/>
  <c r="L914" i="1" s="1"/>
  <c r="H914" i="1"/>
  <c r="I914" i="1" s="1"/>
  <c r="J914" i="1" s="1"/>
  <c r="K914" i="1" a="1"/>
  <c r="K914" i="1" s="1"/>
  <c r="D915" i="1"/>
  <c r="E915" i="1" s="1"/>
  <c r="L915" i="1" s="1"/>
  <c r="H915" i="1"/>
  <c r="I915" i="1" s="1"/>
  <c r="J915" i="1" s="1"/>
  <c r="K915" i="1" a="1"/>
  <c r="K915" i="1" s="1"/>
  <c r="H916" i="1"/>
  <c r="I916" i="1" s="1"/>
  <c r="J916" i="1" s="1"/>
  <c r="K916" i="1" a="1"/>
  <c r="K916" i="1" s="1"/>
  <c r="D916" i="1"/>
  <c r="E916" i="1" s="1"/>
  <c r="L916" i="1" s="1"/>
  <c r="H917" i="1"/>
  <c r="I917" i="1" s="1"/>
  <c r="J917" i="1" s="1"/>
  <c r="K917" i="1" a="1"/>
  <c r="K917" i="1" s="1"/>
  <c r="D917" i="1"/>
  <c r="E917" i="1" s="1"/>
  <c r="L917" i="1" s="1"/>
  <c r="H918" i="1"/>
  <c r="I918" i="1" s="1"/>
  <c r="J918" i="1" s="1"/>
  <c r="K918" i="1" a="1"/>
  <c r="K918" i="1" s="1"/>
  <c r="D918" i="1"/>
  <c r="E918" i="1" s="1"/>
  <c r="L918" i="1" s="1"/>
  <c r="H919" i="1"/>
  <c r="I919" i="1" s="1"/>
  <c r="J919" i="1" s="1"/>
  <c r="K919" i="1" a="1"/>
  <c r="K919" i="1" s="1"/>
  <c r="D919" i="1"/>
  <c r="E919" i="1" s="1"/>
  <c r="L919" i="1" s="1"/>
  <c r="H920" i="1"/>
  <c r="I920" i="1" s="1"/>
  <c r="J920" i="1" s="1"/>
  <c r="K920" i="1" a="1"/>
  <c r="K920" i="1" s="1"/>
  <c r="D920" i="1"/>
  <c r="E920" i="1" s="1"/>
  <c r="L920" i="1" s="1"/>
  <c r="D921" i="1"/>
  <c r="E921" i="1" s="1"/>
  <c r="L921" i="1" s="1"/>
  <c r="H921" i="1"/>
  <c r="I921" i="1" s="1"/>
  <c r="J921" i="1" s="1"/>
  <c r="K921" i="1" a="1"/>
  <c r="K921" i="1" s="1"/>
  <c r="H922" i="1"/>
  <c r="I922" i="1" s="1"/>
  <c r="J922" i="1" s="1"/>
  <c r="K922" i="1" a="1"/>
  <c r="K922" i="1" s="1"/>
  <c r="D922" i="1"/>
  <c r="E922" i="1" s="1"/>
  <c r="L922" i="1" s="1"/>
  <c r="H923" i="1"/>
  <c r="I923" i="1" s="1"/>
  <c r="J923" i="1" s="1"/>
  <c r="K923" i="1" a="1"/>
  <c r="K923" i="1" s="1"/>
  <c r="D923" i="1"/>
  <c r="E923" i="1" s="1"/>
  <c r="L923" i="1" s="1"/>
  <c r="H924" i="1"/>
  <c r="I924" i="1" s="1"/>
  <c r="J924" i="1" s="1"/>
  <c r="K924" i="1" a="1"/>
  <c r="K924" i="1" s="1"/>
  <c r="D924" i="1"/>
  <c r="E924" i="1" s="1"/>
  <c r="L924" i="1" s="1"/>
  <c r="H925" i="1"/>
  <c r="I925" i="1" s="1"/>
  <c r="J925" i="1" s="1"/>
  <c r="K925" i="1" a="1"/>
  <c r="K925" i="1" s="1"/>
  <c r="D925" i="1"/>
  <c r="E925" i="1" s="1"/>
  <c r="L925" i="1" s="1"/>
  <c r="H926" i="1"/>
  <c r="I926" i="1" s="1"/>
  <c r="J926" i="1" s="1"/>
  <c r="K926" i="1" a="1"/>
  <c r="K926" i="1" s="1"/>
  <c r="D926" i="1"/>
  <c r="E926" i="1" s="1"/>
  <c r="L926" i="1" s="1"/>
  <c r="D927" i="1"/>
  <c r="E927" i="1" s="1"/>
  <c r="L927" i="1" s="1"/>
  <c r="H927" i="1"/>
  <c r="I927" i="1" s="1"/>
  <c r="J927" i="1" s="1"/>
  <c r="K927" i="1" a="1"/>
  <c r="K927" i="1" s="1"/>
  <c r="D928" i="1"/>
  <c r="E928" i="1" s="1"/>
  <c r="L928" i="1" s="1"/>
  <c r="H928" i="1"/>
  <c r="I928" i="1" s="1"/>
  <c r="J928" i="1" s="1"/>
  <c r="K928" i="1" a="1"/>
  <c r="K928" i="1" s="1"/>
  <c r="H929" i="1"/>
  <c r="I929" i="1" s="1"/>
  <c r="J929" i="1" s="1"/>
  <c r="K929" i="1" a="1"/>
  <c r="K929" i="1" s="1"/>
  <c r="D929" i="1"/>
  <c r="E929" i="1" s="1"/>
  <c r="L929" i="1" s="1"/>
  <c r="D930" i="1"/>
  <c r="E930" i="1" s="1"/>
  <c r="L930" i="1" s="1"/>
  <c r="H930" i="1"/>
  <c r="I930" i="1" s="1"/>
  <c r="J930" i="1" s="1"/>
  <c r="K930" i="1" a="1"/>
  <c r="K930" i="1" s="1"/>
  <c r="D931" i="1"/>
  <c r="E931" i="1" s="1"/>
  <c r="L931" i="1" s="1"/>
  <c r="H931" i="1"/>
  <c r="I931" i="1" s="1"/>
  <c r="J931" i="1" s="1"/>
  <c r="K931" i="1" a="1"/>
  <c r="K931" i="1" s="1"/>
  <c r="D932" i="1"/>
  <c r="E932" i="1" s="1"/>
  <c r="L932" i="1" s="1"/>
  <c r="H932" i="1"/>
  <c r="I932" i="1" s="1"/>
  <c r="J932" i="1" s="1"/>
  <c r="K932" i="1" a="1"/>
  <c r="K932" i="1" s="1"/>
  <c r="D933" i="1"/>
  <c r="E933" i="1" s="1"/>
  <c r="L933" i="1" s="1"/>
  <c r="H933" i="1"/>
  <c r="I933" i="1" s="1"/>
  <c r="J933" i="1" s="1"/>
  <c r="K933" i="1" a="1"/>
  <c r="K933" i="1" s="1"/>
  <c r="H934" i="1"/>
  <c r="I934" i="1" s="1"/>
  <c r="J934" i="1" s="1"/>
  <c r="K934" i="1" a="1"/>
  <c r="K934" i="1" s="1"/>
  <c r="D934" i="1"/>
  <c r="E934" i="1" s="1"/>
  <c r="L934" i="1" s="1"/>
  <c r="H935" i="1"/>
  <c r="I935" i="1" s="1"/>
  <c r="J935" i="1" s="1"/>
  <c r="K935" i="1" a="1"/>
  <c r="K935" i="1" s="1"/>
  <c r="D935" i="1"/>
  <c r="E935" i="1" s="1"/>
  <c r="L935" i="1" s="1"/>
  <c r="H936" i="1"/>
  <c r="I936" i="1" s="1"/>
  <c r="J936" i="1" s="1"/>
  <c r="K936" i="1" a="1"/>
  <c r="K936" i="1" s="1"/>
  <c r="D936" i="1"/>
  <c r="E936" i="1" s="1"/>
  <c r="L936" i="1" s="1"/>
  <c r="H937" i="1"/>
  <c r="I937" i="1" s="1"/>
  <c r="J937" i="1" s="1"/>
  <c r="K937" i="1" a="1"/>
  <c r="K937" i="1" s="1"/>
  <c r="D937" i="1"/>
  <c r="E937" i="1" s="1"/>
  <c r="L937" i="1" s="1"/>
  <c r="D938" i="1"/>
  <c r="E938" i="1" s="1"/>
  <c r="L938" i="1" s="1"/>
  <c r="H938" i="1"/>
  <c r="I938" i="1" s="1"/>
  <c r="J938" i="1" s="1"/>
  <c r="K938" i="1" a="1"/>
  <c r="K938" i="1" s="1"/>
  <c r="H939" i="1"/>
  <c r="I939" i="1" s="1"/>
  <c r="J939" i="1" s="1"/>
  <c r="K939" i="1" a="1"/>
  <c r="K939" i="1" s="1"/>
  <c r="D939" i="1"/>
  <c r="E939" i="1" s="1"/>
  <c r="L939" i="1" s="1"/>
  <c r="D940" i="1"/>
  <c r="E940" i="1" s="1"/>
  <c r="L940" i="1" s="1"/>
  <c r="H940" i="1"/>
  <c r="I940" i="1" s="1"/>
  <c r="J940" i="1" s="1"/>
  <c r="K940" i="1" a="1"/>
  <c r="K940" i="1" s="1"/>
  <c r="D941" i="1"/>
  <c r="E941" i="1" s="1"/>
  <c r="L941" i="1" s="1"/>
  <c r="H941" i="1"/>
  <c r="I941" i="1" s="1"/>
  <c r="J941" i="1" s="1"/>
  <c r="K941" i="1" a="1"/>
  <c r="K941" i="1" s="1"/>
  <c r="H942" i="1"/>
  <c r="I942" i="1" s="1"/>
  <c r="J942" i="1" s="1"/>
  <c r="K942" i="1" a="1"/>
  <c r="K942" i="1" s="1"/>
  <c r="D942" i="1"/>
  <c r="E942" i="1" s="1"/>
  <c r="L942" i="1" s="1"/>
  <c r="H943" i="1"/>
  <c r="I943" i="1" s="1"/>
  <c r="J943" i="1" s="1"/>
  <c r="K943" i="1" a="1"/>
  <c r="K943" i="1" s="1"/>
  <c r="D943" i="1"/>
  <c r="E943" i="1" s="1"/>
  <c r="L943" i="1" s="1"/>
  <c r="H944" i="1"/>
  <c r="I944" i="1" s="1"/>
  <c r="J944" i="1" s="1"/>
  <c r="K944" i="1" a="1"/>
  <c r="K944" i="1" s="1"/>
  <c r="D944" i="1"/>
  <c r="E944" i="1" s="1"/>
  <c r="L944" i="1" s="1"/>
  <c r="H945" i="1"/>
  <c r="I945" i="1" s="1"/>
  <c r="J945" i="1" s="1"/>
  <c r="K945" i="1" a="1"/>
  <c r="K945" i="1" s="1"/>
  <c r="D945" i="1"/>
  <c r="E945" i="1" s="1"/>
  <c r="L945" i="1" s="1"/>
  <c r="H946" i="1"/>
  <c r="I946" i="1" s="1"/>
  <c r="J946" i="1" s="1"/>
  <c r="K946" i="1" a="1"/>
  <c r="K946" i="1" s="1"/>
  <c r="D946" i="1"/>
  <c r="E946" i="1" s="1"/>
  <c r="L946" i="1" s="1"/>
  <c r="H947" i="1"/>
  <c r="I947" i="1" s="1"/>
  <c r="J947" i="1" s="1"/>
  <c r="K947" i="1" a="1"/>
  <c r="K947" i="1" s="1"/>
  <c r="D947" i="1"/>
  <c r="E947" i="1" s="1"/>
  <c r="L947" i="1" s="1"/>
  <c r="H948" i="1"/>
  <c r="I948" i="1" s="1"/>
  <c r="J948" i="1" s="1"/>
  <c r="K948" i="1" a="1"/>
  <c r="K948" i="1" s="1"/>
  <c r="D948" i="1"/>
  <c r="E948" i="1" s="1"/>
  <c r="L948" i="1" s="1"/>
  <c r="H949" i="1"/>
  <c r="I949" i="1" s="1"/>
  <c r="J949" i="1" s="1"/>
  <c r="K949" i="1" a="1"/>
  <c r="K949" i="1" s="1"/>
  <c r="D949" i="1"/>
  <c r="E949" i="1" s="1"/>
  <c r="L949" i="1" s="1"/>
  <c r="H950" i="1"/>
  <c r="I950" i="1" s="1"/>
  <c r="J950" i="1" s="1"/>
  <c r="K950" i="1" a="1"/>
  <c r="K950" i="1" s="1"/>
  <c r="D950" i="1"/>
  <c r="E950" i="1" s="1"/>
  <c r="L950" i="1" s="1"/>
  <c r="H951" i="1"/>
  <c r="I951" i="1" s="1"/>
  <c r="J951" i="1" s="1"/>
  <c r="K951" i="1" a="1"/>
  <c r="K951" i="1" s="1"/>
  <c r="D951" i="1"/>
  <c r="E951" i="1" s="1"/>
  <c r="L951" i="1" s="1"/>
  <c r="H952" i="1"/>
  <c r="I952" i="1" s="1"/>
  <c r="J952" i="1" s="1"/>
  <c r="K952" i="1" a="1"/>
  <c r="K952" i="1" s="1"/>
  <c r="D952" i="1"/>
  <c r="E952" i="1" s="1"/>
  <c r="L952" i="1" s="1"/>
  <c r="H953" i="1"/>
  <c r="I953" i="1" s="1"/>
  <c r="J953" i="1" s="1"/>
  <c r="K953" i="1" a="1"/>
  <c r="K953" i="1" s="1"/>
  <c r="D953" i="1"/>
  <c r="E953" i="1" s="1"/>
  <c r="L953" i="1" s="1"/>
  <c r="H954" i="1"/>
  <c r="I954" i="1" s="1"/>
  <c r="J954" i="1" s="1"/>
  <c r="K954" i="1" a="1"/>
  <c r="K954" i="1" s="1"/>
  <c r="D954" i="1"/>
  <c r="E954" i="1" s="1"/>
  <c r="L954" i="1" s="1"/>
  <c r="D955" i="1"/>
  <c r="E955" i="1" s="1"/>
  <c r="L955" i="1" s="1"/>
  <c r="H955" i="1"/>
  <c r="I955" i="1" s="1"/>
  <c r="J955" i="1" s="1"/>
  <c r="K955" i="1" a="1"/>
  <c r="K955" i="1" s="1"/>
  <c r="D956" i="1"/>
  <c r="E956" i="1" s="1"/>
  <c r="L956" i="1" s="1"/>
  <c r="H956" i="1"/>
  <c r="I956" i="1" s="1"/>
  <c r="J956" i="1" s="1"/>
  <c r="K956" i="1" a="1"/>
  <c r="K956" i="1" s="1"/>
  <c r="D957" i="1"/>
  <c r="E957" i="1" s="1"/>
  <c r="L957" i="1" s="1"/>
  <c r="H957" i="1"/>
  <c r="I957" i="1" s="1"/>
  <c r="J957" i="1" s="1"/>
  <c r="K957" i="1" a="1"/>
  <c r="K957" i="1" s="1"/>
  <c r="D958" i="1"/>
  <c r="E958" i="1" s="1"/>
  <c r="L958" i="1" s="1"/>
  <c r="H958" i="1"/>
  <c r="I958" i="1" s="1"/>
  <c r="J958" i="1" s="1"/>
  <c r="K958" i="1" a="1"/>
  <c r="K958" i="1" s="1"/>
  <c r="D959" i="1"/>
  <c r="E959" i="1" s="1"/>
  <c r="L959" i="1" s="1"/>
  <c r="H959" i="1"/>
  <c r="I959" i="1" s="1"/>
  <c r="J959" i="1" s="1"/>
  <c r="K959" i="1" a="1"/>
  <c r="K959" i="1" s="1"/>
  <c r="H960" i="1"/>
  <c r="I960" i="1" s="1"/>
  <c r="J960" i="1" s="1"/>
  <c r="K960" i="1" a="1"/>
  <c r="K960" i="1" s="1"/>
  <c r="D960" i="1"/>
  <c r="E960" i="1" s="1"/>
  <c r="L960" i="1" s="1"/>
  <c r="D961" i="1"/>
  <c r="E961" i="1" s="1"/>
  <c r="L961" i="1" s="1"/>
  <c r="H961" i="1"/>
  <c r="I961" i="1" s="1"/>
  <c r="J961" i="1" s="1"/>
  <c r="K961" i="1" a="1"/>
  <c r="K961" i="1" s="1"/>
  <c r="H962" i="1"/>
  <c r="I962" i="1" s="1"/>
  <c r="J962" i="1" s="1"/>
  <c r="K962" i="1" a="1"/>
  <c r="K962" i="1" s="1"/>
  <c r="D962" i="1"/>
  <c r="E962" i="1" s="1"/>
  <c r="L962" i="1" s="1"/>
  <c r="D963" i="1"/>
  <c r="E963" i="1" s="1"/>
  <c r="L963" i="1" s="1"/>
  <c r="H963" i="1"/>
  <c r="I963" i="1" s="1"/>
  <c r="J963" i="1" s="1"/>
  <c r="K963" i="1" a="1"/>
  <c r="K963" i="1" s="1"/>
  <c r="D964" i="1"/>
  <c r="E964" i="1" s="1"/>
  <c r="L964" i="1" s="1"/>
  <c r="H964" i="1"/>
  <c r="I964" i="1" s="1"/>
  <c r="J964" i="1" s="1"/>
  <c r="K964" i="1" a="1"/>
  <c r="K964" i="1" s="1"/>
  <c r="D965" i="1"/>
  <c r="E965" i="1" s="1"/>
  <c r="L965" i="1" s="1"/>
  <c r="H965" i="1"/>
  <c r="I965" i="1" s="1"/>
  <c r="J965" i="1" s="1"/>
  <c r="K965" i="1" a="1"/>
  <c r="K965" i="1" s="1"/>
  <c r="D966" i="1"/>
  <c r="E966" i="1" s="1"/>
  <c r="L966" i="1" s="1"/>
  <c r="H966" i="1"/>
  <c r="I966" i="1" s="1"/>
  <c r="J966" i="1" s="1"/>
  <c r="K966" i="1" a="1"/>
  <c r="K966" i="1" s="1"/>
  <c r="D967" i="1"/>
  <c r="E967" i="1" s="1"/>
  <c r="L967" i="1" s="1"/>
  <c r="H967" i="1"/>
  <c r="I967" i="1" s="1"/>
  <c r="J967" i="1" s="1"/>
  <c r="K967" i="1" a="1"/>
  <c r="K967" i="1" s="1"/>
  <c r="D968" i="1"/>
  <c r="E968" i="1" s="1"/>
  <c r="L968" i="1" s="1"/>
  <c r="H968" i="1"/>
  <c r="I968" i="1" s="1"/>
  <c r="J968" i="1" s="1"/>
  <c r="K968" i="1" a="1"/>
  <c r="K968" i="1" s="1"/>
  <c r="D969" i="1"/>
  <c r="E969" i="1" s="1"/>
  <c r="L969" i="1" s="1"/>
  <c r="H969" i="1"/>
  <c r="I969" i="1" s="1"/>
  <c r="J969" i="1" s="1"/>
  <c r="K969" i="1" a="1"/>
  <c r="K969" i="1" s="1"/>
  <c r="H970" i="1"/>
  <c r="I970" i="1" s="1"/>
  <c r="J970" i="1" s="1"/>
  <c r="K970" i="1" a="1"/>
  <c r="K970" i="1" s="1"/>
  <c r="D970" i="1"/>
  <c r="E970" i="1" s="1"/>
  <c r="L970" i="1" s="1"/>
  <c r="H971" i="1"/>
  <c r="I971" i="1" s="1"/>
  <c r="J971" i="1" s="1"/>
  <c r="K971" i="1" a="1"/>
  <c r="K971" i="1" s="1"/>
  <c r="D971" i="1"/>
  <c r="E971" i="1" s="1"/>
  <c r="L971" i="1" s="1"/>
  <c r="H972" i="1"/>
  <c r="I972" i="1" s="1"/>
  <c r="J972" i="1" s="1"/>
  <c r="K972" i="1" a="1"/>
  <c r="K972" i="1" s="1"/>
  <c r="D972" i="1"/>
  <c r="E972" i="1" s="1"/>
  <c r="L972" i="1" s="1"/>
  <c r="H973" i="1"/>
  <c r="I973" i="1" s="1"/>
  <c r="J973" i="1" s="1"/>
  <c r="K973" i="1" a="1"/>
  <c r="K973" i="1" s="1"/>
  <c r="D973" i="1"/>
  <c r="E973" i="1" s="1"/>
  <c r="L973" i="1" s="1"/>
  <c r="H974" i="1"/>
  <c r="I974" i="1" s="1"/>
  <c r="J974" i="1" s="1"/>
  <c r="K974" i="1" a="1"/>
  <c r="K974" i="1" s="1"/>
  <c r="D974" i="1"/>
  <c r="E974" i="1" s="1"/>
  <c r="L974" i="1" s="1"/>
  <c r="H975" i="1"/>
  <c r="I975" i="1" s="1"/>
  <c r="J975" i="1" s="1"/>
  <c r="K975" i="1" a="1"/>
  <c r="K975" i="1" s="1"/>
  <c r="D975" i="1"/>
  <c r="E975" i="1" s="1"/>
  <c r="L975" i="1" s="1"/>
  <c r="H976" i="1"/>
  <c r="I976" i="1" s="1"/>
  <c r="J976" i="1" s="1"/>
  <c r="K976" i="1" a="1"/>
  <c r="K976" i="1" s="1"/>
  <c r="D976" i="1"/>
  <c r="E976" i="1" s="1"/>
  <c r="L976" i="1" s="1"/>
  <c r="H977" i="1"/>
  <c r="I977" i="1" s="1"/>
  <c r="J977" i="1" s="1"/>
  <c r="K977" i="1" a="1"/>
  <c r="K977" i="1" s="1"/>
  <c r="D977" i="1"/>
  <c r="E977" i="1" s="1"/>
  <c r="L977" i="1" s="1"/>
  <c r="H978" i="1"/>
  <c r="I978" i="1" s="1"/>
  <c r="J978" i="1" s="1"/>
  <c r="K978" i="1" a="1"/>
  <c r="K978" i="1" s="1"/>
  <c r="D978" i="1"/>
  <c r="E978" i="1" s="1"/>
  <c r="L978" i="1" s="1"/>
  <c r="H979" i="1"/>
  <c r="I979" i="1" s="1"/>
  <c r="J979" i="1" s="1"/>
  <c r="K979" i="1" a="1"/>
  <c r="K979" i="1" s="1"/>
  <c r="D979" i="1"/>
  <c r="E979" i="1" s="1"/>
  <c r="L979" i="1" s="1"/>
  <c r="H980" i="1"/>
  <c r="I980" i="1" s="1"/>
  <c r="J980" i="1" s="1"/>
  <c r="K980" i="1" a="1"/>
  <c r="K980" i="1" s="1"/>
  <c r="D980" i="1"/>
  <c r="E980" i="1" s="1"/>
  <c r="L980" i="1" s="1"/>
  <c r="H981" i="1"/>
  <c r="I981" i="1" s="1"/>
  <c r="J981" i="1" s="1"/>
  <c r="K981" i="1" a="1"/>
  <c r="K981" i="1" s="1"/>
  <c r="D981" i="1"/>
  <c r="E981" i="1" s="1"/>
  <c r="L981" i="1" s="1"/>
  <c r="H982" i="1"/>
  <c r="I982" i="1" s="1"/>
  <c r="J982" i="1" s="1"/>
  <c r="K982" i="1" a="1"/>
  <c r="K982" i="1" s="1"/>
  <c r="D982" i="1"/>
  <c r="E982" i="1" s="1"/>
  <c r="L982" i="1" s="1"/>
  <c r="H983" i="1"/>
  <c r="I983" i="1" s="1"/>
  <c r="J983" i="1" s="1"/>
  <c r="K983" i="1" a="1"/>
  <c r="K983" i="1" s="1"/>
  <c r="D983" i="1"/>
  <c r="E983" i="1" s="1"/>
  <c r="L983" i="1" s="1"/>
  <c r="H984" i="1"/>
  <c r="I984" i="1" s="1"/>
  <c r="J984" i="1" s="1"/>
  <c r="K984" i="1" a="1"/>
  <c r="K984" i="1" s="1"/>
  <c r="D984" i="1"/>
  <c r="E984" i="1" s="1"/>
  <c r="L984" i="1" s="1"/>
  <c r="H985" i="1"/>
  <c r="I985" i="1" s="1"/>
  <c r="J985" i="1" s="1"/>
  <c r="K985" i="1" a="1"/>
  <c r="K985" i="1" s="1"/>
  <c r="D985" i="1"/>
  <c r="E985" i="1" s="1"/>
  <c r="L985" i="1" s="1"/>
  <c r="H986" i="1"/>
  <c r="I986" i="1" s="1"/>
  <c r="J986" i="1" s="1"/>
  <c r="K986" i="1" a="1"/>
  <c r="K986" i="1" s="1"/>
  <c r="D986" i="1"/>
  <c r="E986" i="1" s="1"/>
  <c r="L986" i="1" s="1"/>
  <c r="H987" i="1"/>
  <c r="I987" i="1" s="1"/>
  <c r="J987" i="1" s="1"/>
  <c r="K987" i="1" a="1"/>
  <c r="K987" i="1" s="1"/>
  <c r="D987" i="1"/>
  <c r="E987" i="1" s="1"/>
  <c r="L987" i="1" s="1"/>
  <c r="H988" i="1"/>
  <c r="I988" i="1" s="1"/>
  <c r="J988" i="1" s="1"/>
  <c r="K988" i="1" a="1"/>
  <c r="K988" i="1" s="1"/>
  <c r="D988" i="1"/>
  <c r="E988" i="1" s="1"/>
  <c r="L988" i="1" s="1"/>
  <c r="D989" i="1"/>
  <c r="E989" i="1" s="1"/>
  <c r="L989" i="1" s="1"/>
  <c r="H989" i="1"/>
  <c r="I989" i="1" s="1"/>
  <c r="J989" i="1" s="1"/>
  <c r="K989" i="1" a="1"/>
  <c r="K989" i="1" s="1"/>
  <c r="D990" i="1"/>
  <c r="E990" i="1" s="1"/>
  <c r="L990" i="1" s="1"/>
  <c r="H990" i="1"/>
  <c r="I990" i="1" s="1"/>
  <c r="J990" i="1" s="1"/>
  <c r="K990" i="1" a="1"/>
  <c r="K990" i="1" s="1"/>
  <c r="H991" i="1"/>
  <c r="I991" i="1" s="1"/>
  <c r="J991" i="1" s="1"/>
  <c r="K991" i="1" a="1"/>
  <c r="K991" i="1" s="1"/>
  <c r="D991" i="1"/>
  <c r="E991" i="1" s="1"/>
  <c r="L991" i="1" s="1"/>
  <c r="H992" i="1"/>
  <c r="I992" i="1" s="1"/>
  <c r="J992" i="1" s="1"/>
  <c r="K992" i="1" a="1"/>
  <c r="K992" i="1" s="1"/>
  <c r="D992" i="1"/>
  <c r="E992" i="1" s="1"/>
  <c r="L992" i="1" s="1"/>
  <c r="H993" i="1"/>
  <c r="I993" i="1" s="1"/>
  <c r="J993" i="1" s="1"/>
  <c r="K993" i="1" a="1"/>
  <c r="K993" i="1" s="1"/>
  <c r="D993" i="1"/>
  <c r="E993" i="1" s="1"/>
  <c r="L993" i="1" s="1"/>
  <c r="H994" i="1"/>
  <c r="I994" i="1" s="1"/>
  <c r="J994" i="1" s="1"/>
  <c r="K994" i="1" a="1"/>
  <c r="K994" i="1" s="1"/>
  <c r="D994" i="1"/>
  <c r="E994" i="1" s="1"/>
  <c r="L994" i="1" s="1"/>
  <c r="H995" i="1"/>
  <c r="I995" i="1" s="1"/>
  <c r="J995" i="1" s="1"/>
  <c r="K995" i="1" a="1"/>
  <c r="K995" i="1" s="1"/>
  <c r="D995" i="1"/>
  <c r="E995" i="1" s="1"/>
  <c r="L995" i="1" s="1"/>
  <c r="H996" i="1"/>
  <c r="I996" i="1" s="1"/>
  <c r="J996" i="1" s="1"/>
  <c r="K996" i="1" a="1"/>
  <c r="K996" i="1" s="1"/>
  <c r="D996" i="1"/>
  <c r="E996" i="1" s="1"/>
  <c r="L996" i="1" s="1"/>
  <c r="H997" i="1"/>
  <c r="I997" i="1" s="1"/>
  <c r="J997" i="1" s="1"/>
  <c r="K997" i="1" a="1"/>
  <c r="K997" i="1" s="1"/>
  <c r="D997" i="1"/>
  <c r="E997" i="1" s="1"/>
  <c r="L997" i="1" s="1"/>
  <c r="H998" i="1"/>
  <c r="I998" i="1" s="1"/>
  <c r="J998" i="1" s="1"/>
  <c r="K998" i="1" a="1"/>
  <c r="K998" i="1" s="1"/>
  <c r="D998" i="1"/>
  <c r="E998" i="1" s="1"/>
  <c r="L998" i="1" s="1"/>
  <c r="H999" i="1"/>
  <c r="I999" i="1" s="1"/>
  <c r="J999" i="1" s="1"/>
  <c r="K999" i="1" a="1"/>
  <c r="K999" i="1" s="1"/>
  <c r="D999" i="1"/>
  <c r="E999" i="1" s="1"/>
  <c r="L999" i="1" s="1"/>
  <c r="H1000" i="1"/>
  <c r="I1000" i="1" s="1"/>
  <c r="J1000" i="1" s="1"/>
  <c r="K1000" i="1" a="1"/>
  <c r="K1000" i="1" s="1"/>
  <c r="D1000" i="1"/>
  <c r="E1000" i="1" s="1"/>
  <c r="L1000" i="1" s="1"/>
  <c r="H1001" i="1"/>
  <c r="I1001" i="1" s="1"/>
  <c r="J1001" i="1" s="1"/>
  <c r="K1001" i="1" a="1"/>
  <c r="K1001" i="1" s="1"/>
  <c r="D1001" i="1"/>
  <c r="E1001" i="1" s="1"/>
  <c r="L1001" i="1" s="1"/>
  <c r="H1002" i="1"/>
  <c r="I1002" i="1" s="1"/>
  <c r="J1002" i="1" s="1"/>
  <c r="K1002" i="1" a="1"/>
  <c r="K1002" i="1" s="1"/>
  <c r="D1002" i="1"/>
  <c r="E1002" i="1" s="1"/>
  <c r="L1002" i="1" s="1"/>
  <c r="H1003" i="1"/>
  <c r="I1003" i="1" s="1"/>
  <c r="J1003" i="1" s="1"/>
  <c r="K1003" i="1" a="1"/>
  <c r="K1003" i="1" s="1"/>
  <c r="D1003" i="1"/>
  <c r="E1003" i="1" s="1"/>
  <c r="L1003" i="1" s="1"/>
  <c r="H1004" i="1"/>
  <c r="I1004" i="1" s="1"/>
  <c r="J1004" i="1" s="1"/>
  <c r="K1004" i="1" a="1"/>
  <c r="K1004" i="1" s="1"/>
  <c r="D1004" i="1"/>
  <c r="E1004" i="1" s="1"/>
  <c r="L1004" i="1" s="1"/>
  <c r="H1005" i="1"/>
  <c r="I1005" i="1" s="1"/>
  <c r="J1005" i="1" s="1"/>
  <c r="K1005" i="1" a="1"/>
  <c r="K1005" i="1" s="1"/>
  <c r="D1005" i="1"/>
  <c r="E1005" i="1" s="1"/>
  <c r="L1005" i="1" s="1"/>
  <c r="H16" i="1"/>
  <c r="I16" i="1" s="1"/>
  <c r="J16" i="1" s="1"/>
  <c r="K16" i="1" a="1"/>
  <c r="K16" i="1" s="1"/>
  <c r="D16" i="1"/>
  <c r="E16" i="1" s="1"/>
  <c r="L16" i="1" s="1"/>
  <c r="G10" i="4"/>
  <c r="I11" i="2" s="1"/>
  <c r="S9" i="1" l="1"/>
  <c r="S10" i="1"/>
  <c r="S8" i="1"/>
  <c r="S7" i="1"/>
  <c r="Q30" i="1"/>
  <c r="Q28" i="1"/>
  <c r="Q29" i="1"/>
  <c r="Q27" i="1"/>
  <c r="Q26" i="1"/>
  <c r="I16" i="2" s="1"/>
  <c r="Q25" i="1"/>
  <c r="Q22" i="1"/>
  <c r="Q21" i="1"/>
  <c r="Q20" i="1"/>
  <c r="Q19" i="1"/>
  <c r="Q18" i="1"/>
  <c r="I15" i="2" s="1"/>
  <c r="Q17" i="1"/>
  <c r="C15" i="2" s="1"/>
  <c r="C16" i="2" l="1"/>
  <c r="F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 Arnoldi</author>
  </authors>
  <commentList>
    <comment ref="B6" authorId="0" shapeId="0" xr:uid="{41845F2D-FA8D-4B37-B53A-BBF56F6CCF55}">
      <text>
        <r>
          <rPr>
            <b/>
            <sz val="9"/>
            <color indexed="81"/>
            <rFont val="Tahoma"/>
            <family val="2"/>
          </rPr>
          <t>Conservative PK/PD extrapolation: +29.3m observed at 23% exposure. Applying saturation correction (levosimendan receptor occupancy plateaus ~40–60% above EC50): 29.3 × (1/0.23) × 0.35 saturation discount ≈ 44m; further discounted to 20m for Phase 2→23 population shift and n=44 small-sample noise. At 20m central effect with σ=60, n=115: SE=7.9m, t≈1.9, p≈0.05 — significance is a real gate.</t>
        </r>
      </text>
    </comment>
    <comment ref="B7" authorId="0" shapeId="0" xr:uid="{D8838489-5F01-4B1F-9E77-8850A50E4937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Patient-level SD for Δ6MWD (m). Phase 2 backed-out SD ≈ 55–65m from p=0.033 with n=44. Using 60m. Wider than typical NYHA III HF trials (~45m) due to PAH/advanced HF heterogeneity.</t>
        </r>
      </text>
    </comment>
    <comment ref="N7" authorId="0" shapeId="0" xr:uid="{FE521430-CF7A-4B2E-90E1-7F8466B6546C}">
      <text>
        <r>
          <rPr>
            <b/>
            <sz val="9"/>
            <color indexed="81"/>
            <rFont val="Tahoma"/>
            <family val="2"/>
          </rPr>
          <t>Bayesian prior mean μP = 25m. Slightly more optimistic than conservative frequentist (20m) — reflects that the mechanistic explanation (PK/PD trough timing) is strong, so the prior leans toward the upper end of the plausible range.</t>
        </r>
      </text>
    </comment>
    <comment ref="B8" authorId="0" shapeId="0" xr:uid="{2A9AA626-8F79-4859-8162-49EC9FD98EA9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Assumed placebo mean Δ6MWD (m). Small positive drift (~5m) is standard in blinded HF/PAH trials from Hawthorne effect and regression to mean. Phase 2 placebo arm showed +3–8m range.</t>
        </r>
      </text>
    </comment>
    <comment ref="N8" authorId="0" shapeId="0" xr:uid="{6A3C0326-D68F-446C-B13C-268E70AF523E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Prior SD σₚ = 18m. Reflects substantial uncertainty in the PK/PD extrapolation from trough to peak — concentration-response curve shape, patient heterogeneity in OR-1896 exposure, and whether Phase 2 responders are representative of Phase 3 population.</t>
        </r>
      </text>
    </comment>
    <comment ref="N9" authorId="0" shapeId="0" xr:uid="{A5EAD1A5-984D-4CBF-B712-951BA8AE18FF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Mechanistic confidence M = 0.7. High confidence: PK/PD root cause (trough assessment at 23% exposure) is well-characterised with clear t½ data. The OR-1896 80h half-life, weekly dosing, and 168h post-dose assessment timing fully explain the primary endpoint miss. Score: 0.7 (not 1.0 because PK/PD correction assumes linear extrapolation which may not hold at full exposure).</t>
        </r>
      </text>
    </comment>
    <comment ref="N10" authorId="0" shapeId="0" xr:uid="{482E002F-46B9-4C6C-850B-1B2E152CB856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Prior weight base w₀ = 0.55. Moderate-high weight given strong mechanistic basis, Phase 2 responder rate (84%), and significant secondary endpoints. Would be higher (0.7+) if a PK-corrected bridging study existed.</t>
        </r>
      </text>
    </comment>
    <comment ref="B11" authorId="0" shapeId="0" xr:uid="{E39B7C20-CC08-479E-AE92-344468BBAE13}">
      <text>
        <r>
          <rPr>
            <b/>
            <sz val="9"/>
            <color indexed="81"/>
            <rFont val="Tahoma"/>
            <family val="2"/>
          </rPr>
          <t>Minimum clinically important difference (MCID) threshold for Δ6MWD. AHA/ACC guidelines: MCID for 6MWD in HF/PAH = 20–30m. Using 25m as the midpoint. Trial must show BOTH p&lt;0.05 AND net Δ≥25m vs placebo to count as success.</t>
        </r>
      </text>
    </comment>
    <comment ref="B12" authorId="0" shapeId="0" xr:uid="{76836D87-6056-4BAC-BB35-EE0555E8A6B7}">
      <text>
        <r>
          <rPr>
            <b/>
            <sz val="9"/>
            <color indexed="81"/>
            <rFont val="Tahoma"/>
            <family val="2"/>
          </rPr>
          <t>Max Arnoldi:</t>
        </r>
        <r>
          <rPr>
            <sz val="9"/>
            <color indexed="81"/>
            <rFont val="Tahoma"/>
            <family val="2"/>
          </rPr>
          <t xml:space="preserve">
SD of the true treatment effect (m). Reflects uncertainty in whether PK/PD extrapolation from Phase 2 trough (23% exposure) to Phase 3 peak fully translates. Each simulation row draws a 'true effect in this world' from N(45m, 20m²), ranging from ~5m (correction fails) to ~85m (full translation). This is the primary driver of PoS uncertainty.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<sst xmlns="http://schemas.openxmlformats.org/spreadsheetml/2006/main" count="255" uniqueCount="170">
  <si>
    <t>μₚ</t>
  </si>
  <si>
    <t>Phase 2 SD</t>
  </si>
  <si>
    <t>σₚ</t>
  </si>
  <si>
    <t>M</t>
  </si>
  <si>
    <t>Blowout</t>
  </si>
  <si>
    <t>w₀</t>
  </si>
  <si>
    <t>Stock Move</t>
  </si>
  <si>
    <t>Fail</t>
  </si>
  <si>
    <t>Marginal</t>
  </si>
  <si>
    <t>Solid</t>
  </si>
  <si>
    <t>Value</t>
  </si>
  <si>
    <t>Success (≥25m)</t>
  </si>
  <si>
    <t>Sim #</t>
  </si>
  <si>
    <t>Year</t>
  </si>
  <si>
    <t>Phase</t>
  </si>
  <si>
    <t>Share %</t>
  </si>
  <si>
    <t>Revenue ($M)</t>
  </si>
  <si>
    <t>COGS ($M)</t>
  </si>
  <si>
    <t>R&amp;D ($M)</t>
  </si>
  <si>
    <t>OPEX ($M)</t>
  </si>
  <si>
    <t>EBIT ($M)</t>
  </si>
  <si>
    <t>BEG. NOL ($M)</t>
  </si>
  <si>
    <t>TAX ($M)</t>
  </si>
  <si>
    <t>UNADJ. FCF ($M)</t>
  </si>
  <si>
    <t>POS %</t>
  </si>
  <si>
    <t>RISK-ADJ FCF</t>
  </si>
  <si>
    <t>RNPV (CUM)</t>
  </si>
  <si>
    <t>DEV</t>
  </si>
  <si>
    <t>NA</t>
  </si>
  <si>
    <t>BRAND</t>
  </si>
  <si>
    <t>GENERIC</t>
  </si>
  <si>
    <t>Risk-Adj FCF ($M)</t>
  </si>
  <si>
    <t>Cumulative RNPV ($M)</t>
  </si>
  <si>
    <t>TENX — DCF Valuation Model</t>
  </si>
  <si>
    <t>KEY ASSUMPTIONS</t>
  </si>
  <si>
    <t>Discount Rate (WACC)</t>
  </si>
  <si>
    <t>Probability of Success</t>
  </si>
  <si>
    <t>Market Size ($M)</t>
  </si>
  <si>
    <t>Tax Rate</t>
  </si>
  <si>
    <t>Launch Year</t>
  </si>
  <si>
    <t>Patent Expiry</t>
  </si>
  <si>
    <t>TENX</t>
  </si>
  <si>
    <t>DCF</t>
  </si>
  <si>
    <t>SUMMARY</t>
  </si>
  <si>
    <t>RNPV</t>
  </si>
  <si>
    <t>$320M</t>
  </si>
  <si>
    <t>Risk-Adj. Net Present Value</t>
  </si>
  <si>
    <t>Peak Revenue</t>
  </si>
  <si>
    <t>$742M</t>
  </si>
  <si>
    <t>(2040, BRAND phase)</t>
  </si>
  <si>
    <t>Peak Risk-Adj FCF</t>
  </si>
  <si>
    <t>$182M</t>
  </si>
  <si>
    <t>(2040, post-PoS adj.)</t>
  </si>
  <si>
    <t>Breakeven</t>
  </si>
  <si>
    <t>(RNPV turns positive)</t>
  </si>
  <si>
    <t>PHASES</t>
  </si>
  <si>
    <t>■ DEV</t>
  </si>
  <si>
    <t>2026–2028</t>
  </si>
  <si>
    <t>■ BRAND</t>
  </si>
  <si>
    <t>2029–2040</t>
  </si>
  <si>
    <t>■ GENERIC</t>
  </si>
  <si>
    <t>2041–2045</t>
  </si>
  <si>
    <t>TENX — Monte Carlo Simulation</t>
  </si>
  <si>
    <t>SIMULATION PARAMETERS</t>
  </si>
  <si>
    <t>Simulations (n)</t>
  </si>
  <si>
    <t>Patients (Treatment Arm)</t>
  </si>
  <si>
    <t>Expected Mean Δ6MWD (m)</t>
  </si>
  <si>
    <t>Std Dev (m)</t>
  </si>
  <si>
    <t>Success Threshold (m)</t>
  </si>
  <si>
    <t>SIMULATION RESULTS</t>
  </si>
  <si>
    <t>Avg Mean Δ6MWD (m)</t>
  </si>
  <si>
    <t>95% CI Low (2.5th pct)</t>
  </si>
  <si>
    <t>95% CI High (97.5th pct)</t>
  </si>
  <si>
    <t>Success Threshold</t>
  </si>
  <si>
    <t>Simulations Run</t>
  </si>
  <si>
    <t>Mean Δ6MWD (m)</t>
  </si>
  <si>
    <t>Δ6MWD Range (m)</t>
  </si>
  <si>
    <t>Frequency</t>
  </si>
  <si>
    <t>-75 to -50</t>
  </si>
  <si>
    <t>-50 to -25</t>
  </si>
  <si>
    <t>-25 to 0</t>
  </si>
  <si>
    <t>0 to 25</t>
  </si>
  <si>
    <t>25 to 50</t>
  </si>
  <si>
    <t>50 to 75</t>
  </si>
  <si>
    <t>75 to 100</t>
  </si>
  <si>
    <t>100 to 125</t>
  </si>
  <si>
    <t>-100 to -75</t>
  </si>
  <si>
    <t>-75 to -25</t>
  </si>
  <si>
    <t>-25 to 25</t>
  </si>
  <si>
    <t>25 to 75</t>
  </si>
  <si>
    <t>75 to 125</t>
  </si>
  <si>
    <t>125 to 175</t>
  </si>
  <si>
    <t>Placebo Mean (m)</t>
  </si>
  <si>
    <t>Sample Size (per arm)</t>
  </si>
  <si>
    <t>OUTCOME KEY</t>
  </si>
  <si>
    <t>Outcome</t>
  </si>
  <si>
    <t>SCENARIO 2: BAYESIAN-UPDATED POSTERIOR</t>
  </si>
  <si>
    <t>BAYESIAN INPUTS</t>
  </si>
  <si>
    <t>Phase 2 Mean Δ6MWD</t>
  </si>
  <si>
    <t>Mechanistic Confidence</t>
  </si>
  <si>
    <t>Prior Weight Base</t>
  </si>
  <si>
    <t>Effective Prior Weight (w = w₀×M)</t>
  </si>
  <si>
    <t>w</t>
  </si>
  <si>
    <t>Count</t>
  </si>
  <si>
    <t>Significance Threshold</t>
  </si>
  <si>
    <t>Patient-Level SD σ (m)</t>
  </si>
  <si>
    <t>SE of mean difference =</t>
  </si>
  <si>
    <t>SCENARIO 1: TWO-ARM TRIAL (PHASE 2 PRIORS)</t>
  </si>
  <si>
    <t>Trt Mean Δ16MWD</t>
  </si>
  <si>
    <t>Pbo Mean Δ16MWD</t>
  </si>
  <si>
    <t>Observed Δ (Trt−Pbo)</t>
  </si>
  <si>
    <t>t-stat</t>
  </si>
  <si>
    <t>p-value</t>
  </si>
  <si>
    <t>Posterior Δ16MWD</t>
  </si>
  <si>
    <t>Obs Δ (Posterior)</t>
  </si>
  <si>
    <t>t-stat (Post)</t>
  </si>
  <si>
    <t>p-value (Post)</t>
  </si>
  <si>
    <t>Avg Posterior Δ</t>
  </si>
  <si>
    <t>SCENARIO 2: BAYESIAN</t>
  </si>
  <si>
    <t>SCENARIO 1 (t-test)</t>
  </si>
  <si>
    <t>SIMULATION OUTPUT</t>
  </si>
  <si>
    <t>Prob of Success</t>
  </si>
  <si>
    <t>Exp Stock Move</t>
  </si>
  <si>
    <t>Mean Post. Delta (m)</t>
  </si>
  <si>
    <t>S2 Success</t>
  </si>
  <si>
    <t>S2 Outcome</t>
  </si>
  <si>
    <t>S1 Success</t>
  </si>
  <si>
    <t>S1 Outcome</t>
  </si>
  <si>
    <t>Effect Uncertainty σ (m)</t>
  </si>
  <si>
    <t>SIMULATION PARAMETERS  (Mean: 20m)</t>
  </si>
  <si>
    <t>Main</t>
  </si>
  <si>
    <t>MARKET SNAPSHOT</t>
  </si>
  <si>
    <t>Stock Price</t>
  </si>
  <si>
    <t>Shares Outstanding (M)</t>
  </si>
  <si>
    <t>Market Cap ($M)</t>
  </si>
  <si>
    <t>Cash ($M)</t>
  </si>
  <si>
    <t>Debt ($M)</t>
  </si>
  <si>
    <t>Enterprise Value ($M)</t>
  </si>
  <si>
    <t>Source: Q1 2026</t>
  </si>
  <si>
    <t>DCF VALUATION (RISK-ADJUSTED)</t>
  </si>
  <si>
    <t>Risk-Adj. NPV (RNPV)</t>
  </si>
  <si>
    <t>Peak FCF</t>
  </si>
  <si>
    <t>Breakeven Year</t>
  </si>
  <si>
    <t>WACC</t>
  </si>
  <si>
    <t>TRIAL SIMULATION RESULTS</t>
  </si>
  <si>
    <t>6MWD (Normal, n=1000)</t>
  </si>
  <si>
    <t xml:space="preserve">  Avg Mean Δ6MWD (m)</t>
  </si>
  <si>
    <t xml:space="preserve">  95% CI Low (m)</t>
  </si>
  <si>
    <t xml:space="preserve">  95% CI High (m)</t>
  </si>
  <si>
    <t xml:space="preserve">  Probability of Success</t>
  </si>
  <si>
    <t>6MWD (With Phase 2 Info)</t>
  </si>
  <si>
    <t>MONTE CARLO — TWO-SCENARIO ANALYSIS</t>
  </si>
  <si>
    <t>Scenario</t>
  </si>
  <si>
    <t>PoS</t>
  </si>
  <si>
    <t>Description</t>
  </si>
  <si>
    <t>Key Parameter</t>
  </si>
  <si>
    <t>S1: Two-Arm Trial (Phase 2 Priors)</t>
  </si>
  <si>
    <t>Standard two-arm trial using Phase 2 priors as treatment mean distribution</t>
  </si>
  <si>
    <t>S2: Bayesian-Updated Posterior</t>
  </si>
  <si>
    <t>Bayesian posterior blends Phase 2 data with mechanistic prior for updated PoS</t>
  </si>
  <si>
    <t>Exp. Stock Move (S1)</t>
  </si>
  <si>
    <t>Exp. Stock Move (S2)</t>
  </si>
  <si>
    <t>Probability of Success (Monte Carlo)</t>
  </si>
  <si>
    <t>See: DCF sheet / Monte Carlo Sheet</t>
  </si>
  <si>
    <t>Risk-Adjusted NPV Analysis</t>
  </si>
  <si>
    <t>Base Case  |  σ=50m, Mean=35m, n=115  |  PoS ~56%</t>
  </si>
  <si>
    <t>Bull Case  |  σ=25m (Phase 2 tightened), Mean=35m, n=115  |  PoS ~63%</t>
  </si>
  <si>
    <t>Bear Case  |  σ=60m, Mean=30m, dual gate (p&lt;0.05 AND Δ≥25m)  |  S1 PoS ~58% / S2 ~51%</t>
  </si>
  <si>
    <t>TNX-103 LEVEL - Risk-Adjusted Valuation &amp; Simulation Analysis</t>
  </si>
  <si>
    <t>TENAX THERAPEUTICS — CLINICAL TRIAL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</si>
</sst>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#,##0.00\ &quot;€&quot;;[Red]\-#,##0.00\ &quot;€&quot;"/>
    <numFmt numFmtId="43" formatCode="_-* #,##0.00_-;\-* #,##0.00_-;_-* &quot;-&quot;??_-;_-@_-"/>
    <numFmt numFmtId="164" formatCode="0.0"/>
    <numFmt numFmtId="165" formatCode="_-[$$-409]* #,##0.00_ ;_-[$$-409]* \-#,##0.00\ ;_-[$$-409]* &quot;-&quot;??_ ;_-@_ "/>
    <numFmt numFmtId="166" formatCode="0.0%"/>
    <numFmt numFmtId="167" formatCode="0.00\x"/>
    <numFmt numFmtId="169" formatCode="0.0\x"/>
    <numFmt numFmtId="175" formatCode="#,##0.000"/>
    <numFmt numFmtId="179" formatCode="#,##0.0"/>
    <numFmt numFmtId="180" formatCode="#,##0.0;\(#,##0.0\);\-"/>
  </numFmts>
  <fonts count="5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0"/>
      <color rgb="FF9DC3E6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1F4E79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C55A11"/>
      <name val="Aptos Narrow"/>
      <family val="2"/>
      <scheme val="minor"/>
    </font>
    <font>
      <b/>
      <sz val="10"/>
      <color rgb="FFC55A1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CC00"/>
      <name val="Aptos Narrow"/>
      <family val="2"/>
      <scheme val="minor"/>
    </font>
    <font>
      <sz val="10"/>
      <color rgb="FF2E75B6"/>
      <name val="Aptos Narrow"/>
      <family val="2"/>
      <scheme val="minor"/>
    </font>
    <font>
      <b/>
      <sz val="10"/>
      <color rgb="FF2E75B6"/>
      <name val="Aptos Narrow"/>
      <family val="2"/>
      <scheme val="minor"/>
    </font>
    <font>
      <b/>
      <sz val="10"/>
      <color rgb="FFFF9900"/>
      <name val="Aptos Narrow"/>
      <family val="2"/>
      <scheme val="minor"/>
    </font>
    <font>
      <sz val="10"/>
      <color rgb="FF538135"/>
      <name val="Aptos Narrow"/>
      <family val="2"/>
      <scheme val="minor"/>
    </font>
    <font>
      <b/>
      <sz val="10"/>
      <color rgb="FF538135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9DC3E6"/>
      <name val="Aptos Narrow"/>
      <family val="2"/>
      <scheme val="minor"/>
    </font>
    <font>
      <b/>
      <sz val="22"/>
      <color rgb="FF00B050"/>
      <name val="Aptos Narrow"/>
      <family val="2"/>
      <scheme val="minor"/>
    </font>
    <font>
      <sz val="8"/>
      <color rgb="FF808080"/>
      <name val="Aptos Narrow"/>
      <family val="2"/>
      <scheme val="minor"/>
    </font>
    <font>
      <b/>
      <sz val="16"/>
      <color rgb="FF2E75B6"/>
      <name val="Aptos Narrow"/>
      <family val="2"/>
      <scheme val="minor"/>
    </font>
    <font>
      <b/>
      <sz val="16"/>
      <color rgb="FFC55A11"/>
      <name val="Aptos Narrow"/>
      <family val="2"/>
      <scheme val="minor"/>
    </font>
    <font>
      <sz val="9"/>
      <color rgb="FFC55A11"/>
      <name val="Aptos Narrow"/>
      <family val="2"/>
      <scheme val="minor"/>
    </font>
    <font>
      <b/>
      <sz val="9"/>
      <color rgb="FFC55A11"/>
      <name val="Aptos Narrow"/>
      <family val="2"/>
      <scheme val="minor"/>
    </font>
    <font>
      <sz val="9"/>
      <color rgb="FF2E75B6"/>
      <name val="Aptos Narrow"/>
      <family val="2"/>
      <scheme val="minor"/>
    </font>
    <font>
      <b/>
      <sz val="9"/>
      <color rgb="FF2E75B6"/>
      <name val="Aptos Narrow"/>
      <family val="2"/>
      <scheme val="minor"/>
    </font>
    <font>
      <sz val="9"/>
      <color rgb="FF538135"/>
      <name val="Aptos Narrow"/>
      <family val="2"/>
      <scheme val="minor"/>
    </font>
    <font>
      <b/>
      <sz val="9"/>
      <color rgb="FF538135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2"/>
      <color rgb="FF375623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9"/>
      <color rgb="FF0000FF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0"/>
      <color rgb="FFFFFF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sz val="10"/>
      <color rgb="FFA8C4E0"/>
      <name val="Aptos Narrow"/>
      <family val="2"/>
      <scheme val="minor"/>
    </font>
    <font>
      <b/>
      <sz val="10"/>
      <color rgb="FFA8C4E0"/>
      <name val="Aptos Narrow"/>
      <family val="2"/>
      <scheme val="minor"/>
    </font>
    <font>
      <sz val="10"/>
      <color rgb="FF333333"/>
      <name val="Aptos Narrow"/>
      <family val="2"/>
      <scheme val="minor"/>
    </font>
    <font>
      <b/>
      <sz val="10"/>
      <color rgb="FF333333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i/>
      <sz val="8"/>
      <color rgb="FF888888"/>
      <name val="Aptos Narrow"/>
      <family val="2"/>
      <scheme val="minor"/>
    </font>
    <font>
      <sz val="10"/>
      <color rgb="FF008000"/>
      <name val="Aptos Narrow"/>
      <family val="2"/>
      <scheme val="minor"/>
    </font>
    <font>
      <sz val="9"/>
      <color rgb="FF555555"/>
      <name val="Aptos Narrow"/>
      <family val="2"/>
      <scheme val="minor"/>
    </font>
    <font>
      <b/>
      <sz val="9"/>
      <color rgb="FF555555"/>
      <name val="Aptos Narrow"/>
      <family val="2"/>
      <scheme val="minor"/>
    </font>
    <font>
      <i/>
      <sz val="9"/>
      <color rgb="FF1A3F6F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0D2B4E"/>
        <bgColor indexed="64"/>
      </patternFill>
    </fill>
    <fill>
      <patternFill patternType="solid">
        <fgColor rgb="FF1A3F6F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F5F7FB"/>
        <bgColor indexed="64"/>
      </patternFill>
    </fill>
    <fill>
      <patternFill patternType="solid">
        <fgColor rgb="FFF9F9F9"/>
        <bgColor indexed="64"/>
      </patternFill>
    </fill>
  </fills>
  <borders count="9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rgb="FF1F4E79"/>
      </top>
      <bottom/>
      <diagonal/>
    </border>
    <border>
      <left/>
      <right/>
      <top/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/>
      <right/>
      <top style="thin">
        <color rgb="FFBDD7EE"/>
      </top>
      <bottom style="thin">
        <color rgb="FFBDD7EE"/>
      </bottom>
      <diagonal/>
    </border>
    <border>
      <left style="medium">
        <color rgb="FF1F4E79"/>
      </left>
      <right style="thin">
        <color rgb="FFBDD7EE"/>
      </right>
      <top style="medium">
        <color rgb="FF1F4E79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medium">
        <color rgb="FF1F4E79"/>
      </top>
      <bottom style="thin">
        <color rgb="FFBDD7EE"/>
      </bottom>
      <diagonal/>
    </border>
    <border>
      <left style="thin">
        <color rgb="FFBDD7EE"/>
      </left>
      <right style="medium">
        <color rgb="FF1F4E79"/>
      </right>
      <top style="medium">
        <color rgb="FF1F4E79"/>
      </top>
      <bottom style="thin">
        <color rgb="FFBDD7EE"/>
      </bottom>
      <diagonal/>
    </border>
    <border>
      <left style="medium">
        <color rgb="FF1F4E79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medium">
        <color rgb="FF1F4E79"/>
      </right>
      <top style="thin">
        <color rgb="FFBDD7EE"/>
      </top>
      <bottom style="thin">
        <color rgb="FFBDD7EE"/>
      </bottom>
      <diagonal/>
    </border>
    <border>
      <left style="medium">
        <color rgb="FF1F4E79"/>
      </left>
      <right style="thin">
        <color rgb="FFBDD7EE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medium">
        <color rgb="FF1F4E79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 style="medium">
        <color rgb="FF1F4E79"/>
      </right>
      <top style="thin">
        <color rgb="FFBDD7EE"/>
      </top>
      <bottom/>
      <diagonal/>
    </border>
    <border>
      <left style="medium">
        <color rgb="FF1F4E79"/>
      </left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 style="medium">
        <color rgb="FF1F4E79"/>
      </right>
      <top/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medium">
        <color rgb="FF2E75B6"/>
      </bottom>
      <diagonal/>
    </border>
    <border>
      <left style="thin">
        <color rgb="FFBDD7EE"/>
      </left>
      <right style="medium">
        <color rgb="FF1F4E79"/>
      </right>
      <top style="thin">
        <color rgb="FFBDD7EE"/>
      </top>
      <bottom style="medium">
        <color rgb="FF2E75B6"/>
      </bottom>
      <diagonal/>
    </border>
    <border>
      <left style="medium">
        <color rgb="FF1F4E79"/>
      </left>
      <right style="thin">
        <color rgb="FFBDD7EE"/>
      </right>
      <top style="thin">
        <color rgb="FFBDD7EE"/>
      </top>
      <bottom style="medium">
        <color rgb="FF538135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medium">
        <color rgb="FF538135"/>
      </bottom>
      <diagonal/>
    </border>
    <border>
      <left style="thin">
        <color rgb="FFBDD7EE"/>
      </left>
      <right style="medium">
        <color rgb="FF1F4E79"/>
      </right>
      <top style="thin">
        <color rgb="FFBDD7EE"/>
      </top>
      <bottom style="medium">
        <color rgb="FF538135"/>
      </bottom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rgb="FFBDD7EE"/>
      </left>
      <right/>
      <top/>
      <bottom/>
      <diagonal/>
    </border>
    <border>
      <left style="thin">
        <color rgb="FFBDD7EE"/>
      </left>
      <right/>
      <top/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/>
      <diagonal/>
    </border>
    <border>
      <left/>
      <right style="thin">
        <color rgb="FFBDD7EE"/>
      </right>
      <top/>
      <bottom/>
      <diagonal/>
    </border>
    <border>
      <left/>
      <right style="thin">
        <color rgb="FFBDD7EE"/>
      </right>
      <top/>
      <bottom style="thin">
        <color rgb="FFBDD7EE"/>
      </bottom>
      <diagonal/>
    </border>
    <border>
      <left/>
      <right style="thin">
        <color rgb="FFBDD7EE"/>
      </right>
      <top style="medium">
        <color rgb="FF1F4E79"/>
      </top>
      <bottom style="thin">
        <color rgb="FFBDD7EE"/>
      </bottom>
      <diagonal/>
    </border>
    <border>
      <left/>
      <right style="medium">
        <color rgb="FFBDD7EE"/>
      </right>
      <top style="thin">
        <color rgb="FFBDD7EE"/>
      </top>
      <bottom/>
      <diagonal/>
    </border>
    <border>
      <left/>
      <right style="medium">
        <color rgb="FFBDD7EE"/>
      </right>
      <top/>
      <bottom/>
      <diagonal/>
    </border>
    <border>
      <left/>
      <right style="medium">
        <color rgb="FFBDD7EE"/>
      </right>
      <top/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 style="medium">
        <color rgb="FF2E75B6"/>
      </bottom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medium">
        <color rgb="FF2E75B6"/>
      </left>
      <right/>
      <top style="medium">
        <color rgb="FF2E75B6"/>
      </top>
      <bottom style="thin">
        <color rgb="FFBDD7EE"/>
      </bottom>
      <diagonal/>
    </border>
    <border>
      <left/>
      <right style="medium">
        <color rgb="FF2E75B6"/>
      </right>
      <top style="medium">
        <color rgb="FF2E75B6"/>
      </top>
      <bottom style="thin">
        <color rgb="FFBDD7EE"/>
      </bottom>
      <diagonal/>
    </border>
    <border>
      <left style="medium">
        <color rgb="FF2E75B6"/>
      </left>
      <right/>
      <top style="thin">
        <color rgb="FFBDD7EE"/>
      </top>
      <bottom style="thin">
        <color rgb="FFBDD7EE"/>
      </bottom>
      <diagonal/>
    </border>
    <border>
      <left/>
      <right style="medium">
        <color rgb="FF2E75B6"/>
      </right>
      <top style="thin">
        <color rgb="FFBDD7EE"/>
      </top>
      <bottom style="thin">
        <color rgb="FFBDD7EE"/>
      </bottom>
      <diagonal/>
    </border>
    <border>
      <left style="medium">
        <color rgb="FF2E75B6"/>
      </left>
      <right/>
      <top style="thin">
        <color rgb="FFBDD7EE"/>
      </top>
      <bottom style="medium">
        <color rgb="FF2E75B6"/>
      </bottom>
      <diagonal/>
    </border>
    <border>
      <left/>
      <right style="medium">
        <color rgb="FF2E75B6"/>
      </right>
      <top style="thin">
        <color rgb="FFBDD7EE"/>
      </top>
      <bottom style="medium">
        <color rgb="FF2E75B6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1F4E79"/>
      </top>
      <bottom style="thin">
        <color rgb="FFFFFFFF"/>
      </bottom>
      <diagonal/>
    </border>
    <border>
      <left style="medium">
        <color rgb="FF1F4E79"/>
      </left>
      <right/>
      <top style="medium">
        <color rgb="FF1F4E79"/>
      </top>
      <bottom style="thin">
        <color rgb="FFFFFFFF"/>
      </bottom>
      <diagonal/>
    </border>
    <border>
      <left/>
      <right style="medium">
        <color rgb="FF1F4E79"/>
      </right>
      <top style="medium">
        <color rgb="FF1F4E79"/>
      </top>
      <bottom style="thin">
        <color rgb="FFFFFFFF"/>
      </bottom>
      <diagonal/>
    </border>
    <border>
      <left style="medium">
        <color rgb="FF1F4E79"/>
      </left>
      <right/>
      <top/>
      <bottom style="thin">
        <color rgb="FFFFFFFF"/>
      </bottom>
      <diagonal/>
    </border>
    <border>
      <left/>
      <right/>
      <top style="medium">
        <color rgb="FF2E75B6"/>
      </top>
      <bottom style="thin">
        <color rgb="FFBDD7EE"/>
      </bottom>
      <diagonal/>
    </border>
    <border>
      <left/>
      <right/>
      <top style="thin">
        <color rgb="FFBDD7EE"/>
      </top>
      <bottom style="medium">
        <color rgb="FF2E75B6"/>
      </bottom>
      <diagonal/>
    </border>
    <border>
      <left style="medium">
        <color rgb="FF1F4E79"/>
      </left>
      <right style="medium">
        <color rgb="FF1F4E79"/>
      </right>
      <top/>
      <bottom style="thin">
        <color rgb="FFFFFFFF"/>
      </bottom>
      <diagonal/>
    </border>
    <border>
      <left style="medium">
        <color rgb="FF1F4E79"/>
      </left>
      <right style="medium">
        <color rgb="FF1F4E79"/>
      </right>
      <top/>
      <bottom/>
      <diagonal/>
    </border>
    <border>
      <left style="medium">
        <color rgb="FF1F4E79"/>
      </left>
      <right/>
      <top/>
      <bottom style="medium">
        <color rgb="FF2E75B6"/>
      </bottom>
      <diagonal/>
    </border>
    <border>
      <left/>
      <right style="medium">
        <color rgb="FF1F4E79"/>
      </right>
      <top/>
      <bottom style="medium">
        <color rgb="FF2E75B6"/>
      </bottom>
      <diagonal/>
    </border>
    <border>
      <left style="medium">
        <color rgb="FF1F4E79"/>
      </left>
      <right/>
      <top style="medium">
        <color rgb="FF2E75B6"/>
      </top>
      <bottom style="thin">
        <color rgb="FF70AD47"/>
      </bottom>
      <diagonal/>
    </border>
    <border>
      <left/>
      <right style="medium">
        <color rgb="FF1F4E79"/>
      </right>
      <top style="medium">
        <color rgb="FF2E75B6"/>
      </top>
      <bottom style="thin">
        <color rgb="FF70AD47"/>
      </bottom>
      <diagonal/>
    </border>
    <border>
      <left style="medium">
        <color rgb="FF1F4E79"/>
      </left>
      <right/>
      <top style="medium">
        <color rgb="FF1F4E79"/>
      </top>
      <bottom style="thin">
        <color rgb="FF70AD47"/>
      </bottom>
      <diagonal/>
    </border>
    <border>
      <left/>
      <right style="medium">
        <color rgb="FF1F4E79"/>
      </right>
      <top style="medium">
        <color rgb="FF1F4E79"/>
      </top>
      <bottom style="thin">
        <color rgb="FF70AD47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medium">
        <color rgb="FF1F4E79"/>
      </left>
      <right/>
      <top/>
      <bottom style="thin">
        <color rgb="FFD9D9D9"/>
      </bottom>
      <diagonal/>
    </border>
    <border>
      <left style="medium">
        <color rgb="FF1F4E79"/>
      </left>
      <right/>
      <top style="thin">
        <color rgb="FFD9D9D9"/>
      </top>
      <bottom style="thin">
        <color rgb="FFD9D9D9"/>
      </bottom>
      <diagonal/>
    </border>
    <border>
      <left style="medium">
        <color rgb="FF1F4E79"/>
      </left>
      <right/>
      <top style="thin">
        <color rgb="FFD9D9D9"/>
      </top>
      <bottom/>
      <diagonal/>
    </border>
    <border>
      <left/>
      <right style="medium">
        <color rgb="FF375623"/>
      </right>
      <top/>
      <bottom/>
      <diagonal/>
    </border>
    <border>
      <left/>
      <right style="medium">
        <color rgb="FF375623"/>
      </right>
      <top/>
      <bottom style="thin">
        <color rgb="FFD9D9D9"/>
      </bottom>
      <diagonal/>
    </border>
    <border>
      <left/>
      <right style="medium">
        <color rgb="FF375623"/>
      </right>
      <top style="thin">
        <color rgb="FFD9D9D9"/>
      </top>
      <bottom style="thin">
        <color rgb="FFD9D9D9"/>
      </bottom>
      <diagonal/>
    </border>
    <border>
      <left/>
      <right style="medium">
        <color rgb="FF375623"/>
      </right>
      <top style="thin">
        <color rgb="FFD9D9D9"/>
      </top>
      <bottom/>
      <diagonal/>
    </border>
    <border>
      <left/>
      <right style="medium">
        <color rgb="FF70AD47"/>
      </right>
      <top/>
      <bottom/>
      <diagonal/>
    </border>
    <border>
      <left/>
      <right style="medium">
        <color rgb="FF70AD47"/>
      </right>
      <top/>
      <bottom style="thin">
        <color rgb="FFD9D9D9"/>
      </bottom>
      <diagonal/>
    </border>
    <border>
      <left/>
      <right style="medium">
        <color rgb="FF70AD47"/>
      </right>
      <top style="thin">
        <color rgb="FFD9D9D9"/>
      </top>
      <bottom style="thin">
        <color rgb="FFD9D9D9"/>
      </bottom>
      <diagonal/>
    </border>
    <border>
      <left/>
      <right style="medium">
        <color rgb="FF70AD47"/>
      </right>
      <top style="thin">
        <color rgb="FFD9D9D9"/>
      </top>
      <bottom/>
      <diagonal/>
    </border>
    <border>
      <left style="medium">
        <color rgb="FF2E75B6"/>
      </left>
      <right/>
      <top style="thin">
        <color rgb="FFBDD7EE"/>
      </top>
      <bottom/>
      <diagonal/>
    </border>
    <border>
      <left/>
      <right style="medium">
        <color rgb="FF2E75B6"/>
      </right>
      <top style="thin">
        <color rgb="FFBDD7EE"/>
      </top>
      <bottom/>
      <diagonal/>
    </border>
    <border>
      <left/>
      <right/>
      <top style="thin">
        <color rgb="FF1A3F6F"/>
      </top>
      <bottom/>
      <diagonal/>
    </border>
    <border>
      <left/>
      <right/>
      <top/>
      <bottom style="thin">
        <color rgb="FF1A3F6F"/>
      </bottom>
      <diagonal/>
    </border>
    <border>
      <left style="thin">
        <color rgb="FF1A3F6F"/>
      </left>
      <right/>
      <top style="thin">
        <color rgb="FF1A3F6F"/>
      </top>
      <bottom/>
      <diagonal/>
    </border>
    <border>
      <left style="thin">
        <color rgb="FF1A3F6F"/>
      </left>
      <right/>
      <top/>
      <bottom/>
      <diagonal/>
    </border>
    <border>
      <left style="thin">
        <color rgb="FF1A3F6F"/>
      </left>
      <right/>
      <top/>
      <bottom style="thin">
        <color rgb="FF1A3F6F"/>
      </bottom>
      <diagonal/>
    </border>
    <border>
      <left/>
      <right style="thin">
        <color rgb="FF1A3F6F"/>
      </right>
      <top style="thin">
        <color rgb="FF1A3F6F"/>
      </top>
      <bottom/>
      <diagonal/>
    </border>
    <border>
      <left/>
      <right style="thin">
        <color rgb="FF1A3F6F"/>
      </right>
      <top/>
      <bottom/>
      <diagonal/>
    </border>
    <border>
      <left/>
      <right style="thin">
        <color rgb="FF1A3F6F"/>
      </right>
      <top/>
      <bottom style="thin">
        <color rgb="FF1A3F6F"/>
      </bottom>
      <diagonal/>
    </border>
    <border>
      <left style="thin">
        <color rgb="FF1A3F6F"/>
      </left>
      <right/>
      <top/>
      <bottom style="thin">
        <color rgb="FFCCCCCC"/>
      </bottom>
      <diagonal/>
    </border>
    <border>
      <left/>
      <right style="thin">
        <color rgb="FF1A3F6F"/>
      </right>
      <top/>
      <bottom style="thin">
        <color rgb="FFCCCCCC"/>
      </bottom>
      <diagonal/>
    </border>
    <border>
      <left style="thin">
        <color rgb="FF1A3F6F"/>
      </left>
      <right/>
      <top style="thin">
        <color rgb="FFCCCCCC"/>
      </top>
      <bottom/>
      <diagonal/>
    </border>
    <border>
      <left/>
      <right style="thin">
        <color rgb="FF1A3F6F"/>
      </right>
      <top style="thin">
        <color rgb="FFCCCCCC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7">
    <xf numFmtId="0" fontId="0" fillId="0" borderId="0" xfId="0"/>
    <xf numFmtId="0" fontId="0" fillId="0" borderId="1" xfId="0" applyBorder="1"/>
    <xf numFmtId="8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" fontId="0" fillId="3" borderId="0" xfId="0" applyNumberFormat="1" applyFill="1"/>
    <xf numFmtId="1" fontId="0" fillId="4" borderId="0" xfId="0" applyNumberFormat="1" applyFill="1"/>
    <xf numFmtId="1" fontId="0" fillId="5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0" fontId="5" fillId="6" borderId="0" xfId="0" applyFont="1" applyFill="1"/>
    <xf numFmtId="0" fontId="0" fillId="6" borderId="0" xfId="0" applyFill="1"/>
    <xf numFmtId="0" fontId="6" fillId="7" borderId="0" xfId="0" applyFont="1" applyFill="1"/>
    <xf numFmtId="9" fontId="7" fillId="7" borderId="0" xfId="0" applyNumberFormat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8" fillId="2" borderId="4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9" fillId="8" borderId="14" xfId="0" applyFont="1" applyFill="1" applyBorder="1" applyAlignment="1">
      <alignment horizontal="center"/>
    </xf>
    <xf numFmtId="0" fontId="10" fillId="8" borderId="15" xfId="0" applyFont="1" applyFill="1" applyBorder="1" applyAlignment="1">
      <alignment horizontal="center"/>
    </xf>
    <xf numFmtId="43" fontId="11" fillId="8" borderId="15" xfId="2" applyFont="1" applyFill="1" applyBorder="1"/>
    <xf numFmtId="43" fontId="12" fillId="8" borderId="15" xfId="2" applyFont="1" applyFill="1" applyBorder="1"/>
    <xf numFmtId="43" fontId="13" fillId="8" borderId="15" xfId="2" applyFont="1" applyFill="1" applyBorder="1"/>
    <xf numFmtId="43" fontId="12" fillId="8" borderId="16" xfId="2" applyFont="1" applyFill="1" applyBorder="1"/>
    <xf numFmtId="0" fontId="10" fillId="8" borderId="21" xfId="0" applyFont="1" applyFill="1" applyBorder="1" applyAlignment="1">
      <alignment horizontal="center"/>
    </xf>
    <xf numFmtId="43" fontId="11" fillId="8" borderId="21" xfId="2" applyFont="1" applyFill="1" applyBorder="1"/>
    <xf numFmtId="43" fontId="12" fillId="8" borderId="21" xfId="2" applyFont="1" applyFill="1" applyBorder="1"/>
    <xf numFmtId="43" fontId="13" fillId="8" borderId="21" xfId="2" applyFont="1" applyFill="1" applyBorder="1"/>
    <xf numFmtId="43" fontId="12" fillId="8" borderId="22" xfId="2" applyFont="1" applyFill="1" applyBorder="1"/>
    <xf numFmtId="0" fontId="10" fillId="8" borderId="26" xfId="0" applyFont="1" applyFill="1" applyBorder="1" applyAlignment="1">
      <alignment horizontal="center"/>
    </xf>
    <xf numFmtId="43" fontId="11" fillId="8" borderId="26" xfId="2" applyFont="1" applyFill="1" applyBorder="1"/>
    <xf numFmtId="43" fontId="12" fillId="8" borderId="26" xfId="2" applyFont="1" applyFill="1" applyBorder="1"/>
    <xf numFmtId="43" fontId="13" fillId="8" borderId="26" xfId="2" applyFont="1" applyFill="1" applyBorder="1"/>
    <xf numFmtId="43" fontId="12" fillId="8" borderId="27" xfId="2" applyFont="1" applyFill="1" applyBorder="1"/>
    <xf numFmtId="0" fontId="15" fillId="9" borderId="24" xfId="0" applyFont="1" applyFill="1" applyBorder="1" applyAlignment="1">
      <alignment horizontal="center"/>
    </xf>
    <xf numFmtId="9" fontId="11" fillId="9" borderId="24" xfId="1" applyFont="1" applyFill="1" applyBorder="1"/>
    <xf numFmtId="43" fontId="11" fillId="9" borderId="24" xfId="2" applyFont="1" applyFill="1" applyBorder="1"/>
    <xf numFmtId="43" fontId="16" fillId="9" borderId="24" xfId="2" applyFont="1" applyFill="1" applyBorder="1"/>
    <xf numFmtId="43" fontId="13" fillId="9" borderId="24" xfId="2" applyFont="1" applyFill="1" applyBorder="1"/>
    <xf numFmtId="43" fontId="12" fillId="9" borderId="24" xfId="2" applyFont="1" applyFill="1" applyBorder="1"/>
    <xf numFmtId="43" fontId="12" fillId="9" borderId="25" xfId="2" applyFont="1" applyFill="1" applyBorder="1"/>
    <xf numFmtId="0" fontId="14" fillId="9" borderId="14" xfId="0" applyFont="1" applyFill="1" applyBorder="1" applyAlignment="1">
      <alignment horizontal="center"/>
    </xf>
    <xf numFmtId="0" fontId="15" fillId="9" borderId="15" xfId="0" applyFont="1" applyFill="1" applyBorder="1" applyAlignment="1">
      <alignment horizontal="center"/>
    </xf>
    <xf numFmtId="9" fontId="11" fillId="9" borderId="15" xfId="1" applyFont="1" applyFill="1" applyBorder="1"/>
    <xf numFmtId="43" fontId="11" fillId="9" borderId="15" xfId="2" applyFont="1" applyFill="1" applyBorder="1"/>
    <xf numFmtId="43" fontId="16" fillId="9" borderId="15" xfId="2" applyFont="1" applyFill="1" applyBorder="1"/>
    <xf numFmtId="43" fontId="13" fillId="9" borderId="15" xfId="2" applyFont="1" applyFill="1" applyBorder="1"/>
    <xf numFmtId="43" fontId="12" fillId="9" borderId="15" xfId="2" applyFont="1" applyFill="1" applyBorder="1"/>
    <xf numFmtId="43" fontId="12" fillId="9" borderId="16" xfId="2" applyFont="1" applyFill="1" applyBorder="1"/>
    <xf numFmtId="43" fontId="13" fillId="9" borderId="16" xfId="2" applyFont="1" applyFill="1" applyBorder="1"/>
    <xf numFmtId="0" fontId="14" fillId="9" borderId="20" xfId="0" applyFont="1" applyFill="1" applyBorder="1" applyAlignment="1">
      <alignment horizontal="center"/>
    </xf>
    <xf numFmtId="0" fontId="15" fillId="9" borderId="21" xfId="0" applyFont="1" applyFill="1" applyBorder="1" applyAlignment="1">
      <alignment horizontal="center"/>
    </xf>
    <xf numFmtId="9" fontId="11" fillId="9" borderId="21" xfId="1" applyFont="1" applyFill="1" applyBorder="1"/>
    <xf numFmtId="43" fontId="11" fillId="9" borderId="21" xfId="2" applyFont="1" applyFill="1" applyBorder="1"/>
    <xf numFmtId="43" fontId="16" fillId="9" borderId="21" xfId="2" applyFont="1" applyFill="1" applyBorder="1"/>
    <xf numFmtId="43" fontId="13" fillId="9" borderId="21" xfId="2" applyFont="1" applyFill="1" applyBorder="1"/>
    <xf numFmtId="43" fontId="12" fillId="9" borderId="21" xfId="2" applyFont="1" applyFill="1" applyBorder="1"/>
    <xf numFmtId="43" fontId="13" fillId="9" borderId="22" xfId="2" applyFont="1" applyFill="1" applyBorder="1"/>
    <xf numFmtId="0" fontId="14" fillId="9" borderId="28" xfId="0" applyFont="1" applyFill="1" applyBorder="1" applyAlignment="1">
      <alignment horizontal="center"/>
    </xf>
    <xf numFmtId="0" fontId="15" fillId="9" borderId="29" xfId="0" applyFont="1" applyFill="1" applyBorder="1" applyAlignment="1">
      <alignment horizontal="center"/>
    </xf>
    <xf numFmtId="9" fontId="11" fillId="9" borderId="29" xfId="1" applyFont="1" applyFill="1" applyBorder="1"/>
    <xf numFmtId="43" fontId="11" fillId="9" borderId="29" xfId="2" applyFont="1" applyFill="1" applyBorder="1"/>
    <xf numFmtId="43" fontId="16" fillId="9" borderId="29" xfId="2" applyFont="1" applyFill="1" applyBorder="1"/>
    <xf numFmtId="43" fontId="13" fillId="9" borderId="29" xfId="2" applyFont="1" applyFill="1" applyBorder="1"/>
    <xf numFmtId="43" fontId="12" fillId="9" borderId="29" xfId="2" applyFont="1" applyFill="1" applyBorder="1"/>
    <xf numFmtId="43" fontId="13" fillId="9" borderId="30" xfId="2" applyFont="1" applyFill="1" applyBorder="1"/>
    <xf numFmtId="0" fontId="17" fillId="5" borderId="23" xfId="0" applyFont="1" applyFill="1" applyBorder="1" applyAlignment="1">
      <alignment horizontal="center"/>
    </xf>
    <xf numFmtId="0" fontId="18" fillId="5" borderId="24" xfId="0" applyFont="1" applyFill="1" applyBorder="1" applyAlignment="1">
      <alignment horizontal="center"/>
    </xf>
    <xf numFmtId="9" fontId="16" fillId="5" borderId="24" xfId="1" applyFont="1" applyFill="1" applyBorder="1"/>
    <xf numFmtId="43" fontId="16" fillId="5" borderId="24" xfId="2" applyFont="1" applyFill="1" applyBorder="1"/>
    <xf numFmtId="43" fontId="13" fillId="5" borderId="24" xfId="2" applyFont="1" applyFill="1" applyBorder="1"/>
    <xf numFmtId="43" fontId="12" fillId="5" borderId="24" xfId="2" applyFont="1" applyFill="1" applyBorder="1"/>
    <xf numFmtId="43" fontId="11" fillId="5" borderId="24" xfId="2" applyFont="1" applyFill="1" applyBorder="1"/>
    <xf numFmtId="43" fontId="13" fillId="5" borderId="25" xfId="2" applyFont="1" applyFill="1" applyBorder="1"/>
    <xf numFmtId="0" fontId="17" fillId="5" borderId="14" xfId="0" applyFont="1" applyFill="1" applyBorder="1" applyAlignment="1">
      <alignment horizontal="center"/>
    </xf>
    <xf numFmtId="0" fontId="18" fillId="5" borderId="15" xfId="0" applyFont="1" applyFill="1" applyBorder="1" applyAlignment="1">
      <alignment horizontal="center"/>
    </xf>
    <xf numFmtId="9" fontId="16" fillId="5" borderId="15" xfId="1" applyFont="1" applyFill="1" applyBorder="1"/>
    <xf numFmtId="43" fontId="16" fillId="5" borderId="15" xfId="2" applyFont="1" applyFill="1" applyBorder="1"/>
    <xf numFmtId="43" fontId="13" fillId="5" borderId="15" xfId="2" applyFont="1" applyFill="1" applyBorder="1"/>
    <xf numFmtId="43" fontId="12" fillId="5" borderId="15" xfId="2" applyFont="1" applyFill="1" applyBorder="1"/>
    <xf numFmtId="43" fontId="11" fillId="5" borderId="15" xfId="2" applyFont="1" applyFill="1" applyBorder="1"/>
    <xf numFmtId="43" fontId="13" fillId="5" borderId="16" xfId="2" applyFont="1" applyFill="1" applyBorder="1"/>
    <xf numFmtId="0" fontId="17" fillId="5" borderId="17" xfId="0" applyFont="1" applyFill="1" applyBorder="1" applyAlignment="1">
      <alignment horizontal="center"/>
    </xf>
    <xf numFmtId="0" fontId="18" fillId="5" borderId="18" xfId="0" applyFont="1" applyFill="1" applyBorder="1" applyAlignment="1">
      <alignment horizontal="center"/>
    </xf>
    <xf numFmtId="9" fontId="16" fillId="5" borderId="18" xfId="1" applyFont="1" applyFill="1" applyBorder="1"/>
    <xf numFmtId="43" fontId="16" fillId="5" borderId="18" xfId="2" applyFont="1" applyFill="1" applyBorder="1"/>
    <xf numFmtId="43" fontId="13" fillId="5" borderId="18" xfId="2" applyFont="1" applyFill="1" applyBorder="1"/>
    <xf numFmtId="43" fontId="12" fillId="5" borderId="18" xfId="2" applyFont="1" applyFill="1" applyBorder="1"/>
    <xf numFmtId="43" fontId="11" fillId="5" borderId="18" xfId="2" applyFont="1" applyFill="1" applyBorder="1"/>
    <xf numFmtId="43" fontId="13" fillId="5" borderId="19" xfId="2" applyFont="1" applyFill="1" applyBorder="1"/>
    <xf numFmtId="0" fontId="26" fillId="8" borderId="0" xfId="0" applyFont="1" applyFill="1" applyAlignment="1">
      <alignment horizontal="left"/>
    </xf>
    <xf numFmtId="0" fontId="25" fillId="8" borderId="0" xfId="0" applyFont="1" applyFill="1" applyAlignment="1">
      <alignment horizontal="center"/>
    </xf>
    <xf numFmtId="0" fontId="28" fillId="9" borderId="0" xfId="0" applyFont="1" applyFill="1" applyAlignment="1">
      <alignment horizontal="left"/>
    </xf>
    <xf numFmtId="0" fontId="27" fillId="9" borderId="0" xfId="0" applyFont="1" applyFill="1" applyAlignment="1">
      <alignment horizontal="center"/>
    </xf>
    <xf numFmtId="0" fontId="30" fillId="5" borderId="0" xfId="0" applyFont="1" applyFill="1" applyAlignment="1">
      <alignment horizontal="left"/>
    </xf>
    <xf numFmtId="0" fontId="29" fillId="5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0" borderId="0" xfId="0"/>
    <xf numFmtId="0" fontId="5" fillId="2" borderId="0" xfId="0" applyFont="1" applyFill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21" fillId="10" borderId="32" xfId="0" applyFont="1" applyFill="1" applyBorder="1" applyAlignment="1">
      <alignment horizontal="center"/>
    </xf>
    <xf numFmtId="0" fontId="22" fillId="10" borderId="3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21" fillId="10" borderId="35" xfId="0" applyFont="1" applyFill="1" applyBorder="1" applyAlignment="1">
      <alignment horizontal="center"/>
    </xf>
    <xf numFmtId="0" fontId="22" fillId="10" borderId="36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23" fillId="9" borderId="32" xfId="0" applyFont="1" applyFill="1" applyBorder="1" applyAlignment="1">
      <alignment horizontal="center"/>
    </xf>
    <xf numFmtId="0" fontId="22" fillId="9" borderId="33" xfId="0" applyFont="1" applyFill="1" applyBorder="1" applyAlignment="1">
      <alignment horizontal="center"/>
    </xf>
    <xf numFmtId="0" fontId="5" fillId="6" borderId="38" xfId="0" applyFont="1" applyFill="1" applyBorder="1" applyAlignment="1">
      <alignment horizontal="center"/>
    </xf>
    <xf numFmtId="0" fontId="23" fillId="9" borderId="39" xfId="0" applyFont="1" applyFill="1" applyBorder="1" applyAlignment="1">
      <alignment horizontal="center"/>
    </xf>
    <xf numFmtId="0" fontId="22" fillId="9" borderId="40" xfId="0" applyFont="1" applyFill="1" applyBorder="1" applyAlignment="1">
      <alignment horizontal="center"/>
    </xf>
    <xf numFmtId="0" fontId="9" fillId="8" borderId="34" xfId="0" applyFont="1" applyFill="1" applyBorder="1" applyAlignment="1">
      <alignment horizontal="center"/>
    </xf>
    <xf numFmtId="0" fontId="9" fillId="8" borderId="41" xfId="0" applyFont="1" applyFill="1" applyBorder="1" applyAlignment="1">
      <alignment horizontal="center"/>
    </xf>
    <xf numFmtId="0" fontId="14" fillId="9" borderId="36" xfId="0" applyFont="1" applyFill="1" applyBorder="1" applyAlignment="1">
      <alignment horizontal="center"/>
    </xf>
    <xf numFmtId="0" fontId="14" fillId="9" borderId="42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24" fillId="8" borderId="32" xfId="0" applyFont="1" applyFill="1" applyBorder="1" applyAlignment="1">
      <alignment horizontal="center"/>
    </xf>
    <xf numFmtId="0" fontId="22" fillId="8" borderId="33" xfId="0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24" fillId="8" borderId="39" xfId="0" applyFont="1" applyFill="1" applyBorder="1" applyAlignment="1">
      <alignment horizontal="center"/>
    </xf>
    <xf numFmtId="0" fontId="22" fillId="8" borderId="40" xfId="0" applyFont="1" applyFill="1" applyBorder="1" applyAlignment="1">
      <alignment horizontal="center"/>
    </xf>
    <xf numFmtId="165" fontId="7" fillId="7" borderId="0" xfId="0" applyNumberFormat="1" applyFont="1" applyFill="1" applyAlignment="1">
      <alignment horizontal="center"/>
    </xf>
    <xf numFmtId="0" fontId="3" fillId="2" borderId="0" xfId="0" applyFont="1" applyFill="1"/>
    <xf numFmtId="0" fontId="32" fillId="7" borderId="0" xfId="0" applyFont="1" applyFill="1" applyBorder="1"/>
    <xf numFmtId="0" fontId="5" fillId="6" borderId="43" xfId="0" applyFont="1" applyFill="1" applyBorder="1" applyAlignment="1">
      <alignment horizontal="center"/>
    </xf>
    <xf numFmtId="0" fontId="5" fillId="6" borderId="44" xfId="0" applyFont="1" applyFill="1" applyBorder="1" applyAlignment="1">
      <alignment horizontal="center"/>
    </xf>
    <xf numFmtId="0" fontId="32" fillId="7" borderId="45" xfId="0" applyFont="1" applyFill="1" applyBorder="1"/>
    <xf numFmtId="0" fontId="33" fillId="7" borderId="46" xfId="0" applyFont="1" applyFill="1" applyBorder="1" applyAlignment="1">
      <alignment horizontal="center"/>
    </xf>
    <xf numFmtId="0" fontId="32" fillId="7" borderId="47" xfId="0" applyFont="1" applyFill="1" applyBorder="1"/>
    <xf numFmtId="0" fontId="33" fillId="7" borderId="48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32" fillId="7" borderId="14" xfId="0" applyFont="1" applyFill="1" applyBorder="1"/>
    <xf numFmtId="164" fontId="7" fillId="10" borderId="16" xfId="0" applyNumberFormat="1" applyFont="1" applyFill="1" applyBorder="1" applyAlignment="1">
      <alignment horizontal="center"/>
    </xf>
    <xf numFmtId="0" fontId="32" fillId="5" borderId="14" xfId="0" applyFont="1" applyFill="1" applyBorder="1"/>
    <xf numFmtId="166" fontId="35" fillId="5" borderId="16" xfId="0" applyNumberFormat="1" applyFont="1" applyFill="1" applyBorder="1" applyAlignment="1">
      <alignment horizontal="center"/>
    </xf>
    <xf numFmtId="3" fontId="7" fillId="10" borderId="16" xfId="0" applyNumberFormat="1" applyFont="1" applyFill="1" applyBorder="1" applyAlignment="1">
      <alignment horizontal="center"/>
    </xf>
    <xf numFmtId="0" fontId="32" fillId="7" borderId="17" xfId="0" applyFont="1" applyFill="1" applyBorder="1"/>
    <xf numFmtId="3" fontId="7" fillId="10" borderId="19" xfId="0" applyNumberFormat="1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164" fontId="36" fillId="0" borderId="0" xfId="0" applyNumberFormat="1" applyFont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164" fontId="36" fillId="0" borderId="3" xfId="0" applyNumberFormat="1" applyFont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36" fillId="0" borderId="5" xfId="0" applyFont="1" applyBorder="1" applyAlignment="1">
      <alignment horizontal="center"/>
    </xf>
    <xf numFmtId="0" fontId="36" fillId="0" borderId="6" xfId="0" applyFont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1" fontId="36" fillId="0" borderId="8" xfId="0" applyNumberFormat="1" applyFont="1" applyBorder="1" applyAlignment="1">
      <alignment horizontal="center"/>
    </xf>
    <xf numFmtId="1" fontId="36" fillId="0" borderId="9" xfId="0" applyNumberFormat="1" applyFont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31" fillId="5" borderId="0" xfId="0" applyFont="1" applyFill="1" applyAlignment="1">
      <alignment horizontal="center"/>
    </xf>
    <xf numFmtId="0" fontId="31" fillId="8" borderId="0" xfId="0" applyFont="1" applyFill="1" applyAlignment="1">
      <alignment horizontal="center"/>
    </xf>
    <xf numFmtId="0" fontId="32" fillId="3" borderId="45" xfId="0" applyFont="1" applyFill="1" applyBorder="1"/>
    <xf numFmtId="0" fontId="32" fillId="12" borderId="45" xfId="0" applyFont="1" applyFill="1" applyBorder="1"/>
    <xf numFmtId="0" fontId="32" fillId="13" borderId="45" xfId="0" applyFont="1" applyFill="1" applyBorder="1"/>
    <xf numFmtId="0" fontId="32" fillId="14" borderId="47" xfId="0" applyFont="1" applyFill="1" applyBorder="1"/>
    <xf numFmtId="0" fontId="5" fillId="6" borderId="0" xfId="0" applyFont="1" applyFill="1" applyBorder="1" applyAlignment="1">
      <alignment horizontal="center"/>
    </xf>
    <xf numFmtId="164" fontId="31" fillId="0" borderId="0" xfId="0" applyNumberFormat="1" applyFont="1" applyBorder="1" applyAlignment="1">
      <alignment horizontal="center"/>
    </xf>
    <xf numFmtId="164" fontId="31" fillId="0" borderId="5" xfId="0" applyNumberFormat="1" applyFont="1" applyBorder="1" applyAlignment="1">
      <alignment horizontal="center"/>
    </xf>
    <xf numFmtId="0" fontId="0" fillId="0" borderId="45" xfId="0" applyBorder="1"/>
    <xf numFmtId="0" fontId="32" fillId="7" borderId="10" xfId="0" applyFont="1" applyFill="1" applyBorder="1"/>
    <xf numFmtId="0" fontId="32" fillId="7" borderId="10" xfId="0" applyFont="1" applyFill="1" applyBorder="1" applyAlignment="1">
      <alignment horizontal="center"/>
    </xf>
    <xf numFmtId="0" fontId="32" fillId="7" borderId="10" xfId="0" applyFont="1" applyFill="1" applyBorder="1" applyAlignment="1">
      <alignment horizontal="center" vertical="center" wrapText="1"/>
    </xf>
    <xf numFmtId="0" fontId="0" fillId="0" borderId="47" xfId="0" applyBorder="1"/>
    <xf numFmtId="0" fontId="32" fillId="7" borderId="55" xfId="0" applyFont="1" applyFill="1" applyBorder="1"/>
    <xf numFmtId="0" fontId="32" fillId="7" borderId="55" xfId="0" applyFont="1" applyFill="1" applyBorder="1" applyAlignment="1">
      <alignment horizontal="center"/>
    </xf>
    <xf numFmtId="9" fontId="33" fillId="7" borderId="48" xfId="0" applyNumberFormat="1" applyFont="1" applyFill="1" applyBorder="1" applyAlignment="1">
      <alignment horizontal="center"/>
    </xf>
    <xf numFmtId="0" fontId="5" fillId="6" borderId="44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left"/>
    </xf>
    <xf numFmtId="0" fontId="5" fillId="6" borderId="54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2" fontId="31" fillId="0" borderId="0" xfId="0" applyNumberFormat="1" applyFont="1" applyBorder="1" applyAlignment="1">
      <alignment horizontal="center"/>
    </xf>
    <xf numFmtId="169" fontId="37" fillId="3" borderId="46" xfId="0" applyNumberFormat="1" applyFont="1" applyFill="1" applyBorder="1" applyAlignment="1">
      <alignment horizontal="center"/>
    </xf>
    <xf numFmtId="169" fontId="37" fillId="12" borderId="46" xfId="0" applyNumberFormat="1" applyFont="1" applyFill="1" applyBorder="1" applyAlignment="1">
      <alignment horizontal="center"/>
    </xf>
    <xf numFmtId="169" fontId="37" fillId="13" borderId="46" xfId="0" applyNumberFormat="1" applyFont="1" applyFill="1" applyBorder="1" applyAlignment="1">
      <alignment horizontal="center"/>
    </xf>
    <xf numFmtId="169" fontId="37" fillId="14" borderId="48" xfId="0" applyNumberFormat="1" applyFont="1" applyFill="1" applyBorder="1" applyAlignment="1">
      <alignment horizontal="center"/>
    </xf>
    <xf numFmtId="49" fontId="37" fillId="7" borderId="46" xfId="0" applyNumberFormat="1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7" fontId="33" fillId="7" borderId="8" xfId="0" applyNumberFormat="1" applyFont="1" applyFill="1" applyBorder="1" applyAlignment="1">
      <alignment horizontal="center"/>
    </xf>
    <xf numFmtId="166" fontId="33" fillId="10" borderId="8" xfId="0" applyNumberFormat="1" applyFont="1" applyFill="1" applyBorder="1" applyAlignment="1">
      <alignment horizontal="center"/>
    </xf>
    <xf numFmtId="164" fontId="33" fillId="7" borderId="9" xfId="0" applyNumberFormat="1" applyFont="1" applyFill="1" applyBorder="1" applyAlignment="1">
      <alignment horizontal="center"/>
    </xf>
    <xf numFmtId="166" fontId="34" fillId="5" borderId="61" xfId="0" applyNumberFormat="1" applyFont="1" applyFill="1" applyBorder="1" applyAlignment="1">
      <alignment horizontal="center"/>
    </xf>
    <xf numFmtId="166" fontId="33" fillId="10" borderId="59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66" fontId="34" fillId="5" borderId="63" xfId="0" applyNumberFormat="1" applyFont="1" applyFill="1" applyBorder="1" applyAlignment="1">
      <alignment horizontal="center"/>
    </xf>
    <xf numFmtId="166" fontId="33" fillId="10" borderId="9" xfId="0" applyNumberFormat="1" applyFont="1" applyFill="1" applyBorder="1" applyAlignment="1">
      <alignment horizontal="center"/>
    </xf>
    <xf numFmtId="0" fontId="0" fillId="2" borderId="7" xfId="0" applyFill="1" applyBorder="1" applyAlignment="1"/>
    <xf numFmtId="0" fontId="0" fillId="6" borderId="8" xfId="0" applyFill="1" applyBorder="1" applyAlignment="1"/>
    <xf numFmtId="0" fontId="34" fillId="5" borderId="60" xfId="0" applyFont="1" applyFill="1" applyBorder="1" applyAlignment="1"/>
    <xf numFmtId="0" fontId="33" fillId="7" borderId="5" xfId="0" applyFont="1" applyFill="1" applyBorder="1" applyAlignment="1"/>
    <xf numFmtId="0" fontId="33" fillId="10" borderId="5" xfId="0" applyFont="1" applyFill="1" applyBorder="1" applyAlignment="1"/>
    <xf numFmtId="0" fontId="33" fillId="10" borderId="58" xfId="0" applyFont="1" applyFill="1" applyBorder="1" applyAlignment="1"/>
    <xf numFmtId="0" fontId="0" fillId="10" borderId="5" xfId="0" applyFill="1" applyBorder="1" applyAlignment="1"/>
    <xf numFmtId="0" fontId="0" fillId="10" borderId="8" xfId="0" applyFill="1" applyBorder="1" applyAlignment="1"/>
    <xf numFmtId="0" fontId="0" fillId="2" borderId="8" xfId="0" applyFill="1" applyBorder="1" applyAlignment="1"/>
    <xf numFmtId="0" fontId="34" fillId="5" borderId="62" xfId="0" applyFont="1" applyFill="1" applyBorder="1" applyAlignment="1"/>
    <xf numFmtId="0" fontId="33" fillId="10" borderId="6" xfId="0" applyFont="1" applyFill="1" applyBorder="1" applyAlignment="1"/>
    <xf numFmtId="0" fontId="0" fillId="2" borderId="9" xfId="0" applyFill="1" applyBorder="1" applyAlignment="1"/>
    <xf numFmtId="0" fontId="33" fillId="7" borderId="6" xfId="0" applyFont="1" applyFill="1" applyBorder="1" applyAlignment="1"/>
    <xf numFmtId="0" fontId="5" fillId="2" borderId="2" xfId="0" applyFont="1" applyFill="1" applyBorder="1" applyAlignment="1"/>
    <xf numFmtId="0" fontId="5" fillId="2" borderId="7" xfId="0" applyFont="1" applyFill="1" applyBorder="1" applyAlignment="1"/>
    <xf numFmtId="0" fontId="36" fillId="10" borderId="71" xfId="0" applyFont="1" applyFill="1" applyBorder="1" applyAlignment="1">
      <alignment horizontal="center" vertical="center"/>
    </xf>
    <xf numFmtId="0" fontId="36" fillId="10" borderId="72" xfId="0" applyFont="1" applyFill="1" applyBorder="1" applyAlignment="1">
      <alignment horizontal="center" vertical="center"/>
    </xf>
    <xf numFmtId="0" fontId="36" fillId="10" borderId="73" xfId="0" applyFont="1" applyFill="1" applyBorder="1" applyAlignment="1">
      <alignment horizontal="center" vertical="center"/>
    </xf>
    <xf numFmtId="0" fontId="36" fillId="10" borderId="75" xfId="0" applyFont="1" applyFill="1" applyBorder="1" applyAlignment="1">
      <alignment horizontal="center" vertical="center"/>
    </xf>
    <xf numFmtId="0" fontId="36" fillId="10" borderId="76" xfId="0" applyFont="1" applyFill="1" applyBorder="1" applyAlignment="1">
      <alignment horizontal="center" vertical="center"/>
    </xf>
    <xf numFmtId="0" fontId="36" fillId="10" borderId="77" xfId="0" applyFont="1" applyFill="1" applyBorder="1" applyAlignment="1">
      <alignment horizontal="center" vertical="center"/>
    </xf>
    <xf numFmtId="1" fontId="36" fillId="10" borderId="67" xfId="0" applyNumberFormat="1" applyFont="1" applyFill="1" applyBorder="1" applyAlignment="1">
      <alignment horizontal="center" vertical="center"/>
    </xf>
    <xf numFmtId="1" fontId="36" fillId="10" borderId="68" xfId="0" applyNumberFormat="1" applyFont="1" applyFill="1" applyBorder="1" applyAlignment="1">
      <alignment horizontal="center" vertical="center"/>
    </xf>
    <xf numFmtId="1" fontId="36" fillId="10" borderId="69" xfId="0" applyNumberFormat="1" applyFont="1" applyFill="1" applyBorder="1" applyAlignment="1">
      <alignment horizontal="center" vertical="center"/>
    </xf>
    <xf numFmtId="1" fontId="36" fillId="10" borderId="64" xfId="0" applyNumberFormat="1" applyFont="1" applyFill="1" applyBorder="1" applyAlignment="1">
      <alignment horizontal="center" vertical="center"/>
    </xf>
    <xf numFmtId="1" fontId="36" fillId="10" borderId="65" xfId="0" applyNumberFormat="1" applyFont="1" applyFill="1" applyBorder="1" applyAlignment="1">
      <alignment horizontal="center" vertical="center"/>
    </xf>
    <xf numFmtId="1" fontId="36" fillId="10" borderId="66" xfId="0" applyNumberFormat="1" applyFont="1" applyFill="1" applyBorder="1" applyAlignment="1">
      <alignment horizontal="center" vertical="center"/>
    </xf>
    <xf numFmtId="0" fontId="5" fillId="6" borderId="70" xfId="0" applyFont="1" applyFill="1" applyBorder="1" applyAlignment="1">
      <alignment horizontal="center"/>
    </xf>
    <xf numFmtId="0" fontId="5" fillId="2" borderId="74" xfId="0" applyFont="1" applyFill="1" applyBorder="1" applyAlignment="1">
      <alignment horizontal="center"/>
    </xf>
    <xf numFmtId="2" fontId="31" fillId="0" borderId="57" xfId="0" applyNumberFormat="1" applyFont="1" applyBorder="1" applyAlignment="1">
      <alignment horizontal="center"/>
    </xf>
    <xf numFmtId="0" fontId="39" fillId="6" borderId="44" xfId="0" applyFont="1" applyFill="1" applyBorder="1" applyAlignment="1">
      <alignment horizontal="center"/>
    </xf>
    <xf numFmtId="164" fontId="39" fillId="7" borderId="46" xfId="0" applyNumberFormat="1" applyFont="1" applyFill="1" applyBorder="1" applyAlignment="1">
      <alignment horizontal="center"/>
    </xf>
    <xf numFmtId="164" fontId="39" fillId="7" borderId="48" xfId="0" applyNumberFormat="1" applyFont="1" applyFill="1" applyBorder="1" applyAlignment="1">
      <alignment horizontal="center"/>
    </xf>
    <xf numFmtId="3" fontId="39" fillId="7" borderId="46" xfId="0" applyNumberFormat="1" applyFont="1" applyFill="1" applyBorder="1" applyAlignment="1">
      <alignment horizontal="center"/>
    </xf>
    <xf numFmtId="9" fontId="39" fillId="7" borderId="46" xfId="0" applyNumberFormat="1" applyFont="1" applyFill="1" applyBorder="1" applyAlignment="1">
      <alignment horizontal="center"/>
    </xf>
    <xf numFmtId="0" fontId="5" fillId="2" borderId="43" xfId="0" applyFont="1" applyFill="1" applyBorder="1" applyAlignment="1">
      <alignment horizontal="left"/>
    </xf>
    <xf numFmtId="0" fontId="32" fillId="7" borderId="78" xfId="0" applyFont="1" applyFill="1" applyBorder="1"/>
    <xf numFmtId="0" fontId="5" fillId="6" borderId="5" xfId="0" applyFont="1" applyFill="1" applyBorder="1" applyAlignment="1">
      <alignment horizontal="center"/>
    </xf>
    <xf numFmtId="164" fontId="39" fillId="7" borderId="79" xfId="0" applyNumberFormat="1" applyFont="1" applyFill="1" applyBorder="1" applyAlignment="1">
      <alignment horizontal="center"/>
    </xf>
    <xf numFmtId="0" fontId="0" fillId="15" borderId="0" xfId="0" applyFill="1"/>
    <xf numFmtId="0" fontId="0" fillId="16" borderId="0" xfId="0" applyFill="1"/>
    <xf numFmtId="0" fontId="47" fillId="0" borderId="83" xfId="0" applyFont="1" applyBorder="1"/>
    <xf numFmtId="0" fontId="46" fillId="0" borderId="83" xfId="0" applyFont="1" applyBorder="1"/>
    <xf numFmtId="0" fontId="51" fillId="0" borderId="84" xfId="0" applyFont="1" applyBorder="1"/>
    <xf numFmtId="175" fontId="48" fillId="0" borderId="86" xfId="0" applyNumberFormat="1" applyFont="1" applyBorder="1"/>
    <xf numFmtId="0" fontId="0" fillId="0" borderId="87" xfId="0" applyBorder="1"/>
    <xf numFmtId="0" fontId="46" fillId="0" borderId="88" xfId="0" applyFont="1" applyBorder="1"/>
    <xf numFmtId="0" fontId="47" fillId="0" borderId="82" xfId="0" applyFont="1" applyBorder="1"/>
    <xf numFmtId="0" fontId="38" fillId="0" borderId="86" xfId="0" applyFont="1" applyBorder="1"/>
    <xf numFmtId="9" fontId="52" fillId="0" borderId="86" xfId="0" applyNumberFormat="1" applyFont="1" applyBorder="1"/>
    <xf numFmtId="0" fontId="47" fillId="0" borderId="88" xfId="0" applyFont="1" applyBorder="1"/>
    <xf numFmtId="0" fontId="50" fillId="0" borderId="89" xfId="0" applyFont="1" applyBorder="1"/>
    <xf numFmtId="0" fontId="54" fillId="0" borderId="83" xfId="0" applyFont="1" applyBorder="1"/>
    <xf numFmtId="0" fontId="54" fillId="0" borderId="90" xfId="0" applyFont="1" applyBorder="1"/>
    <xf numFmtId="0" fontId="46" fillId="18" borderId="83" xfId="0" applyFont="1" applyFill="1" applyBorder="1"/>
    <xf numFmtId="166" fontId="50" fillId="18" borderId="0" xfId="0" applyNumberFormat="1" applyFont="1" applyFill="1" applyBorder="1" applyAlignment="1">
      <alignment horizontal="center"/>
    </xf>
    <xf numFmtId="0" fontId="46" fillId="18" borderId="0" xfId="0" applyFont="1" applyFill="1" applyBorder="1"/>
    <xf numFmtId="169" fontId="52" fillId="18" borderId="86" xfId="0" applyNumberFormat="1" applyFont="1" applyFill="1" applyBorder="1"/>
    <xf numFmtId="0" fontId="46" fillId="10" borderId="84" xfId="0" applyFont="1" applyFill="1" applyBorder="1"/>
    <xf numFmtId="166" fontId="50" fillId="10" borderId="81" xfId="0" applyNumberFormat="1" applyFont="1" applyFill="1" applyBorder="1" applyAlignment="1">
      <alignment horizontal="center"/>
    </xf>
    <xf numFmtId="0" fontId="46" fillId="10" borderId="81" xfId="0" applyFont="1" applyFill="1" applyBorder="1"/>
    <xf numFmtId="169" fontId="52" fillId="10" borderId="87" xfId="0" applyNumberFormat="1" applyFont="1" applyFill="1" applyBorder="1"/>
    <xf numFmtId="0" fontId="47" fillId="17" borderId="84" xfId="0" applyFont="1" applyFill="1" applyBorder="1"/>
    <xf numFmtId="0" fontId="47" fillId="17" borderId="81" xfId="0" applyFont="1" applyFill="1" applyBorder="1" applyAlignment="1">
      <alignment horizontal="center"/>
    </xf>
    <xf numFmtId="0" fontId="0" fillId="17" borderId="81" xfId="0" applyFill="1" applyBorder="1"/>
    <xf numFmtId="0" fontId="47" fillId="17" borderId="81" xfId="0" applyFont="1" applyFill="1" applyBorder="1"/>
    <xf numFmtId="0" fontId="47" fillId="17" borderId="87" xfId="0" applyFont="1" applyFill="1" applyBorder="1" applyAlignment="1">
      <alignment horizontal="center"/>
    </xf>
    <xf numFmtId="0" fontId="55" fillId="0" borderId="0" xfId="0" applyFont="1"/>
    <xf numFmtId="0" fontId="42" fillId="15" borderId="0" xfId="0" applyFont="1" applyFill="1" applyAlignment="1">
      <alignment horizontal="left"/>
    </xf>
    <xf numFmtId="0" fontId="43" fillId="15" borderId="0" xfId="0" applyFont="1" applyFill="1" applyAlignment="1">
      <alignment horizontal="left"/>
    </xf>
    <xf numFmtId="0" fontId="45" fillId="16" borderId="0" xfId="0" applyFont="1" applyFill="1"/>
    <xf numFmtId="0" fontId="44" fillId="16" borderId="0" xfId="0" applyFont="1" applyFill="1"/>
    <xf numFmtId="0" fontId="8" fillId="16" borderId="82" xfId="0" applyFont="1" applyFill="1" applyBorder="1" applyAlignment="1">
      <alignment horizontal="left"/>
    </xf>
    <xf numFmtId="0" fontId="8" fillId="16" borderId="85" xfId="0" applyFont="1" applyFill="1" applyBorder="1" applyAlignment="1">
      <alignment horizontal="left"/>
    </xf>
    <xf numFmtId="0" fontId="8" fillId="16" borderId="82" xfId="0" applyFont="1" applyFill="1" applyBorder="1"/>
    <xf numFmtId="0" fontId="8" fillId="16" borderId="85" xfId="0" applyFont="1" applyFill="1" applyBorder="1"/>
    <xf numFmtId="0" fontId="8" fillId="16" borderId="80" xfId="0" applyFont="1" applyFill="1" applyBorder="1"/>
    <xf numFmtId="0" fontId="53" fillId="18" borderId="80" xfId="0" applyFont="1" applyFill="1" applyBorder="1"/>
    <xf numFmtId="0" fontId="53" fillId="10" borderId="81" xfId="0" applyFont="1" applyFill="1" applyBorder="1"/>
    <xf numFmtId="0" fontId="0" fillId="19" borderId="0" xfId="0" applyFill="1"/>
    <xf numFmtId="0" fontId="8" fillId="19" borderId="80" xfId="0" applyFont="1" applyFill="1" applyBorder="1"/>
    <xf numFmtId="0" fontId="0" fillId="19" borderId="81" xfId="0" applyFill="1" applyBorder="1"/>
    <xf numFmtId="0" fontId="0" fillId="19" borderId="0" xfId="0" applyFill="1" applyBorder="1"/>
    <xf numFmtId="0" fontId="53" fillId="19" borderId="80" xfId="0" applyFont="1" applyFill="1" applyBorder="1"/>
    <xf numFmtId="0" fontId="53" fillId="19" borderId="81" xfId="0" applyFont="1" applyFill="1" applyBorder="1"/>
    <xf numFmtId="179" fontId="38" fillId="0" borderId="89" xfId="0" applyNumberFormat="1" applyFont="1" applyBorder="1"/>
    <xf numFmtId="179" fontId="48" fillId="0" borderId="86" xfId="0" applyNumberFormat="1" applyFont="1" applyBorder="1"/>
    <xf numFmtId="180" fontId="48" fillId="0" borderId="86" xfId="0" applyNumberFormat="1" applyFont="1" applyBorder="1"/>
    <xf numFmtId="179" fontId="50" fillId="0" borderId="85" xfId="0" applyNumberFormat="1" applyFont="1" applyBorder="1"/>
    <xf numFmtId="0" fontId="53" fillId="0" borderId="86" xfId="0" applyFont="1" applyBorder="1" applyAlignment="1">
      <alignment horizontal="right"/>
    </xf>
    <xf numFmtId="164" fontId="52" fillId="0" borderId="86" xfId="0" applyNumberFormat="1" applyFont="1" applyBorder="1" applyAlignment="1">
      <alignment horizontal="right"/>
    </xf>
    <xf numFmtId="166" fontId="52" fillId="0" borderId="86" xfId="0" applyNumberFormat="1" applyFont="1" applyBorder="1" applyAlignment="1">
      <alignment horizontal="right"/>
    </xf>
    <xf numFmtId="0" fontId="53" fillId="0" borderId="91" xfId="0" applyFont="1" applyBorder="1" applyAlignment="1">
      <alignment horizontal="right"/>
    </xf>
    <xf numFmtId="0" fontId="8" fillId="16" borderId="85" xfId="0" applyFont="1" applyFill="1" applyBorder="1" applyAlignment="1">
      <alignment horizontal="right"/>
    </xf>
    <xf numFmtId="164" fontId="39" fillId="7" borderId="0" xfId="0" applyNumberFormat="1" applyFont="1" applyFill="1" applyBorder="1" applyAlignment="1">
      <alignment horizontal="center"/>
    </xf>
    <xf numFmtId="165" fontId="49" fillId="0" borderId="86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4">
    <dxf>
      <fill>
        <patternFill patternType="solid">
          <fgColor indexed="64"/>
          <bgColor rgb="FFEAF3FB"/>
        </patternFill>
      </fill>
    </dxf>
    <dxf>
      <fill>
        <patternFill patternType="solid">
          <fgColor indexed="64"/>
          <bgColor rgb="FFEAF3FB"/>
        </patternFill>
      </fill>
    </dxf>
    <dxf>
      <fill>
        <patternFill patternType="solid">
          <fgColor indexed="64"/>
          <bgColor rgb="FFEAF3FB"/>
        </patternFill>
      </fill>
    </dxf>
    <dxf>
      <fill>
        <patternFill patternType="solid">
          <fgColor indexed="64"/>
          <bgColor rgb="FFEAF3FB"/>
        </patternFill>
      </fill>
    </dxf>
  </dxfs>
  <tableStyles count="0" defaultTableStyle="TableStyleMedium2" defaultPivotStyle="PivotStyleLight16"/>
  <colors>
    <mruColors>
      <color rgb="FF00CC00"/>
      <color rgb="FF00FF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Simulated </a:t>
            </a:r>
            <a:r>
              <a:rPr lang="el-GR"/>
              <a:t>Δ6</a:t>
            </a:r>
            <a:r>
              <a:rPr lang="en-US"/>
              <a:t>MWD Distribution (n=1,000)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'Base Case (Normal)'!$E$15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'Base Case (Normal)'!$D$16:$D$21</c:f>
              <c:strCache>
                <c:ptCount val="6"/>
                <c:pt idx="0">
                  <c:v>-100 to -75</c:v>
                </c:pt>
                <c:pt idx="1">
                  <c:v>-75 to -25</c:v>
                </c:pt>
                <c:pt idx="2">
                  <c:v>-25 to 25</c:v>
                </c:pt>
                <c:pt idx="3">
                  <c:v>25 to 75</c:v>
                </c:pt>
                <c:pt idx="4">
                  <c:v>75 to 125</c:v>
                </c:pt>
                <c:pt idx="5">
                  <c:v>125 to 175</c:v>
                </c:pt>
              </c:strCache>
            </c:strRef>
          </c:cat>
          <c:val>
            <c:numRef>
              <c:f>'Base Case (Normal)'!$E$16:$E$21</c:f>
              <c:numCache>
                <c:formatCode>General</c:formatCode>
                <c:ptCount val="6"/>
                <c:pt idx="0">
                  <c:v>19</c:v>
                </c:pt>
                <c:pt idx="1">
                  <c:v>95</c:v>
                </c:pt>
                <c:pt idx="2">
                  <c:v>279</c:v>
                </c:pt>
                <c:pt idx="3">
                  <c:v>383</c:v>
                </c:pt>
                <c:pt idx="4">
                  <c:v>189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0A-4486-8589-360EE5744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4446032"/>
        <c:axId val="954446512"/>
      </c:barChart>
      <c:catAx>
        <c:axId val="954446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Δ6</a:t>
                </a:r>
                <a:r>
                  <a:rPr lang="en-US"/>
                  <a:t>MWD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46512"/>
        <c:crosses val="autoZero"/>
        <c:auto val="1"/>
        <c:lblAlgn val="ctr"/>
        <c:lblOffset val="100"/>
        <c:noMultiLvlLbl val="0"/>
      </c:catAx>
      <c:valAx>
        <c:axId val="95444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46032"/>
        <c:crosses val="autoZero"/>
        <c:crossBetween val="between"/>
      </c:valAx>
      <c:spPr>
        <a:solidFill>
          <a:srgbClr val="FAFAFA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DD7EE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Simulated </a:t>
            </a:r>
            <a:r>
              <a:rPr lang="el-GR"/>
              <a:t>Δ6</a:t>
            </a:r>
            <a:r>
              <a:rPr lang="en-US"/>
              <a:t>MWD Distribution (n=1,000)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'Bull Case (Phase 2 Prior)'!$E$15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'Bull Case (Phase 2 Prior)'!$D$16:$D$23</c:f>
              <c:strCache>
                <c:ptCount val="8"/>
                <c:pt idx="0">
                  <c:v>-75 to -50</c:v>
                </c:pt>
                <c:pt idx="1">
                  <c:v>-50 to -25</c:v>
                </c:pt>
                <c:pt idx="2">
                  <c:v>-25 to 0</c:v>
                </c:pt>
                <c:pt idx="3">
                  <c:v>0 to 25</c:v>
                </c:pt>
                <c:pt idx="4">
                  <c:v>25 to 50</c:v>
                </c:pt>
                <c:pt idx="5">
                  <c:v>50 to 75</c:v>
                </c:pt>
                <c:pt idx="6">
                  <c:v>75 to 100</c:v>
                </c:pt>
                <c:pt idx="7">
                  <c:v>100 to 125</c:v>
                </c:pt>
              </c:strCache>
            </c:strRef>
          </c:cat>
          <c:val>
            <c:numRef>
              <c:f>'Bull Case (Phase 2 Prior)'!$E$16:$E$23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68</c:v>
                </c:pt>
                <c:pt idx="3">
                  <c:v>263</c:v>
                </c:pt>
                <c:pt idx="4">
                  <c:v>365</c:v>
                </c:pt>
                <c:pt idx="5">
                  <c:v>234</c:v>
                </c:pt>
                <c:pt idx="6">
                  <c:v>58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53-4228-B3F8-D4C6C2B44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571744"/>
        <c:axId val="1009564064"/>
      </c:barChart>
      <c:catAx>
        <c:axId val="1009571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Δ6</a:t>
                </a:r>
                <a:r>
                  <a:rPr lang="en-US"/>
                  <a:t>MWD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64064"/>
        <c:crosses val="autoZero"/>
        <c:auto val="1"/>
        <c:lblAlgn val="ctr"/>
        <c:lblOffset val="100"/>
        <c:noMultiLvlLbl val="0"/>
      </c:catAx>
      <c:valAx>
        <c:axId val="10095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1744"/>
        <c:crosses val="autoZero"/>
        <c:crossBetween val="between"/>
      </c:valAx>
      <c:spPr>
        <a:solidFill>
          <a:srgbClr val="FAFAFA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DD7EE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TENX — Risk-Adjusted Cash Flow &amp; Cumulative RNPV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DCF!$T$7</c:f>
              <c:strCache>
                <c:ptCount val="1"/>
                <c:pt idx="0">
                  <c:v>Risk-Adj FCF ($M)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multiLvlStrRef>
              <c:f>DCF!$R$8:$S$27</c:f>
              <c:multiLvlStrCache>
                <c:ptCount val="20"/>
                <c:lvl>
                  <c:pt idx="0">
                    <c:v>DEV</c:v>
                  </c:pt>
                  <c:pt idx="1">
                    <c:v>DEV</c:v>
                  </c:pt>
                  <c:pt idx="2">
                    <c:v>DEV</c:v>
                  </c:pt>
                  <c:pt idx="3">
                    <c:v>BRAND</c:v>
                  </c:pt>
                  <c:pt idx="4">
                    <c:v>BRAND</c:v>
                  </c:pt>
                  <c:pt idx="5">
                    <c:v>BRAND</c:v>
                  </c:pt>
                  <c:pt idx="6">
                    <c:v>BRAND</c:v>
                  </c:pt>
                  <c:pt idx="7">
                    <c:v>BRAND</c:v>
                  </c:pt>
                  <c:pt idx="8">
                    <c:v>BRAND</c:v>
                  </c:pt>
                  <c:pt idx="9">
                    <c:v>BRAND</c:v>
                  </c:pt>
                  <c:pt idx="10">
                    <c:v>BRAND</c:v>
                  </c:pt>
                  <c:pt idx="11">
                    <c:v>BRAND</c:v>
                  </c:pt>
                  <c:pt idx="12">
                    <c:v>BRAND</c:v>
                  </c:pt>
                  <c:pt idx="13">
                    <c:v>BRAND</c:v>
                  </c:pt>
                  <c:pt idx="14">
                    <c:v>BRAND</c:v>
                  </c:pt>
                  <c:pt idx="15">
                    <c:v>GENERIC</c:v>
                  </c:pt>
                  <c:pt idx="16">
                    <c:v>GENERIC</c:v>
                  </c:pt>
                  <c:pt idx="17">
                    <c:v>GENERIC</c:v>
                  </c:pt>
                  <c:pt idx="18">
                    <c:v>GENERIC</c:v>
                  </c:pt>
                  <c:pt idx="19">
                    <c:v>GENERIC</c:v>
                  </c:pt>
                </c:lvl>
                <c:lvl>
                  <c:pt idx="0">
                    <c:v>2026</c:v>
                  </c:pt>
                  <c:pt idx="1">
                    <c:v>2027</c:v>
                  </c:pt>
                  <c:pt idx="2">
                    <c:v>2028</c:v>
                  </c:pt>
                  <c:pt idx="3">
                    <c:v>2029</c:v>
                  </c:pt>
                  <c:pt idx="4">
                    <c:v>2030</c:v>
                  </c:pt>
                  <c:pt idx="5">
                    <c:v>2031</c:v>
                  </c:pt>
                  <c:pt idx="6">
                    <c:v>2032</c:v>
                  </c:pt>
                  <c:pt idx="7">
                    <c:v>2033</c:v>
                  </c:pt>
                  <c:pt idx="8">
                    <c:v>2034</c:v>
                  </c:pt>
                  <c:pt idx="9">
                    <c:v>2035</c:v>
                  </c:pt>
                  <c:pt idx="10">
                    <c:v>2036</c:v>
                  </c:pt>
                  <c:pt idx="11">
                    <c:v>2037</c:v>
                  </c:pt>
                  <c:pt idx="12">
                    <c:v>2038</c:v>
                  </c:pt>
                  <c:pt idx="13">
                    <c:v>2039</c:v>
                  </c:pt>
                  <c:pt idx="14">
                    <c:v>2040</c:v>
                  </c:pt>
                  <c:pt idx="15">
                    <c:v>2041</c:v>
                  </c:pt>
                  <c:pt idx="16">
                    <c:v>2042</c:v>
                  </c:pt>
                  <c:pt idx="17">
                    <c:v>2043</c:v>
                  </c:pt>
                  <c:pt idx="18">
                    <c:v>2044</c:v>
                  </c:pt>
                  <c:pt idx="19">
                    <c:v>2045</c:v>
                  </c:pt>
                </c:lvl>
              </c:multiLvlStrCache>
            </c:multiLvlStrRef>
          </c:cat>
          <c:val>
            <c:numRef>
              <c:f>DCF!$T$8:$T$27</c:f>
              <c:numCache>
                <c:formatCode>0.0</c:formatCode>
                <c:ptCount val="20"/>
                <c:pt idx="0">
                  <c:v>-40</c:v>
                </c:pt>
                <c:pt idx="1">
                  <c:v>-40</c:v>
                </c:pt>
                <c:pt idx="2">
                  <c:v>-40</c:v>
                </c:pt>
                <c:pt idx="3">
                  <c:v>9.98</c:v>
                </c:pt>
                <c:pt idx="4">
                  <c:v>25.5</c:v>
                </c:pt>
                <c:pt idx="5">
                  <c:v>41.97</c:v>
                </c:pt>
                <c:pt idx="6">
                  <c:v>53.9</c:v>
                </c:pt>
                <c:pt idx="7">
                  <c:v>106.97</c:v>
                </c:pt>
                <c:pt idx="8">
                  <c:v>133.15</c:v>
                </c:pt>
                <c:pt idx="9">
                  <c:v>160.57</c:v>
                </c:pt>
                <c:pt idx="10">
                  <c:v>164.56</c:v>
                </c:pt>
                <c:pt idx="11">
                  <c:v>168.67</c:v>
                </c:pt>
                <c:pt idx="12">
                  <c:v>172.93</c:v>
                </c:pt>
                <c:pt idx="13">
                  <c:v>177.24</c:v>
                </c:pt>
                <c:pt idx="14">
                  <c:v>181.7</c:v>
                </c:pt>
                <c:pt idx="15">
                  <c:v>134.66</c:v>
                </c:pt>
                <c:pt idx="16">
                  <c:v>93.5</c:v>
                </c:pt>
                <c:pt idx="17">
                  <c:v>59.21</c:v>
                </c:pt>
                <c:pt idx="18">
                  <c:v>32.07</c:v>
                </c:pt>
                <c:pt idx="19">
                  <c:v>12.88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7A-4404-A814-06E94F051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022112"/>
        <c:axId val="1020025952"/>
      </c:barChart>
      <c:lineChart>
        <c:grouping val="standard"/>
        <c:varyColors val="0"/>
        <c:ser>
          <c:idx val="1"/>
          <c:order val="1"/>
          <c:tx>
            <c:strRef>
              <c:f>DCF!$U$7</c:f>
              <c:strCache>
                <c:ptCount val="1"/>
                <c:pt idx="0">
                  <c:v>Cumulative RNPV ($M)</c:v>
                </c:pt>
              </c:strCache>
            </c:strRef>
          </c:tx>
          <c:spPr>
            <a:ln w="28575" cap="rnd">
              <a:solidFill>
                <a:srgbClr val="C55A11"/>
              </a:solidFill>
              <a:prstDash val="solid"/>
              <a:round/>
            </a:ln>
            <a:effectLst/>
          </c:spPr>
          <c:marker>
            <c:symbol val="none"/>
          </c:marker>
          <c:cat>
            <c:multiLvlStrRef>
              <c:f>DCF!$R$8:$S$27</c:f>
              <c:multiLvlStrCache>
                <c:ptCount val="20"/>
                <c:lvl>
                  <c:pt idx="0">
                    <c:v>DEV</c:v>
                  </c:pt>
                  <c:pt idx="1">
                    <c:v>DEV</c:v>
                  </c:pt>
                  <c:pt idx="2">
                    <c:v>DEV</c:v>
                  </c:pt>
                  <c:pt idx="3">
                    <c:v>BRAND</c:v>
                  </c:pt>
                  <c:pt idx="4">
                    <c:v>BRAND</c:v>
                  </c:pt>
                  <c:pt idx="5">
                    <c:v>BRAND</c:v>
                  </c:pt>
                  <c:pt idx="6">
                    <c:v>BRAND</c:v>
                  </c:pt>
                  <c:pt idx="7">
                    <c:v>BRAND</c:v>
                  </c:pt>
                  <c:pt idx="8">
                    <c:v>BRAND</c:v>
                  </c:pt>
                  <c:pt idx="9">
                    <c:v>BRAND</c:v>
                  </c:pt>
                  <c:pt idx="10">
                    <c:v>BRAND</c:v>
                  </c:pt>
                  <c:pt idx="11">
                    <c:v>BRAND</c:v>
                  </c:pt>
                  <c:pt idx="12">
                    <c:v>BRAND</c:v>
                  </c:pt>
                  <c:pt idx="13">
                    <c:v>BRAND</c:v>
                  </c:pt>
                  <c:pt idx="14">
                    <c:v>BRAND</c:v>
                  </c:pt>
                  <c:pt idx="15">
                    <c:v>GENERIC</c:v>
                  </c:pt>
                  <c:pt idx="16">
                    <c:v>GENERIC</c:v>
                  </c:pt>
                  <c:pt idx="17">
                    <c:v>GENERIC</c:v>
                  </c:pt>
                  <c:pt idx="18">
                    <c:v>GENERIC</c:v>
                  </c:pt>
                  <c:pt idx="19">
                    <c:v>GENERIC</c:v>
                  </c:pt>
                </c:lvl>
                <c:lvl>
                  <c:pt idx="0">
                    <c:v>2026</c:v>
                  </c:pt>
                  <c:pt idx="1">
                    <c:v>2027</c:v>
                  </c:pt>
                  <c:pt idx="2">
                    <c:v>2028</c:v>
                  </c:pt>
                  <c:pt idx="3">
                    <c:v>2029</c:v>
                  </c:pt>
                  <c:pt idx="4">
                    <c:v>2030</c:v>
                  </c:pt>
                  <c:pt idx="5">
                    <c:v>2031</c:v>
                  </c:pt>
                  <c:pt idx="6">
                    <c:v>2032</c:v>
                  </c:pt>
                  <c:pt idx="7">
                    <c:v>2033</c:v>
                  </c:pt>
                  <c:pt idx="8">
                    <c:v>2034</c:v>
                  </c:pt>
                  <c:pt idx="9">
                    <c:v>2035</c:v>
                  </c:pt>
                  <c:pt idx="10">
                    <c:v>2036</c:v>
                  </c:pt>
                  <c:pt idx="11">
                    <c:v>2037</c:v>
                  </c:pt>
                  <c:pt idx="12">
                    <c:v>2038</c:v>
                  </c:pt>
                  <c:pt idx="13">
                    <c:v>2039</c:v>
                  </c:pt>
                  <c:pt idx="14">
                    <c:v>2040</c:v>
                  </c:pt>
                  <c:pt idx="15">
                    <c:v>2041</c:v>
                  </c:pt>
                  <c:pt idx="16">
                    <c:v>2042</c:v>
                  </c:pt>
                  <c:pt idx="17">
                    <c:v>2043</c:v>
                  </c:pt>
                  <c:pt idx="18">
                    <c:v>2044</c:v>
                  </c:pt>
                  <c:pt idx="19">
                    <c:v>2045</c:v>
                  </c:pt>
                </c:lvl>
              </c:multiLvlStrCache>
            </c:multiLvlStrRef>
          </c:cat>
          <c:val>
            <c:numRef>
              <c:f>DCF!$U$8:$U$27</c:f>
              <c:numCache>
                <c:formatCode>0.0</c:formatCode>
                <c:ptCount val="20"/>
                <c:pt idx="0">
                  <c:v>-35.4</c:v>
                </c:pt>
                <c:pt idx="1">
                  <c:v>-66.7</c:v>
                </c:pt>
                <c:pt idx="2">
                  <c:v>-94.4</c:v>
                </c:pt>
                <c:pt idx="3">
                  <c:v>-88.3</c:v>
                </c:pt>
                <c:pt idx="4">
                  <c:v>-74.400000000000006</c:v>
                </c:pt>
                <c:pt idx="5">
                  <c:v>-54.1</c:v>
                </c:pt>
                <c:pt idx="6">
                  <c:v>-31.3</c:v>
                </c:pt>
                <c:pt idx="7">
                  <c:v>9</c:v>
                </c:pt>
                <c:pt idx="8">
                  <c:v>53.3</c:v>
                </c:pt>
                <c:pt idx="9">
                  <c:v>100.6</c:v>
                </c:pt>
                <c:pt idx="10">
                  <c:v>143.5</c:v>
                </c:pt>
                <c:pt idx="11">
                  <c:v>182.4</c:v>
                </c:pt>
                <c:pt idx="12">
                  <c:v>217.7</c:v>
                </c:pt>
                <c:pt idx="13">
                  <c:v>249.8</c:v>
                </c:pt>
                <c:pt idx="14">
                  <c:v>278.8</c:v>
                </c:pt>
                <c:pt idx="15">
                  <c:v>297.8</c:v>
                </c:pt>
                <c:pt idx="16">
                  <c:v>309.60000000000002</c:v>
                </c:pt>
                <c:pt idx="17">
                  <c:v>316.10000000000002</c:v>
                </c:pt>
                <c:pt idx="18">
                  <c:v>319.3</c:v>
                </c:pt>
                <c:pt idx="19">
                  <c:v>320.39999999999998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7A-4404-A814-06E94F051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0022112"/>
        <c:axId val="1020025952"/>
      </c:lineChart>
      <c:catAx>
        <c:axId val="1020022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025952"/>
        <c:crosses val="autoZero"/>
        <c:auto val="1"/>
        <c:lblAlgn val="ctr"/>
        <c:lblOffset val="100"/>
        <c:noMultiLvlLbl val="0"/>
      </c:catAx>
      <c:valAx>
        <c:axId val="10200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Millions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022112"/>
        <c:crosses val="autoZero"/>
        <c:crossBetween val="between"/>
      </c:valAx>
      <c:spPr>
        <a:solidFill>
          <a:srgbClr val="F8FB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DD7EE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15</xdr:row>
      <xdr:rowOff>57150</xdr:rowOff>
    </xdr:from>
    <xdr:to>
      <xdr:col>7</xdr:col>
      <xdr:colOff>0</xdr:colOff>
      <xdr:row>25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A1BF5C-C12F-6F3D-6781-F296394BE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15</xdr:row>
      <xdr:rowOff>19049</xdr:rowOff>
    </xdr:from>
    <xdr:to>
      <xdr:col>9</xdr:col>
      <xdr:colOff>9524</xdr:colOff>
      <xdr:row>28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7808E0-25BF-A9A1-8402-1A0FF453B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27</xdr:row>
      <xdr:rowOff>123825</xdr:rowOff>
    </xdr:from>
    <xdr:to>
      <xdr:col>15</xdr:col>
      <xdr:colOff>568325</xdr:colOff>
      <xdr:row>44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BEEAF3-F2B8-D5DE-A329-BEE43A1AD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6E353D-8B37-4043-93EA-1D44117C384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0051840-ab1a-4ac0-a143-a3b8d5f6219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8D2B-0DBC-440C-972D-C2AFEE948C8F}">
  <dimension ref="B1:I18"/>
  <sheetViews>
    <sheetView zoomScaleNormal="100" workbookViewId="0">
      <selection activeCell="E24" sqref="E24"/>
    </sheetView>
  </sheetViews>
  <sheetFormatPr defaultRowHeight="15" x14ac:dyDescent="0.25"/>
  <cols>
    <col min="1" max="1" width="2.28515625" customWidth="1"/>
    <col min="2" max="2" width="30.42578125" customWidth="1"/>
    <col min="3" max="3" width="21" customWidth="1"/>
    <col min="4" max="4" width="3.42578125" customWidth="1"/>
    <col min="5" max="5" width="30.42578125" customWidth="1"/>
    <col min="6" max="6" width="21" customWidth="1"/>
    <col min="7" max="7" width="3.42578125" customWidth="1"/>
    <col min="8" max="8" width="30.42578125" customWidth="1"/>
    <col min="9" max="9" width="15.28515625" customWidth="1"/>
    <col min="10" max="12" width="3.42578125" customWidth="1"/>
  </cols>
  <sheetData>
    <row r="1" spans="2:9" ht="38.1" customHeight="1" x14ac:dyDescent="0.4">
      <c r="B1" s="269" t="s">
        <v>41</v>
      </c>
      <c r="C1" s="269"/>
      <c r="D1" s="240"/>
      <c r="E1" s="270" t="s">
        <v>169</v>
      </c>
      <c r="F1" s="270"/>
      <c r="G1" s="270"/>
      <c r="H1" s="270"/>
      <c r="I1" s="270"/>
    </row>
    <row r="2" spans="2:9" ht="21.95" customHeight="1" x14ac:dyDescent="0.25">
      <c r="B2" s="271" t="s">
        <v>130</v>
      </c>
      <c r="C2" s="271"/>
      <c r="D2" s="241"/>
      <c r="E2" s="272" t="s">
        <v>168</v>
      </c>
      <c r="F2" s="272"/>
      <c r="G2" s="272"/>
      <c r="H2" s="272"/>
      <c r="I2" s="272"/>
    </row>
    <row r="3" spans="2:9" ht="8.1" customHeight="1" x14ac:dyDescent="0.25"/>
    <row r="4" spans="2:9" ht="20.100000000000001" customHeight="1" x14ac:dyDescent="0.25">
      <c r="B4" s="273" t="s">
        <v>131</v>
      </c>
      <c r="C4" s="274"/>
      <c r="D4" s="280"/>
      <c r="E4" s="275" t="s">
        <v>139</v>
      </c>
      <c r="F4" s="276"/>
      <c r="G4" s="280"/>
      <c r="H4" s="275" t="s">
        <v>144</v>
      </c>
      <c r="I4" s="276"/>
    </row>
    <row r="5" spans="2:9" ht="18" customHeight="1" x14ac:dyDescent="0.25">
      <c r="B5" s="242" t="s">
        <v>132</v>
      </c>
      <c r="C5" s="296">
        <v>12.25</v>
      </c>
      <c r="D5" s="280"/>
      <c r="E5" s="251" t="s">
        <v>140</v>
      </c>
      <c r="F5" s="252" t="s">
        <v>45</v>
      </c>
      <c r="G5" s="280"/>
      <c r="H5" s="253" t="s">
        <v>145</v>
      </c>
      <c r="I5" s="290"/>
    </row>
    <row r="6" spans="2:9" ht="18" customHeight="1" x14ac:dyDescent="0.25">
      <c r="B6" s="243" t="s">
        <v>133</v>
      </c>
      <c r="C6" s="245">
        <v>45.226328000000002</v>
      </c>
      <c r="D6" s="280"/>
      <c r="E6" s="243" t="s">
        <v>47</v>
      </c>
      <c r="F6" s="249" t="s">
        <v>48</v>
      </c>
      <c r="G6" s="280"/>
      <c r="H6" s="243" t="s">
        <v>146</v>
      </c>
      <c r="I6" s="291">
        <f ca="1">'Base Case (Normal)'!G7</f>
        <v>36.23096876749738</v>
      </c>
    </row>
    <row r="7" spans="2:9" ht="18" customHeight="1" x14ac:dyDescent="0.25">
      <c r="B7" s="247" t="s">
        <v>134</v>
      </c>
      <c r="C7" s="286">
        <f>C5*C6</f>
        <v>554.02251799999999</v>
      </c>
      <c r="D7" s="280"/>
      <c r="E7" s="243" t="s">
        <v>141</v>
      </c>
      <c r="F7" s="249" t="s">
        <v>51</v>
      </c>
      <c r="G7" s="280"/>
      <c r="H7" s="243" t="s">
        <v>147</v>
      </c>
      <c r="I7" s="291">
        <f ca="1">'Base Case (Normal)'!G8</f>
        <v>-68.057732049806788</v>
      </c>
    </row>
    <row r="8" spans="2:9" ht="18" customHeight="1" x14ac:dyDescent="0.25">
      <c r="B8" s="243" t="s">
        <v>135</v>
      </c>
      <c r="C8" s="287">
        <v>118.755</v>
      </c>
      <c r="D8" s="280"/>
      <c r="E8" s="243" t="s">
        <v>142</v>
      </c>
      <c r="F8" s="249">
        <v>2033</v>
      </c>
      <c r="G8" s="280"/>
      <c r="H8" s="243" t="s">
        <v>148</v>
      </c>
      <c r="I8" s="291">
        <f ca="1">'Base Case (Normal)'!G9</f>
        <v>132.06699769089929</v>
      </c>
    </row>
    <row r="9" spans="2:9" ht="18" customHeight="1" x14ac:dyDescent="0.25">
      <c r="B9" s="243" t="s">
        <v>136</v>
      </c>
      <c r="C9" s="288">
        <v>0</v>
      </c>
      <c r="D9" s="280"/>
      <c r="E9" s="243" t="s">
        <v>143</v>
      </c>
      <c r="F9" s="250">
        <f>DCF!E5</f>
        <v>0.12</v>
      </c>
      <c r="G9" s="280"/>
      <c r="H9" s="243" t="s">
        <v>149</v>
      </c>
      <c r="I9" s="292">
        <f ca="1">'Base Case (Normal)'!G10</f>
        <v>0.60499999999999998</v>
      </c>
    </row>
    <row r="10" spans="2:9" ht="18" customHeight="1" x14ac:dyDescent="0.25">
      <c r="B10" s="248" t="s">
        <v>137</v>
      </c>
      <c r="C10" s="289">
        <f>C7-C8+C9</f>
        <v>435.267518</v>
      </c>
      <c r="D10" s="280"/>
      <c r="E10" s="243" t="s">
        <v>162</v>
      </c>
      <c r="F10" s="250">
        <f ca="1">+'Conservative Case (Monte Carlo)'!Q25</f>
        <v>0.49292929292929294</v>
      </c>
      <c r="G10" s="280"/>
      <c r="H10" s="254" t="s">
        <v>150</v>
      </c>
      <c r="I10" s="293"/>
    </row>
    <row r="11" spans="2:9" ht="18" customHeight="1" x14ac:dyDescent="0.25">
      <c r="B11" s="244" t="s">
        <v>138</v>
      </c>
      <c r="C11" s="246"/>
      <c r="D11" s="280"/>
      <c r="E11" s="244" t="s">
        <v>163</v>
      </c>
      <c r="F11" s="246"/>
      <c r="G11" s="280"/>
      <c r="H11" s="243" t="s">
        <v>149</v>
      </c>
      <c r="I11" s="292">
        <f ca="1">'Bull Case (Phase 2 Prior)'!G10</f>
        <v>0.66600000000000004</v>
      </c>
    </row>
    <row r="12" spans="2:9" ht="21" customHeight="1" x14ac:dyDescent="0.25">
      <c r="D12" s="280"/>
      <c r="G12" s="280"/>
      <c r="H12" s="243" t="s">
        <v>147</v>
      </c>
      <c r="I12" s="291">
        <f ca="1">'Bull Case (Phase 2 Prior)'!G8</f>
        <v>-7.7517048461433884</v>
      </c>
    </row>
    <row r="13" spans="2:9" ht="20.100000000000001" customHeight="1" x14ac:dyDescent="0.25">
      <c r="B13" s="275" t="s">
        <v>151</v>
      </c>
      <c r="C13" s="277"/>
      <c r="D13" s="281"/>
      <c r="E13" s="277"/>
      <c r="F13" s="277"/>
      <c r="G13" s="281"/>
      <c r="H13" s="277"/>
      <c r="I13" s="294"/>
    </row>
    <row r="14" spans="2:9" ht="18" customHeight="1" x14ac:dyDescent="0.25">
      <c r="B14" s="263" t="s">
        <v>152</v>
      </c>
      <c r="C14" s="264" t="s">
        <v>153</v>
      </c>
      <c r="D14" s="282"/>
      <c r="E14" s="266" t="s">
        <v>154</v>
      </c>
      <c r="F14" s="265"/>
      <c r="G14" s="282"/>
      <c r="H14" s="266" t="s">
        <v>155</v>
      </c>
      <c r="I14" s="267" t="s">
        <v>10</v>
      </c>
    </row>
    <row r="15" spans="2:9" ht="18" customHeight="1" x14ac:dyDescent="0.25">
      <c r="B15" s="255" t="s">
        <v>156</v>
      </c>
      <c r="C15" s="256">
        <f ca="1">'Conservative Case (Monte Carlo)'!Q17</f>
        <v>0.60707070707070709</v>
      </c>
      <c r="D15" s="283"/>
      <c r="E15" s="278" t="s">
        <v>157</v>
      </c>
      <c r="F15" s="278"/>
      <c r="G15" s="284"/>
      <c r="H15" s="257" t="s">
        <v>160</v>
      </c>
      <c r="I15" s="258">
        <f ca="1">'Conservative Case (Monte Carlo)'!Q18</f>
        <v>4.8629499999999997</v>
      </c>
    </row>
    <row r="16" spans="2:9" ht="18" customHeight="1" x14ac:dyDescent="0.25">
      <c r="B16" s="259" t="s">
        <v>158</v>
      </c>
      <c r="C16" s="260">
        <f ca="1">'Conservative Case (Monte Carlo)'!Q25</f>
        <v>0.49292929292929294</v>
      </c>
      <c r="D16" s="282"/>
      <c r="E16" s="279" t="s">
        <v>159</v>
      </c>
      <c r="F16" s="279"/>
      <c r="G16" s="285"/>
      <c r="H16" s="261" t="s">
        <v>161</v>
      </c>
      <c r="I16" s="262">
        <f ca="1">'Conservative Case (Monte Carlo)'!Q26</f>
        <v>3.2726000000000002</v>
      </c>
    </row>
    <row r="17" spans="2:8" ht="9.9499999999999993" customHeight="1" x14ac:dyDescent="0.25">
      <c r="D17" s="280"/>
      <c r="G17" s="280"/>
    </row>
    <row r="18" spans="2:8" x14ac:dyDescent="0.25">
      <c r="B18" s="268"/>
      <c r="D18" s="280"/>
      <c r="E18" s="268"/>
      <c r="G18" s="280"/>
      <c r="H18" s="268"/>
    </row>
  </sheetData>
  <mergeCells count="10">
    <mergeCell ref="B13:I13"/>
    <mergeCell ref="E15:G15"/>
    <mergeCell ref="E16:G16"/>
    <mergeCell ref="B1:C1"/>
    <mergeCell ref="E1:I1"/>
    <mergeCell ref="B2:C2"/>
    <mergeCell ref="E2:I2"/>
    <mergeCell ref="B4:C4"/>
    <mergeCell ref="E4:F4"/>
    <mergeCell ref="H4:I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BE20E-CF47-4D21-AA33-9831BD541055}">
  <dimension ref="A1:S1006"/>
  <sheetViews>
    <sheetView zoomScaleNormal="100" workbookViewId="0">
      <selection activeCell="A2" sqref="A2:N2"/>
    </sheetView>
  </sheetViews>
  <sheetFormatPr defaultRowHeight="15" x14ac:dyDescent="0.25"/>
  <cols>
    <col min="1" max="1" width="29.85546875" bestFit="1" customWidth="1"/>
    <col min="2" max="2" width="13.7109375" customWidth="1"/>
    <col min="3" max="3" width="15.28515625" customWidth="1"/>
    <col min="4" max="4" width="13.7109375" customWidth="1"/>
    <col min="5" max="6" width="15.28515625" customWidth="1"/>
    <col min="7" max="9" width="13.7109375" customWidth="1"/>
    <col min="10" max="10" width="9" bestFit="1" customWidth="1"/>
    <col min="11" max="11" width="15.28515625" customWidth="1"/>
    <col min="12" max="12" width="24.7109375" customWidth="1"/>
    <col min="13" max="13" width="15.28515625" customWidth="1"/>
    <col min="14" max="14" width="11.42578125" customWidth="1"/>
    <col min="15" max="15" width="3.42578125" customWidth="1"/>
    <col min="16" max="16" width="17.85546875" bestFit="1" customWidth="1"/>
    <col min="17" max="17" width="5.85546875" bestFit="1" customWidth="1"/>
    <col min="18" max="19" width="9.140625" hidden="1" customWidth="1"/>
  </cols>
  <sheetData>
    <row r="1" spans="1:19" ht="32.1" customHeight="1" x14ac:dyDescent="0.35">
      <c r="A1" s="133" t="s">
        <v>62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</row>
    <row r="2" spans="1:19" ht="18" customHeight="1" x14ac:dyDescent="0.25">
      <c r="A2" s="272" t="s">
        <v>167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9" ht="8.1" customHeight="1" x14ac:dyDescent="0.25"/>
    <row r="4" spans="1:19" ht="6" customHeight="1" x14ac:dyDescent="0.25"/>
    <row r="5" spans="1:19" ht="6" customHeight="1" thickBot="1" x14ac:dyDescent="0.3"/>
    <row r="6" spans="1:19" ht="18" customHeight="1" x14ac:dyDescent="0.25">
      <c r="A6" s="236" t="s">
        <v>129</v>
      </c>
      <c r="B6" s="231">
        <v>30</v>
      </c>
      <c r="D6" s="135" t="s">
        <v>94</v>
      </c>
      <c r="E6" s="136"/>
      <c r="K6" s="179" t="s">
        <v>97</v>
      </c>
      <c r="L6" s="180"/>
      <c r="M6" s="180"/>
      <c r="N6" s="178"/>
      <c r="R6" t="s">
        <v>95</v>
      </c>
      <c r="S6" t="s">
        <v>103</v>
      </c>
    </row>
    <row r="7" spans="1:19" ht="18" customHeight="1" x14ac:dyDescent="0.25">
      <c r="A7" s="137" t="s">
        <v>105</v>
      </c>
      <c r="B7" s="232">
        <v>60</v>
      </c>
      <c r="D7" s="137" t="s">
        <v>95</v>
      </c>
      <c r="E7" s="189" t="s">
        <v>6</v>
      </c>
      <c r="K7" s="170"/>
      <c r="L7" s="171" t="s">
        <v>98</v>
      </c>
      <c r="M7" s="172" t="s">
        <v>0</v>
      </c>
      <c r="N7" s="232">
        <v>25</v>
      </c>
      <c r="R7" t="s">
        <v>7</v>
      </c>
      <c r="S7">
        <f ca="1">COUNTIF(K16:K1005,R7)</f>
        <v>502</v>
      </c>
    </row>
    <row r="8" spans="1:19" ht="18" customHeight="1" x14ac:dyDescent="0.25">
      <c r="A8" s="137" t="s">
        <v>92</v>
      </c>
      <c r="B8" s="232">
        <v>5</v>
      </c>
      <c r="D8" s="163" t="s">
        <v>7</v>
      </c>
      <c r="E8" s="185">
        <v>-0.95</v>
      </c>
      <c r="K8" s="170"/>
      <c r="L8" s="171" t="s">
        <v>1</v>
      </c>
      <c r="M8" s="173" t="s">
        <v>2</v>
      </c>
      <c r="N8" s="232">
        <v>18</v>
      </c>
      <c r="R8" t="s">
        <v>8</v>
      </c>
      <c r="S8">
        <f ca="1">COUNTIF(K16:K1005,R8)</f>
        <v>96</v>
      </c>
    </row>
    <row r="9" spans="1:19" ht="18" customHeight="1" x14ac:dyDescent="0.25">
      <c r="A9" s="137" t="s">
        <v>93</v>
      </c>
      <c r="B9" s="234">
        <v>115</v>
      </c>
      <c r="D9" s="164" t="s">
        <v>8</v>
      </c>
      <c r="E9" s="186">
        <v>3</v>
      </c>
      <c r="K9" s="170"/>
      <c r="L9" s="171" t="s">
        <v>99</v>
      </c>
      <c r="M9" s="173" t="s">
        <v>3</v>
      </c>
      <c r="N9" s="235">
        <v>0.7</v>
      </c>
      <c r="R9" t="s">
        <v>9</v>
      </c>
      <c r="S9">
        <f ca="1">COUNTIF(K16:K1005,R9)</f>
        <v>179</v>
      </c>
    </row>
    <row r="10" spans="1:19" ht="18" customHeight="1" x14ac:dyDescent="0.25">
      <c r="A10" s="137" t="s">
        <v>104</v>
      </c>
      <c r="B10" s="235">
        <v>0.05</v>
      </c>
      <c r="D10" s="165" t="s">
        <v>9</v>
      </c>
      <c r="E10" s="187">
        <v>5</v>
      </c>
      <c r="K10" s="170"/>
      <c r="L10" s="171" t="s">
        <v>100</v>
      </c>
      <c r="M10" s="172" t="s">
        <v>5</v>
      </c>
      <c r="N10" s="235">
        <v>0.55000000000000004</v>
      </c>
      <c r="R10" t="s">
        <v>4</v>
      </c>
      <c r="S10">
        <f ca="1">COUNTIF(K16:K1005,R10)</f>
        <v>213</v>
      </c>
    </row>
    <row r="11" spans="1:19" ht="18" customHeight="1" thickBot="1" x14ac:dyDescent="0.3">
      <c r="A11" s="237" t="s">
        <v>68</v>
      </c>
      <c r="B11" s="239">
        <v>20</v>
      </c>
      <c r="D11" s="166" t="s">
        <v>4</v>
      </c>
      <c r="E11" s="188">
        <v>12.5</v>
      </c>
      <c r="K11" s="174"/>
      <c r="L11" s="175" t="s">
        <v>101</v>
      </c>
      <c r="M11" s="176" t="s">
        <v>102</v>
      </c>
      <c r="N11" s="177">
        <f>N9*N10</f>
        <v>0.38500000000000001</v>
      </c>
    </row>
    <row r="12" spans="1:19" ht="15.75" thickBot="1" x14ac:dyDescent="0.3">
      <c r="A12" s="139" t="s">
        <v>128</v>
      </c>
      <c r="B12" s="233">
        <v>20</v>
      </c>
      <c r="L12" t="s">
        <v>106</v>
      </c>
      <c r="M12" s="3">
        <f>$B$7*SQRT(2/$B$9)</f>
        <v>7.9125656807494433</v>
      </c>
    </row>
    <row r="13" spans="1:19" ht="15.75" thickBot="1" x14ac:dyDescent="0.3">
      <c r="A13" s="134"/>
      <c r="B13" s="295"/>
      <c r="M13" s="3"/>
    </row>
    <row r="14" spans="1:19" ht="18" customHeight="1" thickBot="1" x14ac:dyDescent="0.3">
      <c r="A14" s="238" t="s">
        <v>107</v>
      </c>
      <c r="B14" s="167"/>
      <c r="C14" s="167"/>
      <c r="D14" s="167"/>
      <c r="E14" s="107"/>
      <c r="F14" s="214" t="s">
        <v>96</v>
      </c>
      <c r="G14" s="214"/>
      <c r="H14" s="214"/>
      <c r="I14" s="215"/>
      <c r="J14" s="215"/>
      <c r="K14" s="215"/>
      <c r="L14" s="190"/>
      <c r="M14" s="228"/>
    </row>
    <row r="15" spans="1:19" ht="21.95" customHeight="1" x14ac:dyDescent="0.25">
      <c r="A15" s="181" t="s">
        <v>108</v>
      </c>
      <c r="B15" s="182" t="s">
        <v>109</v>
      </c>
      <c r="C15" s="182" t="s">
        <v>110</v>
      </c>
      <c r="D15" s="182" t="s">
        <v>111</v>
      </c>
      <c r="E15" s="183" t="s">
        <v>112</v>
      </c>
      <c r="F15" s="160" t="s">
        <v>113</v>
      </c>
      <c r="G15" s="160" t="s">
        <v>114</v>
      </c>
      <c r="H15" s="160" t="s">
        <v>115</v>
      </c>
      <c r="I15" s="160" t="s">
        <v>116</v>
      </c>
      <c r="J15" s="192" t="s">
        <v>124</v>
      </c>
      <c r="K15" s="229" t="s">
        <v>125</v>
      </c>
      <c r="L15" s="190" t="s">
        <v>126</v>
      </c>
      <c r="M15" s="228" t="s">
        <v>127</v>
      </c>
      <c r="P15" s="21" t="s">
        <v>120</v>
      </c>
      <c r="Q15" s="201"/>
    </row>
    <row r="16" spans="1:19" ht="15.75" thickBot="1" x14ac:dyDescent="0.3">
      <c r="A16" s="169">
        <f ca="1">NORMINV(RAND(), MAX(0, NORMINV(RAND(), $B$6, $B$12)), $B$7/SQRT($B$9))</f>
        <v>34.170510235188118</v>
      </c>
      <c r="B16" s="168">
        <f ca="1">NORMINV(RAND(), $B$8, $B$7/SQRT($B$9))</f>
        <v>4.8762995196178593</v>
      </c>
      <c r="C16" s="168">
        <f ca="1">A16-B16</f>
        <v>29.294210715570259</v>
      </c>
      <c r="D16" s="184">
        <f ca="1">C16/($B$7*SQRT(2/$B$9))</f>
        <v>3.7022391847994922</v>
      </c>
      <c r="E16" s="230">
        <f ca="1">_xlfn.T.DIST.RT(D16, 2*$B$9-2)</f>
        <v>1.3402862470586935E-4</v>
      </c>
      <c r="F16" s="168">
        <f ca="1">NORMINV(RAND(), MAX(0, NORMINV(RAND(), $N$7, $N$8)), $B$7/SQRT($B$9))</f>
        <v>41.430703812673215</v>
      </c>
      <c r="G16" s="168">
        <f ca="1">F16-B16</f>
        <v>36.554404293055356</v>
      </c>
      <c r="H16" s="184">
        <f ca="1">G16/($B$7*SQRT(2/$B$9))</f>
        <v>4.6197915780957013</v>
      </c>
      <c r="I16" s="184">
        <f ca="1">_xlfn.T.DIST.RT(H16, 2*$B$9-2)</f>
        <v>3.2120833997687444E-6</v>
      </c>
      <c r="J16" s="222">
        <f ca="1">IF(AND(I16&lt;$B$10, G16&gt;=$B$11), 1, 0)</f>
        <v>1</v>
      </c>
      <c r="K16" s="219" t="str" cm="1">
        <f t="array" aca="1" ref="K16" ca="1">_xlfn.IFS(G16&lt;$B$11,"Fail",G16&lt;25,"Marginal",G16&lt;35,"Solid",TRUE,"Blowout")</f>
        <v>Blowout</v>
      </c>
      <c r="L16" s="225">
        <f ca="1">IF(AND(E16&lt;$B$10,C16&gt;=$B$11),1,0)</f>
        <v>1</v>
      </c>
      <c r="M16" s="216" t="str" cm="1">
        <f t="array" aca="1" ref="M16" ca="1">_xlfn.IFS(C16&lt;$B$11,"Fail",C16&lt;25,"Marginal",C16&lt;35,"Solid",TRUE,"Blowout")</f>
        <v>Solid</v>
      </c>
      <c r="P16" s="191" t="s">
        <v>119</v>
      </c>
      <c r="Q16" s="202"/>
    </row>
    <row r="17" spans="1:17" x14ac:dyDescent="0.25">
      <c r="A17" s="169">
        <f t="shared" ref="A17:A80" ca="1" si="0">NORMINV(RAND(), MAX(0, NORMINV(RAND(), $B$6, $B$12)), $B$7/SQRT($B$9))</f>
        <v>28.740493861922506</v>
      </c>
      <c r="B17" s="168">
        <f t="shared" ref="B17:B80" ca="1" si="1">NORMINV(RAND(), $B$8, $B$7/SQRT($B$9))</f>
        <v>6.7758284578254724</v>
      </c>
      <c r="C17" s="168">
        <f t="shared" ref="C17:C80" ca="1" si="2">A17-B17</f>
        <v>21.964665404097033</v>
      </c>
      <c r="D17" s="184">
        <f t="shared" ref="D17:D80" ca="1" si="3">C17/($B$7*SQRT(2/$B$9))</f>
        <v>2.7759220321589337</v>
      </c>
      <c r="E17" s="230">
        <f t="shared" ref="E17:E80" ca="1" si="4">_xlfn.T.DIST.RT(D17, 2*$B$9-2)</f>
        <v>2.9808650414314877E-3</v>
      </c>
      <c r="F17" s="168">
        <f t="shared" ref="F17:F80" ca="1" si="5">NORMINV(RAND(), MAX(0, NORMINV(RAND(), $N$7, $N$8)), $B$7/SQRT($B$9))</f>
        <v>16.156735520031209</v>
      </c>
      <c r="G17" s="168">
        <f t="shared" ref="G17:G80" ca="1" si="6">F17-B17</f>
        <v>9.3809070622057362</v>
      </c>
      <c r="H17" s="184">
        <f t="shared" ref="H17:H80" ca="1" si="7">G17/($B$7*SQRT(2/$B$9))</f>
        <v>1.185570830082161</v>
      </c>
      <c r="I17" s="184">
        <f t="shared" ref="I17:I80" ca="1" si="8">_xlfn.T.DIST.RT(H17, 2*$B$9-2)</f>
        <v>0.11851298030040146</v>
      </c>
      <c r="J17" s="223">
        <f t="shared" ref="J17:J80" ca="1" si="9">IF(AND(I17&lt;$B$10, G17&gt;=$B$11), 1, 0)</f>
        <v>0</v>
      </c>
      <c r="K17" s="220" t="str" cm="1">
        <f t="array" aca="1" ref="K17" ca="1">_xlfn.IFS(G17&lt;$B$11,"Fail",G17&lt;25,"Marginal",G17&lt;35,"Solid",TRUE,"Blowout")</f>
        <v>Fail</v>
      </c>
      <c r="L17" s="226">
        <f ca="1">IF(AND(E17&lt;$B$10,C17&gt;=$B$11),1,0)</f>
        <v>1</v>
      </c>
      <c r="M17" s="217" t="str" cm="1">
        <f t="array" aca="1" ref="M17" ca="1">_xlfn.IFS(C17&lt;$B$11,"Fail",C17&lt;25,"Marginal",C17&lt;35,"Solid",TRUE,"Blowout")</f>
        <v>Marginal</v>
      </c>
      <c r="P17" s="203" t="s">
        <v>121</v>
      </c>
      <c r="Q17" s="196">
        <f ca="1">AVERAGE(L16:L1005)</f>
        <v>0.60707070707070709</v>
      </c>
    </row>
    <row r="18" spans="1:17" ht="18" customHeight="1" x14ac:dyDescent="0.25">
      <c r="A18" s="169">
        <f t="shared" ca="1" si="0"/>
        <v>20.739258621429343</v>
      </c>
      <c r="B18" s="168">
        <f t="shared" ca="1" si="1"/>
        <v>-2.9232946056160358</v>
      </c>
      <c r="C18" s="168">
        <f t="shared" ca="1" si="2"/>
        <v>23.662553227045379</v>
      </c>
      <c r="D18" s="184">
        <f t="shared" ca="1" si="3"/>
        <v>2.9905032301487533</v>
      </c>
      <c r="E18" s="230">
        <f t="shared" ca="1" si="4"/>
        <v>1.5454507539878447E-3</v>
      </c>
      <c r="F18" s="168">
        <f t="shared" ca="1" si="5"/>
        <v>-7.389020182400758</v>
      </c>
      <c r="G18" s="168">
        <f t="shared" ca="1" si="6"/>
        <v>-4.4657255767847222</v>
      </c>
      <c r="H18" s="184">
        <f t="shared" ca="1" si="7"/>
        <v>-0.56438401360123036</v>
      </c>
      <c r="I18" s="184">
        <f t="shared" ca="1" si="8"/>
        <v>0.7134761976401941</v>
      </c>
      <c r="J18" s="223">
        <f t="shared" ca="1" si="9"/>
        <v>0</v>
      </c>
      <c r="K18" s="220" t="str" cm="1">
        <f t="array" aca="1" ref="K18" ca="1">_xlfn.IFS(G18&lt;$B$11,"Fail",G18&lt;25,"Marginal",G18&lt;35,"Solid",TRUE,"Blowout")</f>
        <v>Fail</v>
      </c>
      <c r="L18" s="226">
        <f ca="1">IF(AND(E18&lt;$B$10,C18&gt;=$B$11),1,0)</f>
        <v>1</v>
      </c>
      <c r="M18" s="217" t="str" cm="1">
        <f t="array" aca="1" ref="M18" ca="1">_xlfn.IFS(C18&lt;$B$11,"Fail",C18&lt;25,"Marginal",C18&lt;35,"Solid",TRUE,"Blowout")</f>
        <v>Marginal</v>
      </c>
      <c r="P18" s="204" t="s">
        <v>122</v>
      </c>
      <c r="Q18" s="193">
        <f ca="1">COUNTIF(M16:M1005,"Fail")/1000*-0.95+COUNTIF(M16:M1005,"Marginal")/1000*2+COUNTIF(M16:M1005,"Solid")/1000*5+COUNTIF(M16:M1005,"Blowout")/1000*12.5</f>
        <v>4.8629499999999997</v>
      </c>
    </row>
    <row r="19" spans="1:17" ht="18" customHeight="1" x14ac:dyDescent="0.25">
      <c r="A19" s="169">
        <f t="shared" ca="1" si="0"/>
        <v>5.4453304449472917</v>
      </c>
      <c r="B19" s="168">
        <f t="shared" ca="1" si="1"/>
        <v>3.3226805742627463</v>
      </c>
      <c r="C19" s="168">
        <f t="shared" ca="1" si="2"/>
        <v>2.1226498706845454</v>
      </c>
      <c r="D19" s="184">
        <f t="shared" ca="1" si="3"/>
        <v>0.26826315967888398</v>
      </c>
      <c r="E19" s="230">
        <f t="shared" ca="1" si="4"/>
        <v>0.39436965742196917</v>
      </c>
      <c r="F19" s="168">
        <f t="shared" ca="1" si="5"/>
        <v>52.124916824485588</v>
      </c>
      <c r="G19" s="168">
        <f t="shared" ca="1" si="6"/>
        <v>48.80223625022284</v>
      </c>
      <c r="H19" s="184">
        <f t="shared" ca="1" si="7"/>
        <v>6.1676879812769538</v>
      </c>
      <c r="I19" s="184">
        <f t="shared" ca="1" si="8"/>
        <v>1.5620805179420909E-9</v>
      </c>
      <c r="J19" s="223">
        <f t="shared" ca="1" si="9"/>
        <v>1</v>
      </c>
      <c r="K19" s="220" t="str" cm="1">
        <f t="array" aca="1" ref="K19" ca="1">_xlfn.IFS(G19&lt;$B$11,"Fail",G19&lt;25,"Marginal",G19&lt;35,"Solid",TRUE,"Blowout")</f>
        <v>Blowout</v>
      </c>
      <c r="L19" s="226">
        <f ca="1">IF(AND(E19&lt;$B$10,C19&gt;=$B$11),1,0)</f>
        <v>0</v>
      </c>
      <c r="M19" s="217" t="str" cm="1">
        <f t="array" aca="1" ref="M19" ca="1">_xlfn.IFS(C19&lt;$B$11,"Fail",C19&lt;25,"Marginal",C19&lt;35,"Solid",TRUE,"Blowout")</f>
        <v>Fail</v>
      </c>
      <c r="P19" s="205" t="s">
        <v>7</v>
      </c>
      <c r="Q19" s="194">
        <f ca="1">COUNTIF(M16:M1005,"Fail")/1000</f>
        <v>0.38900000000000001</v>
      </c>
    </row>
    <row r="20" spans="1:17" ht="18" customHeight="1" x14ac:dyDescent="0.25">
      <c r="A20" s="169">
        <f t="shared" ca="1" si="0"/>
        <v>21.873575425055463</v>
      </c>
      <c r="B20" s="168">
        <f t="shared" ca="1" si="1"/>
        <v>7.2725810577041035</v>
      </c>
      <c r="C20" s="168">
        <f t="shared" ca="1" si="2"/>
        <v>14.60099436735136</v>
      </c>
      <c r="D20" s="184">
        <f t="shared" ca="1" si="3"/>
        <v>1.8452920274487274</v>
      </c>
      <c r="E20" s="230">
        <f t="shared" ca="1" si="4"/>
        <v>3.3145915669529978E-2</v>
      </c>
      <c r="F20" s="168">
        <f t="shared" ca="1" si="5"/>
        <v>29.925655593423091</v>
      </c>
      <c r="G20" s="168">
        <f t="shared" ca="1" si="6"/>
        <v>22.653074535718986</v>
      </c>
      <c r="H20" s="184">
        <f t="shared" ca="1" si="7"/>
        <v>2.8629240438195498</v>
      </c>
      <c r="I20" s="184">
        <f t="shared" ca="1" si="8"/>
        <v>2.2942772248398498E-3</v>
      </c>
      <c r="J20" s="223">
        <f t="shared" ca="1" si="9"/>
        <v>1</v>
      </c>
      <c r="K20" s="220" t="str" cm="1">
        <f t="array" aca="1" ref="K20" ca="1">_xlfn.IFS(G20&lt;$B$11,"Fail",G20&lt;25,"Marginal",G20&lt;35,"Solid",TRUE,"Blowout")</f>
        <v>Marginal</v>
      </c>
      <c r="L20" s="226">
        <f ca="1">IF(AND(E20&lt;$B$10,C20&gt;=$B$11),1,0)</f>
        <v>0</v>
      </c>
      <c r="M20" s="217" t="str" cm="1">
        <f t="array" aca="1" ref="M20" ca="1">_xlfn.IFS(C20&lt;$B$11,"Fail",C20&lt;25,"Marginal",C20&lt;35,"Solid",TRUE,"Blowout")</f>
        <v>Fail</v>
      </c>
      <c r="P20" s="205" t="s">
        <v>8</v>
      </c>
      <c r="Q20" s="194">
        <f ca="1">COUNTIF(M16:M1005,"Marginal")/1000</f>
        <v>9.5000000000000001E-2</v>
      </c>
    </row>
    <row r="21" spans="1:17" ht="18" customHeight="1" x14ac:dyDescent="0.25">
      <c r="A21" s="169">
        <f t="shared" ca="1" si="0"/>
        <v>28.566662355735023</v>
      </c>
      <c r="B21" s="168">
        <f t="shared" ca="1" si="1"/>
        <v>-2.0975804943950465</v>
      </c>
      <c r="C21" s="168">
        <f t="shared" ca="1" si="2"/>
        <v>30.664242850130069</v>
      </c>
      <c r="D21" s="184">
        <f t="shared" ca="1" si="3"/>
        <v>3.8753855686447443</v>
      </c>
      <c r="E21" s="230">
        <f t="shared" ca="1" si="4"/>
        <v>6.9598649580998603E-5</v>
      </c>
      <c r="F21" s="168">
        <f t="shared" ca="1" si="5"/>
        <v>51.93979647671749</v>
      </c>
      <c r="G21" s="168">
        <f t="shared" ca="1" si="6"/>
        <v>54.037376971112536</v>
      </c>
      <c r="H21" s="184">
        <f t="shared" ca="1" si="7"/>
        <v>6.8293116482534337</v>
      </c>
      <c r="I21" s="184">
        <f t="shared" ca="1" si="8"/>
        <v>3.8306545770205663E-11</v>
      </c>
      <c r="J21" s="223">
        <f t="shared" ca="1" si="9"/>
        <v>1</v>
      </c>
      <c r="K21" s="220" t="str" cm="1">
        <f t="array" aca="1" ref="K21" ca="1">_xlfn.IFS(G21&lt;$B$11,"Fail",G21&lt;25,"Marginal",G21&lt;35,"Solid",TRUE,"Blowout")</f>
        <v>Blowout</v>
      </c>
      <c r="L21" s="226">
        <f ca="1">IF(AND(E21&lt;$B$10,C21&gt;=$B$11),1,0)</f>
        <v>1</v>
      </c>
      <c r="M21" s="217" t="str" cm="1">
        <f t="array" aca="1" ref="M21" ca="1">_xlfn.IFS(C21&lt;$B$11,"Fail",C21&lt;25,"Marginal",C21&lt;35,"Solid",TRUE,"Blowout")</f>
        <v>Solid</v>
      </c>
      <c r="P21" s="205" t="s">
        <v>9</v>
      </c>
      <c r="Q21" s="194">
        <f ca="1">COUNTIF(M16:M1005,"Solid")/1000</f>
        <v>0.17100000000000001</v>
      </c>
    </row>
    <row r="22" spans="1:17" ht="18" customHeight="1" thickBot="1" x14ac:dyDescent="0.3">
      <c r="A22" s="169">
        <f t="shared" ca="1" si="0"/>
        <v>31.137114846478955</v>
      </c>
      <c r="B22" s="168">
        <f t="shared" ca="1" si="1"/>
        <v>4.5769076073291286</v>
      </c>
      <c r="C22" s="168">
        <f t="shared" ca="1" si="2"/>
        <v>26.560207239149825</v>
      </c>
      <c r="D22" s="184">
        <f t="shared" ca="1" si="3"/>
        <v>3.3567123877111578</v>
      </c>
      <c r="E22" s="230">
        <f t="shared" ca="1" si="4"/>
        <v>4.6200688692231488E-4</v>
      </c>
      <c r="F22" s="168">
        <f t="shared" ca="1" si="5"/>
        <v>19.537707118592383</v>
      </c>
      <c r="G22" s="168">
        <f t="shared" ca="1" si="6"/>
        <v>14.960799511263254</v>
      </c>
      <c r="H22" s="184">
        <f t="shared" ca="1" si="7"/>
        <v>1.8907646539556096</v>
      </c>
      <c r="I22" s="184">
        <f t="shared" ca="1" si="8"/>
        <v>2.9961895296195251E-2</v>
      </c>
      <c r="J22" s="223">
        <f t="shared" ca="1" si="9"/>
        <v>0</v>
      </c>
      <c r="K22" s="220" t="str" cm="1">
        <f t="array" aca="1" ref="K22" ca="1">_xlfn.IFS(G22&lt;$B$11,"Fail",G22&lt;25,"Marginal",G22&lt;35,"Solid",TRUE,"Blowout")</f>
        <v>Fail</v>
      </c>
      <c r="L22" s="226">
        <f ca="1">IF(AND(E22&lt;$B$10,C22&gt;=$B$11),1,0)</f>
        <v>1</v>
      </c>
      <c r="M22" s="217" t="str" cm="1">
        <f t="array" aca="1" ref="M22" ca="1">_xlfn.IFS(C22&lt;$B$11,"Fail",C22&lt;25,"Marginal",C22&lt;35,"Solid",TRUE,"Blowout")</f>
        <v>Solid</v>
      </c>
      <c r="P22" s="206" t="s">
        <v>4</v>
      </c>
      <c r="Q22" s="197">
        <f ca="1">COUNTIF(M16:M1005,"Blowout")/1000</f>
        <v>0.33500000000000002</v>
      </c>
    </row>
    <row r="23" spans="1:17" ht="18" customHeight="1" x14ac:dyDescent="0.25">
      <c r="A23" s="169">
        <f t="shared" ca="1" si="0"/>
        <v>60.618347050793915</v>
      </c>
      <c r="B23" s="168">
        <f t="shared" ca="1" si="1"/>
        <v>7.2772887782378746</v>
      </c>
      <c r="C23" s="168">
        <f t="shared" ca="1" si="2"/>
        <v>53.34105827255604</v>
      </c>
      <c r="D23" s="184">
        <f t="shared" ca="1" si="3"/>
        <v>6.7413100155781338</v>
      </c>
      <c r="E23" s="230">
        <f t="shared" ca="1" si="4"/>
        <v>6.3605558877266575E-11</v>
      </c>
      <c r="F23" s="168">
        <f t="shared" ca="1" si="5"/>
        <v>23.572811485236343</v>
      </c>
      <c r="G23" s="168">
        <f t="shared" ca="1" si="6"/>
        <v>16.295522706998469</v>
      </c>
      <c r="H23" s="184">
        <f t="shared" ca="1" si="7"/>
        <v>2.0594486497147191</v>
      </c>
      <c r="I23" s="184">
        <f t="shared" ca="1" si="8"/>
        <v>2.0293561715129031E-2</v>
      </c>
      <c r="J23" s="223">
        <f t="shared" ca="1" si="9"/>
        <v>0</v>
      </c>
      <c r="K23" s="220" t="str" cm="1">
        <f t="array" aca="1" ref="K23" ca="1">_xlfn.IFS(G23&lt;$B$11,"Fail",G23&lt;25,"Marginal",G23&lt;35,"Solid",TRUE,"Blowout")</f>
        <v>Fail</v>
      </c>
      <c r="L23" s="226">
        <f ca="1">IF(AND(E23&lt;$B$10,C23&gt;=$B$11),1,0)</f>
        <v>1</v>
      </c>
      <c r="M23" s="217" t="str" cm="1">
        <f t="array" aca="1" ref="M23" ca="1">_xlfn.IFS(C23&lt;$B$11,"Fail",C23&lt;25,"Marginal",C23&lt;35,"Solid",TRUE,"Blowout")</f>
        <v>Blowout</v>
      </c>
      <c r="P23" s="207"/>
      <c r="Q23" s="208"/>
    </row>
    <row r="24" spans="1:17" ht="18" customHeight="1" thickBot="1" x14ac:dyDescent="0.3">
      <c r="A24" s="169">
        <f t="shared" ca="1" si="0"/>
        <v>7.7380137355689413</v>
      </c>
      <c r="B24" s="168">
        <f t="shared" ca="1" si="1"/>
        <v>8.8275078726369216</v>
      </c>
      <c r="C24" s="168">
        <f t="shared" ca="1" si="2"/>
        <v>-1.0894941370679803</v>
      </c>
      <c r="D24" s="184">
        <f t="shared" ca="1" si="3"/>
        <v>-0.13769163897351538</v>
      </c>
      <c r="E24" s="230">
        <f t="shared" ca="1" si="4"/>
        <v>0.55469717589093748</v>
      </c>
      <c r="F24" s="168">
        <f t="shared" ca="1" si="5"/>
        <v>14.037481634782322</v>
      </c>
      <c r="G24" s="168">
        <f t="shared" ca="1" si="6"/>
        <v>5.2099737621454008</v>
      </c>
      <c r="H24" s="184">
        <f t="shared" ca="1" si="7"/>
        <v>0.65844303508542057</v>
      </c>
      <c r="I24" s="184">
        <f t="shared" ca="1" si="8"/>
        <v>0.25545891111612856</v>
      </c>
      <c r="J24" s="223">
        <f t="shared" ca="1" si="9"/>
        <v>0</v>
      </c>
      <c r="K24" s="220" t="str" cm="1">
        <f t="array" aca="1" ref="K24" ca="1">_xlfn.IFS(G24&lt;$B$11,"Fail",G24&lt;25,"Marginal",G24&lt;35,"Solid",TRUE,"Blowout")</f>
        <v>Fail</v>
      </c>
      <c r="L24" s="226">
        <f ca="1">IF(AND(E24&lt;$B$10,C24&gt;=$B$11),1,0)</f>
        <v>0</v>
      </c>
      <c r="M24" s="217" t="str" cm="1">
        <f t="array" aca="1" ref="M24" ca="1">_xlfn.IFS(C24&lt;$B$11,"Fail",C24&lt;25,"Marginal",C24&lt;35,"Solid",TRUE,"Blowout")</f>
        <v>Fail</v>
      </c>
      <c r="P24" s="192" t="s">
        <v>118</v>
      </c>
      <c r="Q24" s="209"/>
    </row>
    <row r="25" spans="1:17" ht="18" customHeight="1" x14ac:dyDescent="0.25">
      <c r="A25" s="169">
        <f t="shared" ca="1" si="0"/>
        <v>-4.5370260332260202</v>
      </c>
      <c r="B25" s="168">
        <f t="shared" ca="1" si="1"/>
        <v>14.83563769725188</v>
      </c>
      <c r="C25" s="168">
        <f t="shared" ca="1" si="2"/>
        <v>-19.3726637304779</v>
      </c>
      <c r="D25" s="184">
        <f t="shared" ca="1" si="3"/>
        <v>-2.4483416014618165</v>
      </c>
      <c r="E25" s="230">
        <f t="shared" ca="1" si="4"/>
        <v>0.99244672260875211</v>
      </c>
      <c r="F25" s="168">
        <f t="shared" ca="1" si="5"/>
        <v>26.641501523426012</v>
      </c>
      <c r="G25" s="168">
        <f t="shared" ca="1" si="6"/>
        <v>11.805863826174132</v>
      </c>
      <c r="H25" s="184">
        <f t="shared" ca="1" si="7"/>
        <v>1.4920399150552053</v>
      </c>
      <c r="I25" s="184">
        <f t="shared" ca="1" si="8"/>
        <v>6.8535513850807084E-2</v>
      </c>
      <c r="J25" s="223">
        <f t="shared" ca="1" si="9"/>
        <v>0</v>
      </c>
      <c r="K25" s="220" t="str" cm="1">
        <f t="array" aca="1" ref="K25" ca="1">_xlfn.IFS(G25&lt;$B$11,"Fail",G25&lt;25,"Marginal",G25&lt;35,"Solid",TRUE,"Blowout")</f>
        <v>Fail</v>
      </c>
      <c r="L25" s="226">
        <f ca="1">IF(AND(E25&lt;$B$10,C25&gt;=$B$11),1,0)</f>
        <v>0</v>
      </c>
      <c r="M25" s="217" t="str" cm="1">
        <f t="array" aca="1" ref="M25" ca="1">_xlfn.IFS(C25&lt;$B$11,"Fail",C25&lt;25,"Marginal",C25&lt;35,"Solid",TRUE,"Blowout")</f>
        <v>Fail</v>
      </c>
      <c r="P25" s="210" t="s">
        <v>121</v>
      </c>
      <c r="Q25" s="199">
        <f ca="1">AVERAGE(J16:J1005)</f>
        <v>0.49292929292929294</v>
      </c>
    </row>
    <row r="26" spans="1:17" ht="18" customHeight="1" x14ac:dyDescent="0.25">
      <c r="A26" s="169">
        <f t="shared" ca="1" si="0"/>
        <v>43.093499807855558</v>
      </c>
      <c r="B26" s="168">
        <f t="shared" ca="1" si="1"/>
        <v>4.2928023983880141</v>
      </c>
      <c r="C26" s="168">
        <f t="shared" ca="1" si="2"/>
        <v>38.800697409467546</v>
      </c>
      <c r="D26" s="184">
        <f t="shared" ca="1" si="3"/>
        <v>4.903680926638768</v>
      </c>
      <c r="E26" s="230">
        <f t="shared" ca="1" si="4"/>
        <v>8.9366944371161718E-7</v>
      </c>
      <c r="F26" s="168">
        <f t="shared" ca="1" si="5"/>
        <v>31.211319504580988</v>
      </c>
      <c r="G26" s="168">
        <f t="shared" ca="1" si="6"/>
        <v>26.918517106192972</v>
      </c>
      <c r="H26" s="184">
        <f t="shared" ca="1" si="7"/>
        <v>3.4019960392472051</v>
      </c>
      <c r="I26" s="184">
        <f t="shared" ca="1" si="8"/>
        <v>3.9495751851445835E-4</v>
      </c>
      <c r="J26" s="223">
        <f t="shared" ca="1" si="9"/>
        <v>1</v>
      </c>
      <c r="K26" s="220" t="str" cm="1">
        <f t="array" aca="1" ref="K26" ca="1">_xlfn.IFS(G26&lt;$B$11,"Fail",G26&lt;25,"Marginal",G26&lt;35,"Solid",TRUE,"Blowout")</f>
        <v>Solid</v>
      </c>
      <c r="L26" s="226">
        <f ca="1">IF(AND(E26&lt;$B$10,C26&gt;=$B$11),1,0)</f>
        <v>1</v>
      </c>
      <c r="M26" s="217" t="str" cm="1">
        <f t="array" aca="1" ref="M26" ca="1">_xlfn.IFS(C26&lt;$B$11,"Fail",C26&lt;25,"Marginal",C26&lt;35,"Solid",TRUE,"Blowout")</f>
        <v>Blowout</v>
      </c>
      <c r="P26" s="204" t="s">
        <v>122</v>
      </c>
      <c r="Q26" s="193">
        <f ca="1">COUNTIF(K16:K1005,"Fail")/1000*-0.95+COUNTIF(K16:K1005,"Marginal")/1000*2+COUNTIF(K16:K1005,"Solid")/1000*5+COUNTIF(K16:K1005,"Blowout")/1000*12.5</f>
        <v>3.2726000000000002</v>
      </c>
    </row>
    <row r="27" spans="1:17" ht="18" customHeight="1" x14ac:dyDescent="0.25">
      <c r="A27" s="169">
        <f t="shared" ca="1" si="0"/>
        <v>8.9865614742704398</v>
      </c>
      <c r="B27" s="168">
        <f t="shared" ca="1" si="1"/>
        <v>7.920862321381799</v>
      </c>
      <c r="C27" s="168">
        <f t="shared" ca="1" si="2"/>
        <v>1.0656991528886408</v>
      </c>
      <c r="D27" s="184">
        <f t="shared" ca="1" si="3"/>
        <v>0.13468439895309689</v>
      </c>
      <c r="E27" s="230">
        <f t="shared" ca="1" si="4"/>
        <v>0.44649011416473738</v>
      </c>
      <c r="F27" s="168">
        <f t="shared" ca="1" si="5"/>
        <v>47.735088109070226</v>
      </c>
      <c r="G27" s="168">
        <f t="shared" ca="1" si="6"/>
        <v>39.814225787688429</v>
      </c>
      <c r="H27" s="184">
        <f t="shared" ca="1" si="7"/>
        <v>5.0317719174897766</v>
      </c>
      <c r="I27" s="184">
        <f t="shared" ca="1" si="8"/>
        <v>4.9257743846987253E-7</v>
      </c>
      <c r="J27" s="223">
        <f t="shared" ca="1" si="9"/>
        <v>1</v>
      </c>
      <c r="K27" s="220" t="str" cm="1">
        <f t="array" aca="1" ref="K27" ca="1">_xlfn.IFS(G27&lt;$B$11,"Fail",G27&lt;25,"Marginal",G27&lt;35,"Solid",TRUE,"Blowout")</f>
        <v>Blowout</v>
      </c>
      <c r="L27" s="226">
        <f ca="1">IF(AND(E27&lt;$B$10,C27&gt;=$B$11),1,0)</f>
        <v>0</v>
      </c>
      <c r="M27" s="217" t="str" cm="1">
        <f t="array" aca="1" ref="M27" ca="1">_xlfn.IFS(C27&lt;$B$11,"Fail",C27&lt;25,"Marginal",C27&lt;35,"Solid",TRUE,"Blowout")</f>
        <v>Fail</v>
      </c>
      <c r="P27" s="205" t="s">
        <v>7</v>
      </c>
      <c r="Q27" s="194">
        <f ca="1">COUNTIF(K16:K1005,"Fail")/1000</f>
        <v>0.502</v>
      </c>
    </row>
    <row r="28" spans="1:17" ht="18" customHeight="1" x14ac:dyDescent="0.25">
      <c r="A28" s="169">
        <f t="shared" ca="1" si="0"/>
        <v>20.040740771047155</v>
      </c>
      <c r="B28" s="168">
        <f t="shared" ca="1" si="1"/>
        <v>-3.0342013795254399</v>
      </c>
      <c r="C28" s="168">
        <f t="shared" ca="1" si="2"/>
        <v>23.074942150572596</v>
      </c>
      <c r="D28" s="184">
        <f t="shared" ca="1" si="3"/>
        <v>2.9162402034414505</v>
      </c>
      <c r="E28" s="230">
        <f t="shared" ca="1" si="4"/>
        <v>1.9482272444783231E-3</v>
      </c>
      <c r="F28" s="168">
        <f t="shared" ca="1" si="5"/>
        <v>41.501957424357713</v>
      </c>
      <c r="G28" s="168">
        <f t="shared" ca="1" si="6"/>
        <v>44.536158803883154</v>
      </c>
      <c r="H28" s="184">
        <f t="shared" ca="1" si="7"/>
        <v>5.6285357494390977</v>
      </c>
      <c r="I28" s="184">
        <f t="shared" ca="1" si="8"/>
        <v>2.6553729932444729E-8</v>
      </c>
      <c r="J28" s="223">
        <f t="shared" ca="1" si="9"/>
        <v>1</v>
      </c>
      <c r="K28" s="220" t="str" cm="1">
        <f t="array" aca="1" ref="K28" ca="1">_xlfn.IFS(G28&lt;$B$11,"Fail",G28&lt;25,"Marginal",G28&lt;35,"Solid",TRUE,"Blowout")</f>
        <v>Blowout</v>
      </c>
      <c r="L28" s="226">
        <f ca="1">IF(AND(E28&lt;$B$10,C28&gt;=$B$11),1,0)</f>
        <v>1</v>
      </c>
      <c r="M28" s="217" t="str" cm="1">
        <f t="array" aca="1" ref="M28" ca="1">_xlfn.IFS(C28&lt;$B$11,"Fail",C28&lt;25,"Marginal",C28&lt;35,"Solid",TRUE,"Blowout")</f>
        <v>Marginal</v>
      </c>
      <c r="P28" s="205" t="s">
        <v>8</v>
      </c>
      <c r="Q28" s="194">
        <f ca="1">COUNTIF(K16:K1005,"Marginal")/1000</f>
        <v>9.6000000000000002E-2</v>
      </c>
    </row>
    <row r="29" spans="1:17" ht="18" customHeight="1" x14ac:dyDescent="0.25">
      <c r="A29" s="169">
        <f t="shared" ca="1" si="0"/>
        <v>21.417236464163096</v>
      </c>
      <c r="B29" s="168">
        <f t="shared" ca="1" si="1"/>
        <v>4.5885822925259303</v>
      </c>
      <c r="C29" s="168">
        <f t="shared" ca="1" si="2"/>
        <v>16.828654171637165</v>
      </c>
      <c r="D29" s="184">
        <f t="shared" ca="1" si="3"/>
        <v>2.1268264745757195</v>
      </c>
      <c r="E29" s="230">
        <f t="shared" ca="1" si="4"/>
        <v>1.7254470941089273E-2</v>
      </c>
      <c r="F29" s="168">
        <f t="shared" ca="1" si="5"/>
        <v>35.480002557325875</v>
      </c>
      <c r="G29" s="168">
        <f t="shared" ca="1" si="6"/>
        <v>30.891420264799944</v>
      </c>
      <c r="H29" s="184">
        <f t="shared" ca="1" si="7"/>
        <v>3.9040965359637996</v>
      </c>
      <c r="I29" s="184">
        <f t="shared" ca="1" si="8"/>
        <v>6.2292675863559596E-5</v>
      </c>
      <c r="J29" s="223">
        <f t="shared" ca="1" si="9"/>
        <v>1</v>
      </c>
      <c r="K29" s="220" t="str" cm="1">
        <f t="array" aca="1" ref="K29" ca="1">_xlfn.IFS(G29&lt;$B$11,"Fail",G29&lt;25,"Marginal",G29&lt;35,"Solid",TRUE,"Blowout")</f>
        <v>Solid</v>
      </c>
      <c r="L29" s="226">
        <f ca="1">IF(AND(E29&lt;$B$10,C29&gt;=$B$11),1,0)</f>
        <v>0</v>
      </c>
      <c r="M29" s="217" t="str" cm="1">
        <f t="array" aca="1" ref="M29" ca="1">_xlfn.IFS(C29&lt;$B$11,"Fail",C29&lt;25,"Marginal",C29&lt;35,"Solid",TRUE,"Blowout")</f>
        <v>Fail</v>
      </c>
      <c r="P29" s="205" t="s">
        <v>9</v>
      </c>
      <c r="Q29" s="194">
        <f ca="1">COUNTIF(K16:K1005,"Solid")/1000</f>
        <v>0.17899999999999999</v>
      </c>
    </row>
    <row r="30" spans="1:17" ht="18" customHeight="1" thickBot="1" x14ac:dyDescent="0.3">
      <c r="A30" s="169">
        <f t="shared" ca="1" si="0"/>
        <v>39.89119389749596</v>
      </c>
      <c r="B30" s="168">
        <f t="shared" ca="1" si="1"/>
        <v>3.1626844340224891</v>
      </c>
      <c r="C30" s="168">
        <f t="shared" ca="1" si="2"/>
        <v>36.728509463473472</v>
      </c>
      <c r="D30" s="184">
        <f t="shared" ca="1" si="3"/>
        <v>4.6417952084531331</v>
      </c>
      <c r="E30" s="230">
        <f t="shared" ca="1" si="4"/>
        <v>2.9148107749476155E-6</v>
      </c>
      <c r="F30" s="168">
        <f t="shared" ca="1" si="5"/>
        <v>32.466699778273991</v>
      </c>
      <c r="G30" s="168">
        <f t="shared" ca="1" si="6"/>
        <v>29.304015344251503</v>
      </c>
      <c r="H30" s="184">
        <f t="shared" ca="1" si="7"/>
        <v>3.7034783061005765</v>
      </c>
      <c r="I30" s="184">
        <f t="shared" ca="1" si="8"/>
        <v>1.3341257614359352E-4</v>
      </c>
      <c r="J30" s="223">
        <f t="shared" ca="1" si="9"/>
        <v>1</v>
      </c>
      <c r="K30" s="220" t="str" cm="1">
        <f t="array" aca="1" ref="K30" ca="1">_xlfn.IFS(G30&lt;$B$11,"Fail",G30&lt;25,"Marginal",G30&lt;35,"Solid",TRUE,"Blowout")</f>
        <v>Solid</v>
      </c>
      <c r="L30" s="226">
        <f ca="1">IF(AND(E30&lt;$B$10,C30&gt;=$B$11),1,0)</f>
        <v>1</v>
      </c>
      <c r="M30" s="217" t="str" cm="1">
        <f t="array" aca="1" ref="M30" ca="1">_xlfn.IFS(C30&lt;$B$11,"Fail",C30&lt;25,"Marginal",C30&lt;35,"Solid",TRUE,"Blowout")</f>
        <v>Blowout</v>
      </c>
      <c r="P30" s="211" t="s">
        <v>4</v>
      </c>
      <c r="Q30" s="200">
        <f ca="1">COUNTIF(K16:K1005,"Blowout")/1000</f>
        <v>0.21299999999999999</v>
      </c>
    </row>
    <row r="31" spans="1:17" ht="18" customHeight="1" x14ac:dyDescent="0.25">
      <c r="A31" s="169">
        <f t="shared" ca="1" si="0"/>
        <v>20.739420976087935</v>
      </c>
      <c r="B31" s="168">
        <f t="shared" ca="1" si="1"/>
        <v>4.5877703043787879</v>
      </c>
      <c r="C31" s="168">
        <f t="shared" ca="1" si="2"/>
        <v>16.151650671709149</v>
      </c>
      <c r="D31" s="184">
        <f t="shared" ca="1" si="3"/>
        <v>2.0412659209900341</v>
      </c>
      <c r="E31" s="230">
        <f t="shared" ca="1" si="4"/>
        <v>2.1188058746353777E-2</v>
      </c>
      <c r="F31" s="168">
        <f t="shared" ca="1" si="5"/>
        <v>26.675475238428312</v>
      </c>
      <c r="G31" s="168">
        <f t="shared" ca="1" si="6"/>
        <v>22.087704934049526</v>
      </c>
      <c r="H31" s="184">
        <f t="shared" ca="1" si="7"/>
        <v>2.7914719226643405</v>
      </c>
      <c r="I31" s="184">
        <f t="shared" ca="1" si="8"/>
        <v>2.8458982599223145E-3</v>
      </c>
      <c r="J31" s="223">
        <f t="shared" ca="1" si="9"/>
        <v>1</v>
      </c>
      <c r="K31" s="220" t="str" cm="1">
        <f t="array" aca="1" ref="K31" ca="1">_xlfn.IFS(G31&lt;$B$11,"Fail",G31&lt;25,"Marginal",G31&lt;35,"Solid",TRUE,"Blowout")</f>
        <v>Marginal</v>
      </c>
      <c r="L31" s="226">
        <f ca="1">IF(AND(E31&lt;$B$10,C31&gt;=$B$11),1,0)</f>
        <v>0</v>
      </c>
      <c r="M31" s="217" t="str" cm="1">
        <f t="array" aca="1" ref="M31" ca="1">_xlfn.IFS(C31&lt;$B$11,"Fail",C31&lt;25,"Marginal",C31&lt;35,"Solid",TRUE,"Blowout")</f>
        <v>Fail</v>
      </c>
      <c r="P31" s="207"/>
      <c r="Q31" s="208"/>
    </row>
    <row r="32" spans="1:17" ht="18" customHeight="1" thickBot="1" x14ac:dyDescent="0.3">
      <c r="A32" s="169">
        <f t="shared" ca="1" si="0"/>
        <v>37.017391943463679</v>
      </c>
      <c r="B32" s="168">
        <f t="shared" ca="1" si="1"/>
        <v>18.844806484311761</v>
      </c>
      <c r="C32" s="168">
        <f t="shared" ca="1" si="2"/>
        <v>18.172585459151918</v>
      </c>
      <c r="D32" s="184">
        <f t="shared" ca="1" si="3"/>
        <v>2.2966742005521894</v>
      </c>
      <c r="E32" s="230">
        <f t="shared" ca="1" si="4"/>
        <v>1.127253267538344E-2</v>
      </c>
      <c r="F32" s="168">
        <f t="shared" ca="1" si="5"/>
        <v>22.82502570537817</v>
      </c>
      <c r="G32" s="168">
        <f t="shared" ca="1" si="6"/>
        <v>3.9802192210664096</v>
      </c>
      <c r="H32" s="184">
        <f t="shared" ca="1" si="7"/>
        <v>0.50302510988944116</v>
      </c>
      <c r="I32" s="184">
        <f t="shared" ca="1" si="8"/>
        <v>0.3077160961592092</v>
      </c>
      <c r="J32" s="223">
        <f t="shared" ca="1" si="9"/>
        <v>0</v>
      </c>
      <c r="K32" s="220" t="str" cm="1">
        <f t="array" aca="1" ref="K32" ca="1">_xlfn.IFS(G32&lt;$B$11,"Fail",G32&lt;25,"Marginal",G32&lt;35,"Solid",TRUE,"Blowout")</f>
        <v>Fail</v>
      </c>
      <c r="L32" s="226">
        <f ca="1">IF(AND(E32&lt;$B$10,C32&gt;=$B$11),1,0)</f>
        <v>0</v>
      </c>
      <c r="M32" s="217" t="str" cm="1">
        <f t="array" aca="1" ref="M32" ca="1">_xlfn.IFS(C32&lt;$B$11,"Fail",C32&lt;25,"Marginal",C32&lt;35,"Solid",TRUE,"Blowout")</f>
        <v>Fail</v>
      </c>
      <c r="P32" s="198" t="s">
        <v>117</v>
      </c>
      <c r="Q32" s="212"/>
    </row>
    <row r="33" spans="1:17" ht="18" customHeight="1" thickBot="1" x14ac:dyDescent="0.3">
      <c r="A33" s="169">
        <f t="shared" ca="1" si="0"/>
        <v>7.4421424292636589</v>
      </c>
      <c r="B33" s="168">
        <f t="shared" ca="1" si="1"/>
        <v>11.406535501795938</v>
      </c>
      <c r="C33" s="168">
        <f t="shared" ca="1" si="2"/>
        <v>-3.9643930725322791</v>
      </c>
      <c r="D33" s="184">
        <f t="shared" ca="1" si="3"/>
        <v>-0.50102498133788498</v>
      </c>
      <c r="E33" s="230">
        <f t="shared" ca="1" si="4"/>
        <v>0.69158155217943262</v>
      </c>
      <c r="F33" s="168">
        <f t="shared" ca="1" si="5"/>
        <v>32.92360535269809</v>
      </c>
      <c r="G33" s="168">
        <f t="shared" ca="1" si="6"/>
        <v>21.517069850902153</v>
      </c>
      <c r="H33" s="184">
        <f t="shared" ca="1" si="7"/>
        <v>2.7193543433391318</v>
      </c>
      <c r="I33" s="184">
        <f t="shared" ca="1" si="8"/>
        <v>3.5222285578187756E-3</v>
      </c>
      <c r="J33" s="223">
        <f t="shared" ca="1" si="9"/>
        <v>1</v>
      </c>
      <c r="K33" s="220" t="str" cm="1">
        <f t="array" aca="1" ref="K33" ca="1">_xlfn.IFS(G33&lt;$B$11,"Fail",G33&lt;25,"Marginal",G33&lt;35,"Solid",TRUE,"Blowout")</f>
        <v>Marginal</v>
      </c>
      <c r="L33" s="226">
        <f ca="1">IF(AND(E33&lt;$B$10,C33&gt;=$B$11),1,0)</f>
        <v>0</v>
      </c>
      <c r="M33" s="217" t="str" cm="1">
        <f t="array" aca="1" ref="M33" ca="1">_xlfn.IFS(C33&lt;$B$11,"Fail",C33&lt;25,"Marginal",C33&lt;35,"Solid",TRUE,"Blowout")</f>
        <v>Fail</v>
      </c>
      <c r="P33" s="213" t="s">
        <v>123</v>
      </c>
      <c r="Q33" s="195">
        <f ca="1">AVERAGE(G16:G1005)</f>
        <v>20.600856048566087</v>
      </c>
    </row>
    <row r="34" spans="1:17" ht="18" customHeight="1" x14ac:dyDescent="0.25">
      <c r="A34" s="169">
        <f t="shared" ca="1" si="0"/>
        <v>17.76510369885689</v>
      </c>
      <c r="B34" s="168">
        <f t="shared" ca="1" si="1"/>
        <v>3.6716420874824314</v>
      </c>
      <c r="C34" s="168">
        <f t="shared" ca="1" si="2"/>
        <v>14.093461611374458</v>
      </c>
      <c r="D34" s="184">
        <f t="shared" ca="1" si="3"/>
        <v>1.7811493995762431</v>
      </c>
      <c r="E34" s="230">
        <f t="shared" ca="1" si="4"/>
        <v>3.8109648986244374E-2</v>
      </c>
      <c r="F34" s="168">
        <f t="shared" ca="1" si="5"/>
        <v>41.198207995608158</v>
      </c>
      <c r="G34" s="168">
        <f t="shared" ca="1" si="6"/>
        <v>37.526565908125725</v>
      </c>
      <c r="H34" s="184">
        <f t="shared" ca="1" si="7"/>
        <v>4.7426545854051447</v>
      </c>
      <c r="I34" s="184">
        <f t="shared" ca="1" si="8"/>
        <v>1.8593601166471953E-6</v>
      </c>
      <c r="J34" s="223">
        <f t="shared" ca="1" si="9"/>
        <v>1</v>
      </c>
      <c r="K34" s="220" t="str" cm="1">
        <f t="array" aca="1" ref="K34" ca="1">_xlfn.IFS(G34&lt;$B$11,"Fail",G34&lt;25,"Marginal",G34&lt;35,"Solid",TRUE,"Blowout")</f>
        <v>Blowout</v>
      </c>
      <c r="L34" s="226">
        <f ca="1">IF(AND(E34&lt;$B$10,C34&gt;=$B$11),1,0)</f>
        <v>0</v>
      </c>
      <c r="M34" s="217" t="str" cm="1">
        <f t="array" aca="1" ref="M34" ca="1">_xlfn.IFS(C34&lt;$B$11,"Fail",C34&lt;25,"Marginal",C34&lt;35,"Solid",TRUE,"Blowout")</f>
        <v>Fail</v>
      </c>
    </row>
    <row r="35" spans="1:17" ht="18" customHeight="1" x14ac:dyDescent="0.25">
      <c r="A35" s="169">
        <f t="shared" ca="1" si="0"/>
        <v>25.108241046432546</v>
      </c>
      <c r="B35" s="168">
        <f t="shared" ca="1" si="1"/>
        <v>-4.1787107815085438</v>
      </c>
      <c r="C35" s="168">
        <f t="shared" ca="1" si="2"/>
        <v>29.286951827941088</v>
      </c>
      <c r="D35" s="184">
        <f t="shared" ca="1" si="3"/>
        <v>3.7013217974535864</v>
      </c>
      <c r="E35" s="230">
        <f t="shared" ca="1" si="4"/>
        <v>1.3448644633083231E-4</v>
      </c>
      <c r="F35" s="168">
        <f t="shared" ca="1" si="5"/>
        <v>-5.9385682474244614</v>
      </c>
      <c r="G35" s="168">
        <f t="shared" ca="1" si="6"/>
        <v>-1.7598574659159176</v>
      </c>
      <c r="H35" s="184">
        <f t="shared" ca="1" si="7"/>
        <v>-0.22241299938874337</v>
      </c>
      <c r="I35" s="184">
        <f t="shared" ca="1" si="8"/>
        <v>0.58790425037476024</v>
      </c>
      <c r="J35" s="223">
        <f t="shared" ca="1" si="9"/>
        <v>0</v>
      </c>
      <c r="K35" s="220" t="str" cm="1">
        <f t="array" aca="1" ref="K35" ca="1">_xlfn.IFS(G35&lt;$B$11,"Fail",G35&lt;25,"Marginal",G35&lt;35,"Solid",TRUE,"Blowout")</f>
        <v>Fail</v>
      </c>
      <c r="L35" s="226">
        <f ca="1">IF(AND(E35&lt;$B$10,C35&gt;=$B$11),1,0)</f>
        <v>1</v>
      </c>
      <c r="M35" s="217" t="str" cm="1">
        <f t="array" aca="1" ref="M35" ca="1">_xlfn.IFS(C35&lt;$B$11,"Fail",C35&lt;25,"Marginal",C35&lt;35,"Solid",TRUE,"Blowout")</f>
        <v>Solid</v>
      </c>
    </row>
    <row r="36" spans="1:17" ht="18" customHeight="1" x14ac:dyDescent="0.25">
      <c r="A36" s="169">
        <f t="shared" ca="1" si="0"/>
        <v>12.862274112270173</v>
      </c>
      <c r="B36" s="168">
        <f t="shared" ca="1" si="1"/>
        <v>4.1743355849452888</v>
      </c>
      <c r="C36" s="168">
        <f t="shared" ca="1" si="2"/>
        <v>8.687938527324885</v>
      </c>
      <c r="D36" s="184">
        <f t="shared" ca="1" si="3"/>
        <v>1.0979925953046878</v>
      </c>
      <c r="E36" s="230">
        <f t="shared" ca="1" si="4"/>
        <v>0.13668295201419467</v>
      </c>
      <c r="F36" s="168">
        <f t="shared" ca="1" si="5"/>
        <v>22.738190866808981</v>
      </c>
      <c r="G36" s="168">
        <f t="shared" ca="1" si="6"/>
        <v>18.563855281863692</v>
      </c>
      <c r="H36" s="184">
        <f t="shared" ca="1" si="7"/>
        <v>2.3461233727295148</v>
      </c>
      <c r="I36" s="184">
        <f t="shared" ca="1" si="8"/>
        <v>9.9137811296790626E-3</v>
      </c>
      <c r="J36" s="223">
        <f t="shared" ca="1" si="9"/>
        <v>0</v>
      </c>
      <c r="K36" s="220" t="str" cm="1">
        <f t="array" aca="1" ref="K36" ca="1">_xlfn.IFS(G36&lt;$B$11,"Fail",G36&lt;25,"Marginal",G36&lt;35,"Solid",TRUE,"Blowout")</f>
        <v>Fail</v>
      </c>
      <c r="L36" s="226">
        <f ca="1">IF(AND(E36&lt;$B$10,C36&gt;=$B$11),1,0)</f>
        <v>0</v>
      </c>
      <c r="M36" s="217" t="str" cm="1">
        <f t="array" aca="1" ref="M36" ca="1">_xlfn.IFS(C36&lt;$B$11,"Fail",C36&lt;25,"Marginal",C36&lt;35,"Solid",TRUE,"Blowout")</f>
        <v>Fail</v>
      </c>
    </row>
    <row r="37" spans="1:17" x14ac:dyDescent="0.25">
      <c r="A37" s="169">
        <f t="shared" ca="1" si="0"/>
        <v>67.557192635371749</v>
      </c>
      <c r="B37" s="168">
        <f t="shared" ca="1" si="1"/>
        <v>8.1948765279192699</v>
      </c>
      <c r="C37" s="168">
        <f t="shared" ca="1" si="2"/>
        <v>59.362316107452479</v>
      </c>
      <c r="D37" s="184">
        <f t="shared" ca="1" si="3"/>
        <v>7.5022841518871211</v>
      </c>
      <c r="E37" s="230">
        <f t="shared" ca="1" si="4"/>
        <v>6.9591892348095441E-13</v>
      </c>
      <c r="F37" s="168">
        <f t="shared" ca="1" si="5"/>
        <v>38.14655048299651</v>
      </c>
      <c r="G37" s="168">
        <f t="shared" ca="1" si="6"/>
        <v>29.95167395507724</v>
      </c>
      <c r="H37" s="184">
        <f t="shared" ca="1" si="7"/>
        <v>3.7853302157032269</v>
      </c>
      <c r="I37" s="184">
        <f t="shared" ca="1" si="8"/>
        <v>9.8148127677886489E-5</v>
      </c>
      <c r="J37" s="223">
        <f t="shared" ca="1" si="9"/>
        <v>1</v>
      </c>
      <c r="K37" s="220" t="str" cm="1">
        <f t="array" aca="1" ref="K37" ca="1">_xlfn.IFS(G37&lt;$B$11,"Fail",G37&lt;25,"Marginal",G37&lt;35,"Solid",TRUE,"Blowout")</f>
        <v>Solid</v>
      </c>
      <c r="L37" s="226">
        <f ca="1">IF(AND(E37&lt;$B$10,C37&gt;=$B$11),1,0)</f>
        <v>1</v>
      </c>
      <c r="M37" s="217" t="str" cm="1">
        <f t="array" aca="1" ref="M37" ca="1">_xlfn.IFS(C37&lt;$B$11,"Fail",C37&lt;25,"Marginal",C37&lt;35,"Solid",TRUE,"Blowout")</f>
        <v>Blowout</v>
      </c>
    </row>
    <row r="38" spans="1:17" x14ac:dyDescent="0.25">
      <c r="A38" s="169">
        <f t="shared" ca="1" si="0"/>
        <v>36.67555649882069</v>
      </c>
      <c r="B38" s="168">
        <f t="shared" ca="1" si="1"/>
        <v>2.2791023280740519</v>
      </c>
      <c r="C38" s="168">
        <f t="shared" ca="1" si="2"/>
        <v>34.396454170746637</v>
      </c>
      <c r="D38" s="184">
        <f t="shared" ca="1" si="3"/>
        <v>4.3470671282299875</v>
      </c>
      <c r="E38" s="230">
        <f t="shared" ca="1" si="4"/>
        <v>1.039713411460994E-5</v>
      </c>
      <c r="F38" s="168">
        <f t="shared" ca="1" si="5"/>
        <v>11.633568341010651</v>
      </c>
      <c r="G38" s="168">
        <f t="shared" ca="1" si="6"/>
        <v>9.3544660129365997</v>
      </c>
      <c r="H38" s="184">
        <f t="shared" ca="1" si="7"/>
        <v>1.1822291770285294</v>
      </c>
      <c r="I38" s="184">
        <f t="shared" ca="1" si="8"/>
        <v>0.11917312393725889</v>
      </c>
      <c r="J38" s="223">
        <f t="shared" ca="1" si="9"/>
        <v>0</v>
      </c>
      <c r="K38" s="220" t="str" cm="1">
        <f t="array" aca="1" ref="K38" ca="1">_xlfn.IFS(G38&lt;$B$11,"Fail",G38&lt;25,"Marginal",G38&lt;35,"Solid",TRUE,"Blowout")</f>
        <v>Fail</v>
      </c>
      <c r="L38" s="226">
        <f ca="1">IF(AND(E38&lt;$B$10,C38&gt;=$B$11),1,0)</f>
        <v>1</v>
      </c>
      <c r="M38" s="217" t="str" cm="1">
        <f t="array" aca="1" ref="M38" ca="1">_xlfn.IFS(C38&lt;$B$11,"Fail",C38&lt;25,"Marginal",C38&lt;35,"Solid",TRUE,"Blowout")</f>
        <v>Solid</v>
      </c>
    </row>
    <row r="39" spans="1:17" x14ac:dyDescent="0.25">
      <c r="A39" s="169">
        <f t="shared" ca="1" si="0"/>
        <v>29.791292768955692</v>
      </c>
      <c r="B39" s="168">
        <f t="shared" ca="1" si="1"/>
        <v>-2.6918733787282294</v>
      </c>
      <c r="C39" s="168">
        <f t="shared" ca="1" si="2"/>
        <v>32.483166147683924</v>
      </c>
      <c r="D39" s="184">
        <f t="shared" ca="1" si="3"/>
        <v>4.1052633821053179</v>
      </c>
      <c r="E39" s="230">
        <f t="shared" ca="1" si="4"/>
        <v>2.8138364930920047E-5</v>
      </c>
      <c r="F39" s="168">
        <f t="shared" ca="1" si="5"/>
        <v>51.559742020746263</v>
      </c>
      <c r="G39" s="168">
        <f t="shared" ca="1" si="6"/>
        <v>54.251615399474495</v>
      </c>
      <c r="H39" s="184">
        <f t="shared" ca="1" si="7"/>
        <v>6.8563873702134019</v>
      </c>
      <c r="I39" s="184">
        <f t="shared" ca="1" si="8"/>
        <v>3.2746056582722163E-11</v>
      </c>
      <c r="J39" s="223">
        <f t="shared" ca="1" si="9"/>
        <v>1</v>
      </c>
      <c r="K39" s="220" t="str" cm="1">
        <f t="array" aca="1" ref="K39" ca="1">_xlfn.IFS(G39&lt;$B$11,"Fail",G39&lt;25,"Marginal",G39&lt;35,"Solid",TRUE,"Blowout")</f>
        <v>Blowout</v>
      </c>
      <c r="L39" s="226">
        <f ca="1">IF(AND(E39&lt;$B$10,C39&gt;=$B$11),1,0)</f>
        <v>1</v>
      </c>
      <c r="M39" s="217" t="str" cm="1">
        <f t="array" aca="1" ref="M39" ca="1">_xlfn.IFS(C39&lt;$B$11,"Fail",C39&lt;25,"Marginal",C39&lt;35,"Solid",TRUE,"Blowout")</f>
        <v>Solid</v>
      </c>
    </row>
    <row r="40" spans="1:17" x14ac:dyDescent="0.25">
      <c r="A40" s="169">
        <f t="shared" ca="1" si="0"/>
        <v>27.811316777606528</v>
      </c>
      <c r="B40" s="168">
        <f t="shared" ca="1" si="1"/>
        <v>15.557167849149689</v>
      </c>
      <c r="C40" s="168">
        <f t="shared" ca="1" si="2"/>
        <v>12.254148928456839</v>
      </c>
      <c r="D40" s="184">
        <f t="shared" ca="1" si="3"/>
        <v>1.5486947499557666</v>
      </c>
      <c r="E40" s="230">
        <f t="shared" ca="1" si="4"/>
        <v>6.1421013837623592E-2</v>
      </c>
      <c r="F40" s="168">
        <f t="shared" ca="1" si="5"/>
        <v>7.0527048137688713</v>
      </c>
      <c r="G40" s="168">
        <f t="shared" ca="1" si="6"/>
        <v>-8.5044630353808177</v>
      </c>
      <c r="H40" s="184">
        <f t="shared" ca="1" si="7"/>
        <v>-1.0748047319305554</v>
      </c>
      <c r="I40" s="184">
        <f t="shared" ca="1" si="8"/>
        <v>0.85820086949990848</v>
      </c>
      <c r="J40" s="223">
        <f t="shared" ca="1" si="9"/>
        <v>0</v>
      </c>
      <c r="K40" s="220" t="str" cm="1">
        <f t="array" aca="1" ref="K40" ca="1">_xlfn.IFS(G40&lt;$B$11,"Fail",G40&lt;25,"Marginal",G40&lt;35,"Solid",TRUE,"Blowout")</f>
        <v>Fail</v>
      </c>
      <c r="L40" s="226">
        <f ca="1">IF(AND(E40&lt;$B$10,C40&gt;=$B$11),1,0)</f>
        <v>0</v>
      </c>
      <c r="M40" s="217" t="str" cm="1">
        <f t="array" aca="1" ref="M40" ca="1">_xlfn.IFS(C40&lt;$B$11,"Fail",C40&lt;25,"Marginal",C40&lt;35,"Solid",TRUE,"Blowout")</f>
        <v>Fail</v>
      </c>
    </row>
    <row r="41" spans="1:17" x14ac:dyDescent="0.25">
      <c r="A41" s="169">
        <f t="shared" ca="1" si="0"/>
        <v>43.718219134382892</v>
      </c>
      <c r="B41" s="168">
        <f t="shared" ca="1" si="1"/>
        <v>7.4383589593684825</v>
      </c>
      <c r="C41" s="168">
        <f t="shared" ca="1" si="2"/>
        <v>36.279860175014406</v>
      </c>
      <c r="D41" s="184">
        <f t="shared" ca="1" si="3"/>
        <v>4.5850943472456756</v>
      </c>
      <c r="E41" s="230">
        <f t="shared" ca="1" si="4"/>
        <v>3.741000088690025E-6</v>
      </c>
      <c r="F41" s="168">
        <f t="shared" ca="1" si="5"/>
        <v>12.790977424135775</v>
      </c>
      <c r="G41" s="168">
        <f t="shared" ca="1" si="6"/>
        <v>5.3526184647672927</v>
      </c>
      <c r="H41" s="184">
        <f t="shared" ca="1" si="7"/>
        <v>0.67647065196434697</v>
      </c>
      <c r="I41" s="184">
        <f t="shared" ca="1" si="8"/>
        <v>0.24971377058239758</v>
      </c>
      <c r="J41" s="223">
        <f t="shared" ca="1" si="9"/>
        <v>0</v>
      </c>
      <c r="K41" s="220" t="str" cm="1">
        <f t="array" aca="1" ref="K41" ca="1">_xlfn.IFS(G41&lt;$B$11,"Fail",G41&lt;25,"Marginal",G41&lt;35,"Solid",TRUE,"Blowout")</f>
        <v>Fail</v>
      </c>
      <c r="L41" s="226">
        <f ca="1">IF(AND(E41&lt;$B$10,C41&gt;=$B$11),1,0)</f>
        <v>1</v>
      </c>
      <c r="M41" s="217" t="str" cm="1">
        <f t="array" aca="1" ref="M41" ca="1">_xlfn.IFS(C41&lt;$B$11,"Fail",C41&lt;25,"Marginal",C41&lt;35,"Solid",TRUE,"Blowout")</f>
        <v>Blowout</v>
      </c>
    </row>
    <row r="42" spans="1:17" x14ac:dyDescent="0.25">
      <c r="A42" s="169">
        <f t="shared" ca="1" si="0"/>
        <v>22.884523182111359</v>
      </c>
      <c r="B42" s="168">
        <f t="shared" ca="1" si="1"/>
        <v>4.4458981012874412</v>
      </c>
      <c r="C42" s="168">
        <f t="shared" ca="1" si="2"/>
        <v>18.438625080823918</v>
      </c>
      <c r="D42" s="184">
        <f t="shared" ca="1" si="3"/>
        <v>2.3302966224575457</v>
      </c>
      <c r="E42" s="230">
        <f t="shared" ca="1" si="4"/>
        <v>1.033210919482077E-2</v>
      </c>
      <c r="F42" s="168">
        <f t="shared" ca="1" si="5"/>
        <v>37.769312422334551</v>
      </c>
      <c r="G42" s="168">
        <f t="shared" ca="1" si="6"/>
        <v>33.32341432104711</v>
      </c>
      <c r="H42" s="184">
        <f t="shared" ca="1" si="7"/>
        <v>4.2114550027837323</v>
      </c>
      <c r="I42" s="184">
        <f t="shared" ca="1" si="8"/>
        <v>1.8270277850755316E-5</v>
      </c>
      <c r="J42" s="223">
        <f t="shared" ca="1" si="9"/>
        <v>1</v>
      </c>
      <c r="K42" s="220" t="str" cm="1">
        <f t="array" aca="1" ref="K42" ca="1">_xlfn.IFS(G42&lt;$B$11,"Fail",G42&lt;25,"Marginal",G42&lt;35,"Solid",TRUE,"Blowout")</f>
        <v>Solid</v>
      </c>
      <c r="L42" s="226">
        <f ca="1">IF(AND(E42&lt;$B$10,C42&gt;=$B$11),1,0)</f>
        <v>0</v>
      </c>
      <c r="M42" s="217" t="str" cm="1">
        <f t="array" aca="1" ref="M42" ca="1">_xlfn.IFS(C42&lt;$B$11,"Fail",C42&lt;25,"Marginal",C42&lt;35,"Solid",TRUE,"Blowout")</f>
        <v>Fail</v>
      </c>
    </row>
    <row r="43" spans="1:17" x14ac:dyDescent="0.25">
      <c r="A43" s="169">
        <f t="shared" ca="1" si="0"/>
        <v>44.530123243075714</v>
      </c>
      <c r="B43" s="168">
        <f t="shared" ca="1" si="1"/>
        <v>15.782696082054708</v>
      </c>
      <c r="C43" s="168">
        <f t="shared" ca="1" si="2"/>
        <v>28.747427161021008</v>
      </c>
      <c r="D43" s="184">
        <f t="shared" ca="1" si="3"/>
        <v>3.6331359916494468</v>
      </c>
      <c r="E43" s="230">
        <f t="shared" ca="1" si="4"/>
        <v>1.7296276893404085E-4</v>
      </c>
      <c r="F43" s="168">
        <f t="shared" ca="1" si="5"/>
        <v>28.708553901721494</v>
      </c>
      <c r="G43" s="168">
        <f t="shared" ca="1" si="6"/>
        <v>12.925857819666787</v>
      </c>
      <c r="H43" s="184">
        <f t="shared" ca="1" si="7"/>
        <v>1.6335861642342167</v>
      </c>
      <c r="I43" s="184">
        <f t="shared" ca="1" si="8"/>
        <v>5.1862930639209541E-2</v>
      </c>
      <c r="J43" s="223">
        <f t="shared" ca="1" si="9"/>
        <v>0</v>
      </c>
      <c r="K43" s="220" t="str" cm="1">
        <f t="array" aca="1" ref="K43" ca="1">_xlfn.IFS(G43&lt;$B$11,"Fail",G43&lt;25,"Marginal",G43&lt;35,"Solid",TRUE,"Blowout")</f>
        <v>Fail</v>
      </c>
      <c r="L43" s="226">
        <f ca="1">IF(AND(E43&lt;$B$10,C43&gt;=$B$11),1,0)</f>
        <v>1</v>
      </c>
      <c r="M43" s="217" t="str" cm="1">
        <f t="array" aca="1" ref="M43" ca="1">_xlfn.IFS(C43&lt;$B$11,"Fail",C43&lt;25,"Marginal",C43&lt;35,"Solid",TRUE,"Blowout")</f>
        <v>Solid</v>
      </c>
    </row>
    <row r="44" spans="1:17" x14ac:dyDescent="0.25">
      <c r="A44" s="169">
        <f t="shared" ca="1" si="0"/>
        <v>18.406334563709091</v>
      </c>
      <c r="B44" s="168">
        <f t="shared" ca="1" si="1"/>
        <v>0.93070198985576713</v>
      </c>
      <c r="C44" s="168">
        <f t="shared" ca="1" si="2"/>
        <v>17.475632573853325</v>
      </c>
      <c r="D44" s="184">
        <f t="shared" ca="1" si="3"/>
        <v>2.2085924185589962</v>
      </c>
      <c r="E44" s="230">
        <f t="shared" ca="1" si="4"/>
        <v>1.4099336912010305E-2</v>
      </c>
      <c r="F44" s="168">
        <f t="shared" ca="1" si="5"/>
        <v>39.535358372162484</v>
      </c>
      <c r="G44" s="168">
        <f t="shared" ca="1" si="6"/>
        <v>38.604656382306715</v>
      </c>
      <c r="H44" s="184">
        <f t="shared" ca="1" si="7"/>
        <v>4.8789050151240261</v>
      </c>
      <c r="I44" s="184">
        <f t="shared" ca="1" si="8"/>
        <v>1.001490784611236E-6</v>
      </c>
      <c r="J44" s="223">
        <f t="shared" ca="1" si="9"/>
        <v>1</v>
      </c>
      <c r="K44" s="220" t="str" cm="1">
        <f t="array" aca="1" ref="K44" ca="1">_xlfn.IFS(G44&lt;$B$11,"Fail",G44&lt;25,"Marginal",G44&lt;35,"Solid",TRUE,"Blowout")</f>
        <v>Blowout</v>
      </c>
      <c r="L44" s="226">
        <f ca="1">IF(AND(E44&lt;$B$10,C44&gt;=$B$11),1,0)</f>
        <v>0</v>
      </c>
      <c r="M44" s="217" t="str" cm="1">
        <f t="array" aca="1" ref="M44" ca="1">_xlfn.IFS(C44&lt;$B$11,"Fail",C44&lt;25,"Marginal",C44&lt;35,"Solid",TRUE,"Blowout")</f>
        <v>Fail</v>
      </c>
    </row>
    <row r="45" spans="1:17" x14ac:dyDescent="0.25">
      <c r="A45" s="169">
        <f t="shared" ca="1" si="0"/>
        <v>52.716713980842755</v>
      </c>
      <c r="B45" s="168">
        <f t="shared" ca="1" si="1"/>
        <v>1.9848012457481397</v>
      </c>
      <c r="C45" s="168">
        <f t="shared" ca="1" si="2"/>
        <v>50.731912735094618</v>
      </c>
      <c r="D45" s="184">
        <f t="shared" ca="1" si="3"/>
        <v>6.4115629218119192</v>
      </c>
      <c r="E45" s="230">
        <f t="shared" ca="1" si="4"/>
        <v>4.0970264443143439E-10</v>
      </c>
      <c r="F45" s="168">
        <f t="shared" ca="1" si="5"/>
        <v>65.86254015522799</v>
      </c>
      <c r="G45" s="168">
        <f t="shared" ca="1" si="6"/>
        <v>63.877738909479852</v>
      </c>
      <c r="H45" s="184">
        <f t="shared" ca="1" si="7"/>
        <v>8.0729489633038511</v>
      </c>
      <c r="I45" s="184">
        <f t="shared" ca="1" si="8"/>
        <v>1.9685456390077042E-14</v>
      </c>
      <c r="J45" s="223">
        <f t="shared" ca="1" si="9"/>
        <v>1</v>
      </c>
      <c r="K45" s="220" t="str" cm="1">
        <f t="array" aca="1" ref="K45" ca="1">_xlfn.IFS(G45&lt;$B$11,"Fail",G45&lt;25,"Marginal",G45&lt;35,"Solid",TRUE,"Blowout")</f>
        <v>Blowout</v>
      </c>
      <c r="L45" s="226">
        <f ca="1">IF(AND(E45&lt;$B$10,C45&gt;=$B$11),1,0)</f>
        <v>1</v>
      </c>
      <c r="M45" s="217" t="str" cm="1">
        <f t="array" aca="1" ref="M45" ca="1">_xlfn.IFS(C45&lt;$B$11,"Fail",C45&lt;25,"Marginal",C45&lt;35,"Solid",TRUE,"Blowout")</f>
        <v>Blowout</v>
      </c>
    </row>
    <row r="46" spans="1:17" x14ac:dyDescent="0.25">
      <c r="A46" s="169">
        <f t="shared" ca="1" si="0"/>
        <v>41.874825659763424</v>
      </c>
      <c r="B46" s="168">
        <f t="shared" ca="1" si="1"/>
        <v>9.9675143031509421</v>
      </c>
      <c r="C46" s="168">
        <f t="shared" ca="1" si="2"/>
        <v>31.907311356612482</v>
      </c>
      <c r="D46" s="184">
        <f t="shared" ca="1" si="3"/>
        <v>4.0324861295293992</v>
      </c>
      <c r="E46" s="230">
        <f t="shared" ca="1" si="4"/>
        <v>3.7644779165670881E-5</v>
      </c>
      <c r="F46" s="168">
        <f t="shared" ca="1" si="5"/>
        <v>15.544492825117906</v>
      </c>
      <c r="G46" s="168">
        <f t="shared" ca="1" si="6"/>
        <v>5.5769785219669643</v>
      </c>
      <c r="H46" s="184">
        <f t="shared" ca="1" si="7"/>
        <v>0.70482555810377012</v>
      </c>
      <c r="I46" s="184">
        <f t="shared" ca="1" si="8"/>
        <v>0.24081908079092496</v>
      </c>
      <c r="J46" s="223">
        <f t="shared" ca="1" si="9"/>
        <v>0</v>
      </c>
      <c r="K46" s="220" t="str" cm="1">
        <f t="array" aca="1" ref="K46" ca="1">_xlfn.IFS(G46&lt;$B$11,"Fail",G46&lt;25,"Marginal",G46&lt;35,"Solid",TRUE,"Blowout")</f>
        <v>Fail</v>
      </c>
      <c r="L46" s="226">
        <f ca="1">IF(AND(E46&lt;$B$10,C46&gt;=$B$11),1,0)</f>
        <v>1</v>
      </c>
      <c r="M46" s="217" t="str" cm="1">
        <f t="array" aca="1" ref="M46" ca="1">_xlfn.IFS(C46&lt;$B$11,"Fail",C46&lt;25,"Marginal",C46&lt;35,"Solid",TRUE,"Blowout")</f>
        <v>Solid</v>
      </c>
    </row>
    <row r="47" spans="1:17" x14ac:dyDescent="0.25">
      <c r="A47" s="169">
        <f t="shared" ca="1" si="0"/>
        <v>34.418710664606415</v>
      </c>
      <c r="B47" s="168">
        <f t="shared" ca="1" si="1"/>
        <v>-6.7099510926506607</v>
      </c>
      <c r="C47" s="168">
        <f t="shared" ca="1" si="2"/>
        <v>41.128661757257078</v>
      </c>
      <c r="D47" s="184">
        <f t="shared" ca="1" si="3"/>
        <v>5.1978919880967807</v>
      </c>
      <c r="E47" s="230">
        <f t="shared" ca="1" si="4"/>
        <v>2.2372341569561148E-7</v>
      </c>
      <c r="F47" s="168">
        <f t="shared" ca="1" si="5"/>
        <v>13.318043891581553</v>
      </c>
      <c r="G47" s="168">
        <f t="shared" ca="1" si="6"/>
        <v>20.027994984232215</v>
      </c>
      <c r="H47" s="184">
        <f t="shared" ca="1" si="7"/>
        <v>2.5311631893253685</v>
      </c>
      <c r="I47" s="184">
        <f t="shared" ca="1" si="8"/>
        <v>6.021204984119336E-3</v>
      </c>
      <c r="J47" s="223">
        <f t="shared" ca="1" si="9"/>
        <v>1</v>
      </c>
      <c r="K47" s="220" t="str" cm="1">
        <f t="array" aca="1" ref="K47" ca="1">_xlfn.IFS(G47&lt;$B$11,"Fail",G47&lt;25,"Marginal",G47&lt;35,"Solid",TRUE,"Blowout")</f>
        <v>Marginal</v>
      </c>
      <c r="L47" s="226">
        <f ca="1">IF(AND(E47&lt;$B$10,C47&gt;=$B$11),1,0)</f>
        <v>1</v>
      </c>
      <c r="M47" s="217" t="str" cm="1">
        <f t="array" aca="1" ref="M47" ca="1">_xlfn.IFS(C47&lt;$B$11,"Fail",C47&lt;25,"Marginal",C47&lt;35,"Solid",TRUE,"Blowout")</f>
        <v>Blowout</v>
      </c>
    </row>
    <row r="48" spans="1:17" x14ac:dyDescent="0.25">
      <c r="A48" s="169">
        <f t="shared" ca="1" si="0"/>
        <v>29.979067856963439</v>
      </c>
      <c r="B48" s="168">
        <f t="shared" ca="1" si="1"/>
        <v>-2.4566363747837805</v>
      </c>
      <c r="C48" s="168">
        <f t="shared" ca="1" si="2"/>
        <v>32.435704231747224</v>
      </c>
      <c r="D48" s="184">
        <f t="shared" ca="1" si="3"/>
        <v>4.0992650854905834</v>
      </c>
      <c r="E48" s="230">
        <f t="shared" ca="1" si="4"/>
        <v>2.8825908915223223E-5</v>
      </c>
      <c r="F48" s="168">
        <f t="shared" ca="1" si="5"/>
        <v>46.126898565456251</v>
      </c>
      <c r="G48" s="168">
        <f t="shared" ca="1" si="6"/>
        <v>48.583534940240028</v>
      </c>
      <c r="H48" s="184">
        <f t="shared" ca="1" si="7"/>
        <v>6.1400482347261107</v>
      </c>
      <c r="I48" s="184">
        <f t="shared" ca="1" si="8"/>
        <v>1.8139824201925207E-9</v>
      </c>
      <c r="J48" s="223">
        <f t="shared" ca="1" si="9"/>
        <v>1</v>
      </c>
      <c r="K48" s="220" t="str" cm="1">
        <f t="array" aca="1" ref="K48" ca="1">_xlfn.IFS(G48&lt;$B$11,"Fail",G48&lt;25,"Marginal",G48&lt;35,"Solid",TRUE,"Blowout")</f>
        <v>Blowout</v>
      </c>
      <c r="L48" s="226">
        <f ca="1">IF(AND(E48&lt;$B$10,C48&gt;=$B$11),1,0)</f>
        <v>1</v>
      </c>
      <c r="M48" s="217" t="str" cm="1">
        <f t="array" aca="1" ref="M48" ca="1">_xlfn.IFS(C48&lt;$B$11,"Fail",C48&lt;25,"Marginal",C48&lt;35,"Solid",TRUE,"Blowout")</f>
        <v>Solid</v>
      </c>
    </row>
    <row r="49" spans="1:13" x14ac:dyDescent="0.25">
      <c r="A49" s="169">
        <f t="shared" ca="1" si="0"/>
        <v>19.02068891427562</v>
      </c>
      <c r="B49" s="168">
        <f t="shared" ca="1" si="1"/>
        <v>2.4286537835136683</v>
      </c>
      <c r="C49" s="168">
        <f t="shared" ca="1" si="2"/>
        <v>16.592035130761953</v>
      </c>
      <c r="D49" s="184">
        <f t="shared" ca="1" si="3"/>
        <v>2.0969222626649247</v>
      </c>
      <c r="E49" s="230">
        <f t="shared" ca="1" si="4"/>
        <v>1.8551307751795022E-2</v>
      </c>
      <c r="F49" s="168">
        <f t="shared" ca="1" si="5"/>
        <v>50.968768458994745</v>
      </c>
      <c r="G49" s="168">
        <f t="shared" ca="1" si="6"/>
        <v>48.540114675481078</v>
      </c>
      <c r="H49" s="184">
        <f t="shared" ca="1" si="7"/>
        <v>6.1345607270691964</v>
      </c>
      <c r="I49" s="184">
        <f t="shared" ca="1" si="8"/>
        <v>1.8685330521042682E-9</v>
      </c>
      <c r="J49" s="223">
        <f t="shared" ca="1" si="9"/>
        <v>1</v>
      </c>
      <c r="K49" s="220" t="str" cm="1">
        <f t="array" aca="1" ref="K49" ca="1">_xlfn.IFS(G49&lt;$B$11,"Fail",G49&lt;25,"Marginal",G49&lt;35,"Solid",TRUE,"Blowout")</f>
        <v>Blowout</v>
      </c>
      <c r="L49" s="226">
        <f ca="1">IF(AND(E49&lt;$B$10,C49&gt;=$B$11),1,0)</f>
        <v>0</v>
      </c>
      <c r="M49" s="217" t="str" cm="1">
        <f t="array" aca="1" ref="M49" ca="1">_xlfn.IFS(C49&lt;$B$11,"Fail",C49&lt;25,"Marginal",C49&lt;35,"Solid",TRUE,"Blowout")</f>
        <v>Fail</v>
      </c>
    </row>
    <row r="50" spans="1:13" x14ac:dyDescent="0.25">
      <c r="A50" s="169">
        <f t="shared" ca="1" si="0"/>
        <v>96.552142546991959</v>
      </c>
      <c r="B50" s="168">
        <f t="shared" ca="1" si="1"/>
        <v>7.0777054618567492</v>
      </c>
      <c r="C50" s="168">
        <f t="shared" ca="1" si="2"/>
        <v>89.474437085135207</v>
      </c>
      <c r="D50" s="184">
        <f t="shared" ca="1" si="3"/>
        <v>11.307891864053454</v>
      </c>
      <c r="E50" s="230">
        <f t="shared" ca="1" si="4"/>
        <v>3.9627838197609172E-24</v>
      </c>
      <c r="F50" s="168">
        <f t="shared" ca="1" si="5"/>
        <v>7.5612237766432022</v>
      </c>
      <c r="G50" s="168">
        <f t="shared" ca="1" si="6"/>
        <v>0.48351831478645302</v>
      </c>
      <c r="H50" s="184">
        <f t="shared" ca="1" si="7"/>
        <v>6.1107652599056379E-2</v>
      </c>
      <c r="I50" s="184">
        <f t="shared" ca="1" si="8"/>
        <v>0.47566350302479077</v>
      </c>
      <c r="J50" s="223">
        <f t="shared" ca="1" si="9"/>
        <v>0</v>
      </c>
      <c r="K50" s="220" t="str" cm="1">
        <f t="array" aca="1" ref="K50" ca="1">_xlfn.IFS(G50&lt;$B$11,"Fail",G50&lt;25,"Marginal",G50&lt;35,"Solid",TRUE,"Blowout")</f>
        <v>Fail</v>
      </c>
      <c r="L50" s="226">
        <f ca="1">IF(AND(E50&lt;$B$10,C50&gt;=$B$11),1,0)</f>
        <v>1</v>
      </c>
      <c r="M50" s="217" t="str" cm="1">
        <f t="array" aca="1" ref="M50" ca="1">_xlfn.IFS(C50&lt;$B$11,"Fail",C50&lt;25,"Marginal",C50&lt;35,"Solid",TRUE,"Blowout")</f>
        <v>Blowout</v>
      </c>
    </row>
    <row r="51" spans="1:13" x14ac:dyDescent="0.25">
      <c r="A51" s="169">
        <f t="shared" ca="1" si="0"/>
        <v>74.621134946763917</v>
      </c>
      <c r="B51" s="168">
        <f t="shared" ca="1" si="1"/>
        <v>1.6286372280152639</v>
      </c>
      <c r="C51" s="168">
        <f t="shared" ca="1" si="2"/>
        <v>72.992497718748652</v>
      </c>
      <c r="D51" s="184">
        <f t="shared" ca="1" si="3"/>
        <v>9.2248836425247998</v>
      </c>
      <c r="E51" s="230">
        <f t="shared" ca="1" si="4"/>
        <v>9.9167335596212586E-18</v>
      </c>
      <c r="F51" s="168">
        <f t="shared" ca="1" si="5"/>
        <v>56.943560779688802</v>
      </c>
      <c r="G51" s="168">
        <f t="shared" ca="1" si="6"/>
        <v>55.314923551673537</v>
      </c>
      <c r="H51" s="184">
        <f t="shared" ca="1" si="7"/>
        <v>6.9907695914929011</v>
      </c>
      <c r="I51" s="184">
        <f t="shared" ca="1" si="8"/>
        <v>1.4949989170820025E-11</v>
      </c>
      <c r="J51" s="223">
        <f t="shared" ca="1" si="9"/>
        <v>1</v>
      </c>
      <c r="K51" s="220" t="str" cm="1">
        <f t="array" aca="1" ref="K51" ca="1">_xlfn.IFS(G51&lt;$B$11,"Fail",G51&lt;25,"Marginal",G51&lt;35,"Solid",TRUE,"Blowout")</f>
        <v>Blowout</v>
      </c>
      <c r="L51" s="226">
        <f ca="1">IF(AND(E51&lt;$B$10,C51&gt;=$B$11),1,0)</f>
        <v>1</v>
      </c>
      <c r="M51" s="217" t="str" cm="1">
        <f t="array" aca="1" ref="M51" ca="1">_xlfn.IFS(C51&lt;$B$11,"Fail",C51&lt;25,"Marginal",C51&lt;35,"Solid",TRUE,"Blowout")</f>
        <v>Blowout</v>
      </c>
    </row>
    <row r="52" spans="1:13" x14ac:dyDescent="0.25">
      <c r="A52" s="169">
        <f t="shared" ca="1" si="0"/>
        <v>32.669823602389755</v>
      </c>
      <c r="B52" s="168">
        <f t="shared" ca="1" si="1"/>
        <v>10.775616708199564</v>
      </c>
      <c r="C52" s="168">
        <f t="shared" ca="1" si="2"/>
        <v>21.894206894190191</v>
      </c>
      <c r="D52" s="184">
        <f t="shared" ca="1" si="3"/>
        <v>2.7670173970823164</v>
      </c>
      <c r="E52" s="230">
        <f t="shared" ca="1" si="4"/>
        <v>3.0607428595510657E-3</v>
      </c>
      <c r="F52" s="168">
        <f t="shared" ca="1" si="5"/>
        <v>17.475099236494469</v>
      </c>
      <c r="G52" s="168">
        <f t="shared" ca="1" si="6"/>
        <v>6.6994825282949044</v>
      </c>
      <c r="H52" s="184">
        <f t="shared" ca="1" si="7"/>
        <v>0.84668902586099726</v>
      </c>
      <c r="I52" s="184">
        <f t="shared" ca="1" si="8"/>
        <v>0.19902814383707473</v>
      </c>
      <c r="J52" s="223">
        <f t="shared" ca="1" si="9"/>
        <v>0</v>
      </c>
      <c r="K52" s="220" t="str" cm="1">
        <f t="array" aca="1" ref="K52" ca="1">_xlfn.IFS(G52&lt;$B$11,"Fail",G52&lt;25,"Marginal",G52&lt;35,"Solid",TRUE,"Blowout")</f>
        <v>Fail</v>
      </c>
      <c r="L52" s="226">
        <f ca="1">IF(AND(E52&lt;$B$10,C52&gt;=$B$11),1,0)</f>
        <v>1</v>
      </c>
      <c r="M52" s="217" t="str" cm="1">
        <f t="array" aca="1" ref="M52" ca="1">_xlfn.IFS(C52&lt;$B$11,"Fail",C52&lt;25,"Marginal",C52&lt;35,"Solid",TRUE,"Blowout")</f>
        <v>Marginal</v>
      </c>
    </row>
    <row r="53" spans="1:13" x14ac:dyDescent="0.25">
      <c r="A53" s="169">
        <f t="shared" ca="1" si="0"/>
        <v>19.83859692488592</v>
      </c>
      <c r="B53" s="168">
        <f t="shared" ca="1" si="1"/>
        <v>-4.3924487337952556</v>
      </c>
      <c r="C53" s="168">
        <f t="shared" ca="1" si="2"/>
        <v>24.231045658681175</v>
      </c>
      <c r="D53" s="184">
        <f t="shared" ca="1" si="3"/>
        <v>3.0623500184817574</v>
      </c>
      <c r="E53" s="230">
        <f t="shared" ca="1" si="4"/>
        <v>1.2299461147676387E-3</v>
      </c>
      <c r="F53" s="168">
        <f t="shared" ca="1" si="5"/>
        <v>20.673555772247873</v>
      </c>
      <c r="G53" s="168">
        <f t="shared" ca="1" si="6"/>
        <v>25.066004506043129</v>
      </c>
      <c r="H53" s="184">
        <f t="shared" ca="1" si="7"/>
        <v>3.1678731674893328</v>
      </c>
      <c r="I53" s="184">
        <f t="shared" ca="1" si="8"/>
        <v>8.7284225444829965E-4</v>
      </c>
      <c r="J53" s="223">
        <f t="shared" ca="1" si="9"/>
        <v>1</v>
      </c>
      <c r="K53" s="220" t="str" cm="1">
        <f t="array" aca="1" ref="K53" ca="1">_xlfn.IFS(G53&lt;$B$11,"Fail",G53&lt;25,"Marginal",G53&lt;35,"Solid",TRUE,"Blowout")</f>
        <v>Solid</v>
      </c>
      <c r="L53" s="226">
        <f ca="1">IF(AND(E53&lt;$B$10,C53&gt;=$B$11),1,0)</f>
        <v>1</v>
      </c>
      <c r="M53" s="217" t="str" cm="1">
        <f t="array" aca="1" ref="M53" ca="1">_xlfn.IFS(C53&lt;$B$11,"Fail",C53&lt;25,"Marginal",C53&lt;35,"Solid",TRUE,"Blowout")</f>
        <v>Marginal</v>
      </c>
    </row>
    <row r="54" spans="1:13" x14ac:dyDescent="0.25">
      <c r="A54" s="169">
        <f t="shared" ca="1" si="0"/>
        <v>39.399629685091611</v>
      </c>
      <c r="B54" s="168">
        <f t="shared" ca="1" si="1"/>
        <v>7.4921469078213896</v>
      </c>
      <c r="C54" s="168">
        <f t="shared" ca="1" si="2"/>
        <v>31.907482777270221</v>
      </c>
      <c r="D54" s="184">
        <f t="shared" ca="1" si="3"/>
        <v>4.0325077938876692</v>
      </c>
      <c r="E54" s="230">
        <f t="shared" ca="1" si="4"/>
        <v>3.7641540133637728E-5</v>
      </c>
      <c r="F54" s="168">
        <f t="shared" ca="1" si="5"/>
        <v>22.068708538306161</v>
      </c>
      <c r="G54" s="168">
        <f t="shared" ca="1" si="6"/>
        <v>14.576561630484772</v>
      </c>
      <c r="H54" s="184">
        <f t="shared" ca="1" si="7"/>
        <v>1.8422041874417836</v>
      </c>
      <c r="I54" s="184">
        <f t="shared" ca="1" si="8"/>
        <v>3.3371938525729013E-2</v>
      </c>
      <c r="J54" s="223">
        <f t="shared" ca="1" si="9"/>
        <v>0</v>
      </c>
      <c r="K54" s="220" t="str" cm="1">
        <f t="array" aca="1" ref="K54" ca="1">_xlfn.IFS(G54&lt;$B$11,"Fail",G54&lt;25,"Marginal",G54&lt;35,"Solid",TRUE,"Blowout")</f>
        <v>Fail</v>
      </c>
      <c r="L54" s="226">
        <f ca="1">IF(AND(E54&lt;$B$10,C54&gt;=$B$11),1,0)</f>
        <v>1</v>
      </c>
      <c r="M54" s="217" t="str" cm="1">
        <f t="array" aca="1" ref="M54" ca="1">_xlfn.IFS(C54&lt;$B$11,"Fail",C54&lt;25,"Marginal",C54&lt;35,"Solid",TRUE,"Blowout")</f>
        <v>Solid</v>
      </c>
    </row>
    <row r="55" spans="1:13" x14ac:dyDescent="0.25">
      <c r="A55" s="169">
        <f t="shared" ca="1" si="0"/>
        <v>49.479575523757234</v>
      </c>
      <c r="B55" s="168">
        <f t="shared" ca="1" si="1"/>
        <v>6.8693981031528839</v>
      </c>
      <c r="C55" s="168">
        <f t="shared" ca="1" si="2"/>
        <v>42.610177420604352</v>
      </c>
      <c r="D55" s="184">
        <f t="shared" ca="1" si="3"/>
        <v>5.385127800489677</v>
      </c>
      <c r="E55" s="230">
        <f t="shared" ca="1" si="4"/>
        <v>8.9898076617238692E-8</v>
      </c>
      <c r="F55" s="168">
        <f t="shared" ca="1" si="5"/>
        <v>23.414437381344964</v>
      </c>
      <c r="G55" s="168">
        <f t="shared" ca="1" si="6"/>
        <v>16.545039278192078</v>
      </c>
      <c r="H55" s="184">
        <f t="shared" ca="1" si="7"/>
        <v>2.0909828677245184</v>
      </c>
      <c r="I55" s="184">
        <f t="shared" ca="1" si="8"/>
        <v>1.8818589474784098E-2</v>
      </c>
      <c r="J55" s="223">
        <f t="shared" ca="1" si="9"/>
        <v>0</v>
      </c>
      <c r="K55" s="220" t="str" cm="1">
        <f t="array" aca="1" ref="K55" ca="1">_xlfn.IFS(G55&lt;$B$11,"Fail",G55&lt;25,"Marginal",G55&lt;35,"Solid",TRUE,"Blowout")</f>
        <v>Fail</v>
      </c>
      <c r="L55" s="226">
        <f ca="1">IF(AND(E55&lt;$B$10,C55&gt;=$B$11),1,0)</f>
        <v>1</v>
      </c>
      <c r="M55" s="217" t="str" cm="1">
        <f t="array" aca="1" ref="M55" ca="1">_xlfn.IFS(C55&lt;$B$11,"Fail",C55&lt;25,"Marginal",C55&lt;35,"Solid",TRUE,"Blowout")</f>
        <v>Blowout</v>
      </c>
    </row>
    <row r="56" spans="1:13" x14ac:dyDescent="0.25">
      <c r="A56" s="169">
        <f t="shared" ca="1" si="0"/>
        <v>28.367894612645763</v>
      </c>
      <c r="B56" s="168">
        <f t="shared" ca="1" si="1"/>
        <v>4.8841634324538852</v>
      </c>
      <c r="C56" s="168">
        <f t="shared" ca="1" si="2"/>
        <v>23.483731180191878</v>
      </c>
      <c r="D56" s="184">
        <f t="shared" ca="1" si="3"/>
        <v>2.9679034750164126</v>
      </c>
      <c r="E56" s="230">
        <f t="shared" ca="1" si="4"/>
        <v>1.6590976166447845E-3</v>
      </c>
      <c r="F56" s="168">
        <f t="shared" ca="1" si="5"/>
        <v>-5.3028237056468051</v>
      </c>
      <c r="G56" s="168">
        <f t="shared" ca="1" si="6"/>
        <v>-10.18698713810069</v>
      </c>
      <c r="H56" s="184">
        <f t="shared" ca="1" si="7"/>
        <v>-1.2874442436395452</v>
      </c>
      <c r="I56" s="184">
        <f t="shared" ca="1" si="8"/>
        <v>0.90037758874762941</v>
      </c>
      <c r="J56" s="223">
        <f t="shared" ca="1" si="9"/>
        <v>0</v>
      </c>
      <c r="K56" s="220" t="str" cm="1">
        <f t="array" aca="1" ref="K56" ca="1">_xlfn.IFS(G56&lt;$B$11,"Fail",G56&lt;25,"Marginal",G56&lt;35,"Solid",TRUE,"Blowout")</f>
        <v>Fail</v>
      </c>
      <c r="L56" s="226">
        <f ca="1">IF(AND(E56&lt;$B$10,C56&gt;=$B$11),1,0)</f>
        <v>1</v>
      </c>
      <c r="M56" s="217" t="str" cm="1">
        <f t="array" aca="1" ref="M56" ca="1">_xlfn.IFS(C56&lt;$B$11,"Fail",C56&lt;25,"Marginal",C56&lt;35,"Solid",TRUE,"Blowout")</f>
        <v>Marginal</v>
      </c>
    </row>
    <row r="57" spans="1:13" x14ac:dyDescent="0.25">
      <c r="A57" s="169">
        <f t="shared" ca="1" si="0"/>
        <v>-3.0880919375479636</v>
      </c>
      <c r="B57" s="168">
        <f t="shared" ca="1" si="1"/>
        <v>5.818236856082776</v>
      </c>
      <c r="C57" s="168">
        <f t="shared" ca="1" si="2"/>
        <v>-8.90632879363074</v>
      </c>
      <c r="D57" s="184">
        <f t="shared" ca="1" si="3"/>
        <v>-1.1255930317645302</v>
      </c>
      <c r="E57" s="230">
        <f t="shared" ca="1" si="4"/>
        <v>0.86923937018130615</v>
      </c>
      <c r="F57" s="168">
        <f t="shared" ca="1" si="5"/>
        <v>54.15721202969651</v>
      </c>
      <c r="G57" s="168">
        <f t="shared" ca="1" si="6"/>
        <v>48.338975173613733</v>
      </c>
      <c r="H57" s="184">
        <f t="shared" ca="1" si="7"/>
        <v>6.1091404639102187</v>
      </c>
      <c r="I57" s="184">
        <f t="shared" ca="1" si="8"/>
        <v>2.1429318637666163E-9</v>
      </c>
      <c r="J57" s="223">
        <f t="shared" ca="1" si="9"/>
        <v>1</v>
      </c>
      <c r="K57" s="220" t="str" cm="1">
        <f t="array" aca="1" ref="K57" ca="1">_xlfn.IFS(G57&lt;$B$11,"Fail",G57&lt;25,"Marginal",G57&lt;35,"Solid",TRUE,"Blowout")</f>
        <v>Blowout</v>
      </c>
      <c r="L57" s="226">
        <f ca="1">IF(AND(E57&lt;$B$10,C57&gt;=$B$11),1,0)</f>
        <v>0</v>
      </c>
      <c r="M57" s="217" t="str" cm="1">
        <f t="array" aca="1" ref="M57" ca="1">_xlfn.IFS(C57&lt;$B$11,"Fail",C57&lt;25,"Marginal",C57&lt;35,"Solid",TRUE,"Blowout")</f>
        <v>Fail</v>
      </c>
    </row>
    <row r="58" spans="1:13" x14ac:dyDescent="0.25">
      <c r="A58" s="169">
        <f t="shared" ca="1" si="0"/>
        <v>33.482283031601391</v>
      </c>
      <c r="B58" s="168">
        <f t="shared" ca="1" si="1"/>
        <v>8.2961179212867382</v>
      </c>
      <c r="C58" s="168">
        <f t="shared" ca="1" si="2"/>
        <v>25.186165110314654</v>
      </c>
      <c r="D58" s="184">
        <f t="shared" ca="1" si="3"/>
        <v>3.1830592157472153</v>
      </c>
      <c r="E58" s="230">
        <f t="shared" ca="1" si="4"/>
        <v>8.301910447515887E-4</v>
      </c>
      <c r="F58" s="168">
        <f t="shared" ca="1" si="5"/>
        <v>12.504889098114322</v>
      </c>
      <c r="G58" s="168">
        <f t="shared" ca="1" si="6"/>
        <v>4.2087711768275842</v>
      </c>
      <c r="H58" s="184">
        <f t="shared" ca="1" si="7"/>
        <v>0.53190979343996392</v>
      </c>
      <c r="I58" s="184">
        <f t="shared" ca="1" si="8"/>
        <v>0.29765318573107558</v>
      </c>
      <c r="J58" s="223">
        <f t="shared" ca="1" si="9"/>
        <v>0</v>
      </c>
      <c r="K58" s="220" t="str" cm="1">
        <f t="array" aca="1" ref="K58" ca="1">_xlfn.IFS(G58&lt;$B$11,"Fail",G58&lt;25,"Marginal",G58&lt;35,"Solid",TRUE,"Blowout")</f>
        <v>Fail</v>
      </c>
      <c r="L58" s="226">
        <f ca="1">IF(AND(E58&lt;$B$10,C58&gt;=$B$11),1,0)</f>
        <v>1</v>
      </c>
      <c r="M58" s="217" t="str" cm="1">
        <f t="array" aca="1" ref="M58" ca="1">_xlfn.IFS(C58&lt;$B$11,"Fail",C58&lt;25,"Marginal",C58&lt;35,"Solid",TRUE,"Blowout")</f>
        <v>Solid</v>
      </c>
    </row>
    <row r="59" spans="1:13" x14ac:dyDescent="0.25">
      <c r="A59" s="169">
        <f t="shared" ca="1" si="0"/>
        <v>30.185732515679486</v>
      </c>
      <c r="B59" s="168">
        <f t="shared" ca="1" si="1"/>
        <v>5.426189355594305</v>
      </c>
      <c r="C59" s="168">
        <f t="shared" ca="1" si="2"/>
        <v>24.75954316008518</v>
      </c>
      <c r="D59" s="184">
        <f t="shared" ca="1" si="3"/>
        <v>3.1291421972424076</v>
      </c>
      <c r="E59" s="230">
        <f t="shared" ca="1" si="4"/>
        <v>9.9097101946094912E-4</v>
      </c>
      <c r="F59" s="168">
        <f t="shared" ca="1" si="5"/>
        <v>52.725570778369878</v>
      </c>
      <c r="G59" s="168">
        <f t="shared" ca="1" si="6"/>
        <v>47.299381422775575</v>
      </c>
      <c r="H59" s="184">
        <f t="shared" ca="1" si="7"/>
        <v>5.977755298493217</v>
      </c>
      <c r="I59" s="184">
        <f t="shared" ca="1" si="8"/>
        <v>4.3242800297298451E-9</v>
      </c>
      <c r="J59" s="223">
        <f t="shared" ca="1" si="9"/>
        <v>1</v>
      </c>
      <c r="K59" s="220" t="str" cm="1">
        <f t="array" aca="1" ref="K59" ca="1">_xlfn.IFS(G59&lt;$B$11,"Fail",G59&lt;25,"Marginal",G59&lt;35,"Solid",TRUE,"Blowout")</f>
        <v>Blowout</v>
      </c>
      <c r="L59" s="226">
        <f ca="1">IF(AND(E59&lt;$B$10,C59&gt;=$B$11),1,0)</f>
        <v>1</v>
      </c>
      <c r="M59" s="217" t="str" cm="1">
        <f t="array" aca="1" ref="M59" ca="1">_xlfn.IFS(C59&lt;$B$11,"Fail",C59&lt;25,"Marginal",C59&lt;35,"Solid",TRUE,"Blowout")</f>
        <v>Marginal</v>
      </c>
    </row>
    <row r="60" spans="1:13" x14ac:dyDescent="0.25">
      <c r="A60" s="169">
        <f t="shared" ca="1" si="0"/>
        <v>-4.410725673979913</v>
      </c>
      <c r="B60" s="168">
        <f t="shared" ca="1" si="1"/>
        <v>-0.68132034350007675</v>
      </c>
      <c r="C60" s="168">
        <f t="shared" ca="1" si="2"/>
        <v>-3.7294053304798362</v>
      </c>
      <c r="D60" s="184">
        <f t="shared" ca="1" si="3"/>
        <v>-0.47132693502350853</v>
      </c>
      <c r="E60" s="230">
        <f t="shared" ca="1" si="4"/>
        <v>0.6810710202242386</v>
      </c>
      <c r="F60" s="168">
        <f t="shared" ca="1" si="5"/>
        <v>72.544298169705286</v>
      </c>
      <c r="G60" s="168">
        <f t="shared" ca="1" si="6"/>
        <v>73.225618513205362</v>
      </c>
      <c r="H60" s="184">
        <f t="shared" ca="1" si="7"/>
        <v>9.2543457416545269</v>
      </c>
      <c r="I60" s="184">
        <f t="shared" ca="1" si="8"/>
        <v>8.1166290463626528E-18</v>
      </c>
      <c r="J60" s="223">
        <f t="shared" ca="1" si="9"/>
        <v>1</v>
      </c>
      <c r="K60" s="220" t="str" cm="1">
        <f t="array" aca="1" ref="K60" ca="1">_xlfn.IFS(G60&lt;$B$11,"Fail",G60&lt;25,"Marginal",G60&lt;35,"Solid",TRUE,"Blowout")</f>
        <v>Blowout</v>
      </c>
      <c r="L60" s="226">
        <f ca="1">IF(AND(E60&lt;$B$10,C60&gt;=$B$11),1,0)</f>
        <v>0</v>
      </c>
      <c r="M60" s="217" t="str" cm="1">
        <f t="array" aca="1" ref="M60" ca="1">_xlfn.IFS(C60&lt;$B$11,"Fail",C60&lt;25,"Marginal",C60&lt;35,"Solid",TRUE,"Blowout")</f>
        <v>Fail</v>
      </c>
    </row>
    <row r="61" spans="1:13" x14ac:dyDescent="0.25">
      <c r="A61" s="169">
        <f t="shared" ca="1" si="0"/>
        <v>5.2269523916585632</v>
      </c>
      <c r="B61" s="168">
        <f t="shared" ca="1" si="1"/>
        <v>4.0385027867050249</v>
      </c>
      <c r="C61" s="168">
        <f t="shared" ca="1" si="2"/>
        <v>1.1884496049535382</v>
      </c>
      <c r="D61" s="184">
        <f t="shared" ca="1" si="3"/>
        <v>0.15019775543158254</v>
      </c>
      <c r="E61" s="230">
        <f t="shared" ca="1" si="4"/>
        <v>0.44037069181244648</v>
      </c>
      <c r="F61" s="168">
        <f t="shared" ca="1" si="5"/>
        <v>32.297167450160664</v>
      </c>
      <c r="G61" s="168">
        <f t="shared" ca="1" si="6"/>
        <v>28.25866466345564</v>
      </c>
      <c r="H61" s="184">
        <f t="shared" ca="1" si="7"/>
        <v>3.571365572636751</v>
      </c>
      <c r="I61" s="184">
        <f t="shared" ca="1" si="8"/>
        <v>2.1656031006549699E-4</v>
      </c>
      <c r="J61" s="223">
        <f t="shared" ca="1" si="9"/>
        <v>1</v>
      </c>
      <c r="K61" s="220" t="str" cm="1">
        <f t="array" aca="1" ref="K61" ca="1">_xlfn.IFS(G61&lt;$B$11,"Fail",G61&lt;25,"Marginal",G61&lt;35,"Solid",TRUE,"Blowout")</f>
        <v>Solid</v>
      </c>
      <c r="L61" s="226">
        <f ca="1">IF(AND(E61&lt;$B$10,C61&gt;=$B$11),1,0)</f>
        <v>0</v>
      </c>
      <c r="M61" s="217" t="str" cm="1">
        <f t="array" aca="1" ref="M61" ca="1">_xlfn.IFS(C61&lt;$B$11,"Fail",C61&lt;25,"Marginal",C61&lt;35,"Solid",TRUE,"Blowout")</f>
        <v>Fail</v>
      </c>
    </row>
    <row r="62" spans="1:13" x14ac:dyDescent="0.25">
      <c r="A62" s="169">
        <f t="shared" ca="1" si="0"/>
        <v>45.112416024167814</v>
      </c>
      <c r="B62" s="168">
        <f t="shared" ca="1" si="1"/>
        <v>4.5631060336496025</v>
      </c>
      <c r="C62" s="168">
        <f t="shared" ca="1" si="2"/>
        <v>40.549309990518211</v>
      </c>
      <c r="D62" s="184">
        <f t="shared" ca="1" si="3"/>
        <v>5.1246727833389132</v>
      </c>
      <c r="E62" s="230">
        <f t="shared" ca="1" si="4"/>
        <v>3.1753281516501325E-7</v>
      </c>
      <c r="F62" s="168">
        <f t="shared" ca="1" si="5"/>
        <v>65.532592610235611</v>
      </c>
      <c r="G62" s="168">
        <f t="shared" ca="1" si="6"/>
        <v>60.969486576586007</v>
      </c>
      <c r="H62" s="184">
        <f t="shared" ca="1" si="7"/>
        <v>7.7054003766337456</v>
      </c>
      <c r="I62" s="184">
        <f t="shared" ca="1" si="8"/>
        <v>1.9889342233447836E-13</v>
      </c>
      <c r="J62" s="223">
        <f t="shared" ca="1" si="9"/>
        <v>1</v>
      </c>
      <c r="K62" s="220" t="str" cm="1">
        <f t="array" aca="1" ref="K62" ca="1">_xlfn.IFS(G62&lt;$B$11,"Fail",G62&lt;25,"Marginal",G62&lt;35,"Solid",TRUE,"Blowout")</f>
        <v>Blowout</v>
      </c>
      <c r="L62" s="226">
        <f ca="1">IF(AND(E62&lt;$B$10,C62&gt;=$B$11),1,0)</f>
        <v>1</v>
      </c>
      <c r="M62" s="217" t="str" cm="1">
        <f t="array" aca="1" ref="M62" ca="1">_xlfn.IFS(C62&lt;$B$11,"Fail",C62&lt;25,"Marginal",C62&lt;35,"Solid",TRUE,"Blowout")</f>
        <v>Blowout</v>
      </c>
    </row>
    <row r="63" spans="1:13" x14ac:dyDescent="0.25">
      <c r="A63" s="169">
        <f t="shared" ca="1" si="0"/>
        <v>3.5762156882406124</v>
      </c>
      <c r="B63" s="168">
        <f t="shared" ca="1" si="1"/>
        <v>4.5388125333656193</v>
      </c>
      <c r="C63" s="168">
        <f t="shared" ca="1" si="2"/>
        <v>-0.96259684512500687</v>
      </c>
      <c r="D63" s="184">
        <f t="shared" ca="1" si="3"/>
        <v>-0.12165419965699847</v>
      </c>
      <c r="E63" s="230">
        <f t="shared" ca="1" si="4"/>
        <v>0.54835998084400062</v>
      </c>
      <c r="F63" s="168">
        <f t="shared" ca="1" si="5"/>
        <v>43.77122879269524</v>
      </c>
      <c r="G63" s="168">
        <f t="shared" ca="1" si="6"/>
        <v>39.232416259329618</v>
      </c>
      <c r="H63" s="184">
        <f t="shared" ca="1" si="7"/>
        <v>4.9582420977279895</v>
      </c>
      <c r="I63" s="184">
        <f t="shared" ca="1" si="8"/>
        <v>6.9435591469338756E-7</v>
      </c>
      <c r="J63" s="223">
        <f t="shared" ca="1" si="9"/>
        <v>1</v>
      </c>
      <c r="K63" s="220" t="str" cm="1">
        <f t="array" aca="1" ref="K63" ca="1">_xlfn.IFS(G63&lt;$B$11,"Fail",G63&lt;25,"Marginal",G63&lt;35,"Solid",TRUE,"Blowout")</f>
        <v>Blowout</v>
      </c>
      <c r="L63" s="226">
        <f ca="1">IF(AND(E63&lt;$B$10,C63&gt;=$B$11),1,0)</f>
        <v>0</v>
      </c>
      <c r="M63" s="217" t="str" cm="1">
        <f t="array" aca="1" ref="M63" ca="1">_xlfn.IFS(C63&lt;$B$11,"Fail",C63&lt;25,"Marginal",C63&lt;35,"Solid",TRUE,"Blowout")</f>
        <v>Fail</v>
      </c>
    </row>
    <row r="64" spans="1:13" x14ac:dyDescent="0.25">
      <c r="A64" s="169">
        <f t="shared" ca="1" si="0"/>
        <v>35.001618178456624</v>
      </c>
      <c r="B64" s="168">
        <f t="shared" ca="1" si="1"/>
        <v>2.1034451609138523</v>
      </c>
      <c r="C64" s="168">
        <f t="shared" ca="1" si="2"/>
        <v>32.898173017542774</v>
      </c>
      <c r="D64" s="184">
        <f t="shared" ca="1" si="3"/>
        <v>4.1577124721480736</v>
      </c>
      <c r="E64" s="230">
        <f t="shared" ca="1" si="4"/>
        <v>2.2757464379371625E-5</v>
      </c>
      <c r="F64" s="168">
        <f t="shared" ca="1" si="5"/>
        <v>0.63732923538783437</v>
      </c>
      <c r="G64" s="168">
        <f t="shared" ca="1" si="6"/>
        <v>-1.4661159255260179</v>
      </c>
      <c r="H64" s="184">
        <f t="shared" ca="1" si="7"/>
        <v>-0.18528957416340255</v>
      </c>
      <c r="I64" s="184">
        <f t="shared" ca="1" si="8"/>
        <v>0.57341668067985219</v>
      </c>
      <c r="J64" s="223">
        <f t="shared" ca="1" si="9"/>
        <v>0</v>
      </c>
      <c r="K64" s="220" t="str" cm="1">
        <f t="array" aca="1" ref="K64" ca="1">_xlfn.IFS(G64&lt;$B$11,"Fail",G64&lt;25,"Marginal",G64&lt;35,"Solid",TRUE,"Blowout")</f>
        <v>Fail</v>
      </c>
      <c r="L64" s="226">
        <f ca="1">IF(AND(E64&lt;$B$10,C64&gt;=$B$11),1,0)</f>
        <v>1</v>
      </c>
      <c r="M64" s="217" t="str" cm="1">
        <f t="array" aca="1" ref="M64" ca="1">_xlfn.IFS(C64&lt;$B$11,"Fail",C64&lt;25,"Marginal",C64&lt;35,"Solid",TRUE,"Blowout")</f>
        <v>Solid</v>
      </c>
    </row>
    <row r="65" spans="1:13" x14ac:dyDescent="0.25">
      <c r="A65" s="169">
        <f t="shared" ca="1" si="0"/>
        <v>27.096941352036296</v>
      </c>
      <c r="B65" s="168">
        <f t="shared" ca="1" si="1"/>
        <v>12.323489758087195</v>
      </c>
      <c r="C65" s="168">
        <f t="shared" ca="1" si="2"/>
        <v>14.773451593949101</v>
      </c>
      <c r="D65" s="184">
        <f t="shared" ca="1" si="3"/>
        <v>1.8670873885940149</v>
      </c>
      <c r="E65" s="230">
        <f t="shared" ca="1" si="4"/>
        <v>3.1586396800300495E-2</v>
      </c>
      <c r="F65" s="168">
        <f t="shared" ca="1" si="5"/>
        <v>57.035271409453095</v>
      </c>
      <c r="G65" s="168">
        <f t="shared" ca="1" si="6"/>
        <v>44.711781651365897</v>
      </c>
      <c r="H65" s="184">
        <f t="shared" ca="1" si="7"/>
        <v>5.6507311857322859</v>
      </c>
      <c r="I65" s="184">
        <f t="shared" ca="1" si="8"/>
        <v>2.3714350573792595E-8</v>
      </c>
      <c r="J65" s="223">
        <f t="shared" ca="1" si="9"/>
        <v>1</v>
      </c>
      <c r="K65" s="220" t="str" cm="1">
        <f t="array" aca="1" ref="K65" ca="1">_xlfn.IFS(G65&lt;$B$11,"Fail",G65&lt;25,"Marginal",G65&lt;35,"Solid",TRUE,"Blowout")</f>
        <v>Blowout</v>
      </c>
      <c r="L65" s="226">
        <f ca="1">IF(AND(E65&lt;$B$10,C65&gt;=$B$11),1,0)</f>
        <v>0</v>
      </c>
      <c r="M65" s="217" t="str" cm="1">
        <f t="array" aca="1" ref="M65" ca="1">_xlfn.IFS(C65&lt;$B$11,"Fail",C65&lt;25,"Marginal",C65&lt;35,"Solid",TRUE,"Blowout")</f>
        <v>Fail</v>
      </c>
    </row>
    <row r="66" spans="1:13" x14ac:dyDescent="0.25">
      <c r="A66" s="169">
        <f t="shared" ca="1" si="0"/>
        <v>42.44236815598768</v>
      </c>
      <c r="B66" s="168">
        <f t="shared" ca="1" si="1"/>
        <v>-0.70448550944182831</v>
      </c>
      <c r="C66" s="168">
        <f t="shared" ca="1" si="2"/>
        <v>43.146853665429511</v>
      </c>
      <c r="D66" s="184">
        <f t="shared" ca="1" si="3"/>
        <v>5.452953619127852</v>
      </c>
      <c r="E66" s="230">
        <f t="shared" ca="1" si="4"/>
        <v>6.4245233150148318E-8</v>
      </c>
      <c r="F66" s="168">
        <f t="shared" ca="1" si="5"/>
        <v>50.954197084070579</v>
      </c>
      <c r="G66" s="168">
        <f t="shared" ca="1" si="6"/>
        <v>51.65868259351241</v>
      </c>
      <c r="H66" s="184">
        <f t="shared" ca="1" si="7"/>
        <v>6.5286892618399763</v>
      </c>
      <c r="I66" s="184">
        <f t="shared" ca="1" si="8"/>
        <v>2.1286318348655545E-10</v>
      </c>
      <c r="J66" s="223">
        <f t="shared" ca="1" si="9"/>
        <v>1</v>
      </c>
      <c r="K66" s="220" t="str" cm="1">
        <f t="array" aca="1" ref="K66" ca="1">_xlfn.IFS(G66&lt;$B$11,"Fail",G66&lt;25,"Marginal",G66&lt;35,"Solid",TRUE,"Blowout")</f>
        <v>Blowout</v>
      </c>
      <c r="L66" s="226">
        <f ca="1">IF(AND(E66&lt;$B$10,C66&gt;=$B$11),1,0)</f>
        <v>1</v>
      </c>
      <c r="M66" s="217" t="str" cm="1">
        <f t="array" aca="1" ref="M66" ca="1">_xlfn.IFS(C66&lt;$B$11,"Fail",C66&lt;25,"Marginal",C66&lt;35,"Solid",TRUE,"Blowout")</f>
        <v>Blowout</v>
      </c>
    </row>
    <row r="67" spans="1:13" x14ac:dyDescent="0.25">
      <c r="A67" s="169">
        <f t="shared" ca="1" si="0"/>
        <v>46.84978595814254</v>
      </c>
      <c r="B67" s="168">
        <f t="shared" ca="1" si="1"/>
        <v>-2.8556881337483446</v>
      </c>
      <c r="C67" s="168">
        <f t="shared" ca="1" si="2"/>
        <v>49.705474091890885</v>
      </c>
      <c r="D67" s="184">
        <f t="shared" ca="1" si="3"/>
        <v>6.2818403154389992</v>
      </c>
      <c r="E67" s="230">
        <f t="shared" ca="1" si="4"/>
        <v>8.3847802207359482E-10</v>
      </c>
      <c r="F67" s="168">
        <f t="shared" ca="1" si="5"/>
        <v>58.083679759931897</v>
      </c>
      <c r="G67" s="168">
        <f t="shared" ca="1" si="6"/>
        <v>60.939367893680242</v>
      </c>
      <c r="H67" s="184">
        <f t="shared" ca="1" si="7"/>
        <v>7.7015939396168571</v>
      </c>
      <c r="I67" s="184">
        <f t="shared" ca="1" si="8"/>
        <v>2.0365203962927458E-13</v>
      </c>
      <c r="J67" s="223">
        <f t="shared" ca="1" si="9"/>
        <v>1</v>
      </c>
      <c r="K67" s="220" t="str" cm="1">
        <f t="array" aca="1" ref="K67" ca="1">_xlfn.IFS(G67&lt;$B$11,"Fail",G67&lt;25,"Marginal",G67&lt;35,"Solid",TRUE,"Blowout")</f>
        <v>Blowout</v>
      </c>
      <c r="L67" s="226">
        <f ca="1">IF(AND(E67&lt;$B$10,C67&gt;=$B$11),1,0)</f>
        <v>1</v>
      </c>
      <c r="M67" s="217" t="str" cm="1">
        <f t="array" aca="1" ref="M67" ca="1">_xlfn.IFS(C67&lt;$B$11,"Fail",C67&lt;25,"Marginal",C67&lt;35,"Solid",TRUE,"Blowout")</f>
        <v>Blowout</v>
      </c>
    </row>
    <row r="68" spans="1:13" x14ac:dyDescent="0.25">
      <c r="A68" s="169">
        <f t="shared" ca="1" si="0"/>
        <v>20.354828784961214</v>
      </c>
      <c r="B68" s="168">
        <f t="shared" ca="1" si="1"/>
        <v>4.5046281084043205</v>
      </c>
      <c r="C68" s="168">
        <f t="shared" ca="1" si="2"/>
        <v>15.850200676556893</v>
      </c>
      <c r="D68" s="184">
        <f t="shared" ca="1" si="3"/>
        <v>2.0031682915592093</v>
      </c>
      <c r="E68" s="230">
        <f t="shared" ca="1" si="4"/>
        <v>2.3171534880947302E-2</v>
      </c>
      <c r="F68" s="168">
        <f t="shared" ca="1" si="5"/>
        <v>49.382552205468173</v>
      </c>
      <c r="G68" s="168">
        <f t="shared" ca="1" si="6"/>
        <v>44.877924097063854</v>
      </c>
      <c r="H68" s="184">
        <f t="shared" ca="1" si="7"/>
        <v>5.6717284769272478</v>
      </c>
      <c r="I68" s="184">
        <f t="shared" ca="1" si="8"/>
        <v>2.1302163388348146E-8</v>
      </c>
      <c r="J68" s="223">
        <f t="shared" ca="1" si="9"/>
        <v>1</v>
      </c>
      <c r="K68" s="220" t="str" cm="1">
        <f t="array" aca="1" ref="K68" ca="1">_xlfn.IFS(G68&lt;$B$11,"Fail",G68&lt;25,"Marginal",G68&lt;35,"Solid",TRUE,"Blowout")</f>
        <v>Blowout</v>
      </c>
      <c r="L68" s="226">
        <f ca="1">IF(AND(E68&lt;$B$10,C68&gt;=$B$11),1,0)</f>
        <v>0</v>
      </c>
      <c r="M68" s="217" t="str" cm="1">
        <f t="array" aca="1" ref="M68" ca="1">_xlfn.IFS(C68&lt;$B$11,"Fail",C68&lt;25,"Marginal",C68&lt;35,"Solid",TRUE,"Blowout")</f>
        <v>Fail</v>
      </c>
    </row>
    <row r="69" spans="1:13" x14ac:dyDescent="0.25">
      <c r="A69" s="169">
        <f t="shared" ca="1" si="0"/>
        <v>36.444164372551668</v>
      </c>
      <c r="B69" s="168">
        <f t="shared" ca="1" si="1"/>
        <v>-0.72579732688532683</v>
      </c>
      <c r="C69" s="168">
        <f t="shared" ca="1" si="2"/>
        <v>37.169961699436996</v>
      </c>
      <c r="D69" s="184">
        <f t="shared" ca="1" si="3"/>
        <v>4.6975864971166246</v>
      </c>
      <c r="E69" s="230">
        <f t="shared" ca="1" si="4"/>
        <v>2.2750779874662572E-6</v>
      </c>
      <c r="F69" s="168">
        <f t="shared" ca="1" si="5"/>
        <v>29.60886643899368</v>
      </c>
      <c r="G69" s="168">
        <f t="shared" ca="1" si="6"/>
        <v>30.334663765879007</v>
      </c>
      <c r="H69" s="184">
        <f t="shared" ca="1" si="7"/>
        <v>3.8337329495640713</v>
      </c>
      <c r="I69" s="184">
        <f t="shared" ca="1" si="8"/>
        <v>8.1655385741254277E-5</v>
      </c>
      <c r="J69" s="223">
        <f t="shared" ca="1" si="9"/>
        <v>1</v>
      </c>
      <c r="K69" s="220" t="str" cm="1">
        <f t="array" aca="1" ref="K69" ca="1">_xlfn.IFS(G69&lt;$B$11,"Fail",G69&lt;25,"Marginal",G69&lt;35,"Solid",TRUE,"Blowout")</f>
        <v>Solid</v>
      </c>
      <c r="L69" s="226">
        <f ca="1">IF(AND(E69&lt;$B$10,C69&gt;=$B$11),1,0)</f>
        <v>1</v>
      </c>
      <c r="M69" s="217" t="str" cm="1">
        <f t="array" aca="1" ref="M69" ca="1">_xlfn.IFS(C69&lt;$B$11,"Fail",C69&lt;25,"Marginal",C69&lt;35,"Solid",TRUE,"Blowout")</f>
        <v>Blowout</v>
      </c>
    </row>
    <row r="70" spans="1:13" x14ac:dyDescent="0.25">
      <c r="A70" s="169">
        <f t="shared" ca="1" si="0"/>
        <v>-6.7839605762305659</v>
      </c>
      <c r="B70" s="168">
        <f t="shared" ca="1" si="1"/>
        <v>-3.9604764496872882</v>
      </c>
      <c r="C70" s="168">
        <f t="shared" ca="1" si="2"/>
        <v>-2.8234841265432777</v>
      </c>
      <c r="D70" s="184">
        <f t="shared" ca="1" si="3"/>
        <v>-0.35683547416390604</v>
      </c>
      <c r="E70" s="230">
        <f t="shared" ca="1" si="4"/>
        <v>0.63922749732849937</v>
      </c>
      <c r="F70" s="168">
        <f t="shared" ca="1" si="5"/>
        <v>39.471242427623189</v>
      </c>
      <c r="G70" s="168">
        <f t="shared" ca="1" si="6"/>
        <v>43.431718877310473</v>
      </c>
      <c r="H70" s="184">
        <f t="shared" ca="1" si="7"/>
        <v>5.4889552427951296</v>
      </c>
      <c r="I70" s="184">
        <f t="shared" ca="1" si="8"/>
        <v>5.3686505458575816E-8</v>
      </c>
      <c r="J70" s="223">
        <f t="shared" ca="1" si="9"/>
        <v>1</v>
      </c>
      <c r="K70" s="220" t="str" cm="1">
        <f t="array" aca="1" ref="K70" ca="1">_xlfn.IFS(G70&lt;$B$11,"Fail",G70&lt;25,"Marginal",G70&lt;35,"Solid",TRUE,"Blowout")</f>
        <v>Blowout</v>
      </c>
      <c r="L70" s="226">
        <f ca="1">IF(AND(E70&lt;$B$10,C70&gt;=$B$11),1,0)</f>
        <v>0</v>
      </c>
      <c r="M70" s="217" t="str" cm="1">
        <f t="array" aca="1" ref="M70" ca="1">_xlfn.IFS(C70&lt;$B$11,"Fail",C70&lt;25,"Marginal",C70&lt;35,"Solid",TRUE,"Blowout")</f>
        <v>Fail</v>
      </c>
    </row>
    <row r="71" spans="1:13" x14ac:dyDescent="0.25">
      <c r="A71" s="169">
        <f t="shared" ca="1" si="0"/>
        <v>25.883305192043885</v>
      </c>
      <c r="B71" s="168">
        <f t="shared" ca="1" si="1"/>
        <v>7.1499862307347346</v>
      </c>
      <c r="C71" s="168">
        <f t="shared" ca="1" si="2"/>
        <v>18.733318961309152</v>
      </c>
      <c r="D71" s="184">
        <f t="shared" ca="1" si="3"/>
        <v>2.3675404056216078</v>
      </c>
      <c r="E71" s="230">
        <f t="shared" ca="1" si="4"/>
        <v>9.371426971118502E-3</v>
      </c>
      <c r="F71" s="168">
        <f t="shared" ca="1" si="5"/>
        <v>17.964400937990405</v>
      </c>
      <c r="G71" s="168">
        <f t="shared" ca="1" si="6"/>
        <v>10.81441470725567</v>
      </c>
      <c r="H71" s="184">
        <f t="shared" ca="1" si="7"/>
        <v>1.3667393287573162</v>
      </c>
      <c r="I71" s="184">
        <f t="shared" ca="1" si="8"/>
        <v>8.6526603342794259E-2</v>
      </c>
      <c r="J71" s="223">
        <f t="shared" ca="1" si="9"/>
        <v>0</v>
      </c>
      <c r="K71" s="220" t="str" cm="1">
        <f t="array" aca="1" ref="K71" ca="1">_xlfn.IFS(G71&lt;$B$11,"Fail",G71&lt;25,"Marginal",G71&lt;35,"Solid",TRUE,"Blowout")</f>
        <v>Fail</v>
      </c>
      <c r="L71" s="226">
        <f ca="1">IF(AND(E71&lt;$B$10,C71&gt;=$B$11),1,0)</f>
        <v>0</v>
      </c>
      <c r="M71" s="217" t="str" cm="1">
        <f t="array" aca="1" ref="M71" ca="1">_xlfn.IFS(C71&lt;$B$11,"Fail",C71&lt;25,"Marginal",C71&lt;35,"Solid",TRUE,"Blowout")</f>
        <v>Fail</v>
      </c>
    </row>
    <row r="72" spans="1:13" x14ac:dyDescent="0.25">
      <c r="A72" s="169">
        <f t="shared" ca="1" si="0"/>
        <v>45.8703052262113</v>
      </c>
      <c r="B72" s="168">
        <f t="shared" ca="1" si="1"/>
        <v>0.25825532681361363</v>
      </c>
      <c r="C72" s="168">
        <f t="shared" ca="1" si="2"/>
        <v>45.61204989939769</v>
      </c>
      <c r="D72" s="184">
        <f t="shared" ca="1" si="3"/>
        <v>5.764508218916613</v>
      </c>
      <c r="E72" s="230">
        <f t="shared" ca="1" si="4"/>
        <v>1.3216900850426606E-8</v>
      </c>
      <c r="F72" s="168">
        <f t="shared" ca="1" si="5"/>
        <v>30.342988036050571</v>
      </c>
      <c r="G72" s="168">
        <f t="shared" ca="1" si="6"/>
        <v>30.084732709236956</v>
      </c>
      <c r="H72" s="184">
        <f t="shared" ca="1" si="7"/>
        <v>3.8021463483621236</v>
      </c>
      <c r="I72" s="184">
        <f t="shared" ca="1" si="8"/>
        <v>9.2090176132792075E-5</v>
      </c>
      <c r="J72" s="223">
        <f t="shared" ca="1" si="9"/>
        <v>1</v>
      </c>
      <c r="K72" s="220" t="str" cm="1">
        <f t="array" aca="1" ref="K72" ca="1">_xlfn.IFS(G72&lt;$B$11,"Fail",G72&lt;25,"Marginal",G72&lt;35,"Solid",TRUE,"Blowout")</f>
        <v>Solid</v>
      </c>
      <c r="L72" s="226">
        <f ca="1">IF(AND(E72&lt;$B$10,C72&gt;=$B$11),1,0)</f>
        <v>1</v>
      </c>
      <c r="M72" s="217" t="str" cm="1">
        <f t="array" aca="1" ref="M72" ca="1">_xlfn.IFS(C72&lt;$B$11,"Fail",C72&lt;25,"Marginal",C72&lt;35,"Solid",TRUE,"Blowout")</f>
        <v>Blowout</v>
      </c>
    </row>
    <row r="73" spans="1:13" x14ac:dyDescent="0.25">
      <c r="A73" s="169">
        <f t="shared" ca="1" si="0"/>
        <v>46.278924357371956</v>
      </c>
      <c r="B73" s="168">
        <f t="shared" ca="1" si="1"/>
        <v>-0.4829746419563028</v>
      </c>
      <c r="C73" s="168">
        <f t="shared" ca="1" si="2"/>
        <v>46.76189899932826</v>
      </c>
      <c r="D73" s="184">
        <f t="shared" ca="1" si="3"/>
        <v>5.9098275939870843</v>
      </c>
      <c r="E73" s="230">
        <f t="shared" ca="1" si="4"/>
        <v>6.1913509472011823E-9</v>
      </c>
      <c r="F73" s="168">
        <f t="shared" ca="1" si="5"/>
        <v>16.842233301348664</v>
      </c>
      <c r="G73" s="168">
        <f t="shared" ca="1" si="6"/>
        <v>17.325207943304967</v>
      </c>
      <c r="H73" s="184">
        <f t="shared" ca="1" si="7"/>
        <v>2.1895815646062351</v>
      </c>
      <c r="I73" s="184">
        <f t="shared" ca="1" si="8"/>
        <v>1.4784452031412359E-2</v>
      </c>
      <c r="J73" s="223">
        <f t="shared" ca="1" si="9"/>
        <v>0</v>
      </c>
      <c r="K73" s="220" t="str" cm="1">
        <f t="array" aca="1" ref="K73" ca="1">_xlfn.IFS(G73&lt;$B$11,"Fail",G73&lt;25,"Marginal",G73&lt;35,"Solid",TRUE,"Blowout")</f>
        <v>Fail</v>
      </c>
      <c r="L73" s="226">
        <f ca="1">IF(AND(E73&lt;$B$10,C73&gt;=$B$11),1,0)</f>
        <v>1</v>
      </c>
      <c r="M73" s="217" t="str" cm="1">
        <f t="array" aca="1" ref="M73" ca="1">_xlfn.IFS(C73&lt;$B$11,"Fail",C73&lt;25,"Marginal",C73&lt;35,"Solid",TRUE,"Blowout")</f>
        <v>Blowout</v>
      </c>
    </row>
    <row r="74" spans="1:13" x14ac:dyDescent="0.25">
      <c r="A74" s="169">
        <f t="shared" ca="1" si="0"/>
        <v>0.37698209163032059</v>
      </c>
      <c r="B74" s="168">
        <f t="shared" ca="1" si="1"/>
        <v>1.4657662670949296</v>
      </c>
      <c r="C74" s="168">
        <f t="shared" ca="1" si="2"/>
        <v>-1.088784175464609</v>
      </c>
      <c r="D74" s="184">
        <f t="shared" ca="1" si="3"/>
        <v>-0.137601913133375</v>
      </c>
      <c r="E74" s="230">
        <f t="shared" ca="1" si="4"/>
        <v>0.55466175827550557</v>
      </c>
      <c r="F74" s="168">
        <f t="shared" ca="1" si="5"/>
        <v>48.373384920007652</v>
      </c>
      <c r="G74" s="168">
        <f t="shared" ca="1" si="6"/>
        <v>46.907618652912724</v>
      </c>
      <c r="H74" s="184">
        <f t="shared" ca="1" si="7"/>
        <v>5.9282438270351063</v>
      </c>
      <c r="I74" s="184">
        <f t="shared" ca="1" si="8"/>
        <v>5.6188365926319281E-9</v>
      </c>
      <c r="J74" s="223">
        <f t="shared" ca="1" si="9"/>
        <v>1</v>
      </c>
      <c r="K74" s="220" t="str" cm="1">
        <f t="array" aca="1" ref="K74" ca="1">_xlfn.IFS(G74&lt;$B$11,"Fail",G74&lt;25,"Marginal",G74&lt;35,"Solid",TRUE,"Blowout")</f>
        <v>Blowout</v>
      </c>
      <c r="L74" s="226">
        <f ca="1">IF(AND(E74&lt;$B$10,C74&gt;=$B$11),1,0)</f>
        <v>0</v>
      </c>
      <c r="M74" s="217" t="str" cm="1">
        <f t="array" aca="1" ref="M74" ca="1">_xlfn.IFS(C74&lt;$B$11,"Fail",C74&lt;25,"Marginal",C74&lt;35,"Solid",TRUE,"Blowout")</f>
        <v>Fail</v>
      </c>
    </row>
    <row r="75" spans="1:13" x14ac:dyDescent="0.25">
      <c r="A75" s="169">
        <f t="shared" ca="1" si="0"/>
        <v>33.783182389207511</v>
      </c>
      <c r="B75" s="168">
        <f t="shared" ca="1" si="1"/>
        <v>7.5684844980871047</v>
      </c>
      <c r="C75" s="168">
        <f t="shared" ca="1" si="2"/>
        <v>26.214697891120405</v>
      </c>
      <c r="D75" s="184">
        <f t="shared" ca="1" si="3"/>
        <v>3.3130464818634486</v>
      </c>
      <c r="E75" s="230">
        <f t="shared" ca="1" si="4"/>
        <v>5.365868128385297E-4</v>
      </c>
      <c r="F75" s="168">
        <f t="shared" ca="1" si="5"/>
        <v>30.792941779853514</v>
      </c>
      <c r="G75" s="168">
        <f t="shared" ca="1" si="6"/>
        <v>23.224457281766409</v>
      </c>
      <c r="H75" s="184">
        <f t="shared" ca="1" si="7"/>
        <v>2.9351361137221788</v>
      </c>
      <c r="I75" s="184">
        <f t="shared" ca="1" si="8"/>
        <v>1.8375187763682579E-3</v>
      </c>
      <c r="J75" s="223">
        <f t="shared" ca="1" si="9"/>
        <v>1</v>
      </c>
      <c r="K75" s="220" t="str" cm="1">
        <f t="array" aca="1" ref="K75" ca="1">_xlfn.IFS(G75&lt;$B$11,"Fail",G75&lt;25,"Marginal",G75&lt;35,"Solid",TRUE,"Blowout")</f>
        <v>Marginal</v>
      </c>
      <c r="L75" s="226">
        <f ca="1">IF(AND(E75&lt;$B$10,C75&gt;=$B$11),1,0)</f>
        <v>1</v>
      </c>
      <c r="M75" s="217" t="str" cm="1">
        <f t="array" aca="1" ref="M75" ca="1">_xlfn.IFS(C75&lt;$B$11,"Fail",C75&lt;25,"Marginal",C75&lt;35,"Solid",TRUE,"Blowout")</f>
        <v>Solid</v>
      </c>
    </row>
    <row r="76" spans="1:13" x14ac:dyDescent="0.25">
      <c r="A76" s="169">
        <f t="shared" ca="1" si="0"/>
        <v>49.582846743754878</v>
      </c>
      <c r="B76" s="168">
        <f t="shared" ca="1" si="1"/>
        <v>-2.0906336156334575</v>
      </c>
      <c r="C76" s="168">
        <f t="shared" ca="1" si="2"/>
        <v>51.673480359388336</v>
      </c>
      <c r="D76" s="184">
        <f t="shared" ca="1" si="3"/>
        <v>6.5305594220980989</v>
      </c>
      <c r="E76" s="230">
        <f t="shared" ca="1" si="4"/>
        <v>2.1063624428786354E-10</v>
      </c>
      <c r="F76" s="168">
        <f t="shared" ca="1" si="5"/>
        <v>13.784485218251431</v>
      </c>
      <c r="G76" s="168">
        <f t="shared" ca="1" si="6"/>
        <v>15.875118833884889</v>
      </c>
      <c r="H76" s="184">
        <f t="shared" ca="1" si="7"/>
        <v>2.0063174796144336</v>
      </c>
      <c r="I76" s="184">
        <f t="shared" ca="1" si="8"/>
        <v>2.3001816959662982E-2</v>
      </c>
      <c r="J76" s="223">
        <f t="shared" ca="1" si="9"/>
        <v>0</v>
      </c>
      <c r="K76" s="220" t="str" cm="1">
        <f t="array" aca="1" ref="K76" ca="1">_xlfn.IFS(G76&lt;$B$11,"Fail",G76&lt;25,"Marginal",G76&lt;35,"Solid",TRUE,"Blowout")</f>
        <v>Fail</v>
      </c>
      <c r="L76" s="226">
        <f ca="1">IF(AND(E76&lt;$B$10,C76&gt;=$B$11),1,0)</f>
        <v>1</v>
      </c>
      <c r="M76" s="217" t="str" cm="1">
        <f t="array" aca="1" ref="M76" ca="1">_xlfn.IFS(C76&lt;$B$11,"Fail",C76&lt;25,"Marginal",C76&lt;35,"Solid",TRUE,"Blowout")</f>
        <v>Blowout</v>
      </c>
    </row>
    <row r="77" spans="1:13" x14ac:dyDescent="0.25">
      <c r="A77" s="169">
        <f t="shared" ca="1" si="0"/>
        <v>14.090036408061964</v>
      </c>
      <c r="B77" s="168">
        <f t="shared" ca="1" si="1"/>
        <v>-1.9487516630943107</v>
      </c>
      <c r="C77" s="168">
        <f t="shared" ca="1" si="2"/>
        <v>16.038788071156276</v>
      </c>
      <c r="D77" s="184">
        <f t="shared" ca="1" si="3"/>
        <v>2.0270022036186313</v>
      </c>
      <c r="E77" s="230">
        <f t="shared" ca="1" si="4"/>
        <v>2.1913058005423126E-2</v>
      </c>
      <c r="F77" s="168">
        <f t="shared" ca="1" si="5"/>
        <v>13.250983894912011</v>
      </c>
      <c r="G77" s="168">
        <f t="shared" ca="1" si="6"/>
        <v>15.199735558006321</v>
      </c>
      <c r="H77" s="184">
        <f t="shared" ca="1" si="7"/>
        <v>1.9209616919813888</v>
      </c>
      <c r="I77" s="184">
        <f t="shared" ca="1" si="8"/>
        <v>2.7991838778154338E-2</v>
      </c>
      <c r="J77" s="223">
        <f t="shared" ca="1" si="9"/>
        <v>0</v>
      </c>
      <c r="K77" s="220" t="str" cm="1">
        <f t="array" aca="1" ref="K77" ca="1">_xlfn.IFS(G77&lt;$B$11,"Fail",G77&lt;25,"Marginal",G77&lt;35,"Solid",TRUE,"Blowout")</f>
        <v>Fail</v>
      </c>
      <c r="L77" s="226">
        <f ca="1">IF(AND(E77&lt;$B$10,C77&gt;=$B$11),1,0)</f>
        <v>0</v>
      </c>
      <c r="M77" s="217" t="str" cm="1">
        <f t="array" aca="1" ref="M77" ca="1">_xlfn.IFS(C77&lt;$B$11,"Fail",C77&lt;25,"Marginal",C77&lt;35,"Solid",TRUE,"Blowout")</f>
        <v>Fail</v>
      </c>
    </row>
    <row r="78" spans="1:13" x14ac:dyDescent="0.25">
      <c r="A78" s="169">
        <f t="shared" ca="1" si="0"/>
        <v>15.570096585074356</v>
      </c>
      <c r="B78" s="168">
        <f t="shared" ca="1" si="1"/>
        <v>5.6192623858863433</v>
      </c>
      <c r="C78" s="168">
        <f t="shared" ca="1" si="2"/>
        <v>9.9508341991880123</v>
      </c>
      <c r="D78" s="184">
        <f t="shared" ca="1" si="3"/>
        <v>1.2575989382808528</v>
      </c>
      <c r="E78" s="230">
        <f t="shared" ca="1" si="4"/>
        <v>0.10491169737216702</v>
      </c>
      <c r="F78" s="168">
        <f t="shared" ca="1" si="5"/>
        <v>16.49910741053079</v>
      </c>
      <c r="G78" s="168">
        <f t="shared" ca="1" si="6"/>
        <v>10.879845024644446</v>
      </c>
      <c r="H78" s="184">
        <f t="shared" ca="1" si="7"/>
        <v>1.375008494541047</v>
      </c>
      <c r="I78" s="184">
        <f t="shared" ca="1" si="8"/>
        <v>8.5239234464211805E-2</v>
      </c>
      <c r="J78" s="223">
        <f t="shared" ca="1" si="9"/>
        <v>0</v>
      </c>
      <c r="K78" s="220" t="str" cm="1">
        <f t="array" aca="1" ref="K78" ca="1">_xlfn.IFS(G78&lt;$B$11,"Fail",G78&lt;25,"Marginal",G78&lt;35,"Solid",TRUE,"Blowout")</f>
        <v>Fail</v>
      </c>
      <c r="L78" s="226">
        <f ca="1">IF(AND(E78&lt;$B$10,C78&gt;=$B$11),1,0)</f>
        <v>0</v>
      </c>
      <c r="M78" s="217" t="str" cm="1">
        <f t="array" aca="1" ref="M78" ca="1">_xlfn.IFS(C78&lt;$B$11,"Fail",C78&lt;25,"Marginal",C78&lt;35,"Solid",TRUE,"Blowout")</f>
        <v>Fail</v>
      </c>
    </row>
    <row r="79" spans="1:13" x14ac:dyDescent="0.25">
      <c r="A79" s="169">
        <f t="shared" ca="1" si="0"/>
        <v>42.455625009730127</v>
      </c>
      <c r="B79" s="168">
        <f t="shared" ca="1" si="1"/>
        <v>1.7943916651808056</v>
      </c>
      <c r="C79" s="168">
        <f t="shared" ca="1" si="2"/>
        <v>40.661233344549323</v>
      </c>
      <c r="D79" s="184">
        <f t="shared" ca="1" si="3"/>
        <v>5.1388177975538865</v>
      </c>
      <c r="E79" s="230">
        <f t="shared" ca="1" si="4"/>
        <v>2.968462990195153E-7</v>
      </c>
      <c r="F79" s="168">
        <f t="shared" ca="1" si="5"/>
        <v>23.798103095618384</v>
      </c>
      <c r="G79" s="168">
        <f t="shared" ca="1" si="6"/>
        <v>22.003711430437576</v>
      </c>
      <c r="H79" s="184">
        <f t="shared" ca="1" si="7"/>
        <v>2.7808567180643586</v>
      </c>
      <c r="I79" s="184">
        <f t="shared" ca="1" si="8"/>
        <v>2.9374178996532654E-3</v>
      </c>
      <c r="J79" s="223">
        <f t="shared" ca="1" si="9"/>
        <v>1</v>
      </c>
      <c r="K79" s="220" t="str" cm="1">
        <f t="array" aca="1" ref="K79" ca="1">_xlfn.IFS(G79&lt;$B$11,"Fail",G79&lt;25,"Marginal",G79&lt;35,"Solid",TRUE,"Blowout")</f>
        <v>Marginal</v>
      </c>
      <c r="L79" s="226">
        <f ca="1">IF(AND(E79&lt;$B$10,C79&gt;=$B$11),1,0)</f>
        <v>1</v>
      </c>
      <c r="M79" s="217" t="str" cm="1">
        <f t="array" aca="1" ref="M79" ca="1">_xlfn.IFS(C79&lt;$B$11,"Fail",C79&lt;25,"Marginal",C79&lt;35,"Solid",TRUE,"Blowout")</f>
        <v>Blowout</v>
      </c>
    </row>
    <row r="80" spans="1:13" x14ac:dyDescent="0.25">
      <c r="A80" s="169">
        <f t="shared" ca="1" si="0"/>
        <v>37.948270327522309</v>
      </c>
      <c r="B80" s="168">
        <f t="shared" ca="1" si="1"/>
        <v>-6.1302706391073158</v>
      </c>
      <c r="C80" s="168">
        <f t="shared" ca="1" si="2"/>
        <v>44.078540966629625</v>
      </c>
      <c r="D80" s="184">
        <f t="shared" ca="1" si="3"/>
        <v>5.5707014317579349</v>
      </c>
      <c r="E80" s="230">
        <f t="shared" ca="1" si="4"/>
        <v>3.5601117595374763E-8</v>
      </c>
      <c r="F80" s="168">
        <f t="shared" ca="1" si="5"/>
        <v>57.432768541358044</v>
      </c>
      <c r="G80" s="168">
        <f t="shared" ca="1" si="6"/>
        <v>63.56303918046536</v>
      </c>
      <c r="H80" s="184">
        <f t="shared" ca="1" si="7"/>
        <v>8.0331768158472894</v>
      </c>
      <c r="I80" s="184">
        <f t="shared" ca="1" si="8"/>
        <v>2.5354200778352163E-14</v>
      </c>
      <c r="J80" s="223">
        <f t="shared" ca="1" si="9"/>
        <v>1</v>
      </c>
      <c r="K80" s="220" t="str" cm="1">
        <f t="array" aca="1" ref="K80" ca="1">_xlfn.IFS(G80&lt;$B$11,"Fail",G80&lt;25,"Marginal",G80&lt;35,"Solid",TRUE,"Blowout")</f>
        <v>Blowout</v>
      </c>
      <c r="L80" s="226">
        <f ca="1">IF(AND(E80&lt;$B$10,C80&gt;=$B$11),1,0)</f>
        <v>1</v>
      </c>
      <c r="M80" s="217" t="str" cm="1">
        <f t="array" aca="1" ref="M80" ca="1">_xlfn.IFS(C80&lt;$B$11,"Fail",C80&lt;25,"Marginal",C80&lt;35,"Solid",TRUE,"Blowout")</f>
        <v>Blowout</v>
      </c>
    </row>
    <row r="81" spans="1:13" x14ac:dyDescent="0.25">
      <c r="A81" s="169">
        <f t="shared" ref="A81:A144" ca="1" si="10">NORMINV(RAND(), MAX(0, NORMINV(RAND(), $B$6, $B$12)), $B$7/SQRT($B$9))</f>
        <v>49.264901734374099</v>
      </c>
      <c r="B81" s="168">
        <f t="shared" ref="B81:B144" ca="1" si="11">NORMINV(RAND(), $B$8, $B$7/SQRT($B$9))</f>
        <v>5.8856368780825701</v>
      </c>
      <c r="C81" s="168">
        <f t="shared" ref="C81:C144" ca="1" si="12">A81-B81</f>
        <v>43.379264856291528</v>
      </c>
      <c r="D81" s="184">
        <f t="shared" ref="D81:D144" ca="1" si="13">C81/($B$7*SQRT(2/$B$9))</f>
        <v>5.4823260376630243</v>
      </c>
      <c r="E81" s="230">
        <f t="shared" ref="E81:E144" ca="1" si="14">_xlfn.T.DIST.RT(D81, 2*$B$9-2)</f>
        <v>5.5494593752160282E-8</v>
      </c>
      <c r="F81" s="168">
        <f t="shared" ref="F81:F144" ca="1" si="15">NORMINV(RAND(), MAX(0, NORMINV(RAND(), $N$7, $N$8)), $B$7/SQRT($B$9))</f>
        <v>37.498197218134472</v>
      </c>
      <c r="G81" s="168">
        <f t="shared" ref="G81:G144" ca="1" si="16">F81-B81</f>
        <v>31.6125603400519</v>
      </c>
      <c r="H81" s="184">
        <f t="shared" ref="H81:H144" ca="1" si="17">G81/($B$7*SQRT(2/$B$9))</f>
        <v>3.9952351254362917</v>
      </c>
      <c r="I81" s="184">
        <f t="shared" ref="I81:I144" ca="1" si="18">_xlfn.T.DIST.RT(H81, 2*$B$9-2)</f>
        <v>4.3624488364952998E-5</v>
      </c>
      <c r="J81" s="223">
        <f t="shared" ref="J81:J144" ca="1" si="19">IF(AND(I81&lt;$B$10, G81&gt;=$B$11), 1, 0)</f>
        <v>1</v>
      </c>
      <c r="K81" s="220" t="str" cm="1">
        <f t="array" aca="1" ref="K81" ca="1">_xlfn.IFS(G81&lt;$B$11,"Fail",G81&lt;25,"Marginal",G81&lt;35,"Solid",TRUE,"Blowout")</f>
        <v>Solid</v>
      </c>
      <c r="L81" s="226">
        <f ca="1">IF(AND(E81&lt;$B$10,C81&gt;=$B$11),1,0)</f>
        <v>1</v>
      </c>
      <c r="M81" s="217" t="str" cm="1">
        <f t="array" aca="1" ref="M81" ca="1">_xlfn.IFS(C81&lt;$B$11,"Fail",C81&lt;25,"Marginal",C81&lt;35,"Solid",TRUE,"Blowout")</f>
        <v>Blowout</v>
      </c>
    </row>
    <row r="82" spans="1:13" x14ac:dyDescent="0.25">
      <c r="A82" s="169">
        <f t="shared" ca="1" si="10"/>
        <v>44.957668429624817</v>
      </c>
      <c r="B82" s="168">
        <f t="shared" ca="1" si="11"/>
        <v>1.2355981713691682</v>
      </c>
      <c r="C82" s="168">
        <f t="shared" ca="1" si="12"/>
        <v>43.722070258255648</v>
      </c>
      <c r="D82" s="184">
        <f t="shared" ca="1" si="13"/>
        <v>5.5256502154070573</v>
      </c>
      <c r="E82" s="230">
        <f t="shared" ca="1" si="14"/>
        <v>4.4669734576472052E-8</v>
      </c>
      <c r="F82" s="168">
        <f t="shared" ca="1" si="15"/>
        <v>29.686296559532753</v>
      </c>
      <c r="G82" s="168">
        <f t="shared" ca="1" si="16"/>
        <v>28.450698388163584</v>
      </c>
      <c r="H82" s="184">
        <f t="shared" ca="1" si="17"/>
        <v>3.5956350362287117</v>
      </c>
      <c r="I82" s="184">
        <f t="shared" ca="1" si="18"/>
        <v>1.9832481932477582E-4</v>
      </c>
      <c r="J82" s="223">
        <f t="shared" ca="1" si="19"/>
        <v>1</v>
      </c>
      <c r="K82" s="220" t="str" cm="1">
        <f t="array" aca="1" ref="K82" ca="1">_xlfn.IFS(G82&lt;$B$11,"Fail",G82&lt;25,"Marginal",G82&lt;35,"Solid",TRUE,"Blowout")</f>
        <v>Solid</v>
      </c>
      <c r="L82" s="226">
        <f ca="1">IF(AND(E82&lt;$B$10,C82&gt;=$B$11),1,0)</f>
        <v>1</v>
      </c>
      <c r="M82" s="217" t="str" cm="1">
        <f t="array" aca="1" ref="M82" ca="1">_xlfn.IFS(C82&lt;$B$11,"Fail",C82&lt;25,"Marginal",C82&lt;35,"Solid",TRUE,"Blowout")</f>
        <v>Blowout</v>
      </c>
    </row>
    <row r="83" spans="1:13" x14ac:dyDescent="0.25">
      <c r="A83" s="169">
        <f t="shared" ca="1" si="10"/>
        <v>-3.8669541580057589</v>
      </c>
      <c r="B83" s="168">
        <f t="shared" ca="1" si="11"/>
        <v>8.0613583098250583</v>
      </c>
      <c r="C83" s="168">
        <f t="shared" ca="1" si="12"/>
        <v>-11.928312467830818</v>
      </c>
      <c r="D83" s="184">
        <f t="shared" ca="1" si="13"/>
        <v>-1.5075151283548045</v>
      </c>
      <c r="E83" s="230">
        <f t="shared" ca="1" si="14"/>
        <v>0.93346850310906915</v>
      </c>
      <c r="F83" s="168">
        <f t="shared" ca="1" si="15"/>
        <v>27.244457141730152</v>
      </c>
      <c r="G83" s="168">
        <f t="shared" ca="1" si="16"/>
        <v>19.183098831905092</v>
      </c>
      <c r="H83" s="184">
        <f t="shared" ca="1" si="17"/>
        <v>2.4243841512211186</v>
      </c>
      <c r="I83" s="184">
        <f t="shared" ca="1" si="18"/>
        <v>8.0566382226924613E-3</v>
      </c>
      <c r="J83" s="223">
        <f t="shared" ca="1" si="19"/>
        <v>0</v>
      </c>
      <c r="K83" s="220" t="str" cm="1">
        <f t="array" aca="1" ref="K83" ca="1">_xlfn.IFS(G83&lt;$B$11,"Fail",G83&lt;25,"Marginal",G83&lt;35,"Solid",TRUE,"Blowout")</f>
        <v>Fail</v>
      </c>
      <c r="L83" s="226">
        <f ca="1">IF(AND(E83&lt;$B$10,C83&gt;=$B$11),1,0)</f>
        <v>0</v>
      </c>
      <c r="M83" s="217" t="str" cm="1">
        <f t="array" aca="1" ref="M83" ca="1">_xlfn.IFS(C83&lt;$B$11,"Fail",C83&lt;25,"Marginal",C83&lt;35,"Solid",TRUE,"Blowout")</f>
        <v>Fail</v>
      </c>
    </row>
    <row r="84" spans="1:13" x14ac:dyDescent="0.25">
      <c r="A84" s="169">
        <f t="shared" ca="1" si="10"/>
        <v>27.00638355363785</v>
      </c>
      <c r="B84" s="168">
        <f t="shared" ca="1" si="11"/>
        <v>5.950848704005991</v>
      </c>
      <c r="C84" s="168">
        <f t="shared" ca="1" si="12"/>
        <v>21.055534849631858</v>
      </c>
      <c r="D84" s="184">
        <f t="shared" ca="1" si="13"/>
        <v>2.6610249695440849</v>
      </c>
      <c r="E84" s="230">
        <f t="shared" ca="1" si="14"/>
        <v>4.1720689655649614E-3</v>
      </c>
      <c r="F84" s="168">
        <f t="shared" ca="1" si="15"/>
        <v>12.579482915955868</v>
      </c>
      <c r="G84" s="168">
        <f t="shared" ca="1" si="16"/>
        <v>6.6286342119498771</v>
      </c>
      <c r="H84" s="184">
        <f t="shared" ca="1" si="17"/>
        <v>0.83773512655657878</v>
      </c>
      <c r="I84" s="184">
        <f t="shared" ca="1" si="18"/>
        <v>0.20152839197675138</v>
      </c>
      <c r="J84" s="223">
        <f t="shared" ca="1" si="19"/>
        <v>0</v>
      </c>
      <c r="K84" s="220" t="str" cm="1">
        <f t="array" aca="1" ref="K84" ca="1">_xlfn.IFS(G84&lt;$B$11,"Fail",G84&lt;25,"Marginal",G84&lt;35,"Solid",TRUE,"Blowout")</f>
        <v>Fail</v>
      </c>
      <c r="L84" s="226">
        <f ca="1">IF(AND(E84&lt;$B$10,C84&gt;=$B$11),1,0)</f>
        <v>1</v>
      </c>
      <c r="M84" s="217" t="str" cm="1">
        <f t="array" aca="1" ref="M84" ca="1">_xlfn.IFS(C84&lt;$B$11,"Fail",C84&lt;25,"Marginal",C84&lt;35,"Solid",TRUE,"Blowout")</f>
        <v>Marginal</v>
      </c>
    </row>
    <row r="85" spans="1:13" x14ac:dyDescent="0.25">
      <c r="A85" s="169">
        <f t="shared" ca="1" si="10"/>
        <v>30.494970034092667</v>
      </c>
      <c r="B85" s="168">
        <f t="shared" ca="1" si="11"/>
        <v>0.31645670451155805</v>
      </c>
      <c r="C85" s="168">
        <f t="shared" ca="1" si="12"/>
        <v>30.178513329581108</v>
      </c>
      <c r="D85" s="184">
        <f t="shared" ca="1" si="13"/>
        <v>3.81399846108105</v>
      </c>
      <c r="E85" s="230">
        <f t="shared" ca="1" si="14"/>
        <v>8.8034945436281134E-5</v>
      </c>
      <c r="F85" s="168">
        <f t="shared" ca="1" si="15"/>
        <v>24.312456430923234</v>
      </c>
      <c r="G85" s="168">
        <f t="shared" ca="1" si="16"/>
        <v>23.995999726411675</v>
      </c>
      <c r="H85" s="184">
        <f t="shared" ca="1" si="17"/>
        <v>3.0326446180145807</v>
      </c>
      <c r="I85" s="184">
        <f t="shared" ca="1" si="18"/>
        <v>1.352412278595659E-3</v>
      </c>
      <c r="J85" s="223">
        <f t="shared" ca="1" si="19"/>
        <v>1</v>
      </c>
      <c r="K85" s="220" t="str" cm="1">
        <f t="array" aca="1" ref="K85" ca="1">_xlfn.IFS(G85&lt;$B$11,"Fail",G85&lt;25,"Marginal",G85&lt;35,"Solid",TRUE,"Blowout")</f>
        <v>Marginal</v>
      </c>
      <c r="L85" s="226">
        <f ca="1">IF(AND(E85&lt;$B$10,C85&gt;=$B$11),1,0)</f>
        <v>1</v>
      </c>
      <c r="M85" s="217" t="str" cm="1">
        <f t="array" aca="1" ref="M85" ca="1">_xlfn.IFS(C85&lt;$B$11,"Fail",C85&lt;25,"Marginal",C85&lt;35,"Solid",TRUE,"Blowout")</f>
        <v>Solid</v>
      </c>
    </row>
    <row r="86" spans="1:13" x14ac:dyDescent="0.25">
      <c r="A86" s="169">
        <f t="shared" ca="1" si="10"/>
        <v>37.000432381327997</v>
      </c>
      <c r="B86" s="168">
        <f t="shared" ca="1" si="11"/>
        <v>4.2284005302632419</v>
      </c>
      <c r="C86" s="168">
        <f t="shared" ca="1" si="12"/>
        <v>32.772031851064753</v>
      </c>
      <c r="D86" s="184">
        <f t="shared" ca="1" si="13"/>
        <v>4.1417705929185704</v>
      </c>
      <c r="E86" s="230">
        <f t="shared" ca="1" si="14"/>
        <v>2.4279264455348796E-5</v>
      </c>
      <c r="F86" s="168">
        <f t="shared" ca="1" si="15"/>
        <v>56.477735060241812</v>
      </c>
      <c r="G86" s="168">
        <f t="shared" ca="1" si="16"/>
        <v>52.249334529978569</v>
      </c>
      <c r="H86" s="184">
        <f t="shared" ca="1" si="17"/>
        <v>6.6033365962568213</v>
      </c>
      <c r="I86" s="184">
        <f t="shared" ca="1" si="18"/>
        <v>1.3968197353171632E-10</v>
      </c>
      <c r="J86" s="223">
        <f t="shared" ca="1" si="19"/>
        <v>1</v>
      </c>
      <c r="K86" s="220" t="str" cm="1">
        <f t="array" aca="1" ref="K86" ca="1">_xlfn.IFS(G86&lt;$B$11,"Fail",G86&lt;25,"Marginal",G86&lt;35,"Solid",TRUE,"Blowout")</f>
        <v>Blowout</v>
      </c>
      <c r="L86" s="226">
        <f ca="1">IF(AND(E86&lt;$B$10,C86&gt;=$B$11),1,0)</f>
        <v>1</v>
      </c>
      <c r="M86" s="217" t="str" cm="1">
        <f t="array" aca="1" ref="M86" ca="1">_xlfn.IFS(C86&lt;$B$11,"Fail",C86&lt;25,"Marginal",C86&lt;35,"Solid",TRUE,"Blowout")</f>
        <v>Solid</v>
      </c>
    </row>
    <row r="87" spans="1:13" x14ac:dyDescent="0.25">
      <c r="A87" s="169">
        <f t="shared" ca="1" si="10"/>
        <v>1.0884768767663215</v>
      </c>
      <c r="B87" s="168">
        <f t="shared" ca="1" si="11"/>
        <v>5.27380599104215</v>
      </c>
      <c r="C87" s="168">
        <f t="shared" ca="1" si="12"/>
        <v>-4.1853291142758282</v>
      </c>
      <c r="D87" s="184">
        <f t="shared" ca="1" si="13"/>
        <v>-0.52894715609860343</v>
      </c>
      <c r="E87" s="230">
        <f t="shared" ca="1" si="14"/>
        <v>0.70132166574756227</v>
      </c>
      <c r="F87" s="168">
        <f t="shared" ca="1" si="15"/>
        <v>6.3468939300371492</v>
      </c>
      <c r="G87" s="168">
        <f t="shared" ca="1" si="16"/>
        <v>1.0730879389949992</v>
      </c>
      <c r="H87" s="184">
        <f t="shared" ca="1" si="17"/>
        <v>0.13561820303188449</v>
      </c>
      <c r="I87" s="184">
        <f t="shared" ca="1" si="18"/>
        <v>0.44612138626706566</v>
      </c>
      <c r="J87" s="223">
        <f t="shared" ca="1" si="19"/>
        <v>0</v>
      </c>
      <c r="K87" s="220" t="str" cm="1">
        <f t="array" aca="1" ref="K87" ca="1">_xlfn.IFS(G87&lt;$B$11,"Fail",G87&lt;25,"Marginal",G87&lt;35,"Solid",TRUE,"Blowout")</f>
        <v>Fail</v>
      </c>
      <c r="L87" s="226">
        <f ca="1">IF(AND(E87&lt;$B$10,C87&gt;=$B$11),1,0)</f>
        <v>0</v>
      </c>
      <c r="M87" s="217" t="str" cm="1">
        <f t="array" aca="1" ref="M87" ca="1">_xlfn.IFS(C87&lt;$B$11,"Fail",C87&lt;25,"Marginal",C87&lt;35,"Solid",TRUE,"Blowout")</f>
        <v>Fail</v>
      </c>
    </row>
    <row r="88" spans="1:13" x14ac:dyDescent="0.25">
      <c r="A88" s="169">
        <f t="shared" ca="1" si="10"/>
        <v>37.741098017341336</v>
      </c>
      <c r="B88" s="168">
        <f t="shared" ca="1" si="11"/>
        <v>-1.2872186624281845</v>
      </c>
      <c r="C88" s="168">
        <f t="shared" ca="1" si="12"/>
        <v>39.028316679769517</v>
      </c>
      <c r="D88" s="184">
        <f t="shared" ca="1" si="13"/>
        <v>4.9324477362281973</v>
      </c>
      <c r="E88" s="230">
        <f t="shared" ca="1" si="14"/>
        <v>7.8253870529422963E-7</v>
      </c>
      <c r="F88" s="168">
        <f t="shared" ca="1" si="15"/>
        <v>57.997240026256414</v>
      </c>
      <c r="G88" s="168">
        <f t="shared" ca="1" si="16"/>
        <v>59.284458688684595</v>
      </c>
      <c r="H88" s="184">
        <f t="shared" ca="1" si="17"/>
        <v>7.4924444334052502</v>
      </c>
      <c r="I88" s="184">
        <f t="shared" ca="1" si="18"/>
        <v>7.3909379280037031E-13</v>
      </c>
      <c r="J88" s="223">
        <f t="shared" ca="1" si="19"/>
        <v>1</v>
      </c>
      <c r="K88" s="220" t="str" cm="1">
        <f t="array" aca="1" ref="K88" ca="1">_xlfn.IFS(G88&lt;$B$11,"Fail",G88&lt;25,"Marginal",G88&lt;35,"Solid",TRUE,"Blowout")</f>
        <v>Blowout</v>
      </c>
      <c r="L88" s="226">
        <f ca="1">IF(AND(E88&lt;$B$10,C88&gt;=$B$11),1,0)</f>
        <v>1</v>
      </c>
      <c r="M88" s="217" t="str" cm="1">
        <f t="array" aca="1" ref="M88" ca="1">_xlfn.IFS(C88&lt;$B$11,"Fail",C88&lt;25,"Marginal",C88&lt;35,"Solid",TRUE,"Blowout")</f>
        <v>Blowout</v>
      </c>
    </row>
    <row r="89" spans="1:13" x14ac:dyDescent="0.25">
      <c r="A89" s="169">
        <f t="shared" ca="1" si="10"/>
        <v>33.847546441755981</v>
      </c>
      <c r="B89" s="168">
        <f t="shared" ca="1" si="11"/>
        <v>-5.1858412624906496</v>
      </c>
      <c r="C89" s="168">
        <f t="shared" ca="1" si="12"/>
        <v>39.033387704246628</v>
      </c>
      <c r="D89" s="184">
        <f t="shared" ca="1" si="13"/>
        <v>4.9330886186779255</v>
      </c>
      <c r="E89" s="230">
        <f t="shared" ca="1" si="14"/>
        <v>7.8022194658370835E-7</v>
      </c>
      <c r="F89" s="168">
        <f t="shared" ca="1" si="15"/>
        <v>31.675639334262872</v>
      </c>
      <c r="G89" s="168">
        <f t="shared" ca="1" si="16"/>
        <v>36.861480596753523</v>
      </c>
      <c r="H89" s="184">
        <f t="shared" ca="1" si="17"/>
        <v>4.6586002674750837</v>
      </c>
      <c r="I89" s="184">
        <f t="shared" ca="1" si="18"/>
        <v>2.7058090982978966E-6</v>
      </c>
      <c r="J89" s="223">
        <f t="shared" ca="1" si="19"/>
        <v>1</v>
      </c>
      <c r="K89" s="220" t="str" cm="1">
        <f t="array" aca="1" ref="K89" ca="1">_xlfn.IFS(G89&lt;$B$11,"Fail",G89&lt;25,"Marginal",G89&lt;35,"Solid",TRUE,"Blowout")</f>
        <v>Blowout</v>
      </c>
      <c r="L89" s="226">
        <f ca="1">IF(AND(E89&lt;$B$10,C89&gt;=$B$11),1,0)</f>
        <v>1</v>
      </c>
      <c r="M89" s="217" t="str" cm="1">
        <f t="array" aca="1" ref="M89" ca="1">_xlfn.IFS(C89&lt;$B$11,"Fail",C89&lt;25,"Marginal",C89&lt;35,"Solid",TRUE,"Blowout")</f>
        <v>Blowout</v>
      </c>
    </row>
    <row r="90" spans="1:13" x14ac:dyDescent="0.25">
      <c r="A90" s="169">
        <f t="shared" ca="1" si="10"/>
        <v>67.750170943624752</v>
      </c>
      <c r="B90" s="168">
        <f t="shared" ca="1" si="11"/>
        <v>11.86856295986615</v>
      </c>
      <c r="C90" s="168">
        <f t="shared" ca="1" si="12"/>
        <v>55.881607983758599</v>
      </c>
      <c r="D90" s="184">
        <f t="shared" ca="1" si="13"/>
        <v>7.0623878825693032</v>
      </c>
      <c r="E90" s="230">
        <f t="shared" ca="1" si="14"/>
        <v>9.8065631148939713E-12</v>
      </c>
      <c r="F90" s="168">
        <f t="shared" ca="1" si="15"/>
        <v>-2.088969431278362</v>
      </c>
      <c r="G90" s="168">
        <f t="shared" ca="1" si="16"/>
        <v>-13.957532391144511</v>
      </c>
      <c r="H90" s="184">
        <f t="shared" ca="1" si="17"/>
        <v>-1.7639704938060641</v>
      </c>
      <c r="I90" s="184">
        <f t="shared" ca="1" si="18"/>
        <v>0.9604619269992265</v>
      </c>
      <c r="J90" s="223">
        <f t="shared" ca="1" si="19"/>
        <v>0</v>
      </c>
      <c r="K90" s="220" t="str" cm="1">
        <f t="array" aca="1" ref="K90" ca="1">_xlfn.IFS(G90&lt;$B$11,"Fail",G90&lt;25,"Marginal",G90&lt;35,"Solid",TRUE,"Blowout")</f>
        <v>Fail</v>
      </c>
      <c r="L90" s="226">
        <f ca="1">IF(AND(E90&lt;$B$10,C90&gt;=$B$11),1,0)</f>
        <v>1</v>
      </c>
      <c r="M90" s="217" t="str" cm="1">
        <f t="array" aca="1" ref="M90" ca="1">_xlfn.IFS(C90&lt;$B$11,"Fail",C90&lt;25,"Marginal",C90&lt;35,"Solid",TRUE,"Blowout")</f>
        <v>Blowout</v>
      </c>
    </row>
    <row r="91" spans="1:13" x14ac:dyDescent="0.25">
      <c r="A91" s="169">
        <f t="shared" ca="1" si="10"/>
        <v>28.250001232279207</v>
      </c>
      <c r="B91" s="168">
        <f t="shared" ca="1" si="11"/>
        <v>11.397219648561585</v>
      </c>
      <c r="C91" s="168">
        <f t="shared" ca="1" si="12"/>
        <v>16.852781583717622</v>
      </c>
      <c r="D91" s="184">
        <f t="shared" ca="1" si="13"/>
        <v>2.1298757272522759</v>
      </c>
      <c r="E91" s="230">
        <f t="shared" ca="1" si="14"/>
        <v>1.7126724354168062E-2</v>
      </c>
      <c r="F91" s="168">
        <f t="shared" ca="1" si="15"/>
        <v>25.159868860770992</v>
      </c>
      <c r="G91" s="168">
        <f t="shared" ca="1" si="16"/>
        <v>13.762649212209407</v>
      </c>
      <c r="H91" s="184">
        <f t="shared" ca="1" si="17"/>
        <v>1.7393409126059689</v>
      </c>
      <c r="I91" s="184">
        <f t="shared" ca="1" si="18"/>
        <v>4.1662205420155342E-2</v>
      </c>
      <c r="J91" s="223">
        <f t="shared" ca="1" si="19"/>
        <v>0</v>
      </c>
      <c r="K91" s="220" t="str" cm="1">
        <f t="array" aca="1" ref="K91" ca="1">_xlfn.IFS(G91&lt;$B$11,"Fail",G91&lt;25,"Marginal",G91&lt;35,"Solid",TRUE,"Blowout")</f>
        <v>Fail</v>
      </c>
      <c r="L91" s="226">
        <f ca="1">IF(AND(E91&lt;$B$10,C91&gt;=$B$11),1,0)</f>
        <v>0</v>
      </c>
      <c r="M91" s="217" t="str" cm="1">
        <f t="array" aca="1" ref="M91" ca="1">_xlfn.IFS(C91&lt;$B$11,"Fail",C91&lt;25,"Marginal",C91&lt;35,"Solid",TRUE,"Blowout")</f>
        <v>Fail</v>
      </c>
    </row>
    <row r="92" spans="1:13" x14ac:dyDescent="0.25">
      <c r="A92" s="169">
        <f t="shared" ca="1" si="10"/>
        <v>57.258517361188154</v>
      </c>
      <c r="B92" s="168">
        <f t="shared" ca="1" si="11"/>
        <v>18.527604614275639</v>
      </c>
      <c r="C92" s="168">
        <f t="shared" ca="1" si="12"/>
        <v>38.730912746912516</v>
      </c>
      <c r="D92" s="184">
        <f t="shared" ca="1" si="13"/>
        <v>4.8948614532377688</v>
      </c>
      <c r="E92" s="230">
        <f t="shared" ca="1" si="14"/>
        <v>9.3069635178617526E-7</v>
      </c>
      <c r="F92" s="168">
        <f t="shared" ca="1" si="15"/>
        <v>7.9340205604572738</v>
      </c>
      <c r="G92" s="168">
        <f t="shared" ca="1" si="16"/>
        <v>-10.593584053818365</v>
      </c>
      <c r="H92" s="184">
        <f t="shared" ca="1" si="17"/>
        <v>-1.3388304731032561</v>
      </c>
      <c r="I92" s="184">
        <f t="shared" ca="1" si="18"/>
        <v>0.90902039637599485</v>
      </c>
      <c r="J92" s="223">
        <f t="shared" ca="1" si="19"/>
        <v>0</v>
      </c>
      <c r="K92" s="220" t="str" cm="1">
        <f t="array" aca="1" ref="K92" ca="1">_xlfn.IFS(G92&lt;$B$11,"Fail",G92&lt;25,"Marginal",G92&lt;35,"Solid",TRUE,"Blowout")</f>
        <v>Fail</v>
      </c>
      <c r="L92" s="226">
        <f ca="1">IF(AND(E92&lt;$B$10,C92&gt;=$B$11),1,0)</f>
        <v>1</v>
      </c>
      <c r="M92" s="217" t="str" cm="1">
        <f t="array" aca="1" ref="M92" ca="1">_xlfn.IFS(C92&lt;$B$11,"Fail",C92&lt;25,"Marginal",C92&lt;35,"Solid",TRUE,"Blowout")</f>
        <v>Blowout</v>
      </c>
    </row>
    <row r="93" spans="1:13" x14ac:dyDescent="0.25">
      <c r="A93" s="169">
        <f t="shared" ca="1" si="10"/>
        <v>72.980285528547967</v>
      </c>
      <c r="B93" s="168">
        <f t="shared" ca="1" si="11"/>
        <v>6.1495527475467986</v>
      </c>
      <c r="C93" s="168">
        <f t="shared" ca="1" si="12"/>
        <v>66.830732781001174</v>
      </c>
      <c r="D93" s="184">
        <f t="shared" ca="1" si="13"/>
        <v>8.4461520418837477</v>
      </c>
      <c r="E93" s="230">
        <f t="shared" ca="1" si="14"/>
        <v>1.7752296272526311E-15</v>
      </c>
      <c r="F93" s="168">
        <f t="shared" ca="1" si="15"/>
        <v>31.928621102024515</v>
      </c>
      <c r="G93" s="168">
        <f t="shared" ca="1" si="16"/>
        <v>25.779068354477715</v>
      </c>
      <c r="H93" s="184">
        <f t="shared" ca="1" si="17"/>
        <v>3.2579910732615915</v>
      </c>
      <c r="I93" s="184">
        <f t="shared" ca="1" si="18"/>
        <v>6.4660332609385129E-4</v>
      </c>
      <c r="J93" s="223">
        <f t="shared" ca="1" si="19"/>
        <v>1</v>
      </c>
      <c r="K93" s="220" t="str" cm="1">
        <f t="array" aca="1" ref="K93" ca="1">_xlfn.IFS(G93&lt;$B$11,"Fail",G93&lt;25,"Marginal",G93&lt;35,"Solid",TRUE,"Blowout")</f>
        <v>Solid</v>
      </c>
      <c r="L93" s="226">
        <f ca="1">IF(AND(E93&lt;$B$10,C93&gt;=$B$11),1,0)</f>
        <v>1</v>
      </c>
      <c r="M93" s="217" t="str" cm="1">
        <f t="array" aca="1" ref="M93" ca="1">_xlfn.IFS(C93&lt;$B$11,"Fail",C93&lt;25,"Marginal",C93&lt;35,"Solid",TRUE,"Blowout")</f>
        <v>Blowout</v>
      </c>
    </row>
    <row r="94" spans="1:13" x14ac:dyDescent="0.25">
      <c r="A94" s="169">
        <f t="shared" ca="1" si="10"/>
        <v>35.243198309022894</v>
      </c>
      <c r="B94" s="168">
        <f t="shared" ca="1" si="11"/>
        <v>-10.798780095420081</v>
      </c>
      <c r="C94" s="168">
        <f t="shared" ca="1" si="12"/>
        <v>46.041978404442972</v>
      </c>
      <c r="D94" s="184">
        <f t="shared" ca="1" si="13"/>
        <v>5.8188431239767073</v>
      </c>
      <c r="E94" s="230">
        <f t="shared" ca="1" si="14"/>
        <v>9.9689507282316518E-9</v>
      </c>
      <c r="F94" s="168">
        <f t="shared" ca="1" si="15"/>
        <v>3.9564241403190596</v>
      </c>
      <c r="G94" s="168">
        <f t="shared" ca="1" si="16"/>
        <v>14.755204235739141</v>
      </c>
      <c r="H94" s="184">
        <f t="shared" ca="1" si="17"/>
        <v>1.8647812645191961</v>
      </c>
      <c r="I94" s="184">
        <f t="shared" ca="1" si="18"/>
        <v>3.174846450388559E-2</v>
      </c>
      <c r="J94" s="223">
        <f t="shared" ca="1" si="19"/>
        <v>0</v>
      </c>
      <c r="K94" s="220" t="str" cm="1">
        <f t="array" aca="1" ref="K94" ca="1">_xlfn.IFS(G94&lt;$B$11,"Fail",G94&lt;25,"Marginal",G94&lt;35,"Solid",TRUE,"Blowout")</f>
        <v>Fail</v>
      </c>
      <c r="L94" s="226">
        <f ca="1">IF(AND(E94&lt;$B$10,C94&gt;=$B$11),1,0)</f>
        <v>1</v>
      </c>
      <c r="M94" s="217" t="str" cm="1">
        <f t="array" aca="1" ref="M94" ca="1">_xlfn.IFS(C94&lt;$B$11,"Fail",C94&lt;25,"Marginal",C94&lt;35,"Solid",TRUE,"Blowout")</f>
        <v>Blowout</v>
      </c>
    </row>
    <row r="95" spans="1:13" x14ac:dyDescent="0.25">
      <c r="A95" s="169">
        <f t="shared" ca="1" si="10"/>
        <v>53.274415566454053</v>
      </c>
      <c r="B95" s="168">
        <f t="shared" ca="1" si="11"/>
        <v>-6.1431560270155803</v>
      </c>
      <c r="C95" s="168">
        <f t="shared" ca="1" si="12"/>
        <v>59.417571593469631</v>
      </c>
      <c r="D95" s="184">
        <f t="shared" ca="1" si="13"/>
        <v>7.5092674096882641</v>
      </c>
      <c r="E95" s="230">
        <f t="shared" ca="1" si="14"/>
        <v>6.6679835940691512E-13</v>
      </c>
      <c r="F95" s="168">
        <f t="shared" ca="1" si="15"/>
        <v>37.931725684454072</v>
      </c>
      <c r="G95" s="168">
        <f t="shared" ca="1" si="16"/>
        <v>44.074881711469651</v>
      </c>
      <c r="H95" s="184">
        <f t="shared" ca="1" si="17"/>
        <v>5.5702389704896671</v>
      </c>
      <c r="I95" s="184">
        <f t="shared" ca="1" si="18"/>
        <v>3.5684378333790093E-8</v>
      </c>
      <c r="J95" s="223">
        <f t="shared" ca="1" si="19"/>
        <v>1</v>
      </c>
      <c r="K95" s="220" t="str" cm="1">
        <f t="array" aca="1" ref="K95" ca="1">_xlfn.IFS(G95&lt;$B$11,"Fail",G95&lt;25,"Marginal",G95&lt;35,"Solid",TRUE,"Blowout")</f>
        <v>Blowout</v>
      </c>
      <c r="L95" s="226">
        <f ca="1">IF(AND(E95&lt;$B$10,C95&gt;=$B$11),1,0)</f>
        <v>1</v>
      </c>
      <c r="M95" s="217" t="str" cm="1">
        <f t="array" aca="1" ref="M95" ca="1">_xlfn.IFS(C95&lt;$B$11,"Fail",C95&lt;25,"Marginal",C95&lt;35,"Solid",TRUE,"Blowout")</f>
        <v>Blowout</v>
      </c>
    </row>
    <row r="96" spans="1:13" x14ac:dyDescent="0.25">
      <c r="A96" s="169">
        <f t="shared" ca="1" si="10"/>
        <v>-8.3627677987666491</v>
      </c>
      <c r="B96" s="168">
        <f t="shared" ca="1" si="11"/>
        <v>15.327162714220053</v>
      </c>
      <c r="C96" s="168">
        <f t="shared" ca="1" si="12"/>
        <v>-23.689930512986702</v>
      </c>
      <c r="D96" s="184">
        <f t="shared" ca="1" si="13"/>
        <v>-2.9939632059702403</v>
      </c>
      <c r="E96" s="230">
        <f t="shared" ca="1" si="14"/>
        <v>0.99847130364484971</v>
      </c>
      <c r="F96" s="168">
        <f t="shared" ca="1" si="15"/>
        <v>31.187173162287014</v>
      </c>
      <c r="G96" s="168">
        <f t="shared" ca="1" si="16"/>
        <v>15.86001044806696</v>
      </c>
      <c r="H96" s="184">
        <f t="shared" ca="1" si="17"/>
        <v>2.0044080628174665</v>
      </c>
      <c r="I96" s="184">
        <f t="shared" ca="1" si="18"/>
        <v>2.3104594152452911E-2</v>
      </c>
      <c r="J96" s="223">
        <f t="shared" ca="1" si="19"/>
        <v>0</v>
      </c>
      <c r="K96" s="220" t="str" cm="1">
        <f t="array" aca="1" ref="K96" ca="1">_xlfn.IFS(G96&lt;$B$11,"Fail",G96&lt;25,"Marginal",G96&lt;35,"Solid",TRUE,"Blowout")</f>
        <v>Fail</v>
      </c>
      <c r="L96" s="226">
        <f ca="1">IF(AND(E96&lt;$B$10,C96&gt;=$B$11),1,0)</f>
        <v>0</v>
      </c>
      <c r="M96" s="217" t="str" cm="1">
        <f t="array" aca="1" ref="M96" ca="1">_xlfn.IFS(C96&lt;$B$11,"Fail",C96&lt;25,"Marginal",C96&lt;35,"Solid",TRUE,"Blowout")</f>
        <v>Fail</v>
      </c>
    </row>
    <row r="97" spans="1:13" x14ac:dyDescent="0.25">
      <c r="A97" s="169">
        <f t="shared" ca="1" si="10"/>
        <v>58.215002715938439</v>
      </c>
      <c r="B97" s="168">
        <f t="shared" ca="1" si="11"/>
        <v>-2.0877595189149076</v>
      </c>
      <c r="C97" s="168">
        <f t="shared" ca="1" si="12"/>
        <v>60.302762234853347</v>
      </c>
      <c r="D97" s="184">
        <f t="shared" ca="1" si="13"/>
        <v>7.6211389159858118</v>
      </c>
      <c r="E97" s="230">
        <f t="shared" ca="1" si="14"/>
        <v>3.351681719014636E-13</v>
      </c>
      <c r="F97" s="168">
        <f t="shared" ca="1" si="15"/>
        <v>52.157521176969844</v>
      </c>
      <c r="G97" s="168">
        <f t="shared" ca="1" si="16"/>
        <v>54.245280695884752</v>
      </c>
      <c r="H97" s="184">
        <f t="shared" ca="1" si="17"/>
        <v>6.8555867824084684</v>
      </c>
      <c r="I97" s="184">
        <f t="shared" ca="1" si="18"/>
        <v>3.2898449721249091E-11</v>
      </c>
      <c r="J97" s="223">
        <f t="shared" ca="1" si="19"/>
        <v>1</v>
      </c>
      <c r="K97" s="220" t="str" cm="1">
        <f t="array" aca="1" ref="K97" ca="1">_xlfn.IFS(G97&lt;$B$11,"Fail",G97&lt;25,"Marginal",G97&lt;35,"Solid",TRUE,"Blowout")</f>
        <v>Blowout</v>
      </c>
      <c r="L97" s="226">
        <f ca="1">IF(AND(E97&lt;$B$10,C97&gt;=$B$11),1,0)</f>
        <v>1</v>
      </c>
      <c r="M97" s="217" t="str" cm="1">
        <f t="array" aca="1" ref="M97" ca="1">_xlfn.IFS(C97&lt;$B$11,"Fail",C97&lt;25,"Marginal",C97&lt;35,"Solid",TRUE,"Blowout")</f>
        <v>Blowout</v>
      </c>
    </row>
    <row r="98" spans="1:13" x14ac:dyDescent="0.25">
      <c r="A98" s="169">
        <f t="shared" ca="1" si="10"/>
        <v>11.178836161178742</v>
      </c>
      <c r="B98" s="168">
        <f t="shared" ca="1" si="11"/>
        <v>3.4079274080723403</v>
      </c>
      <c r="C98" s="168">
        <f t="shared" ca="1" si="12"/>
        <v>7.7709087531064016</v>
      </c>
      <c r="D98" s="184">
        <f t="shared" ca="1" si="13"/>
        <v>0.98209721936492989</v>
      </c>
      <c r="E98" s="230">
        <f t="shared" ca="1" si="14"/>
        <v>0.16354646749731605</v>
      </c>
      <c r="F98" s="168">
        <f t="shared" ca="1" si="15"/>
        <v>22.316437660014721</v>
      </c>
      <c r="G98" s="168">
        <f t="shared" ca="1" si="16"/>
        <v>18.908510251942381</v>
      </c>
      <c r="H98" s="184">
        <f t="shared" ca="1" si="17"/>
        <v>2.3896813012175149</v>
      </c>
      <c r="I98" s="184">
        <f t="shared" ca="1" si="18"/>
        <v>8.8383759924581546E-3</v>
      </c>
      <c r="J98" s="223">
        <f t="shared" ca="1" si="19"/>
        <v>0</v>
      </c>
      <c r="K98" s="220" t="str" cm="1">
        <f t="array" aca="1" ref="K98" ca="1">_xlfn.IFS(G98&lt;$B$11,"Fail",G98&lt;25,"Marginal",G98&lt;35,"Solid",TRUE,"Blowout")</f>
        <v>Fail</v>
      </c>
      <c r="L98" s="226">
        <f ca="1">IF(AND(E98&lt;$B$10,C98&gt;=$B$11),1,0)</f>
        <v>0</v>
      </c>
      <c r="M98" s="217" t="str" cm="1">
        <f t="array" aca="1" ref="M98" ca="1">_xlfn.IFS(C98&lt;$B$11,"Fail",C98&lt;25,"Marginal",C98&lt;35,"Solid",TRUE,"Blowout")</f>
        <v>Fail</v>
      </c>
    </row>
    <row r="99" spans="1:13" x14ac:dyDescent="0.25">
      <c r="A99" s="169">
        <f t="shared" ca="1" si="10"/>
        <v>36.185300156018883</v>
      </c>
      <c r="B99" s="168">
        <f t="shared" ca="1" si="11"/>
        <v>1.1188086500431895</v>
      </c>
      <c r="C99" s="168">
        <f t="shared" ca="1" si="12"/>
        <v>35.066491505975691</v>
      </c>
      <c r="D99" s="184">
        <f t="shared" ca="1" si="13"/>
        <v>4.4317472891617564</v>
      </c>
      <c r="E99" s="230">
        <f t="shared" ca="1" si="14"/>
        <v>7.261744153731445E-6</v>
      </c>
      <c r="F99" s="168">
        <f t="shared" ca="1" si="15"/>
        <v>45.657867465005978</v>
      </c>
      <c r="G99" s="168">
        <f t="shared" ca="1" si="16"/>
        <v>44.539058814962786</v>
      </c>
      <c r="H99" s="184">
        <f t="shared" ca="1" si="17"/>
        <v>5.6289022564858184</v>
      </c>
      <c r="I99" s="184">
        <f t="shared" ca="1" si="18"/>
        <v>2.6504256361290875E-8</v>
      </c>
      <c r="J99" s="223">
        <f t="shared" ca="1" si="19"/>
        <v>1</v>
      </c>
      <c r="K99" s="220" t="str" cm="1">
        <f t="array" aca="1" ref="K99" ca="1">_xlfn.IFS(G99&lt;$B$11,"Fail",G99&lt;25,"Marginal",G99&lt;35,"Solid",TRUE,"Blowout")</f>
        <v>Blowout</v>
      </c>
      <c r="L99" s="226">
        <f ca="1">IF(AND(E99&lt;$B$10,C99&gt;=$B$11),1,0)</f>
        <v>1</v>
      </c>
      <c r="M99" s="217" t="str" cm="1">
        <f t="array" aca="1" ref="M99" ca="1">_xlfn.IFS(C99&lt;$B$11,"Fail",C99&lt;25,"Marginal",C99&lt;35,"Solid",TRUE,"Blowout")</f>
        <v>Blowout</v>
      </c>
    </row>
    <row r="100" spans="1:13" x14ac:dyDescent="0.25">
      <c r="A100" s="169">
        <f t="shared" ca="1" si="10"/>
        <v>34.033301754281595</v>
      </c>
      <c r="B100" s="168">
        <f t="shared" ca="1" si="11"/>
        <v>-1.7955401006758507</v>
      </c>
      <c r="C100" s="168">
        <f t="shared" ca="1" si="12"/>
        <v>35.828841854957446</v>
      </c>
      <c r="D100" s="184">
        <f t="shared" ca="1" si="13"/>
        <v>4.528094084846054</v>
      </c>
      <c r="E100" s="230">
        <f t="shared" ca="1" si="14"/>
        <v>4.7964966266750005E-6</v>
      </c>
      <c r="F100" s="168">
        <f t="shared" ca="1" si="15"/>
        <v>9.6295841077850532</v>
      </c>
      <c r="G100" s="168">
        <f t="shared" ca="1" si="16"/>
        <v>11.425124208460904</v>
      </c>
      <c r="H100" s="184">
        <f t="shared" ca="1" si="17"/>
        <v>1.443921563426285</v>
      </c>
      <c r="I100" s="184">
        <f t="shared" ca="1" si="18"/>
        <v>7.5066859538507141E-2</v>
      </c>
      <c r="J100" s="223">
        <f t="shared" ca="1" si="19"/>
        <v>0</v>
      </c>
      <c r="K100" s="220" t="str" cm="1">
        <f t="array" aca="1" ref="K100" ca="1">_xlfn.IFS(G100&lt;$B$11,"Fail",G100&lt;25,"Marginal",G100&lt;35,"Solid",TRUE,"Blowout")</f>
        <v>Fail</v>
      </c>
      <c r="L100" s="226">
        <f ca="1">IF(AND(E100&lt;$B$10,C100&gt;=$B$11),1,0)</f>
        <v>1</v>
      </c>
      <c r="M100" s="217" t="str" cm="1">
        <f t="array" aca="1" ref="M100" ca="1">_xlfn.IFS(C100&lt;$B$11,"Fail",C100&lt;25,"Marginal",C100&lt;35,"Solid",TRUE,"Blowout")</f>
        <v>Blowout</v>
      </c>
    </row>
    <row r="101" spans="1:13" x14ac:dyDescent="0.25">
      <c r="A101" s="169">
        <f t="shared" ca="1" si="10"/>
        <v>34.663393232227783</v>
      </c>
      <c r="B101" s="168">
        <f t="shared" ca="1" si="11"/>
        <v>-0.56308858247310667</v>
      </c>
      <c r="C101" s="168">
        <f t="shared" ca="1" si="12"/>
        <v>35.22648181470089</v>
      </c>
      <c r="D101" s="184">
        <f t="shared" ca="1" si="13"/>
        <v>4.4519670655503987</v>
      </c>
      <c r="E101" s="230">
        <f t="shared" ca="1" si="14"/>
        <v>6.6601549155036045E-6</v>
      </c>
      <c r="F101" s="168">
        <f t="shared" ca="1" si="15"/>
        <v>28.748800179575721</v>
      </c>
      <c r="G101" s="168">
        <f t="shared" ca="1" si="16"/>
        <v>29.311888762048827</v>
      </c>
      <c r="H101" s="184">
        <f t="shared" ca="1" si="17"/>
        <v>3.7044733585418448</v>
      </c>
      <c r="I101" s="184">
        <f t="shared" ca="1" si="18"/>
        <v>1.3291980552742943E-4</v>
      </c>
      <c r="J101" s="223">
        <f t="shared" ca="1" si="19"/>
        <v>1</v>
      </c>
      <c r="K101" s="220" t="str" cm="1">
        <f t="array" aca="1" ref="K101" ca="1">_xlfn.IFS(G101&lt;$B$11,"Fail",G101&lt;25,"Marginal",G101&lt;35,"Solid",TRUE,"Blowout")</f>
        <v>Solid</v>
      </c>
      <c r="L101" s="226">
        <f ca="1">IF(AND(E101&lt;$B$10,C101&gt;=$B$11),1,0)</f>
        <v>1</v>
      </c>
      <c r="M101" s="217" t="str" cm="1">
        <f t="array" aca="1" ref="M101" ca="1">_xlfn.IFS(C101&lt;$B$11,"Fail",C101&lt;25,"Marginal",C101&lt;35,"Solid",TRUE,"Blowout")</f>
        <v>Blowout</v>
      </c>
    </row>
    <row r="102" spans="1:13" x14ac:dyDescent="0.25">
      <c r="A102" s="169">
        <f t="shared" ca="1" si="10"/>
        <v>87.54026990912476</v>
      </c>
      <c r="B102" s="168">
        <f t="shared" ca="1" si="11"/>
        <v>7.5071761277959741</v>
      </c>
      <c r="C102" s="168">
        <f t="shared" ca="1" si="12"/>
        <v>80.033093781328787</v>
      </c>
      <c r="D102" s="184">
        <f t="shared" ca="1" si="13"/>
        <v>10.114683025765217</v>
      </c>
      <c r="E102" s="230">
        <f t="shared" ca="1" si="14"/>
        <v>2.0885037601377689E-20</v>
      </c>
      <c r="F102" s="168">
        <f t="shared" ca="1" si="15"/>
        <v>13.989749586879242</v>
      </c>
      <c r="G102" s="168">
        <f t="shared" ca="1" si="16"/>
        <v>6.4825734590832678</v>
      </c>
      <c r="H102" s="184">
        <f t="shared" ca="1" si="17"/>
        <v>0.81927578495238063</v>
      </c>
      <c r="I102" s="184">
        <f t="shared" ca="1" si="18"/>
        <v>0.20674231781650532</v>
      </c>
      <c r="J102" s="223">
        <f t="shared" ca="1" si="19"/>
        <v>0</v>
      </c>
      <c r="K102" s="220" t="str" cm="1">
        <f t="array" aca="1" ref="K102" ca="1">_xlfn.IFS(G102&lt;$B$11,"Fail",G102&lt;25,"Marginal",G102&lt;35,"Solid",TRUE,"Blowout")</f>
        <v>Fail</v>
      </c>
      <c r="L102" s="226">
        <f ca="1">IF(AND(E102&lt;$B$10,C102&gt;=$B$11),1,0)</f>
        <v>1</v>
      </c>
      <c r="M102" s="217" t="str" cm="1">
        <f t="array" aca="1" ref="M102" ca="1">_xlfn.IFS(C102&lt;$B$11,"Fail",C102&lt;25,"Marginal",C102&lt;35,"Solid",TRUE,"Blowout")</f>
        <v>Blowout</v>
      </c>
    </row>
    <row r="103" spans="1:13" x14ac:dyDescent="0.25">
      <c r="A103" s="169">
        <f t="shared" ca="1" si="10"/>
        <v>26.582805558829431</v>
      </c>
      <c r="B103" s="168">
        <f t="shared" ca="1" si="11"/>
        <v>19.865229507028022</v>
      </c>
      <c r="C103" s="168">
        <f t="shared" ca="1" si="12"/>
        <v>6.7175760518014087</v>
      </c>
      <c r="D103" s="184">
        <f t="shared" ca="1" si="13"/>
        <v>0.84897570811256118</v>
      </c>
      <c r="E103" s="230">
        <f t="shared" ca="1" si="14"/>
        <v>0.19839264910747328</v>
      </c>
      <c r="F103" s="168">
        <f t="shared" ca="1" si="15"/>
        <v>18.481329269090129</v>
      </c>
      <c r="G103" s="168">
        <f t="shared" ca="1" si="16"/>
        <v>-1.383900237937894</v>
      </c>
      <c r="H103" s="184">
        <f t="shared" ca="1" si="17"/>
        <v>-0.17489905218793925</v>
      </c>
      <c r="I103" s="184">
        <f t="shared" ca="1" si="18"/>
        <v>0.56934291539756721</v>
      </c>
      <c r="J103" s="223">
        <f t="shared" ca="1" si="19"/>
        <v>0</v>
      </c>
      <c r="K103" s="220" t="str" cm="1">
        <f t="array" aca="1" ref="K103" ca="1">_xlfn.IFS(G103&lt;$B$11,"Fail",G103&lt;25,"Marginal",G103&lt;35,"Solid",TRUE,"Blowout")</f>
        <v>Fail</v>
      </c>
      <c r="L103" s="226">
        <f ca="1">IF(AND(E103&lt;$B$10,C103&gt;=$B$11),1,0)</f>
        <v>0</v>
      </c>
      <c r="M103" s="217" t="str" cm="1">
        <f t="array" aca="1" ref="M103" ca="1">_xlfn.IFS(C103&lt;$B$11,"Fail",C103&lt;25,"Marginal",C103&lt;35,"Solid",TRUE,"Blowout")</f>
        <v>Fail</v>
      </c>
    </row>
    <row r="104" spans="1:13" x14ac:dyDescent="0.25">
      <c r="A104" s="169">
        <f t="shared" ca="1" si="10"/>
        <v>42.981586121362632</v>
      </c>
      <c r="B104" s="168">
        <f t="shared" ca="1" si="11"/>
        <v>5.5118221083777144</v>
      </c>
      <c r="C104" s="168">
        <f t="shared" ca="1" si="12"/>
        <v>37.469764012984918</v>
      </c>
      <c r="D104" s="184">
        <f t="shared" ca="1" si="13"/>
        <v>4.7354758904744978</v>
      </c>
      <c r="E104" s="230">
        <f t="shared" ca="1" si="14"/>
        <v>1.9202776586081101E-6</v>
      </c>
      <c r="F104" s="168">
        <f t="shared" ca="1" si="15"/>
        <v>25.1581470393287</v>
      </c>
      <c r="G104" s="168">
        <f t="shared" ca="1" si="16"/>
        <v>19.646324930950986</v>
      </c>
      <c r="H104" s="184">
        <f t="shared" ca="1" si="17"/>
        <v>2.4829272480794335</v>
      </c>
      <c r="I104" s="184">
        <f t="shared" ca="1" si="18"/>
        <v>6.8757924175774582E-3</v>
      </c>
      <c r="J104" s="223">
        <f t="shared" ca="1" si="19"/>
        <v>0</v>
      </c>
      <c r="K104" s="220" t="str" cm="1">
        <f t="array" aca="1" ref="K104" ca="1">_xlfn.IFS(G104&lt;$B$11,"Fail",G104&lt;25,"Marginal",G104&lt;35,"Solid",TRUE,"Blowout")</f>
        <v>Fail</v>
      </c>
      <c r="L104" s="226">
        <f ca="1">IF(AND(E104&lt;$B$10,C104&gt;=$B$11),1,0)</f>
        <v>1</v>
      </c>
      <c r="M104" s="217" t="str" cm="1">
        <f t="array" aca="1" ref="M104" ca="1">_xlfn.IFS(C104&lt;$B$11,"Fail",C104&lt;25,"Marginal",C104&lt;35,"Solid",TRUE,"Blowout")</f>
        <v>Blowout</v>
      </c>
    </row>
    <row r="105" spans="1:13" x14ac:dyDescent="0.25">
      <c r="A105" s="169">
        <f t="shared" ca="1" si="10"/>
        <v>54.584289448302897</v>
      </c>
      <c r="B105" s="168">
        <f t="shared" ca="1" si="11"/>
        <v>2.779228792044818</v>
      </c>
      <c r="C105" s="168">
        <f t="shared" ca="1" si="12"/>
        <v>51.805060656258078</v>
      </c>
      <c r="D105" s="184">
        <f t="shared" ca="1" si="13"/>
        <v>6.5471887054656754</v>
      </c>
      <c r="E105" s="230">
        <f t="shared" ca="1" si="14"/>
        <v>1.9181511126952289E-10</v>
      </c>
      <c r="F105" s="168">
        <f t="shared" ca="1" si="15"/>
        <v>7.4164686600986043</v>
      </c>
      <c r="G105" s="168">
        <f t="shared" ca="1" si="16"/>
        <v>4.6372398680537863</v>
      </c>
      <c r="H105" s="184">
        <f t="shared" ca="1" si="17"/>
        <v>0.58606020539403181</v>
      </c>
      <c r="I105" s="184">
        <f t="shared" ca="1" si="18"/>
        <v>0.27920738317328042</v>
      </c>
      <c r="J105" s="223">
        <f t="shared" ca="1" si="19"/>
        <v>0</v>
      </c>
      <c r="K105" s="220" t="str" cm="1">
        <f t="array" aca="1" ref="K105" ca="1">_xlfn.IFS(G105&lt;$B$11,"Fail",G105&lt;25,"Marginal",G105&lt;35,"Solid",TRUE,"Blowout")</f>
        <v>Fail</v>
      </c>
      <c r="L105" s="226">
        <f ca="1">IF(AND(E105&lt;$B$10,C105&gt;=$B$11),1,0)</f>
        <v>1</v>
      </c>
      <c r="M105" s="217" t="str" cm="1">
        <f t="array" aca="1" ref="M105" ca="1">_xlfn.IFS(C105&lt;$B$11,"Fail",C105&lt;25,"Marginal",C105&lt;35,"Solid",TRUE,"Blowout")</f>
        <v>Blowout</v>
      </c>
    </row>
    <row r="106" spans="1:13" x14ac:dyDescent="0.25">
      <c r="A106" s="169">
        <f t="shared" ca="1" si="10"/>
        <v>4.2154272679165952E-2</v>
      </c>
      <c r="B106" s="168">
        <f t="shared" ca="1" si="11"/>
        <v>2.2252951265251095</v>
      </c>
      <c r="C106" s="168">
        <f t="shared" ca="1" si="12"/>
        <v>-2.1831408538459436</v>
      </c>
      <c r="D106" s="184">
        <f t="shared" ca="1" si="13"/>
        <v>-0.27590808619223572</v>
      </c>
      <c r="E106" s="230">
        <f t="shared" ca="1" si="14"/>
        <v>0.60856571207235921</v>
      </c>
      <c r="F106" s="168">
        <f t="shared" ca="1" si="15"/>
        <v>-2.2579758767639628</v>
      </c>
      <c r="G106" s="168">
        <f t="shared" ca="1" si="16"/>
        <v>-4.4832710032890724</v>
      </c>
      <c r="H106" s="184">
        <f t="shared" ca="1" si="17"/>
        <v>-0.56660142666448443</v>
      </c>
      <c r="I106" s="184">
        <f t="shared" ca="1" si="18"/>
        <v>0.71422883354026334</v>
      </c>
      <c r="J106" s="223">
        <f t="shared" ca="1" si="19"/>
        <v>0</v>
      </c>
      <c r="K106" s="220" t="str" cm="1">
        <f t="array" aca="1" ref="K106" ca="1">_xlfn.IFS(G106&lt;$B$11,"Fail",G106&lt;25,"Marginal",G106&lt;35,"Solid",TRUE,"Blowout")</f>
        <v>Fail</v>
      </c>
      <c r="L106" s="226">
        <f ca="1">IF(AND(E106&lt;$B$10,C106&gt;=$B$11),1,0)</f>
        <v>0</v>
      </c>
      <c r="M106" s="217" t="str" cm="1">
        <f t="array" aca="1" ref="M106" ca="1">_xlfn.IFS(C106&lt;$B$11,"Fail",C106&lt;25,"Marginal",C106&lt;35,"Solid",TRUE,"Blowout")</f>
        <v>Fail</v>
      </c>
    </row>
    <row r="107" spans="1:13" x14ac:dyDescent="0.25">
      <c r="A107" s="169">
        <f t="shared" ca="1" si="10"/>
        <v>48.275379071085517</v>
      </c>
      <c r="B107" s="168">
        <f t="shared" ca="1" si="11"/>
        <v>5.3710652000706336</v>
      </c>
      <c r="C107" s="168">
        <f t="shared" ca="1" si="12"/>
        <v>42.904313871014885</v>
      </c>
      <c r="D107" s="184">
        <f t="shared" ca="1" si="13"/>
        <v>5.4223011349399854</v>
      </c>
      <c r="E107" s="230">
        <f t="shared" ca="1" si="14"/>
        <v>7.4807137608038641E-8</v>
      </c>
      <c r="F107" s="168">
        <f t="shared" ca="1" si="15"/>
        <v>34.924658451492391</v>
      </c>
      <c r="G107" s="168">
        <f t="shared" ca="1" si="16"/>
        <v>29.553593251421759</v>
      </c>
      <c r="H107" s="184">
        <f t="shared" ca="1" si="17"/>
        <v>3.7350202758282283</v>
      </c>
      <c r="I107" s="184">
        <f t="shared" ca="1" si="18"/>
        <v>1.1860183448637225E-4</v>
      </c>
      <c r="J107" s="223">
        <f t="shared" ca="1" si="19"/>
        <v>1</v>
      </c>
      <c r="K107" s="220" t="str" cm="1">
        <f t="array" aca="1" ref="K107" ca="1">_xlfn.IFS(G107&lt;$B$11,"Fail",G107&lt;25,"Marginal",G107&lt;35,"Solid",TRUE,"Blowout")</f>
        <v>Solid</v>
      </c>
      <c r="L107" s="226">
        <f ca="1">IF(AND(E107&lt;$B$10,C107&gt;=$B$11),1,0)</f>
        <v>1</v>
      </c>
      <c r="M107" s="217" t="str" cm="1">
        <f t="array" aca="1" ref="M107" ca="1">_xlfn.IFS(C107&lt;$B$11,"Fail",C107&lt;25,"Marginal",C107&lt;35,"Solid",TRUE,"Blowout")</f>
        <v>Blowout</v>
      </c>
    </row>
    <row r="108" spans="1:13" x14ac:dyDescent="0.25">
      <c r="A108" s="169">
        <f t="shared" ca="1" si="10"/>
        <v>41.584735936894695</v>
      </c>
      <c r="B108" s="168">
        <f t="shared" ca="1" si="11"/>
        <v>7.355796708599069</v>
      </c>
      <c r="C108" s="168">
        <f t="shared" ca="1" si="12"/>
        <v>34.22893922829563</v>
      </c>
      <c r="D108" s="184">
        <f t="shared" ca="1" si="13"/>
        <v>4.3258963791695964</v>
      </c>
      <c r="E108" s="230">
        <f t="shared" ca="1" si="14"/>
        <v>1.13638355712456E-5</v>
      </c>
      <c r="F108" s="168">
        <f t="shared" ca="1" si="15"/>
        <v>9.7195747349931416</v>
      </c>
      <c r="G108" s="168">
        <f t="shared" ca="1" si="16"/>
        <v>2.3637780263940726</v>
      </c>
      <c r="H108" s="184">
        <f t="shared" ca="1" si="17"/>
        <v>0.29873723919220424</v>
      </c>
      <c r="I108" s="184">
        <f t="shared" ca="1" si="18"/>
        <v>0.3827063191930371</v>
      </c>
      <c r="J108" s="223">
        <f t="shared" ca="1" si="19"/>
        <v>0</v>
      </c>
      <c r="K108" s="220" t="str" cm="1">
        <f t="array" aca="1" ref="K108" ca="1">_xlfn.IFS(G108&lt;$B$11,"Fail",G108&lt;25,"Marginal",G108&lt;35,"Solid",TRUE,"Blowout")</f>
        <v>Fail</v>
      </c>
      <c r="L108" s="226">
        <f ca="1">IF(AND(E108&lt;$B$10,C108&gt;=$B$11),1,0)</f>
        <v>1</v>
      </c>
      <c r="M108" s="217" t="str" cm="1">
        <f t="array" aca="1" ref="M108" ca="1">_xlfn.IFS(C108&lt;$B$11,"Fail",C108&lt;25,"Marginal",C108&lt;35,"Solid",TRUE,"Blowout")</f>
        <v>Solid</v>
      </c>
    </row>
    <row r="109" spans="1:13" x14ac:dyDescent="0.25">
      <c r="A109" s="169">
        <f t="shared" ca="1" si="10"/>
        <v>55.226668844908232</v>
      </c>
      <c r="B109" s="168">
        <f t="shared" ca="1" si="11"/>
        <v>18.25702943476022</v>
      </c>
      <c r="C109" s="168">
        <f t="shared" ca="1" si="12"/>
        <v>36.969639410148012</v>
      </c>
      <c r="D109" s="184">
        <f t="shared" ca="1" si="13"/>
        <v>4.6722695143108641</v>
      </c>
      <c r="E109" s="230">
        <f t="shared" ca="1" si="14"/>
        <v>2.5465308530692256E-6</v>
      </c>
      <c r="F109" s="168">
        <f t="shared" ca="1" si="15"/>
        <v>12.269399604220631</v>
      </c>
      <c r="G109" s="168">
        <f t="shared" ca="1" si="16"/>
        <v>-5.9876298305395892</v>
      </c>
      <c r="H109" s="184">
        <f t="shared" ca="1" si="17"/>
        <v>-0.75672418683448672</v>
      </c>
      <c r="I109" s="184">
        <f t="shared" ca="1" si="18"/>
        <v>0.77500182321240119</v>
      </c>
      <c r="J109" s="223">
        <f t="shared" ca="1" si="19"/>
        <v>0</v>
      </c>
      <c r="K109" s="220" t="str" cm="1">
        <f t="array" aca="1" ref="K109" ca="1">_xlfn.IFS(G109&lt;$B$11,"Fail",G109&lt;25,"Marginal",G109&lt;35,"Solid",TRUE,"Blowout")</f>
        <v>Fail</v>
      </c>
      <c r="L109" s="226">
        <f ca="1">IF(AND(E109&lt;$B$10,C109&gt;=$B$11),1,0)</f>
        <v>1</v>
      </c>
      <c r="M109" s="217" t="str" cm="1">
        <f t="array" aca="1" ref="M109" ca="1">_xlfn.IFS(C109&lt;$B$11,"Fail",C109&lt;25,"Marginal",C109&lt;35,"Solid",TRUE,"Blowout")</f>
        <v>Blowout</v>
      </c>
    </row>
    <row r="110" spans="1:13" x14ac:dyDescent="0.25">
      <c r="A110" s="169">
        <f t="shared" ca="1" si="10"/>
        <v>41.890081729959881</v>
      </c>
      <c r="B110" s="168">
        <f t="shared" ca="1" si="11"/>
        <v>9.2580520233740184</v>
      </c>
      <c r="C110" s="168">
        <f t="shared" ca="1" si="12"/>
        <v>32.632029706585861</v>
      </c>
      <c r="D110" s="184">
        <f t="shared" ca="1" si="13"/>
        <v>4.1240769458605113</v>
      </c>
      <c r="E110" s="230">
        <f t="shared" ca="1" si="14"/>
        <v>2.6081887758956638E-5</v>
      </c>
      <c r="F110" s="168">
        <f t="shared" ca="1" si="15"/>
        <v>41.072743214186652</v>
      </c>
      <c r="G110" s="168">
        <f t="shared" ca="1" si="16"/>
        <v>31.814691190812631</v>
      </c>
      <c r="H110" s="184">
        <f t="shared" ca="1" si="17"/>
        <v>4.0207806765149385</v>
      </c>
      <c r="I110" s="184">
        <f t="shared" ca="1" si="18"/>
        <v>3.9434198489878636E-5</v>
      </c>
      <c r="J110" s="223">
        <f t="shared" ca="1" si="19"/>
        <v>1</v>
      </c>
      <c r="K110" s="220" t="str" cm="1">
        <f t="array" aca="1" ref="K110" ca="1">_xlfn.IFS(G110&lt;$B$11,"Fail",G110&lt;25,"Marginal",G110&lt;35,"Solid",TRUE,"Blowout")</f>
        <v>Solid</v>
      </c>
      <c r="L110" s="226">
        <f ca="1">IF(AND(E110&lt;$B$10,C110&gt;=$B$11),1,0)</f>
        <v>1</v>
      </c>
      <c r="M110" s="217" t="str" cm="1">
        <f t="array" aca="1" ref="M110" ca="1">_xlfn.IFS(C110&lt;$B$11,"Fail",C110&lt;25,"Marginal",C110&lt;35,"Solid",TRUE,"Blowout")</f>
        <v>Solid</v>
      </c>
    </row>
    <row r="111" spans="1:13" x14ac:dyDescent="0.25">
      <c r="A111" s="169">
        <f t="shared" ca="1" si="10"/>
        <v>18.70298238942274</v>
      </c>
      <c r="B111" s="168">
        <f t="shared" ca="1" si="11"/>
        <v>9.978179831666802</v>
      </c>
      <c r="C111" s="168">
        <f t="shared" ca="1" si="12"/>
        <v>8.7248025577559378</v>
      </c>
      <c r="D111" s="184">
        <f t="shared" ca="1" si="13"/>
        <v>1.1026515178234277</v>
      </c>
      <c r="E111" s="230">
        <f t="shared" ca="1" si="14"/>
        <v>0.13567052684088921</v>
      </c>
      <c r="F111" s="168">
        <f t="shared" ca="1" si="15"/>
        <v>8.2744177085156707</v>
      </c>
      <c r="G111" s="168">
        <f t="shared" ca="1" si="16"/>
        <v>-1.7037621231511313</v>
      </c>
      <c r="H111" s="184">
        <f t="shared" ca="1" si="17"/>
        <v>-0.21532359943579749</v>
      </c>
      <c r="I111" s="184">
        <f t="shared" ca="1" si="18"/>
        <v>0.58514624013601779</v>
      </c>
      <c r="J111" s="223">
        <f t="shared" ca="1" si="19"/>
        <v>0</v>
      </c>
      <c r="K111" s="220" t="str" cm="1">
        <f t="array" aca="1" ref="K111" ca="1">_xlfn.IFS(G111&lt;$B$11,"Fail",G111&lt;25,"Marginal",G111&lt;35,"Solid",TRUE,"Blowout")</f>
        <v>Fail</v>
      </c>
      <c r="L111" s="226">
        <f ca="1">IF(AND(E111&lt;$B$10,C111&gt;=$B$11),1,0)</f>
        <v>0</v>
      </c>
      <c r="M111" s="217" t="str" cm="1">
        <f t="array" aca="1" ref="M111" ca="1">_xlfn.IFS(C111&lt;$B$11,"Fail",C111&lt;25,"Marginal",C111&lt;35,"Solid",TRUE,"Blowout")</f>
        <v>Fail</v>
      </c>
    </row>
    <row r="112" spans="1:13" x14ac:dyDescent="0.25">
      <c r="A112" s="169">
        <f t="shared" ca="1" si="10"/>
        <v>54.324501715318704</v>
      </c>
      <c r="B112" s="168">
        <f t="shared" ca="1" si="11"/>
        <v>10.936407070625521</v>
      </c>
      <c r="C112" s="168">
        <f t="shared" ca="1" si="12"/>
        <v>43.388094644693183</v>
      </c>
      <c r="D112" s="184">
        <f t="shared" ca="1" si="13"/>
        <v>5.4834419574238096</v>
      </c>
      <c r="E112" s="230">
        <f t="shared" ca="1" si="14"/>
        <v>5.5186133404318122E-8</v>
      </c>
      <c r="F112" s="168">
        <f t="shared" ca="1" si="15"/>
        <v>-0.35728454526823983</v>
      </c>
      <c r="G112" s="168">
        <f t="shared" ca="1" si="16"/>
        <v>-11.29369161589376</v>
      </c>
      <c r="H112" s="184">
        <f t="shared" ca="1" si="17"/>
        <v>-1.4273109471141947</v>
      </c>
      <c r="I112" s="184">
        <f t="shared" ca="1" si="18"/>
        <v>0.92257080084051313</v>
      </c>
      <c r="J112" s="223">
        <f t="shared" ca="1" si="19"/>
        <v>0</v>
      </c>
      <c r="K112" s="220" t="str" cm="1">
        <f t="array" aca="1" ref="K112" ca="1">_xlfn.IFS(G112&lt;$B$11,"Fail",G112&lt;25,"Marginal",G112&lt;35,"Solid",TRUE,"Blowout")</f>
        <v>Fail</v>
      </c>
      <c r="L112" s="226">
        <f ca="1">IF(AND(E112&lt;$B$10,C112&gt;=$B$11),1,0)</f>
        <v>1</v>
      </c>
      <c r="M112" s="217" t="str" cm="1">
        <f t="array" aca="1" ref="M112" ca="1">_xlfn.IFS(C112&lt;$B$11,"Fail",C112&lt;25,"Marginal",C112&lt;35,"Solid",TRUE,"Blowout")</f>
        <v>Blowout</v>
      </c>
    </row>
    <row r="113" spans="1:13" x14ac:dyDescent="0.25">
      <c r="A113" s="169">
        <f t="shared" ca="1" si="10"/>
        <v>11.075116613187193</v>
      </c>
      <c r="B113" s="168">
        <f t="shared" ca="1" si="11"/>
        <v>13.29034083154321</v>
      </c>
      <c r="C113" s="168">
        <f t="shared" ca="1" si="12"/>
        <v>-2.2152242183560169</v>
      </c>
      <c r="D113" s="184">
        <f t="shared" ca="1" si="13"/>
        <v>-0.27996282214066887</v>
      </c>
      <c r="E113" s="230">
        <f t="shared" ca="1" si="14"/>
        <v>0.61012007072912722</v>
      </c>
      <c r="F113" s="168">
        <f t="shared" ca="1" si="15"/>
        <v>30.672349960247661</v>
      </c>
      <c r="G113" s="168">
        <f t="shared" ca="1" si="16"/>
        <v>17.382009128704453</v>
      </c>
      <c r="H113" s="184">
        <f t="shared" ca="1" si="17"/>
        <v>2.1967601698388814</v>
      </c>
      <c r="I113" s="184">
        <f t="shared" ca="1" si="18"/>
        <v>1.4522434120384037E-2</v>
      </c>
      <c r="J113" s="223">
        <f t="shared" ca="1" si="19"/>
        <v>0</v>
      </c>
      <c r="K113" s="220" t="str" cm="1">
        <f t="array" aca="1" ref="K113" ca="1">_xlfn.IFS(G113&lt;$B$11,"Fail",G113&lt;25,"Marginal",G113&lt;35,"Solid",TRUE,"Blowout")</f>
        <v>Fail</v>
      </c>
      <c r="L113" s="226">
        <f ca="1">IF(AND(E113&lt;$B$10,C113&gt;=$B$11),1,0)</f>
        <v>0</v>
      </c>
      <c r="M113" s="217" t="str" cm="1">
        <f t="array" aca="1" ref="M113" ca="1">_xlfn.IFS(C113&lt;$B$11,"Fail",C113&lt;25,"Marginal",C113&lt;35,"Solid",TRUE,"Blowout")</f>
        <v>Fail</v>
      </c>
    </row>
    <row r="114" spans="1:13" x14ac:dyDescent="0.25">
      <c r="A114" s="169">
        <f t="shared" ca="1" si="10"/>
        <v>37.3896206324426</v>
      </c>
      <c r="B114" s="168">
        <f t="shared" ca="1" si="11"/>
        <v>3.1085827360715514</v>
      </c>
      <c r="C114" s="168">
        <f t="shared" ca="1" si="12"/>
        <v>34.281037896371046</v>
      </c>
      <c r="D114" s="184">
        <f t="shared" ca="1" si="13"/>
        <v>4.3324806743498776</v>
      </c>
      <c r="E114" s="230">
        <f t="shared" ca="1" si="14"/>
        <v>1.1054316090045803E-5</v>
      </c>
      <c r="F114" s="168">
        <f t="shared" ca="1" si="15"/>
        <v>35.46216390461894</v>
      </c>
      <c r="G114" s="168">
        <f t="shared" ca="1" si="16"/>
        <v>32.353581168547386</v>
      </c>
      <c r="H114" s="184">
        <f t="shared" ca="1" si="17"/>
        <v>4.0888862695017778</v>
      </c>
      <c r="I114" s="184">
        <f t="shared" ca="1" si="18"/>
        <v>3.0053551800633522E-5</v>
      </c>
      <c r="J114" s="223">
        <f t="shared" ca="1" si="19"/>
        <v>1</v>
      </c>
      <c r="K114" s="220" t="str" cm="1">
        <f t="array" aca="1" ref="K114" ca="1">_xlfn.IFS(G114&lt;$B$11,"Fail",G114&lt;25,"Marginal",G114&lt;35,"Solid",TRUE,"Blowout")</f>
        <v>Solid</v>
      </c>
      <c r="L114" s="226">
        <f ca="1">IF(AND(E114&lt;$B$10,C114&gt;=$B$11),1,0)</f>
        <v>1</v>
      </c>
      <c r="M114" s="217" t="str" cm="1">
        <f t="array" aca="1" ref="M114" ca="1">_xlfn.IFS(C114&lt;$B$11,"Fail",C114&lt;25,"Marginal",C114&lt;35,"Solid",TRUE,"Blowout")</f>
        <v>Solid</v>
      </c>
    </row>
    <row r="115" spans="1:13" x14ac:dyDescent="0.25">
      <c r="A115" s="169">
        <f t="shared" ca="1" si="10"/>
        <v>39.470319719503699</v>
      </c>
      <c r="B115" s="168">
        <f t="shared" ca="1" si="11"/>
        <v>14.688607716752866</v>
      </c>
      <c r="C115" s="168">
        <f t="shared" ca="1" si="12"/>
        <v>24.781712002750833</v>
      </c>
      <c r="D115" s="184">
        <f t="shared" ca="1" si="13"/>
        <v>3.1319439234536146</v>
      </c>
      <c r="E115" s="230">
        <f t="shared" ca="1" si="14"/>
        <v>9.8195362335273275E-4</v>
      </c>
      <c r="F115" s="168">
        <f t="shared" ca="1" si="15"/>
        <v>54.602355130878088</v>
      </c>
      <c r="G115" s="168">
        <f t="shared" ca="1" si="16"/>
        <v>39.913747414125226</v>
      </c>
      <c r="H115" s="184">
        <f t="shared" ca="1" si="17"/>
        <v>5.0443495857774376</v>
      </c>
      <c r="I115" s="184">
        <f t="shared" ca="1" si="18"/>
        <v>4.6430939502319132E-7</v>
      </c>
      <c r="J115" s="223">
        <f t="shared" ca="1" si="19"/>
        <v>1</v>
      </c>
      <c r="K115" s="220" t="str" cm="1">
        <f t="array" aca="1" ref="K115" ca="1">_xlfn.IFS(G115&lt;$B$11,"Fail",G115&lt;25,"Marginal",G115&lt;35,"Solid",TRUE,"Blowout")</f>
        <v>Blowout</v>
      </c>
      <c r="L115" s="226">
        <f ca="1">IF(AND(E115&lt;$B$10,C115&gt;=$B$11),1,0)</f>
        <v>1</v>
      </c>
      <c r="M115" s="217" t="str" cm="1">
        <f t="array" aca="1" ref="M115" ca="1">_xlfn.IFS(C115&lt;$B$11,"Fail",C115&lt;25,"Marginal",C115&lt;35,"Solid",TRUE,"Blowout")</f>
        <v>Marginal</v>
      </c>
    </row>
    <row r="116" spans="1:13" x14ac:dyDescent="0.25">
      <c r="A116" s="169">
        <f t="shared" ca="1" si="10"/>
        <v>15.734352356767785</v>
      </c>
      <c r="B116" s="168">
        <f t="shared" ca="1" si="11"/>
        <v>18.225830643357497</v>
      </c>
      <c r="C116" s="168">
        <f t="shared" ca="1" si="12"/>
        <v>-2.4914782865897127</v>
      </c>
      <c r="D116" s="184">
        <f t="shared" ca="1" si="13"/>
        <v>-0.3148761586461461</v>
      </c>
      <c r="E116" s="230">
        <f t="shared" ca="1" si="14"/>
        <v>0.62342817107145954</v>
      </c>
      <c r="F116" s="168">
        <f t="shared" ca="1" si="15"/>
        <v>21.182065483082361</v>
      </c>
      <c r="G116" s="168">
        <f t="shared" ca="1" si="16"/>
        <v>2.9562348397248641</v>
      </c>
      <c r="H116" s="184">
        <f t="shared" ca="1" si="17"/>
        <v>0.37361267621665578</v>
      </c>
      <c r="I116" s="184">
        <f t="shared" ca="1" si="18"/>
        <v>0.35451983314683855</v>
      </c>
      <c r="J116" s="223">
        <f t="shared" ca="1" si="19"/>
        <v>0</v>
      </c>
      <c r="K116" s="220" t="str" cm="1">
        <f t="array" aca="1" ref="K116" ca="1">_xlfn.IFS(G116&lt;$B$11,"Fail",G116&lt;25,"Marginal",G116&lt;35,"Solid",TRUE,"Blowout")</f>
        <v>Fail</v>
      </c>
      <c r="L116" s="226">
        <f ca="1">IF(AND(E116&lt;$B$10,C116&gt;=$B$11),1,0)</f>
        <v>0</v>
      </c>
      <c r="M116" s="217" t="str" cm="1">
        <f t="array" aca="1" ref="M116" ca="1">_xlfn.IFS(C116&lt;$B$11,"Fail",C116&lt;25,"Marginal",C116&lt;35,"Solid",TRUE,"Blowout")</f>
        <v>Fail</v>
      </c>
    </row>
    <row r="117" spans="1:13" x14ac:dyDescent="0.25">
      <c r="A117" s="169">
        <f t="shared" ca="1" si="10"/>
        <v>5.0409048986768799</v>
      </c>
      <c r="B117" s="168">
        <f t="shared" ca="1" si="11"/>
        <v>2.8563946786622525</v>
      </c>
      <c r="C117" s="168">
        <f t="shared" ca="1" si="12"/>
        <v>2.1845102200146274</v>
      </c>
      <c r="D117" s="184">
        <f t="shared" ca="1" si="13"/>
        <v>0.27608114841047615</v>
      </c>
      <c r="E117" s="230">
        <f t="shared" ca="1" si="14"/>
        <v>0.3913679097084154</v>
      </c>
      <c r="F117" s="168">
        <f t="shared" ca="1" si="15"/>
        <v>51.064312118177398</v>
      </c>
      <c r="G117" s="168">
        <f t="shared" ca="1" si="16"/>
        <v>48.207917439515143</v>
      </c>
      <c r="H117" s="184">
        <f t="shared" ca="1" si="17"/>
        <v>6.0925772226827322</v>
      </c>
      <c r="I117" s="184">
        <f t="shared" ca="1" si="18"/>
        <v>2.3425711921821374E-9</v>
      </c>
      <c r="J117" s="223">
        <f t="shared" ca="1" si="19"/>
        <v>1</v>
      </c>
      <c r="K117" s="220" t="str" cm="1">
        <f t="array" aca="1" ref="K117" ca="1">_xlfn.IFS(G117&lt;$B$11,"Fail",G117&lt;25,"Marginal",G117&lt;35,"Solid",TRUE,"Blowout")</f>
        <v>Blowout</v>
      </c>
      <c r="L117" s="226">
        <f ca="1">IF(AND(E117&lt;$B$10,C117&gt;=$B$11),1,0)</f>
        <v>0</v>
      </c>
      <c r="M117" s="217" t="str" cm="1">
        <f t="array" aca="1" ref="M117" ca="1">_xlfn.IFS(C117&lt;$B$11,"Fail",C117&lt;25,"Marginal",C117&lt;35,"Solid",TRUE,"Blowout")</f>
        <v>Fail</v>
      </c>
    </row>
    <row r="118" spans="1:13" x14ac:dyDescent="0.25">
      <c r="A118" s="169">
        <f t="shared" ca="1" si="10"/>
        <v>38.024048605954938</v>
      </c>
      <c r="B118" s="168">
        <f t="shared" ca="1" si="11"/>
        <v>9.9110256536904338</v>
      </c>
      <c r="C118" s="168">
        <f t="shared" ca="1" si="12"/>
        <v>28.113022952264505</v>
      </c>
      <c r="D118" s="184">
        <f t="shared" ca="1" si="13"/>
        <v>3.5529591900464026</v>
      </c>
      <c r="E118" s="230">
        <f t="shared" ca="1" si="14"/>
        <v>2.314288235011707E-4</v>
      </c>
      <c r="F118" s="168">
        <f t="shared" ca="1" si="15"/>
        <v>52.454783460061421</v>
      </c>
      <c r="G118" s="168">
        <f t="shared" ca="1" si="16"/>
        <v>42.543757806370991</v>
      </c>
      <c r="H118" s="184">
        <f t="shared" ca="1" si="17"/>
        <v>5.376733606126785</v>
      </c>
      <c r="I118" s="184">
        <f t="shared" ca="1" si="18"/>
        <v>9.3695243036062535E-8</v>
      </c>
      <c r="J118" s="223">
        <f t="shared" ca="1" si="19"/>
        <v>1</v>
      </c>
      <c r="K118" s="220" t="str" cm="1">
        <f t="array" aca="1" ref="K118" ca="1">_xlfn.IFS(G118&lt;$B$11,"Fail",G118&lt;25,"Marginal",G118&lt;35,"Solid",TRUE,"Blowout")</f>
        <v>Blowout</v>
      </c>
      <c r="L118" s="226">
        <f ca="1">IF(AND(E118&lt;$B$10,C118&gt;=$B$11),1,0)</f>
        <v>1</v>
      </c>
      <c r="M118" s="217" t="str" cm="1">
        <f t="array" aca="1" ref="M118" ca="1">_xlfn.IFS(C118&lt;$B$11,"Fail",C118&lt;25,"Marginal",C118&lt;35,"Solid",TRUE,"Blowout")</f>
        <v>Solid</v>
      </c>
    </row>
    <row r="119" spans="1:13" x14ac:dyDescent="0.25">
      <c r="A119" s="169">
        <f t="shared" ca="1" si="10"/>
        <v>-11.600153288362687</v>
      </c>
      <c r="B119" s="168">
        <f t="shared" ca="1" si="11"/>
        <v>5.4760357331795255</v>
      </c>
      <c r="C119" s="168">
        <f t="shared" ca="1" si="12"/>
        <v>-17.076189021542213</v>
      </c>
      <c r="D119" s="184">
        <f t="shared" ca="1" si="13"/>
        <v>-2.1581102401572521</v>
      </c>
      <c r="E119" s="230">
        <f t="shared" ca="1" si="14"/>
        <v>0.98401799012249158</v>
      </c>
      <c r="F119" s="168">
        <f t="shared" ca="1" si="15"/>
        <v>14.610244235128992</v>
      </c>
      <c r="G119" s="168">
        <f t="shared" ca="1" si="16"/>
        <v>9.1342085019494661</v>
      </c>
      <c r="H119" s="184">
        <f t="shared" ca="1" si="17"/>
        <v>1.1543927558379918</v>
      </c>
      <c r="I119" s="184">
        <f t="shared" ca="1" si="18"/>
        <v>0.12477385666417931</v>
      </c>
      <c r="J119" s="223">
        <f t="shared" ca="1" si="19"/>
        <v>0</v>
      </c>
      <c r="K119" s="220" t="str" cm="1">
        <f t="array" aca="1" ref="K119" ca="1">_xlfn.IFS(G119&lt;$B$11,"Fail",G119&lt;25,"Marginal",G119&lt;35,"Solid",TRUE,"Blowout")</f>
        <v>Fail</v>
      </c>
      <c r="L119" s="226">
        <f ca="1">IF(AND(E119&lt;$B$10,C119&gt;=$B$11),1,0)</f>
        <v>0</v>
      </c>
      <c r="M119" s="217" t="str" cm="1">
        <f t="array" aca="1" ref="M119" ca="1">_xlfn.IFS(C119&lt;$B$11,"Fail",C119&lt;25,"Marginal",C119&lt;35,"Solid",TRUE,"Blowout")</f>
        <v>Fail</v>
      </c>
    </row>
    <row r="120" spans="1:13" x14ac:dyDescent="0.25">
      <c r="A120" s="169">
        <f t="shared" ca="1" si="10"/>
        <v>13.522436626691876</v>
      </c>
      <c r="B120" s="168">
        <f t="shared" ca="1" si="11"/>
        <v>-8.4856503096254663</v>
      </c>
      <c r="C120" s="168">
        <f t="shared" ca="1" si="12"/>
        <v>22.008086936317341</v>
      </c>
      <c r="D120" s="184">
        <f t="shared" ca="1" si="13"/>
        <v>2.7814096999992084</v>
      </c>
      <c r="E120" s="230">
        <f t="shared" ca="1" si="14"/>
        <v>2.9325851762207452E-3</v>
      </c>
      <c r="F120" s="168">
        <f t="shared" ca="1" si="15"/>
        <v>58.379803721586391</v>
      </c>
      <c r="G120" s="168">
        <f t="shared" ca="1" si="16"/>
        <v>66.865454031211854</v>
      </c>
      <c r="H120" s="184">
        <f t="shared" ca="1" si="17"/>
        <v>8.4505401571439034</v>
      </c>
      <c r="I120" s="184">
        <f t="shared" ca="1" si="18"/>
        <v>1.7251498418115679E-15</v>
      </c>
      <c r="J120" s="223">
        <f t="shared" ca="1" si="19"/>
        <v>1</v>
      </c>
      <c r="K120" s="220" t="str" cm="1">
        <f t="array" aca="1" ref="K120" ca="1">_xlfn.IFS(G120&lt;$B$11,"Fail",G120&lt;25,"Marginal",G120&lt;35,"Solid",TRUE,"Blowout")</f>
        <v>Blowout</v>
      </c>
      <c r="L120" s="226">
        <f ca="1">IF(AND(E120&lt;$B$10,C120&gt;=$B$11),1,0)</f>
        <v>1</v>
      </c>
      <c r="M120" s="217" t="str" cm="1">
        <f t="array" aca="1" ref="M120" ca="1">_xlfn.IFS(C120&lt;$B$11,"Fail",C120&lt;25,"Marginal",C120&lt;35,"Solid",TRUE,"Blowout")</f>
        <v>Marginal</v>
      </c>
    </row>
    <row r="121" spans="1:13" x14ac:dyDescent="0.25">
      <c r="A121" s="169">
        <f t="shared" ca="1" si="10"/>
        <v>56.44132647098499</v>
      </c>
      <c r="B121" s="168">
        <f t="shared" ca="1" si="11"/>
        <v>5.1864845131082493</v>
      </c>
      <c r="C121" s="168">
        <f t="shared" ca="1" si="12"/>
        <v>51.254841957876742</v>
      </c>
      <c r="D121" s="184">
        <f t="shared" ca="1" si="13"/>
        <v>6.4776513745187785</v>
      </c>
      <c r="E121" s="230">
        <f t="shared" ca="1" si="14"/>
        <v>2.8341549898550222E-10</v>
      </c>
      <c r="F121" s="168">
        <f t="shared" ca="1" si="15"/>
        <v>38.748605294749346</v>
      </c>
      <c r="G121" s="168">
        <f t="shared" ca="1" si="16"/>
        <v>33.562120781641099</v>
      </c>
      <c r="H121" s="184">
        <f t="shared" ca="1" si="17"/>
        <v>4.2416230254233094</v>
      </c>
      <c r="I121" s="184">
        <f t="shared" ca="1" si="18"/>
        <v>1.6135924973294204E-5</v>
      </c>
      <c r="J121" s="223">
        <f t="shared" ca="1" si="19"/>
        <v>1</v>
      </c>
      <c r="K121" s="220" t="str" cm="1">
        <f t="array" aca="1" ref="K121" ca="1">_xlfn.IFS(G121&lt;$B$11,"Fail",G121&lt;25,"Marginal",G121&lt;35,"Solid",TRUE,"Blowout")</f>
        <v>Solid</v>
      </c>
      <c r="L121" s="226">
        <f ca="1">IF(AND(E121&lt;$B$10,C121&gt;=$B$11),1,0)</f>
        <v>1</v>
      </c>
      <c r="M121" s="217" t="str" cm="1">
        <f t="array" aca="1" ref="M121" ca="1">_xlfn.IFS(C121&lt;$B$11,"Fail",C121&lt;25,"Marginal",C121&lt;35,"Solid",TRUE,"Blowout")</f>
        <v>Blowout</v>
      </c>
    </row>
    <row r="122" spans="1:13" x14ac:dyDescent="0.25">
      <c r="A122" s="169">
        <f t="shared" ca="1" si="10"/>
        <v>6.8172671518252788</v>
      </c>
      <c r="B122" s="168">
        <f t="shared" ca="1" si="11"/>
        <v>9.8725149956919651</v>
      </c>
      <c r="C122" s="168">
        <f t="shared" ca="1" si="12"/>
        <v>-3.0552478438666864</v>
      </c>
      <c r="D122" s="184">
        <f t="shared" ca="1" si="13"/>
        <v>-0.38612606417913575</v>
      </c>
      <c r="E122" s="230">
        <f t="shared" ca="1" si="14"/>
        <v>0.6501183123058708</v>
      </c>
      <c r="F122" s="168">
        <f t="shared" ca="1" si="15"/>
        <v>33.546793571144477</v>
      </c>
      <c r="G122" s="168">
        <f t="shared" ca="1" si="16"/>
        <v>23.674278575452512</v>
      </c>
      <c r="H122" s="184">
        <f t="shared" ca="1" si="17"/>
        <v>2.9919850944239097</v>
      </c>
      <c r="I122" s="184">
        <f t="shared" ca="1" si="18"/>
        <v>1.5382545270689611E-3</v>
      </c>
      <c r="J122" s="223">
        <f t="shared" ca="1" si="19"/>
        <v>1</v>
      </c>
      <c r="K122" s="220" t="str" cm="1">
        <f t="array" aca="1" ref="K122" ca="1">_xlfn.IFS(G122&lt;$B$11,"Fail",G122&lt;25,"Marginal",G122&lt;35,"Solid",TRUE,"Blowout")</f>
        <v>Marginal</v>
      </c>
      <c r="L122" s="226">
        <f ca="1">IF(AND(E122&lt;$B$10,C122&gt;=$B$11),1,0)</f>
        <v>0</v>
      </c>
      <c r="M122" s="217" t="str" cm="1">
        <f t="array" aca="1" ref="M122" ca="1">_xlfn.IFS(C122&lt;$B$11,"Fail",C122&lt;25,"Marginal",C122&lt;35,"Solid",TRUE,"Blowout")</f>
        <v>Fail</v>
      </c>
    </row>
    <row r="123" spans="1:13" x14ac:dyDescent="0.25">
      <c r="A123" s="169">
        <f t="shared" ca="1" si="10"/>
        <v>47.92916912060339</v>
      </c>
      <c r="B123" s="168">
        <f t="shared" ca="1" si="11"/>
        <v>3.094997280453383</v>
      </c>
      <c r="C123" s="168">
        <f t="shared" ca="1" si="12"/>
        <v>44.834171840150006</v>
      </c>
      <c r="D123" s="184">
        <f t="shared" ca="1" si="13"/>
        <v>5.6661990116843501</v>
      </c>
      <c r="E123" s="230">
        <f t="shared" ca="1" si="14"/>
        <v>2.1913102790230271E-8</v>
      </c>
      <c r="F123" s="168">
        <f t="shared" ca="1" si="15"/>
        <v>46.467581728379507</v>
      </c>
      <c r="G123" s="168">
        <f t="shared" ca="1" si="16"/>
        <v>43.372584447926123</v>
      </c>
      <c r="H123" s="184">
        <f t="shared" ca="1" si="17"/>
        <v>5.4814817592538532</v>
      </c>
      <c r="I123" s="184">
        <f t="shared" ca="1" si="18"/>
        <v>5.5729082857615706E-8</v>
      </c>
      <c r="J123" s="223">
        <f t="shared" ca="1" si="19"/>
        <v>1</v>
      </c>
      <c r="K123" s="220" t="str" cm="1">
        <f t="array" aca="1" ref="K123" ca="1">_xlfn.IFS(G123&lt;$B$11,"Fail",G123&lt;25,"Marginal",G123&lt;35,"Solid",TRUE,"Blowout")</f>
        <v>Blowout</v>
      </c>
      <c r="L123" s="226">
        <f ca="1">IF(AND(E123&lt;$B$10,C123&gt;=$B$11),1,0)</f>
        <v>1</v>
      </c>
      <c r="M123" s="217" t="str" cm="1">
        <f t="array" aca="1" ref="M123" ca="1">_xlfn.IFS(C123&lt;$B$11,"Fail",C123&lt;25,"Marginal",C123&lt;35,"Solid",TRUE,"Blowout")</f>
        <v>Blowout</v>
      </c>
    </row>
    <row r="124" spans="1:13" x14ac:dyDescent="0.25">
      <c r="A124" s="169">
        <f t="shared" ca="1" si="10"/>
        <v>9.8648050259314246</v>
      </c>
      <c r="B124" s="168">
        <f t="shared" ca="1" si="11"/>
        <v>2.5760109055892544</v>
      </c>
      <c r="C124" s="168">
        <f t="shared" ca="1" si="12"/>
        <v>7.2887941203421702</v>
      </c>
      <c r="D124" s="184">
        <f t="shared" ca="1" si="13"/>
        <v>0.92116696586483282</v>
      </c>
      <c r="E124" s="230">
        <f t="shared" ca="1" si="14"/>
        <v>0.1789684586064138</v>
      </c>
      <c r="F124" s="168">
        <f t="shared" ca="1" si="15"/>
        <v>30.054965923709808</v>
      </c>
      <c r="G124" s="168">
        <f t="shared" ca="1" si="16"/>
        <v>27.478955018120555</v>
      </c>
      <c r="H124" s="184">
        <f t="shared" ca="1" si="17"/>
        <v>3.4728248872517251</v>
      </c>
      <c r="I124" s="184">
        <f t="shared" ca="1" si="18"/>
        <v>3.0804585964635736E-4</v>
      </c>
      <c r="J124" s="223">
        <f t="shared" ca="1" si="19"/>
        <v>1</v>
      </c>
      <c r="K124" s="220" t="str" cm="1">
        <f t="array" aca="1" ref="K124" ca="1">_xlfn.IFS(G124&lt;$B$11,"Fail",G124&lt;25,"Marginal",G124&lt;35,"Solid",TRUE,"Blowout")</f>
        <v>Solid</v>
      </c>
      <c r="L124" s="226">
        <f ca="1">IF(AND(E124&lt;$B$10,C124&gt;=$B$11),1,0)</f>
        <v>0</v>
      </c>
      <c r="M124" s="217" t="str" cm="1">
        <f t="array" aca="1" ref="M124" ca="1">_xlfn.IFS(C124&lt;$B$11,"Fail",C124&lt;25,"Marginal",C124&lt;35,"Solid",TRUE,"Blowout")</f>
        <v>Fail</v>
      </c>
    </row>
    <row r="125" spans="1:13" x14ac:dyDescent="0.25">
      <c r="A125" s="169">
        <f t="shared" ca="1" si="10"/>
        <v>50.332965478588434</v>
      </c>
      <c r="B125" s="168">
        <f t="shared" ca="1" si="11"/>
        <v>4.2277479194452328</v>
      </c>
      <c r="C125" s="168">
        <f t="shared" ca="1" si="12"/>
        <v>46.105217559143199</v>
      </c>
      <c r="D125" s="184">
        <f t="shared" ca="1" si="13"/>
        <v>5.8268353678646898</v>
      </c>
      <c r="E125" s="230">
        <f t="shared" ca="1" si="14"/>
        <v>9.5623940152893034E-9</v>
      </c>
      <c r="F125" s="168">
        <f t="shared" ca="1" si="15"/>
        <v>46.233302659560749</v>
      </c>
      <c r="G125" s="168">
        <f t="shared" ca="1" si="16"/>
        <v>42.005554740115514</v>
      </c>
      <c r="H125" s="184">
        <f t="shared" ca="1" si="17"/>
        <v>5.3087148258764199</v>
      </c>
      <c r="I125" s="184">
        <f t="shared" ca="1" si="18"/>
        <v>1.3078701590034048E-7</v>
      </c>
      <c r="J125" s="223">
        <f t="shared" ca="1" si="19"/>
        <v>1</v>
      </c>
      <c r="K125" s="220" t="str" cm="1">
        <f t="array" aca="1" ref="K125" ca="1">_xlfn.IFS(G125&lt;$B$11,"Fail",G125&lt;25,"Marginal",G125&lt;35,"Solid",TRUE,"Blowout")</f>
        <v>Blowout</v>
      </c>
      <c r="L125" s="226">
        <f ca="1">IF(AND(E125&lt;$B$10,C125&gt;=$B$11),1,0)</f>
        <v>1</v>
      </c>
      <c r="M125" s="217" t="str" cm="1">
        <f t="array" aca="1" ref="M125" ca="1">_xlfn.IFS(C125&lt;$B$11,"Fail",C125&lt;25,"Marginal",C125&lt;35,"Solid",TRUE,"Blowout")</f>
        <v>Blowout</v>
      </c>
    </row>
    <row r="126" spans="1:13" x14ac:dyDescent="0.25">
      <c r="A126" s="169">
        <f t="shared" ca="1" si="10"/>
        <v>1.6555531829039736</v>
      </c>
      <c r="B126" s="168">
        <f t="shared" ca="1" si="11"/>
        <v>11.796458206472749</v>
      </c>
      <c r="C126" s="168">
        <f t="shared" ca="1" si="12"/>
        <v>-10.140905023568775</v>
      </c>
      <c r="D126" s="184">
        <f t="shared" ca="1" si="13"/>
        <v>-1.2816203280613114</v>
      </c>
      <c r="E126" s="230">
        <f t="shared" ca="1" si="14"/>
        <v>0.89936116265664878</v>
      </c>
      <c r="F126" s="168">
        <f t="shared" ca="1" si="15"/>
        <v>23.137707243558093</v>
      </c>
      <c r="G126" s="168">
        <f t="shared" ca="1" si="16"/>
        <v>11.341249037085344</v>
      </c>
      <c r="H126" s="184">
        <f t="shared" ca="1" si="17"/>
        <v>1.4333213138031293</v>
      </c>
      <c r="I126" s="184">
        <f t="shared" ca="1" si="18"/>
        <v>7.6567935252802935E-2</v>
      </c>
      <c r="J126" s="223">
        <f t="shared" ca="1" si="19"/>
        <v>0</v>
      </c>
      <c r="K126" s="220" t="str" cm="1">
        <f t="array" aca="1" ref="K126" ca="1">_xlfn.IFS(G126&lt;$B$11,"Fail",G126&lt;25,"Marginal",G126&lt;35,"Solid",TRUE,"Blowout")</f>
        <v>Fail</v>
      </c>
      <c r="L126" s="226">
        <f ca="1">IF(AND(E126&lt;$B$10,C126&gt;=$B$11),1,0)</f>
        <v>0</v>
      </c>
      <c r="M126" s="217" t="str" cm="1">
        <f t="array" aca="1" ref="M126" ca="1">_xlfn.IFS(C126&lt;$B$11,"Fail",C126&lt;25,"Marginal",C126&lt;35,"Solid",TRUE,"Blowout")</f>
        <v>Fail</v>
      </c>
    </row>
    <row r="127" spans="1:13" x14ac:dyDescent="0.25">
      <c r="A127" s="169">
        <f t="shared" ca="1" si="10"/>
        <v>48.154186646206277</v>
      </c>
      <c r="B127" s="168">
        <f t="shared" ca="1" si="11"/>
        <v>-4.4622084552310088</v>
      </c>
      <c r="C127" s="168">
        <f t="shared" ca="1" si="12"/>
        <v>52.616395101437284</v>
      </c>
      <c r="D127" s="184">
        <f t="shared" ca="1" si="13"/>
        <v>6.6497261728200519</v>
      </c>
      <c r="E127" s="230">
        <f t="shared" ca="1" si="14"/>
        <v>1.0734248450308386E-10</v>
      </c>
      <c r="F127" s="168">
        <f t="shared" ca="1" si="15"/>
        <v>31.533016457118862</v>
      </c>
      <c r="G127" s="168">
        <f t="shared" ca="1" si="16"/>
        <v>35.995224912349869</v>
      </c>
      <c r="H127" s="184">
        <f t="shared" ca="1" si="17"/>
        <v>4.5491217848495076</v>
      </c>
      <c r="I127" s="184">
        <f t="shared" ca="1" si="18"/>
        <v>4.3774829355061662E-6</v>
      </c>
      <c r="J127" s="223">
        <f t="shared" ca="1" si="19"/>
        <v>1</v>
      </c>
      <c r="K127" s="220" t="str" cm="1">
        <f t="array" aca="1" ref="K127" ca="1">_xlfn.IFS(G127&lt;$B$11,"Fail",G127&lt;25,"Marginal",G127&lt;35,"Solid",TRUE,"Blowout")</f>
        <v>Blowout</v>
      </c>
      <c r="L127" s="226">
        <f ca="1">IF(AND(E127&lt;$B$10,C127&gt;=$B$11),1,0)</f>
        <v>1</v>
      </c>
      <c r="M127" s="217" t="str" cm="1">
        <f t="array" aca="1" ref="M127" ca="1">_xlfn.IFS(C127&lt;$B$11,"Fail",C127&lt;25,"Marginal",C127&lt;35,"Solid",TRUE,"Blowout")</f>
        <v>Blowout</v>
      </c>
    </row>
    <row r="128" spans="1:13" x14ac:dyDescent="0.25">
      <c r="A128" s="169">
        <f t="shared" ca="1" si="10"/>
        <v>1.1272204038785527</v>
      </c>
      <c r="B128" s="168">
        <f t="shared" ca="1" si="11"/>
        <v>3.6826535987586775</v>
      </c>
      <c r="C128" s="168">
        <f t="shared" ca="1" si="12"/>
        <v>-2.5554331948801248</v>
      </c>
      <c r="D128" s="184">
        <f t="shared" ca="1" si="13"/>
        <v>-0.32295886037284499</v>
      </c>
      <c r="E128" s="230">
        <f t="shared" ca="1" si="14"/>
        <v>0.62648880748314151</v>
      </c>
      <c r="F128" s="168">
        <f t="shared" ca="1" si="15"/>
        <v>2.6985480647216651</v>
      </c>
      <c r="G128" s="168">
        <f t="shared" ca="1" si="16"/>
        <v>-0.9841055340370124</v>
      </c>
      <c r="H128" s="184">
        <f t="shared" ca="1" si="17"/>
        <v>-0.12437249480674166</v>
      </c>
      <c r="I128" s="184">
        <f t="shared" ca="1" si="18"/>
        <v>0.54943503442246278</v>
      </c>
      <c r="J128" s="223">
        <f t="shared" ca="1" si="19"/>
        <v>0</v>
      </c>
      <c r="K128" s="220" t="str" cm="1">
        <f t="array" aca="1" ref="K128" ca="1">_xlfn.IFS(G128&lt;$B$11,"Fail",G128&lt;25,"Marginal",G128&lt;35,"Solid",TRUE,"Blowout")</f>
        <v>Fail</v>
      </c>
      <c r="L128" s="226">
        <f ca="1">IF(AND(E128&lt;$B$10,C128&gt;=$B$11),1,0)</f>
        <v>0</v>
      </c>
      <c r="M128" s="217" t="str" cm="1">
        <f t="array" aca="1" ref="M128" ca="1">_xlfn.IFS(C128&lt;$B$11,"Fail",C128&lt;25,"Marginal",C128&lt;35,"Solid",TRUE,"Blowout")</f>
        <v>Fail</v>
      </c>
    </row>
    <row r="129" spans="1:13" x14ac:dyDescent="0.25">
      <c r="A129" s="169">
        <f t="shared" ca="1" si="10"/>
        <v>76.108732198506189</v>
      </c>
      <c r="B129" s="168">
        <f t="shared" ca="1" si="11"/>
        <v>3.4410884182515575</v>
      </c>
      <c r="C129" s="168">
        <f t="shared" ca="1" si="12"/>
        <v>72.667643780254636</v>
      </c>
      <c r="D129" s="184">
        <f t="shared" ca="1" si="13"/>
        <v>9.1838281933063062</v>
      </c>
      <c r="E129" s="230">
        <f t="shared" ca="1" si="14"/>
        <v>1.3103642967709431E-17</v>
      </c>
      <c r="F129" s="168">
        <f t="shared" ca="1" si="15"/>
        <v>20.086669587002035</v>
      </c>
      <c r="G129" s="168">
        <f t="shared" ca="1" si="16"/>
        <v>16.645581168750478</v>
      </c>
      <c r="H129" s="184">
        <f t="shared" ca="1" si="17"/>
        <v>2.1036894782747488</v>
      </c>
      <c r="I129" s="184">
        <f t="shared" ca="1" si="18"/>
        <v>1.8250744475087056E-2</v>
      </c>
      <c r="J129" s="223">
        <f t="shared" ca="1" si="19"/>
        <v>0</v>
      </c>
      <c r="K129" s="220" t="str" cm="1">
        <f t="array" aca="1" ref="K129" ca="1">_xlfn.IFS(G129&lt;$B$11,"Fail",G129&lt;25,"Marginal",G129&lt;35,"Solid",TRUE,"Blowout")</f>
        <v>Fail</v>
      </c>
      <c r="L129" s="226">
        <f ca="1">IF(AND(E129&lt;$B$10,C129&gt;=$B$11),1,0)</f>
        <v>1</v>
      </c>
      <c r="M129" s="217" t="str" cm="1">
        <f t="array" aca="1" ref="M129" ca="1">_xlfn.IFS(C129&lt;$B$11,"Fail",C129&lt;25,"Marginal",C129&lt;35,"Solid",TRUE,"Blowout")</f>
        <v>Blowout</v>
      </c>
    </row>
    <row r="130" spans="1:13" x14ac:dyDescent="0.25">
      <c r="A130" s="169">
        <f t="shared" ca="1" si="10"/>
        <v>37.823945730002933</v>
      </c>
      <c r="B130" s="168">
        <f t="shared" ca="1" si="11"/>
        <v>-3.5106483486406237</v>
      </c>
      <c r="C130" s="168">
        <f t="shared" ca="1" si="12"/>
        <v>41.334594078643555</v>
      </c>
      <c r="D130" s="184">
        <f t="shared" ca="1" si="13"/>
        <v>5.223917973813081</v>
      </c>
      <c r="E130" s="230">
        <f t="shared" ca="1" si="14"/>
        <v>1.9736864424174948E-7</v>
      </c>
      <c r="F130" s="168">
        <f t="shared" ca="1" si="15"/>
        <v>55.370876655621153</v>
      </c>
      <c r="G130" s="168">
        <f t="shared" ca="1" si="16"/>
        <v>58.881525004261775</v>
      </c>
      <c r="H130" s="184">
        <f t="shared" ca="1" si="17"/>
        <v>7.4415211677187338</v>
      </c>
      <c r="I130" s="184">
        <f t="shared" ca="1" si="18"/>
        <v>1.0084894105566718E-12</v>
      </c>
      <c r="J130" s="223">
        <f t="shared" ca="1" si="19"/>
        <v>1</v>
      </c>
      <c r="K130" s="220" t="str" cm="1">
        <f t="array" aca="1" ref="K130" ca="1">_xlfn.IFS(G130&lt;$B$11,"Fail",G130&lt;25,"Marginal",G130&lt;35,"Solid",TRUE,"Blowout")</f>
        <v>Blowout</v>
      </c>
      <c r="L130" s="226">
        <f ca="1">IF(AND(E130&lt;$B$10,C130&gt;=$B$11),1,0)</f>
        <v>1</v>
      </c>
      <c r="M130" s="217" t="str" cm="1">
        <f t="array" aca="1" ref="M130" ca="1">_xlfn.IFS(C130&lt;$B$11,"Fail",C130&lt;25,"Marginal",C130&lt;35,"Solid",TRUE,"Blowout")</f>
        <v>Blowout</v>
      </c>
    </row>
    <row r="131" spans="1:13" x14ac:dyDescent="0.25">
      <c r="A131" s="169">
        <f t="shared" ca="1" si="10"/>
        <v>25.775383281529365</v>
      </c>
      <c r="B131" s="168">
        <f t="shared" ca="1" si="11"/>
        <v>9.0360081956815925</v>
      </c>
      <c r="C131" s="168">
        <f t="shared" ca="1" si="12"/>
        <v>16.739375085847772</v>
      </c>
      <c r="D131" s="184">
        <f t="shared" ca="1" si="13"/>
        <v>2.1155432714540567</v>
      </c>
      <c r="E131" s="230">
        <f t="shared" ca="1" si="14"/>
        <v>1.7734324202457685E-2</v>
      </c>
      <c r="F131" s="168">
        <f t="shared" ca="1" si="15"/>
        <v>1.1151954515554279</v>
      </c>
      <c r="G131" s="168">
        <f t="shared" ca="1" si="16"/>
        <v>-7.9208127441261649</v>
      </c>
      <c r="H131" s="184">
        <f t="shared" ca="1" si="17"/>
        <v>-1.0010422742394147</v>
      </c>
      <c r="I131" s="184">
        <f t="shared" ca="1" si="18"/>
        <v>0.84106620742889138</v>
      </c>
      <c r="J131" s="223">
        <f t="shared" ca="1" si="19"/>
        <v>0</v>
      </c>
      <c r="K131" s="220" t="str" cm="1">
        <f t="array" aca="1" ref="K131" ca="1">_xlfn.IFS(G131&lt;$B$11,"Fail",G131&lt;25,"Marginal",G131&lt;35,"Solid",TRUE,"Blowout")</f>
        <v>Fail</v>
      </c>
      <c r="L131" s="226">
        <f ca="1">IF(AND(E131&lt;$B$10,C131&gt;=$B$11),1,0)</f>
        <v>0</v>
      </c>
      <c r="M131" s="217" t="str" cm="1">
        <f t="array" aca="1" ref="M131" ca="1">_xlfn.IFS(C131&lt;$B$11,"Fail",C131&lt;25,"Marginal",C131&lt;35,"Solid",TRUE,"Blowout")</f>
        <v>Fail</v>
      </c>
    </row>
    <row r="132" spans="1:13" x14ac:dyDescent="0.25">
      <c r="A132" s="169">
        <f t="shared" ca="1" si="10"/>
        <v>26.059201253692816</v>
      </c>
      <c r="B132" s="168">
        <f t="shared" ca="1" si="11"/>
        <v>3.8995609154145052</v>
      </c>
      <c r="C132" s="168">
        <f t="shared" ca="1" si="12"/>
        <v>22.159640338278312</v>
      </c>
      <c r="D132" s="184">
        <f t="shared" ca="1" si="13"/>
        <v>2.8005632095024136</v>
      </c>
      <c r="E132" s="230">
        <f t="shared" ca="1" si="14"/>
        <v>2.7695835663945176E-3</v>
      </c>
      <c r="F132" s="168">
        <f t="shared" ca="1" si="15"/>
        <v>-0.27411518516128747</v>
      </c>
      <c r="G132" s="168">
        <f t="shared" ca="1" si="16"/>
        <v>-4.1736761005757925</v>
      </c>
      <c r="H132" s="184">
        <f t="shared" ca="1" si="17"/>
        <v>-0.52747443357468349</v>
      </c>
      <c r="I132" s="184">
        <f t="shared" ca="1" si="18"/>
        <v>0.7008114654341987</v>
      </c>
      <c r="J132" s="223">
        <f t="shared" ca="1" si="19"/>
        <v>0</v>
      </c>
      <c r="K132" s="220" t="str" cm="1">
        <f t="array" aca="1" ref="K132" ca="1">_xlfn.IFS(G132&lt;$B$11,"Fail",G132&lt;25,"Marginal",G132&lt;35,"Solid",TRUE,"Blowout")</f>
        <v>Fail</v>
      </c>
      <c r="L132" s="226">
        <f ca="1">IF(AND(E132&lt;$B$10,C132&gt;=$B$11),1,0)</f>
        <v>1</v>
      </c>
      <c r="M132" s="217" t="str" cm="1">
        <f t="array" aca="1" ref="M132" ca="1">_xlfn.IFS(C132&lt;$B$11,"Fail",C132&lt;25,"Marginal",C132&lt;35,"Solid",TRUE,"Blowout")</f>
        <v>Marginal</v>
      </c>
    </row>
    <row r="133" spans="1:13" x14ac:dyDescent="0.25">
      <c r="A133" s="169">
        <f t="shared" ca="1" si="10"/>
        <v>-0.80546435865485577</v>
      </c>
      <c r="B133" s="168">
        <f t="shared" ca="1" si="11"/>
        <v>5.165222608692333</v>
      </c>
      <c r="C133" s="168">
        <f t="shared" ca="1" si="12"/>
        <v>-5.9706869673471887</v>
      </c>
      <c r="D133" s="184">
        <f t="shared" ca="1" si="13"/>
        <v>-0.75458292648026037</v>
      </c>
      <c r="E133" s="230">
        <f t="shared" ca="1" si="14"/>
        <v>0.77436102481122782</v>
      </c>
      <c r="F133" s="168">
        <f t="shared" ca="1" si="15"/>
        <v>37.502651236210852</v>
      </c>
      <c r="G133" s="168">
        <f t="shared" ca="1" si="16"/>
        <v>32.33742862751852</v>
      </c>
      <c r="H133" s="184">
        <f t="shared" ca="1" si="17"/>
        <v>4.0868448910563311</v>
      </c>
      <c r="I133" s="184">
        <f t="shared" ca="1" si="18"/>
        <v>3.030080717940978E-5</v>
      </c>
      <c r="J133" s="223">
        <f t="shared" ca="1" si="19"/>
        <v>1</v>
      </c>
      <c r="K133" s="220" t="str" cm="1">
        <f t="array" aca="1" ref="K133" ca="1">_xlfn.IFS(G133&lt;$B$11,"Fail",G133&lt;25,"Marginal",G133&lt;35,"Solid",TRUE,"Blowout")</f>
        <v>Solid</v>
      </c>
      <c r="L133" s="226">
        <f ca="1">IF(AND(E133&lt;$B$10,C133&gt;=$B$11),1,0)</f>
        <v>0</v>
      </c>
      <c r="M133" s="217" t="str" cm="1">
        <f t="array" aca="1" ref="M133" ca="1">_xlfn.IFS(C133&lt;$B$11,"Fail",C133&lt;25,"Marginal",C133&lt;35,"Solid",TRUE,"Blowout")</f>
        <v>Fail</v>
      </c>
    </row>
    <row r="134" spans="1:13" x14ac:dyDescent="0.25">
      <c r="A134" s="169">
        <f t="shared" ca="1" si="10"/>
        <v>31.908648770580747</v>
      </c>
      <c r="B134" s="168">
        <f t="shared" ca="1" si="11"/>
        <v>3.0139509597479552</v>
      </c>
      <c r="C134" s="168">
        <f t="shared" ca="1" si="12"/>
        <v>28.894697810832792</v>
      </c>
      <c r="D134" s="184">
        <f t="shared" ca="1" si="13"/>
        <v>3.6517482415509015</v>
      </c>
      <c r="E134" s="230">
        <f t="shared" ca="1" si="14"/>
        <v>1.6154054207817873E-4</v>
      </c>
      <c r="F134" s="168">
        <f t="shared" ca="1" si="15"/>
        <v>48.911640279018172</v>
      </c>
      <c r="G134" s="168">
        <f t="shared" ca="1" si="16"/>
        <v>45.897689319270214</v>
      </c>
      <c r="H134" s="184">
        <f t="shared" ca="1" si="17"/>
        <v>5.8006076879633541</v>
      </c>
      <c r="I134" s="184">
        <f t="shared" ca="1" si="18"/>
        <v>1.0960839086783756E-8</v>
      </c>
      <c r="J134" s="223">
        <f t="shared" ca="1" si="19"/>
        <v>1</v>
      </c>
      <c r="K134" s="220" t="str" cm="1">
        <f t="array" aca="1" ref="K134" ca="1">_xlfn.IFS(G134&lt;$B$11,"Fail",G134&lt;25,"Marginal",G134&lt;35,"Solid",TRUE,"Blowout")</f>
        <v>Blowout</v>
      </c>
      <c r="L134" s="226">
        <f ca="1">IF(AND(E134&lt;$B$10,C134&gt;=$B$11),1,0)</f>
        <v>1</v>
      </c>
      <c r="M134" s="217" t="str" cm="1">
        <f t="array" aca="1" ref="M134" ca="1">_xlfn.IFS(C134&lt;$B$11,"Fail",C134&lt;25,"Marginal",C134&lt;35,"Solid",TRUE,"Blowout")</f>
        <v>Solid</v>
      </c>
    </row>
    <row r="135" spans="1:13" x14ac:dyDescent="0.25">
      <c r="A135" s="169">
        <f t="shared" ca="1" si="10"/>
        <v>34.457109596446628</v>
      </c>
      <c r="B135" s="168">
        <f t="shared" ca="1" si="11"/>
        <v>9.4509134192395123</v>
      </c>
      <c r="C135" s="168">
        <f t="shared" ca="1" si="12"/>
        <v>25.006196177207116</v>
      </c>
      <c r="D135" s="184">
        <f t="shared" ca="1" si="13"/>
        <v>3.1603145156879937</v>
      </c>
      <c r="E135" s="230">
        <f t="shared" ca="1" si="14"/>
        <v>8.9481906656083425E-4</v>
      </c>
      <c r="F135" s="168">
        <f t="shared" ca="1" si="15"/>
        <v>9.9760258310808609</v>
      </c>
      <c r="G135" s="168">
        <f t="shared" ca="1" si="16"/>
        <v>0.5251124118413486</v>
      </c>
      <c r="H135" s="184">
        <f t="shared" ca="1" si="17"/>
        <v>6.636436688530746E-2</v>
      </c>
      <c r="I135" s="184">
        <f t="shared" ca="1" si="18"/>
        <v>0.47357294721401</v>
      </c>
      <c r="J135" s="223">
        <f t="shared" ca="1" si="19"/>
        <v>0</v>
      </c>
      <c r="K135" s="220" t="str" cm="1">
        <f t="array" aca="1" ref="K135" ca="1">_xlfn.IFS(G135&lt;$B$11,"Fail",G135&lt;25,"Marginal",G135&lt;35,"Solid",TRUE,"Blowout")</f>
        <v>Fail</v>
      </c>
      <c r="L135" s="226">
        <f ca="1">IF(AND(E135&lt;$B$10,C135&gt;=$B$11),1,0)</f>
        <v>1</v>
      </c>
      <c r="M135" s="217" t="str" cm="1">
        <f t="array" aca="1" ref="M135" ca="1">_xlfn.IFS(C135&lt;$B$11,"Fail",C135&lt;25,"Marginal",C135&lt;35,"Solid",TRUE,"Blowout")</f>
        <v>Solid</v>
      </c>
    </row>
    <row r="136" spans="1:13" x14ac:dyDescent="0.25">
      <c r="A136" s="169">
        <f t="shared" ca="1" si="10"/>
        <v>38.05894002130924</v>
      </c>
      <c r="B136" s="168">
        <f t="shared" ca="1" si="11"/>
        <v>-0.68539640459349371</v>
      </c>
      <c r="C136" s="168">
        <f t="shared" ca="1" si="12"/>
        <v>38.744336425902731</v>
      </c>
      <c r="D136" s="184">
        <f t="shared" ca="1" si="13"/>
        <v>4.8965579546674975</v>
      </c>
      <c r="E136" s="230">
        <f t="shared" ca="1" si="14"/>
        <v>9.2346053960016354E-7</v>
      </c>
      <c r="F136" s="168">
        <f t="shared" ca="1" si="15"/>
        <v>20.865662489243888</v>
      </c>
      <c r="G136" s="168">
        <f t="shared" ca="1" si="16"/>
        <v>21.551058893837382</v>
      </c>
      <c r="H136" s="184">
        <f t="shared" ca="1" si="17"/>
        <v>2.7236499213231378</v>
      </c>
      <c r="I136" s="184">
        <f t="shared" ca="1" si="18"/>
        <v>3.4781964649218673E-3</v>
      </c>
      <c r="J136" s="223">
        <f t="shared" ca="1" si="19"/>
        <v>1</v>
      </c>
      <c r="K136" s="220" t="str" cm="1">
        <f t="array" aca="1" ref="K136" ca="1">_xlfn.IFS(G136&lt;$B$11,"Fail",G136&lt;25,"Marginal",G136&lt;35,"Solid",TRUE,"Blowout")</f>
        <v>Marginal</v>
      </c>
      <c r="L136" s="226">
        <f ca="1">IF(AND(E136&lt;$B$10,C136&gt;=$B$11),1,0)</f>
        <v>1</v>
      </c>
      <c r="M136" s="217" t="str" cm="1">
        <f t="array" aca="1" ref="M136" ca="1">_xlfn.IFS(C136&lt;$B$11,"Fail",C136&lt;25,"Marginal",C136&lt;35,"Solid",TRUE,"Blowout")</f>
        <v>Blowout</v>
      </c>
    </row>
    <row r="137" spans="1:13" x14ac:dyDescent="0.25">
      <c r="A137" s="169">
        <f t="shared" ca="1" si="10"/>
        <v>31.568578096446565</v>
      </c>
      <c r="B137" s="168">
        <f t="shared" ca="1" si="11"/>
        <v>8.6280776152393788</v>
      </c>
      <c r="C137" s="168">
        <f t="shared" ca="1" si="12"/>
        <v>22.940500481207188</v>
      </c>
      <c r="D137" s="184">
        <f t="shared" ca="1" si="13"/>
        <v>2.8992492962199798</v>
      </c>
      <c r="E137" s="230">
        <f t="shared" ca="1" si="14"/>
        <v>2.0529468467411463E-3</v>
      </c>
      <c r="F137" s="168">
        <f t="shared" ca="1" si="15"/>
        <v>32.218720023345227</v>
      </c>
      <c r="G137" s="168">
        <f t="shared" ca="1" si="16"/>
        <v>23.59064240810585</v>
      </c>
      <c r="H137" s="184">
        <f t="shared" ca="1" si="17"/>
        <v>2.9814150504304502</v>
      </c>
      <c r="I137" s="184">
        <f t="shared" ca="1" si="18"/>
        <v>1.5902647955473926E-3</v>
      </c>
      <c r="J137" s="223">
        <f t="shared" ca="1" si="19"/>
        <v>1</v>
      </c>
      <c r="K137" s="220" t="str" cm="1">
        <f t="array" aca="1" ref="K137" ca="1">_xlfn.IFS(G137&lt;$B$11,"Fail",G137&lt;25,"Marginal",G137&lt;35,"Solid",TRUE,"Blowout")</f>
        <v>Marginal</v>
      </c>
      <c r="L137" s="226">
        <f ca="1">IF(AND(E137&lt;$B$10,C137&gt;=$B$11),1,0)</f>
        <v>1</v>
      </c>
      <c r="M137" s="217" t="str" cm="1">
        <f t="array" aca="1" ref="M137" ca="1">_xlfn.IFS(C137&lt;$B$11,"Fail",C137&lt;25,"Marginal",C137&lt;35,"Solid",TRUE,"Blowout")</f>
        <v>Marginal</v>
      </c>
    </row>
    <row r="138" spans="1:13" x14ac:dyDescent="0.25">
      <c r="A138" s="169">
        <f t="shared" ca="1" si="10"/>
        <v>36.345676355840865</v>
      </c>
      <c r="B138" s="168">
        <f t="shared" ca="1" si="11"/>
        <v>4.6841400850162076</v>
      </c>
      <c r="C138" s="168">
        <f t="shared" ca="1" si="12"/>
        <v>31.661536270824659</v>
      </c>
      <c r="D138" s="184">
        <f t="shared" ca="1" si="13"/>
        <v>4.0014247651497303</v>
      </c>
      <c r="E138" s="230">
        <f t="shared" ca="1" si="14"/>
        <v>4.257195556596471E-5</v>
      </c>
      <c r="F138" s="168">
        <f t="shared" ca="1" si="15"/>
        <v>9.8440012790591194</v>
      </c>
      <c r="G138" s="168">
        <f t="shared" ca="1" si="16"/>
        <v>5.1598611940429118</v>
      </c>
      <c r="H138" s="184">
        <f t="shared" ca="1" si="17"/>
        <v>0.65210974571704183</v>
      </c>
      <c r="I138" s="184">
        <f t="shared" ca="1" si="18"/>
        <v>0.25749361717009361</v>
      </c>
      <c r="J138" s="223">
        <f t="shared" ca="1" si="19"/>
        <v>0</v>
      </c>
      <c r="K138" s="220" t="str" cm="1">
        <f t="array" aca="1" ref="K138" ca="1">_xlfn.IFS(G138&lt;$B$11,"Fail",G138&lt;25,"Marginal",G138&lt;35,"Solid",TRUE,"Blowout")</f>
        <v>Fail</v>
      </c>
      <c r="L138" s="226">
        <f ca="1">IF(AND(E138&lt;$B$10,C138&gt;=$B$11),1,0)</f>
        <v>1</v>
      </c>
      <c r="M138" s="217" t="str" cm="1">
        <f t="array" aca="1" ref="M138" ca="1">_xlfn.IFS(C138&lt;$B$11,"Fail",C138&lt;25,"Marginal",C138&lt;35,"Solid",TRUE,"Blowout")</f>
        <v>Solid</v>
      </c>
    </row>
    <row r="139" spans="1:13" x14ac:dyDescent="0.25">
      <c r="A139" s="169">
        <f t="shared" ca="1" si="10"/>
        <v>0.8706515930902724</v>
      </c>
      <c r="B139" s="168">
        <f t="shared" ca="1" si="11"/>
        <v>7.3348299655550129</v>
      </c>
      <c r="C139" s="168">
        <f t="shared" ca="1" si="12"/>
        <v>-6.4641783724647404</v>
      </c>
      <c r="D139" s="184">
        <f t="shared" ca="1" si="13"/>
        <v>-0.81695099077553335</v>
      </c>
      <c r="E139" s="230">
        <f t="shared" ca="1" si="14"/>
        <v>0.79259538025040943</v>
      </c>
      <c r="F139" s="168">
        <f t="shared" ca="1" si="15"/>
        <v>24.34962505927286</v>
      </c>
      <c r="G139" s="168">
        <f t="shared" ca="1" si="16"/>
        <v>17.014795093717847</v>
      </c>
      <c r="H139" s="184">
        <f t="shared" ca="1" si="17"/>
        <v>2.1503511983620314</v>
      </c>
      <c r="I139" s="184">
        <f t="shared" ca="1" si="18"/>
        <v>1.6289811913249054E-2</v>
      </c>
      <c r="J139" s="223">
        <f t="shared" ca="1" si="19"/>
        <v>0</v>
      </c>
      <c r="K139" s="220" t="str" cm="1">
        <f t="array" aca="1" ref="K139" ca="1">_xlfn.IFS(G139&lt;$B$11,"Fail",G139&lt;25,"Marginal",G139&lt;35,"Solid",TRUE,"Blowout")</f>
        <v>Fail</v>
      </c>
      <c r="L139" s="226">
        <f ca="1">IF(AND(E139&lt;$B$10,C139&gt;=$B$11),1,0)</f>
        <v>0</v>
      </c>
      <c r="M139" s="217" t="str" cm="1">
        <f t="array" aca="1" ref="M139" ca="1">_xlfn.IFS(C139&lt;$B$11,"Fail",C139&lt;25,"Marginal",C139&lt;35,"Solid",TRUE,"Blowout")</f>
        <v>Fail</v>
      </c>
    </row>
    <row r="140" spans="1:13" x14ac:dyDescent="0.25">
      <c r="A140" s="169">
        <f t="shared" ca="1" si="10"/>
        <v>37.576952122585496</v>
      </c>
      <c r="B140" s="168">
        <f t="shared" ca="1" si="11"/>
        <v>4.0198198770223987</v>
      </c>
      <c r="C140" s="168">
        <f t="shared" ca="1" si="12"/>
        <v>33.557132245563096</v>
      </c>
      <c r="D140" s="184">
        <f t="shared" ca="1" si="13"/>
        <v>4.2409925679611815</v>
      </c>
      <c r="E140" s="230">
        <f t="shared" ca="1" si="14"/>
        <v>1.6177982708354593E-5</v>
      </c>
      <c r="F140" s="168">
        <f t="shared" ca="1" si="15"/>
        <v>62.352042946928194</v>
      </c>
      <c r="G140" s="168">
        <f t="shared" ca="1" si="16"/>
        <v>58.332223069905794</v>
      </c>
      <c r="H140" s="184">
        <f t="shared" ca="1" si="17"/>
        <v>7.372099698562101</v>
      </c>
      <c r="I140" s="184">
        <f t="shared" ca="1" si="18"/>
        <v>1.5375027913470685E-12</v>
      </c>
      <c r="J140" s="223">
        <f t="shared" ca="1" si="19"/>
        <v>1</v>
      </c>
      <c r="K140" s="220" t="str" cm="1">
        <f t="array" aca="1" ref="K140" ca="1">_xlfn.IFS(G140&lt;$B$11,"Fail",G140&lt;25,"Marginal",G140&lt;35,"Solid",TRUE,"Blowout")</f>
        <v>Blowout</v>
      </c>
      <c r="L140" s="226">
        <f ca="1">IF(AND(E140&lt;$B$10,C140&gt;=$B$11),1,0)</f>
        <v>1</v>
      </c>
      <c r="M140" s="217" t="str" cm="1">
        <f t="array" aca="1" ref="M140" ca="1">_xlfn.IFS(C140&lt;$B$11,"Fail",C140&lt;25,"Marginal",C140&lt;35,"Solid",TRUE,"Blowout")</f>
        <v>Solid</v>
      </c>
    </row>
    <row r="141" spans="1:13" x14ac:dyDescent="0.25">
      <c r="A141" s="169">
        <f t="shared" ca="1" si="10"/>
        <v>57.162466828286149</v>
      </c>
      <c r="B141" s="168">
        <f t="shared" ca="1" si="11"/>
        <v>10.592051576581788</v>
      </c>
      <c r="C141" s="168">
        <f t="shared" ca="1" si="12"/>
        <v>46.570415251704361</v>
      </c>
      <c r="D141" s="184">
        <f t="shared" ca="1" si="13"/>
        <v>5.8856276371905469</v>
      </c>
      <c r="E141" s="230">
        <f t="shared" ca="1" si="14"/>
        <v>7.0310784800388832E-9</v>
      </c>
      <c r="F141" s="168">
        <f t="shared" ca="1" si="15"/>
        <v>9.7320893151097714</v>
      </c>
      <c r="G141" s="168">
        <f t="shared" ca="1" si="16"/>
        <v>-0.85996226147201682</v>
      </c>
      <c r="H141" s="184">
        <f t="shared" ca="1" si="17"/>
        <v>-0.10868311192211993</v>
      </c>
      <c r="I141" s="184">
        <f t="shared" ca="1" si="18"/>
        <v>0.54322528766824774</v>
      </c>
      <c r="J141" s="223">
        <f t="shared" ca="1" si="19"/>
        <v>0</v>
      </c>
      <c r="K141" s="220" t="str" cm="1">
        <f t="array" aca="1" ref="K141" ca="1">_xlfn.IFS(G141&lt;$B$11,"Fail",G141&lt;25,"Marginal",G141&lt;35,"Solid",TRUE,"Blowout")</f>
        <v>Fail</v>
      </c>
      <c r="L141" s="226">
        <f ca="1">IF(AND(E141&lt;$B$10,C141&gt;=$B$11),1,0)</f>
        <v>1</v>
      </c>
      <c r="M141" s="217" t="str" cm="1">
        <f t="array" aca="1" ref="M141" ca="1">_xlfn.IFS(C141&lt;$B$11,"Fail",C141&lt;25,"Marginal",C141&lt;35,"Solid",TRUE,"Blowout")</f>
        <v>Blowout</v>
      </c>
    </row>
    <row r="142" spans="1:13" x14ac:dyDescent="0.25">
      <c r="A142" s="169">
        <f t="shared" ca="1" si="10"/>
        <v>62.483783539786131</v>
      </c>
      <c r="B142" s="168">
        <f t="shared" ca="1" si="11"/>
        <v>18.316911466704092</v>
      </c>
      <c r="C142" s="168">
        <f t="shared" ca="1" si="12"/>
        <v>44.16687207308204</v>
      </c>
      <c r="D142" s="184">
        <f t="shared" ca="1" si="13"/>
        <v>5.5818648280590004</v>
      </c>
      <c r="E142" s="230">
        <f t="shared" ca="1" si="14"/>
        <v>3.3647781232763467E-8</v>
      </c>
      <c r="F142" s="168">
        <f t="shared" ca="1" si="15"/>
        <v>27.188964615141749</v>
      </c>
      <c r="G142" s="168">
        <f t="shared" ca="1" si="16"/>
        <v>8.8720531484376579</v>
      </c>
      <c r="H142" s="184">
        <f t="shared" ca="1" si="17"/>
        <v>1.1212612326268028</v>
      </c>
      <c r="I142" s="184">
        <f t="shared" ca="1" si="18"/>
        <v>0.13167811755294159</v>
      </c>
      <c r="J142" s="223">
        <f t="shared" ca="1" si="19"/>
        <v>0</v>
      </c>
      <c r="K142" s="220" t="str" cm="1">
        <f t="array" aca="1" ref="K142" ca="1">_xlfn.IFS(G142&lt;$B$11,"Fail",G142&lt;25,"Marginal",G142&lt;35,"Solid",TRUE,"Blowout")</f>
        <v>Fail</v>
      </c>
      <c r="L142" s="226">
        <f ca="1">IF(AND(E142&lt;$B$10,C142&gt;=$B$11),1,0)</f>
        <v>1</v>
      </c>
      <c r="M142" s="217" t="str" cm="1">
        <f t="array" aca="1" ref="M142" ca="1">_xlfn.IFS(C142&lt;$B$11,"Fail",C142&lt;25,"Marginal",C142&lt;35,"Solid",TRUE,"Blowout")</f>
        <v>Blowout</v>
      </c>
    </row>
    <row r="143" spans="1:13" x14ac:dyDescent="0.25">
      <c r="A143" s="169">
        <f t="shared" ca="1" si="10"/>
        <v>23.027357612759211</v>
      </c>
      <c r="B143" s="168">
        <f t="shared" ca="1" si="11"/>
        <v>3.8416977481979098</v>
      </c>
      <c r="C143" s="168">
        <f t="shared" ca="1" si="12"/>
        <v>19.185659864561302</v>
      </c>
      <c r="D143" s="184">
        <f t="shared" ca="1" si="13"/>
        <v>2.4247078177484549</v>
      </c>
      <c r="E143" s="230">
        <f t="shared" ca="1" si="14"/>
        <v>8.049644657258841E-3</v>
      </c>
      <c r="F143" s="168">
        <f t="shared" ca="1" si="15"/>
        <v>21.451000323792808</v>
      </c>
      <c r="G143" s="168">
        <f t="shared" ca="1" si="16"/>
        <v>17.609302575594899</v>
      </c>
      <c r="H143" s="184">
        <f t="shared" ca="1" si="17"/>
        <v>2.2254858014558718</v>
      </c>
      <c r="I143" s="184">
        <f t="shared" ca="1" si="18"/>
        <v>1.3513812341996671E-2</v>
      </c>
      <c r="J143" s="223">
        <f t="shared" ca="1" si="19"/>
        <v>0</v>
      </c>
      <c r="K143" s="220" t="str" cm="1">
        <f t="array" aca="1" ref="K143" ca="1">_xlfn.IFS(G143&lt;$B$11,"Fail",G143&lt;25,"Marginal",G143&lt;35,"Solid",TRUE,"Blowout")</f>
        <v>Fail</v>
      </c>
      <c r="L143" s="226">
        <f ca="1">IF(AND(E143&lt;$B$10,C143&gt;=$B$11),1,0)</f>
        <v>0</v>
      </c>
      <c r="M143" s="217" t="str" cm="1">
        <f t="array" aca="1" ref="M143" ca="1">_xlfn.IFS(C143&lt;$B$11,"Fail",C143&lt;25,"Marginal",C143&lt;35,"Solid",TRUE,"Blowout")</f>
        <v>Fail</v>
      </c>
    </row>
    <row r="144" spans="1:13" x14ac:dyDescent="0.25">
      <c r="A144" s="169">
        <f t="shared" ca="1" si="10"/>
        <v>53.476469364124384</v>
      </c>
      <c r="B144" s="168">
        <f t="shared" ca="1" si="11"/>
        <v>2.4748817244896699</v>
      </c>
      <c r="C144" s="168">
        <f t="shared" ca="1" si="12"/>
        <v>51.001587639634714</v>
      </c>
      <c r="D144" s="184">
        <f t="shared" ca="1" si="13"/>
        <v>6.4456447753371533</v>
      </c>
      <c r="E144" s="230">
        <f t="shared" ca="1" si="14"/>
        <v>3.3889594216488526E-10</v>
      </c>
      <c r="F144" s="168">
        <f t="shared" ca="1" si="15"/>
        <v>29.590334990892629</v>
      </c>
      <c r="G144" s="168">
        <f t="shared" ca="1" si="16"/>
        <v>27.115453266402959</v>
      </c>
      <c r="H144" s="184">
        <f t="shared" ca="1" si="17"/>
        <v>3.4268850788022402</v>
      </c>
      <c r="I144" s="184">
        <f t="shared" ca="1" si="18"/>
        <v>3.620926674736039E-4</v>
      </c>
      <c r="J144" s="223">
        <f t="shared" ca="1" si="19"/>
        <v>1</v>
      </c>
      <c r="K144" s="220" t="str" cm="1">
        <f t="array" aca="1" ref="K144" ca="1">_xlfn.IFS(G144&lt;$B$11,"Fail",G144&lt;25,"Marginal",G144&lt;35,"Solid",TRUE,"Blowout")</f>
        <v>Solid</v>
      </c>
      <c r="L144" s="226">
        <f ca="1">IF(AND(E144&lt;$B$10,C144&gt;=$B$11),1,0)</f>
        <v>1</v>
      </c>
      <c r="M144" s="217" t="str" cm="1">
        <f t="array" aca="1" ref="M144" ca="1">_xlfn.IFS(C144&lt;$B$11,"Fail",C144&lt;25,"Marginal",C144&lt;35,"Solid",TRUE,"Blowout")</f>
        <v>Blowout</v>
      </c>
    </row>
    <row r="145" spans="1:13" x14ac:dyDescent="0.25">
      <c r="A145" s="169">
        <f t="shared" ref="A145:A208" ca="1" si="20">NORMINV(RAND(), MAX(0, NORMINV(RAND(), $B$6, $B$12)), $B$7/SQRT($B$9))</f>
        <v>11.172174736560956</v>
      </c>
      <c r="B145" s="168">
        <f t="shared" ref="B145:B208" ca="1" si="21">NORMINV(RAND(), $B$8, $B$7/SQRT($B$9))</f>
        <v>0.2500990351254524</v>
      </c>
      <c r="C145" s="168">
        <f t="shared" ref="C145:C208" ca="1" si="22">A145-B145</f>
        <v>10.922075701435503</v>
      </c>
      <c r="D145" s="184">
        <f t="shared" ref="D145:D208" ca="1" si="23">C145/($B$7*SQRT(2/$B$9))</f>
        <v>1.3803456605747899</v>
      </c>
      <c r="E145" s="230">
        <f t="shared" ref="E145:E208" ca="1" si="24">_xlfn.T.DIST.RT(D145, 2*$B$9-2)</f>
        <v>8.4416031958726753E-2</v>
      </c>
      <c r="F145" s="168">
        <f t="shared" ref="F145:F208" ca="1" si="25">NORMINV(RAND(), MAX(0, NORMINV(RAND(), $N$7, $N$8)), $B$7/SQRT($B$9))</f>
        <v>9.6832669758984656E-3</v>
      </c>
      <c r="G145" s="168">
        <f t="shared" ref="G145:G208" ca="1" si="26">F145-B145</f>
        <v>-0.24041576814955393</v>
      </c>
      <c r="H145" s="184">
        <f t="shared" ref="H145:H208" ca="1" si="27">G145/($B$7*SQRT(2/$B$9))</f>
        <v>-3.038404707773406E-2</v>
      </c>
      <c r="I145" s="184">
        <f t="shared" ref="I145:I208" ca="1" si="28">_xlfn.T.DIST.RT(H145, 2*$B$9-2)</f>
        <v>0.51210632632099795</v>
      </c>
      <c r="J145" s="223">
        <f t="shared" ref="J145:J208" ca="1" si="29">IF(AND(I145&lt;$B$10, G145&gt;=$B$11), 1, 0)</f>
        <v>0</v>
      </c>
      <c r="K145" s="220" t="str" cm="1">
        <f t="array" aca="1" ref="K145" ca="1">_xlfn.IFS(G145&lt;$B$11,"Fail",G145&lt;25,"Marginal",G145&lt;35,"Solid",TRUE,"Blowout")</f>
        <v>Fail</v>
      </c>
      <c r="L145" s="226">
        <f ca="1">IF(AND(E145&lt;$B$10,C145&gt;=$B$11),1,0)</f>
        <v>0</v>
      </c>
      <c r="M145" s="217" t="str" cm="1">
        <f t="array" aca="1" ref="M145" ca="1">_xlfn.IFS(C145&lt;$B$11,"Fail",C145&lt;25,"Marginal",C145&lt;35,"Solid",TRUE,"Blowout")</f>
        <v>Fail</v>
      </c>
    </row>
    <row r="146" spans="1:13" x14ac:dyDescent="0.25">
      <c r="A146" s="169">
        <f t="shared" ca="1" si="20"/>
        <v>49.117370189124962</v>
      </c>
      <c r="B146" s="168">
        <f t="shared" ca="1" si="21"/>
        <v>-2.6183153336478258</v>
      </c>
      <c r="C146" s="168">
        <f t="shared" ca="1" si="22"/>
        <v>51.735685522772791</v>
      </c>
      <c r="D146" s="184">
        <f t="shared" ca="1" si="23"/>
        <v>6.5384209888634519</v>
      </c>
      <c r="E146" s="230">
        <f t="shared" ca="1" si="24"/>
        <v>2.0152260970524299E-10</v>
      </c>
      <c r="F146" s="168">
        <f t="shared" ca="1" si="25"/>
        <v>14.800444970645945</v>
      </c>
      <c r="G146" s="168">
        <f t="shared" ca="1" si="26"/>
        <v>17.41876030429377</v>
      </c>
      <c r="H146" s="184">
        <f t="shared" ca="1" si="27"/>
        <v>2.2014048296208193</v>
      </c>
      <c r="I146" s="184">
        <f t="shared" ca="1" si="28"/>
        <v>1.4355056617776103E-2</v>
      </c>
      <c r="J146" s="223">
        <f t="shared" ca="1" si="29"/>
        <v>0</v>
      </c>
      <c r="K146" s="220" t="str" cm="1">
        <f t="array" aca="1" ref="K146" ca="1">_xlfn.IFS(G146&lt;$B$11,"Fail",G146&lt;25,"Marginal",G146&lt;35,"Solid",TRUE,"Blowout")</f>
        <v>Fail</v>
      </c>
      <c r="L146" s="226">
        <f ca="1">IF(AND(E146&lt;$B$10,C146&gt;=$B$11),1,0)</f>
        <v>1</v>
      </c>
      <c r="M146" s="217" t="str" cm="1">
        <f t="array" aca="1" ref="M146" ca="1">_xlfn.IFS(C146&lt;$B$11,"Fail",C146&lt;25,"Marginal",C146&lt;35,"Solid",TRUE,"Blowout")</f>
        <v>Blowout</v>
      </c>
    </row>
    <row r="147" spans="1:13" x14ac:dyDescent="0.25">
      <c r="A147" s="169">
        <f t="shared" ca="1" si="20"/>
        <v>15.740416570573078</v>
      </c>
      <c r="B147" s="168">
        <f t="shared" ca="1" si="21"/>
        <v>0.15581612032102843</v>
      </c>
      <c r="C147" s="168">
        <f t="shared" ca="1" si="22"/>
        <v>15.584600450252051</v>
      </c>
      <c r="D147" s="184">
        <f t="shared" ca="1" si="23"/>
        <v>1.9696014009928504</v>
      </c>
      <c r="E147" s="230">
        <f t="shared" ca="1" si="24"/>
        <v>2.5047411793709888E-2</v>
      </c>
      <c r="F147" s="168">
        <f t="shared" ca="1" si="25"/>
        <v>25.617977851458196</v>
      </c>
      <c r="G147" s="168">
        <f t="shared" ca="1" si="26"/>
        <v>25.462161731137169</v>
      </c>
      <c r="H147" s="184">
        <f t="shared" ca="1" si="27"/>
        <v>3.2179400157251528</v>
      </c>
      <c r="I147" s="184">
        <f t="shared" ca="1" si="28"/>
        <v>7.3942970200978049E-4</v>
      </c>
      <c r="J147" s="223">
        <f t="shared" ca="1" si="29"/>
        <v>1</v>
      </c>
      <c r="K147" s="220" t="str" cm="1">
        <f t="array" aca="1" ref="K147" ca="1">_xlfn.IFS(G147&lt;$B$11,"Fail",G147&lt;25,"Marginal",G147&lt;35,"Solid",TRUE,"Blowout")</f>
        <v>Solid</v>
      </c>
      <c r="L147" s="226">
        <f ca="1">IF(AND(E147&lt;$B$10,C147&gt;=$B$11),1,0)</f>
        <v>0</v>
      </c>
      <c r="M147" s="217" t="str" cm="1">
        <f t="array" aca="1" ref="M147" ca="1">_xlfn.IFS(C147&lt;$B$11,"Fail",C147&lt;25,"Marginal",C147&lt;35,"Solid",TRUE,"Blowout")</f>
        <v>Fail</v>
      </c>
    </row>
    <row r="148" spans="1:13" x14ac:dyDescent="0.25">
      <c r="A148" s="169">
        <f t="shared" ca="1" si="20"/>
        <v>41.147645259739939</v>
      </c>
      <c r="B148" s="168">
        <f t="shared" ca="1" si="21"/>
        <v>7.5737173551998982</v>
      </c>
      <c r="C148" s="168">
        <f t="shared" ca="1" si="22"/>
        <v>33.573927904540042</v>
      </c>
      <c r="D148" s="184">
        <f t="shared" ca="1" si="23"/>
        <v>4.2431152244615644</v>
      </c>
      <c r="E148" s="230">
        <f t="shared" ca="1" si="24"/>
        <v>1.603679677449014E-5</v>
      </c>
      <c r="F148" s="168">
        <f t="shared" ca="1" si="25"/>
        <v>-1.1725397362340542</v>
      </c>
      <c r="G148" s="168">
        <f t="shared" ca="1" si="26"/>
        <v>-8.7462570914339519</v>
      </c>
      <c r="H148" s="184">
        <f t="shared" ca="1" si="27"/>
        <v>-1.1053629687666042</v>
      </c>
      <c r="I148" s="184">
        <f t="shared" ca="1" si="28"/>
        <v>0.86491630926834362</v>
      </c>
      <c r="J148" s="223">
        <f t="shared" ca="1" si="29"/>
        <v>0</v>
      </c>
      <c r="K148" s="220" t="str" cm="1">
        <f t="array" aca="1" ref="K148" ca="1">_xlfn.IFS(G148&lt;$B$11,"Fail",G148&lt;25,"Marginal",G148&lt;35,"Solid",TRUE,"Blowout")</f>
        <v>Fail</v>
      </c>
      <c r="L148" s="226">
        <f ca="1">IF(AND(E148&lt;$B$10,C148&gt;=$B$11),1,0)</f>
        <v>1</v>
      </c>
      <c r="M148" s="217" t="str" cm="1">
        <f t="array" aca="1" ref="M148" ca="1">_xlfn.IFS(C148&lt;$B$11,"Fail",C148&lt;25,"Marginal",C148&lt;35,"Solid",TRUE,"Blowout")</f>
        <v>Solid</v>
      </c>
    </row>
    <row r="149" spans="1:13" x14ac:dyDescent="0.25">
      <c r="A149" s="169">
        <f t="shared" ca="1" si="20"/>
        <v>62.175944214212635</v>
      </c>
      <c r="B149" s="168">
        <f t="shared" ca="1" si="21"/>
        <v>-7.6282654481004553</v>
      </c>
      <c r="C149" s="168">
        <f t="shared" ca="1" si="22"/>
        <v>69.804209662313085</v>
      </c>
      <c r="D149" s="184">
        <f t="shared" ca="1" si="23"/>
        <v>8.8219437889963324</v>
      </c>
      <c r="E149" s="230">
        <f t="shared" ca="1" si="24"/>
        <v>1.4915950102232331E-16</v>
      </c>
      <c r="F149" s="168">
        <f t="shared" ca="1" si="25"/>
        <v>18.119851452109426</v>
      </c>
      <c r="G149" s="168">
        <f t="shared" ca="1" si="26"/>
        <v>25.74811690020988</v>
      </c>
      <c r="H149" s="184">
        <f t="shared" ca="1" si="27"/>
        <v>3.2540793895528375</v>
      </c>
      <c r="I149" s="184">
        <f t="shared" ca="1" si="28"/>
        <v>6.5516792060047119E-4</v>
      </c>
      <c r="J149" s="223">
        <f t="shared" ca="1" si="29"/>
        <v>1</v>
      </c>
      <c r="K149" s="220" t="str" cm="1">
        <f t="array" aca="1" ref="K149" ca="1">_xlfn.IFS(G149&lt;$B$11,"Fail",G149&lt;25,"Marginal",G149&lt;35,"Solid",TRUE,"Blowout")</f>
        <v>Solid</v>
      </c>
      <c r="L149" s="226">
        <f ca="1">IF(AND(E149&lt;$B$10,C149&gt;=$B$11),1,0)</f>
        <v>1</v>
      </c>
      <c r="M149" s="217" t="str" cm="1">
        <f t="array" aca="1" ref="M149" ca="1">_xlfn.IFS(C149&lt;$B$11,"Fail",C149&lt;25,"Marginal",C149&lt;35,"Solid",TRUE,"Blowout")</f>
        <v>Blowout</v>
      </c>
    </row>
    <row r="150" spans="1:13" x14ac:dyDescent="0.25">
      <c r="A150" s="169">
        <f t="shared" ca="1" si="20"/>
        <v>1.046275564929787</v>
      </c>
      <c r="B150" s="168">
        <f t="shared" ca="1" si="21"/>
        <v>7.0012192893400425</v>
      </c>
      <c r="C150" s="168">
        <f t="shared" ca="1" si="22"/>
        <v>-5.9549437244102554</v>
      </c>
      <c r="D150" s="184">
        <f t="shared" ca="1" si="23"/>
        <v>-0.75259327564232359</v>
      </c>
      <c r="E150" s="230">
        <f t="shared" ca="1" si="24"/>
        <v>0.7737646668804723</v>
      </c>
      <c r="F150" s="168">
        <f t="shared" ca="1" si="25"/>
        <v>13.392996531504778</v>
      </c>
      <c r="G150" s="168">
        <f t="shared" ca="1" si="26"/>
        <v>6.3917772421647356</v>
      </c>
      <c r="H150" s="184">
        <f t="shared" ca="1" si="27"/>
        <v>0.80780084489097537</v>
      </c>
      <c r="I150" s="184">
        <f t="shared" ca="1" si="28"/>
        <v>0.21002360724126035</v>
      </c>
      <c r="J150" s="223">
        <f t="shared" ca="1" si="29"/>
        <v>0</v>
      </c>
      <c r="K150" s="220" t="str" cm="1">
        <f t="array" aca="1" ref="K150" ca="1">_xlfn.IFS(G150&lt;$B$11,"Fail",G150&lt;25,"Marginal",G150&lt;35,"Solid",TRUE,"Blowout")</f>
        <v>Fail</v>
      </c>
      <c r="L150" s="226">
        <f ca="1">IF(AND(E150&lt;$B$10,C150&gt;=$B$11),1,0)</f>
        <v>0</v>
      </c>
      <c r="M150" s="217" t="str" cm="1">
        <f t="array" aca="1" ref="M150" ca="1">_xlfn.IFS(C150&lt;$B$11,"Fail",C150&lt;25,"Marginal",C150&lt;35,"Solid",TRUE,"Blowout")</f>
        <v>Fail</v>
      </c>
    </row>
    <row r="151" spans="1:13" x14ac:dyDescent="0.25">
      <c r="A151" s="169">
        <f t="shared" ca="1" si="20"/>
        <v>6.5029509983572167</v>
      </c>
      <c r="B151" s="168">
        <f t="shared" ca="1" si="21"/>
        <v>11.053585977179306</v>
      </c>
      <c r="C151" s="168">
        <f t="shared" ca="1" si="22"/>
        <v>-4.5506349788220897</v>
      </c>
      <c r="D151" s="184">
        <f t="shared" ca="1" si="23"/>
        <v>-0.57511497059586791</v>
      </c>
      <c r="E151" s="230">
        <f t="shared" ca="1" si="24"/>
        <v>0.7171096792577073</v>
      </c>
      <c r="F151" s="168">
        <f t="shared" ca="1" si="25"/>
        <v>26.320115325437207</v>
      </c>
      <c r="G151" s="168">
        <f t="shared" ca="1" si="26"/>
        <v>15.266529348257901</v>
      </c>
      <c r="H151" s="184">
        <f t="shared" ca="1" si="27"/>
        <v>1.9294031751799527</v>
      </c>
      <c r="I151" s="184">
        <f t="shared" ca="1" si="28"/>
        <v>2.7460945500358894E-2</v>
      </c>
      <c r="J151" s="223">
        <f t="shared" ca="1" si="29"/>
        <v>0</v>
      </c>
      <c r="K151" s="220" t="str" cm="1">
        <f t="array" aca="1" ref="K151" ca="1">_xlfn.IFS(G151&lt;$B$11,"Fail",G151&lt;25,"Marginal",G151&lt;35,"Solid",TRUE,"Blowout")</f>
        <v>Fail</v>
      </c>
      <c r="L151" s="226">
        <f ca="1">IF(AND(E151&lt;$B$10,C151&gt;=$B$11),1,0)</f>
        <v>0</v>
      </c>
      <c r="M151" s="217" t="str" cm="1">
        <f t="array" aca="1" ref="M151" ca="1">_xlfn.IFS(C151&lt;$B$11,"Fail",C151&lt;25,"Marginal",C151&lt;35,"Solid",TRUE,"Blowout")</f>
        <v>Fail</v>
      </c>
    </row>
    <row r="152" spans="1:13" x14ac:dyDescent="0.25">
      <c r="A152" s="169">
        <f t="shared" ca="1" si="20"/>
        <v>20.285484590532835</v>
      </c>
      <c r="B152" s="168">
        <f t="shared" ca="1" si="21"/>
        <v>7.6103233771691361</v>
      </c>
      <c r="C152" s="168">
        <f t="shared" ca="1" si="22"/>
        <v>12.675161213363699</v>
      </c>
      <c r="D152" s="184">
        <f t="shared" ca="1" si="23"/>
        <v>1.6019028119035044</v>
      </c>
      <c r="E152" s="230">
        <f t="shared" ca="1" si="24"/>
        <v>5.5280814583035423E-2</v>
      </c>
      <c r="F152" s="168">
        <f t="shared" ca="1" si="25"/>
        <v>39.409513051469915</v>
      </c>
      <c r="G152" s="168">
        <f t="shared" ca="1" si="26"/>
        <v>31.799189674300777</v>
      </c>
      <c r="H152" s="184">
        <f t="shared" ca="1" si="27"/>
        <v>4.0188215753665499</v>
      </c>
      <c r="I152" s="184">
        <f t="shared" ca="1" si="28"/>
        <v>3.974148514551668E-5</v>
      </c>
      <c r="J152" s="223">
        <f t="shared" ca="1" si="29"/>
        <v>1</v>
      </c>
      <c r="K152" s="220" t="str" cm="1">
        <f t="array" aca="1" ref="K152" ca="1">_xlfn.IFS(G152&lt;$B$11,"Fail",G152&lt;25,"Marginal",G152&lt;35,"Solid",TRUE,"Blowout")</f>
        <v>Solid</v>
      </c>
      <c r="L152" s="226">
        <f ca="1">IF(AND(E152&lt;$B$10,C152&gt;=$B$11),1,0)</f>
        <v>0</v>
      </c>
      <c r="M152" s="217" t="str" cm="1">
        <f t="array" aca="1" ref="M152" ca="1">_xlfn.IFS(C152&lt;$B$11,"Fail",C152&lt;25,"Marginal",C152&lt;35,"Solid",TRUE,"Blowout")</f>
        <v>Fail</v>
      </c>
    </row>
    <row r="153" spans="1:13" x14ac:dyDescent="0.25">
      <c r="A153" s="169">
        <f t="shared" ca="1" si="20"/>
        <v>16.480103816041094</v>
      </c>
      <c r="B153" s="168">
        <f t="shared" ca="1" si="21"/>
        <v>2.5414897372742393</v>
      </c>
      <c r="C153" s="168">
        <f t="shared" ca="1" si="22"/>
        <v>13.938614078766854</v>
      </c>
      <c r="D153" s="184">
        <f t="shared" ca="1" si="23"/>
        <v>1.7615795736998736</v>
      </c>
      <c r="E153" s="230">
        <f t="shared" ca="1" si="24"/>
        <v>3.9740308928671884E-2</v>
      </c>
      <c r="F153" s="168">
        <f t="shared" ca="1" si="25"/>
        <v>6.3973772619181606</v>
      </c>
      <c r="G153" s="168">
        <f t="shared" ca="1" si="26"/>
        <v>3.8558875246439213</v>
      </c>
      <c r="H153" s="184">
        <f t="shared" ca="1" si="27"/>
        <v>0.4873119137607852</v>
      </c>
      <c r="I153" s="184">
        <f t="shared" ca="1" si="28"/>
        <v>0.31325275171688494</v>
      </c>
      <c r="J153" s="223">
        <f t="shared" ca="1" si="29"/>
        <v>0</v>
      </c>
      <c r="K153" s="220" t="str" cm="1">
        <f t="array" aca="1" ref="K153" ca="1">_xlfn.IFS(G153&lt;$B$11,"Fail",G153&lt;25,"Marginal",G153&lt;35,"Solid",TRUE,"Blowout")</f>
        <v>Fail</v>
      </c>
      <c r="L153" s="226">
        <f ca="1">IF(AND(E153&lt;$B$10,C153&gt;=$B$11),1,0)</f>
        <v>0</v>
      </c>
      <c r="M153" s="217" t="str" cm="1">
        <f t="array" aca="1" ref="M153" ca="1">_xlfn.IFS(C153&lt;$B$11,"Fail",C153&lt;25,"Marginal",C153&lt;35,"Solid",TRUE,"Blowout")</f>
        <v>Fail</v>
      </c>
    </row>
    <row r="154" spans="1:13" x14ac:dyDescent="0.25">
      <c r="A154" s="169">
        <f t="shared" ca="1" si="20"/>
        <v>22.791220757388423</v>
      </c>
      <c r="B154" s="168">
        <f t="shared" ca="1" si="21"/>
        <v>5.5649321020510083</v>
      </c>
      <c r="C154" s="168">
        <f t="shared" ca="1" si="22"/>
        <v>17.226288655337413</v>
      </c>
      <c r="D154" s="184">
        <f t="shared" ca="1" si="23"/>
        <v>2.1770800206116983</v>
      </c>
      <c r="E154" s="230">
        <f t="shared" ca="1" si="24"/>
        <v>1.5250532347529827E-2</v>
      </c>
      <c r="F154" s="168">
        <f t="shared" ca="1" si="25"/>
        <v>10.688564296087108</v>
      </c>
      <c r="G154" s="168">
        <f t="shared" ca="1" si="26"/>
        <v>5.1236321940360998</v>
      </c>
      <c r="H154" s="184">
        <f t="shared" ca="1" si="27"/>
        <v>0.64753107914180519</v>
      </c>
      <c r="I154" s="184">
        <f t="shared" ca="1" si="28"/>
        <v>0.25896987311360908</v>
      </c>
      <c r="J154" s="223">
        <f t="shared" ca="1" si="29"/>
        <v>0</v>
      </c>
      <c r="K154" s="220" t="str" cm="1">
        <f t="array" aca="1" ref="K154" ca="1">_xlfn.IFS(G154&lt;$B$11,"Fail",G154&lt;25,"Marginal",G154&lt;35,"Solid",TRUE,"Blowout")</f>
        <v>Fail</v>
      </c>
      <c r="L154" s="226">
        <f ca="1">IF(AND(E154&lt;$B$10,C154&gt;=$B$11),1,0)</f>
        <v>0</v>
      </c>
      <c r="M154" s="217" t="str" cm="1">
        <f t="array" aca="1" ref="M154" ca="1">_xlfn.IFS(C154&lt;$B$11,"Fail",C154&lt;25,"Marginal",C154&lt;35,"Solid",TRUE,"Blowout")</f>
        <v>Fail</v>
      </c>
    </row>
    <row r="155" spans="1:13" x14ac:dyDescent="0.25">
      <c r="A155" s="169">
        <f t="shared" ca="1" si="20"/>
        <v>40.515380492954606</v>
      </c>
      <c r="B155" s="168">
        <f t="shared" ca="1" si="21"/>
        <v>9.3498520945907373</v>
      </c>
      <c r="C155" s="168">
        <f t="shared" ca="1" si="22"/>
        <v>31.165528398363868</v>
      </c>
      <c r="D155" s="184">
        <f t="shared" ca="1" si="23"/>
        <v>3.9387386665474109</v>
      </c>
      <c r="E155" s="230">
        <f t="shared" ca="1" si="24"/>
        <v>5.4444943504611112E-5</v>
      </c>
      <c r="F155" s="168">
        <f t="shared" ca="1" si="25"/>
        <v>44.903099357923686</v>
      </c>
      <c r="G155" s="168">
        <f t="shared" ca="1" si="26"/>
        <v>35.553247263332949</v>
      </c>
      <c r="H155" s="184">
        <f t="shared" ca="1" si="27"/>
        <v>4.4932640938236741</v>
      </c>
      <c r="I155" s="184">
        <f t="shared" ca="1" si="28"/>
        <v>5.5766838947838643E-6</v>
      </c>
      <c r="J155" s="223">
        <f t="shared" ca="1" si="29"/>
        <v>1</v>
      </c>
      <c r="K155" s="220" t="str" cm="1">
        <f t="array" aca="1" ref="K155" ca="1">_xlfn.IFS(G155&lt;$B$11,"Fail",G155&lt;25,"Marginal",G155&lt;35,"Solid",TRUE,"Blowout")</f>
        <v>Blowout</v>
      </c>
      <c r="L155" s="226">
        <f ca="1">IF(AND(E155&lt;$B$10,C155&gt;=$B$11),1,0)</f>
        <v>1</v>
      </c>
      <c r="M155" s="217" t="str" cm="1">
        <f t="array" aca="1" ref="M155" ca="1">_xlfn.IFS(C155&lt;$B$11,"Fail",C155&lt;25,"Marginal",C155&lt;35,"Solid",TRUE,"Blowout")</f>
        <v>Solid</v>
      </c>
    </row>
    <row r="156" spans="1:13" x14ac:dyDescent="0.25">
      <c r="A156" s="169">
        <f t="shared" ca="1" si="20"/>
        <v>19.446013644000551</v>
      </c>
      <c r="B156" s="168">
        <f t="shared" ca="1" si="21"/>
        <v>4.5150506160837836</v>
      </c>
      <c r="C156" s="168">
        <f t="shared" ca="1" si="22"/>
        <v>14.930963027916768</v>
      </c>
      <c r="D156" s="184">
        <f t="shared" ca="1" si="23"/>
        <v>1.886993881673861</v>
      </c>
      <c r="E156" s="230">
        <f t="shared" ca="1" si="24"/>
        <v>3.0215840751123386E-2</v>
      </c>
      <c r="F156" s="168">
        <f t="shared" ca="1" si="25"/>
        <v>6.0970125733881062</v>
      </c>
      <c r="G156" s="168">
        <f t="shared" ca="1" si="26"/>
        <v>1.5819619573043227</v>
      </c>
      <c r="H156" s="184">
        <f t="shared" ca="1" si="27"/>
        <v>0.19993034132444462</v>
      </c>
      <c r="I156" s="184">
        <f t="shared" ca="1" si="28"/>
        <v>0.42085663267201862</v>
      </c>
      <c r="J156" s="223">
        <f t="shared" ca="1" si="29"/>
        <v>0</v>
      </c>
      <c r="K156" s="220" t="str" cm="1">
        <f t="array" aca="1" ref="K156" ca="1">_xlfn.IFS(G156&lt;$B$11,"Fail",G156&lt;25,"Marginal",G156&lt;35,"Solid",TRUE,"Blowout")</f>
        <v>Fail</v>
      </c>
      <c r="L156" s="226">
        <f ca="1">IF(AND(E156&lt;$B$10,C156&gt;=$B$11),1,0)</f>
        <v>0</v>
      </c>
      <c r="M156" s="217" t="str" cm="1">
        <f t="array" aca="1" ref="M156" ca="1">_xlfn.IFS(C156&lt;$B$11,"Fail",C156&lt;25,"Marginal",C156&lt;35,"Solid",TRUE,"Blowout")</f>
        <v>Fail</v>
      </c>
    </row>
    <row r="157" spans="1:13" x14ac:dyDescent="0.25">
      <c r="A157" s="169">
        <f t="shared" ca="1" si="20"/>
        <v>46.633285112918294</v>
      </c>
      <c r="B157" s="168">
        <f t="shared" ca="1" si="21"/>
        <v>-0.77641799725725491</v>
      </c>
      <c r="C157" s="168">
        <f t="shared" ca="1" si="22"/>
        <v>47.409703110175549</v>
      </c>
      <c r="D157" s="184">
        <f t="shared" ca="1" si="23"/>
        <v>5.9916978920654103</v>
      </c>
      <c r="E157" s="230">
        <f t="shared" ca="1" si="24"/>
        <v>4.0157829401910984E-9</v>
      </c>
      <c r="F157" s="168">
        <f t="shared" ca="1" si="25"/>
        <v>34.414683453271948</v>
      </c>
      <c r="G157" s="168">
        <f t="shared" ca="1" si="26"/>
        <v>35.191101450529203</v>
      </c>
      <c r="H157" s="184">
        <f t="shared" ca="1" si="27"/>
        <v>4.4474956506390804</v>
      </c>
      <c r="I157" s="184">
        <f t="shared" ca="1" si="28"/>
        <v>6.7889216456801064E-6</v>
      </c>
      <c r="J157" s="223">
        <f t="shared" ca="1" si="29"/>
        <v>1</v>
      </c>
      <c r="K157" s="220" t="str" cm="1">
        <f t="array" aca="1" ref="K157" ca="1">_xlfn.IFS(G157&lt;$B$11,"Fail",G157&lt;25,"Marginal",G157&lt;35,"Solid",TRUE,"Blowout")</f>
        <v>Blowout</v>
      </c>
      <c r="L157" s="226">
        <f ca="1">IF(AND(E157&lt;$B$10,C157&gt;=$B$11),1,0)</f>
        <v>1</v>
      </c>
      <c r="M157" s="217" t="str" cm="1">
        <f t="array" aca="1" ref="M157" ca="1">_xlfn.IFS(C157&lt;$B$11,"Fail",C157&lt;25,"Marginal",C157&lt;35,"Solid",TRUE,"Blowout")</f>
        <v>Blowout</v>
      </c>
    </row>
    <row r="158" spans="1:13" x14ac:dyDescent="0.25">
      <c r="A158" s="169">
        <f t="shared" ca="1" si="20"/>
        <v>18.730874145419087</v>
      </c>
      <c r="B158" s="168">
        <f t="shared" ca="1" si="21"/>
        <v>1.9053133969370566</v>
      </c>
      <c r="C158" s="168">
        <f t="shared" ca="1" si="22"/>
        <v>16.82556074848203</v>
      </c>
      <c r="D158" s="184">
        <f t="shared" ca="1" si="23"/>
        <v>2.1264355238677002</v>
      </c>
      <c r="E158" s="230">
        <f t="shared" ca="1" si="24"/>
        <v>1.7270908696921539E-2</v>
      </c>
      <c r="F158" s="168">
        <f t="shared" ca="1" si="25"/>
        <v>39.50011709242726</v>
      </c>
      <c r="G158" s="168">
        <f t="shared" ca="1" si="26"/>
        <v>37.594803695490207</v>
      </c>
      <c r="H158" s="184">
        <f t="shared" ca="1" si="27"/>
        <v>4.7512785627745204</v>
      </c>
      <c r="I158" s="184">
        <f t="shared" ca="1" si="28"/>
        <v>1.7886416230697881E-6</v>
      </c>
      <c r="J158" s="223">
        <f t="shared" ca="1" si="29"/>
        <v>1</v>
      </c>
      <c r="K158" s="220" t="str" cm="1">
        <f t="array" aca="1" ref="K158" ca="1">_xlfn.IFS(G158&lt;$B$11,"Fail",G158&lt;25,"Marginal",G158&lt;35,"Solid",TRUE,"Blowout")</f>
        <v>Blowout</v>
      </c>
      <c r="L158" s="226">
        <f ca="1">IF(AND(E158&lt;$B$10,C158&gt;=$B$11),1,0)</f>
        <v>0</v>
      </c>
      <c r="M158" s="217" t="str" cm="1">
        <f t="array" aca="1" ref="M158" ca="1">_xlfn.IFS(C158&lt;$B$11,"Fail",C158&lt;25,"Marginal",C158&lt;35,"Solid",TRUE,"Blowout")</f>
        <v>Fail</v>
      </c>
    </row>
    <row r="159" spans="1:13" x14ac:dyDescent="0.25">
      <c r="A159" s="169">
        <f t="shared" ca="1" si="20"/>
        <v>7.6747284203214567</v>
      </c>
      <c r="B159" s="168">
        <f t="shared" ca="1" si="21"/>
        <v>5.2804989415424171</v>
      </c>
      <c r="C159" s="168">
        <f t="shared" ca="1" si="22"/>
        <v>2.3942294787790397</v>
      </c>
      <c r="D159" s="184">
        <f t="shared" ca="1" si="23"/>
        <v>0.30258573203429873</v>
      </c>
      <c r="E159" s="230">
        <f t="shared" ca="1" si="24"/>
        <v>0.38124072887149468</v>
      </c>
      <c r="F159" s="168">
        <f t="shared" ca="1" si="25"/>
        <v>58.89661850361508</v>
      </c>
      <c r="G159" s="168">
        <f t="shared" ca="1" si="26"/>
        <v>53.616119562072662</v>
      </c>
      <c r="H159" s="184">
        <f t="shared" ca="1" si="27"/>
        <v>6.7760726072095467</v>
      </c>
      <c r="I159" s="184">
        <f t="shared" ca="1" si="28"/>
        <v>5.2085383169638777E-11</v>
      </c>
      <c r="J159" s="223">
        <f t="shared" ca="1" si="29"/>
        <v>1</v>
      </c>
      <c r="K159" s="220" t="str" cm="1">
        <f t="array" aca="1" ref="K159" ca="1">_xlfn.IFS(G159&lt;$B$11,"Fail",G159&lt;25,"Marginal",G159&lt;35,"Solid",TRUE,"Blowout")</f>
        <v>Blowout</v>
      </c>
      <c r="L159" s="226">
        <f ca="1">IF(AND(E159&lt;$B$10,C159&gt;=$B$11),1,0)</f>
        <v>0</v>
      </c>
      <c r="M159" s="217" t="str" cm="1">
        <f t="array" aca="1" ref="M159" ca="1">_xlfn.IFS(C159&lt;$B$11,"Fail",C159&lt;25,"Marginal",C159&lt;35,"Solid",TRUE,"Blowout")</f>
        <v>Fail</v>
      </c>
    </row>
    <row r="160" spans="1:13" x14ac:dyDescent="0.25">
      <c r="A160" s="169">
        <f t="shared" ca="1" si="20"/>
        <v>29.192385719810758</v>
      </c>
      <c r="B160" s="168">
        <f t="shared" ca="1" si="21"/>
        <v>9.1879855901020484</v>
      </c>
      <c r="C160" s="168">
        <f t="shared" ca="1" si="22"/>
        <v>20.00440012970871</v>
      </c>
      <c r="D160" s="184">
        <f t="shared" ca="1" si="23"/>
        <v>2.5281812419424976</v>
      </c>
      <c r="E160" s="230">
        <f t="shared" ca="1" si="24"/>
        <v>6.0711496975838471E-3</v>
      </c>
      <c r="F160" s="168">
        <f t="shared" ca="1" si="25"/>
        <v>30.96627659533705</v>
      </c>
      <c r="G160" s="168">
        <f t="shared" ca="1" si="26"/>
        <v>21.778291005235001</v>
      </c>
      <c r="H160" s="184">
        <f t="shared" ca="1" si="27"/>
        <v>2.752367801283421</v>
      </c>
      <c r="I160" s="184">
        <f t="shared" ca="1" si="28"/>
        <v>3.1963857848486582E-3</v>
      </c>
      <c r="J160" s="223">
        <f t="shared" ca="1" si="29"/>
        <v>1</v>
      </c>
      <c r="K160" s="220" t="str" cm="1">
        <f t="array" aca="1" ref="K160" ca="1">_xlfn.IFS(G160&lt;$B$11,"Fail",G160&lt;25,"Marginal",G160&lt;35,"Solid",TRUE,"Blowout")</f>
        <v>Marginal</v>
      </c>
      <c r="L160" s="226">
        <f ca="1">IF(AND(E160&lt;$B$10,C160&gt;=$B$11),1,0)</f>
        <v>1</v>
      </c>
      <c r="M160" s="217" t="str" cm="1">
        <f t="array" aca="1" ref="M160" ca="1">_xlfn.IFS(C160&lt;$B$11,"Fail",C160&lt;25,"Marginal",C160&lt;35,"Solid",TRUE,"Blowout")</f>
        <v>Marginal</v>
      </c>
    </row>
    <row r="161" spans="1:13" x14ac:dyDescent="0.25">
      <c r="A161" s="169">
        <f t="shared" ca="1" si="20"/>
        <v>48.101970680910206</v>
      </c>
      <c r="B161" s="168">
        <f t="shared" ca="1" si="21"/>
        <v>10.688447032557887</v>
      </c>
      <c r="C161" s="168">
        <f t="shared" ca="1" si="22"/>
        <v>37.413523648352317</v>
      </c>
      <c r="D161" s="184">
        <f t="shared" ca="1" si="23"/>
        <v>4.7283681624755465</v>
      </c>
      <c r="E161" s="230">
        <f t="shared" ca="1" si="24"/>
        <v>1.9824877967747978E-6</v>
      </c>
      <c r="F161" s="168">
        <f t="shared" ca="1" si="25"/>
        <v>38.154380249543124</v>
      </c>
      <c r="G161" s="168">
        <f t="shared" ca="1" si="26"/>
        <v>27.465933216985235</v>
      </c>
      <c r="H161" s="184">
        <f t="shared" ca="1" si="27"/>
        <v>3.4711791756506196</v>
      </c>
      <c r="I161" s="184">
        <f t="shared" ca="1" si="28"/>
        <v>3.098438539854863E-4</v>
      </c>
      <c r="J161" s="223">
        <f t="shared" ca="1" si="29"/>
        <v>1</v>
      </c>
      <c r="K161" s="220" t="str" cm="1">
        <f t="array" aca="1" ref="K161" ca="1">_xlfn.IFS(G161&lt;$B$11,"Fail",G161&lt;25,"Marginal",G161&lt;35,"Solid",TRUE,"Blowout")</f>
        <v>Solid</v>
      </c>
      <c r="L161" s="226">
        <f ca="1">IF(AND(E161&lt;$B$10,C161&gt;=$B$11),1,0)</f>
        <v>1</v>
      </c>
      <c r="M161" s="217" t="str" cm="1">
        <f t="array" aca="1" ref="M161" ca="1">_xlfn.IFS(C161&lt;$B$11,"Fail",C161&lt;25,"Marginal",C161&lt;35,"Solid",TRUE,"Blowout")</f>
        <v>Blowout</v>
      </c>
    </row>
    <row r="162" spans="1:13" x14ac:dyDescent="0.25">
      <c r="A162" s="169">
        <f t="shared" ca="1" si="20"/>
        <v>9.9469547798753553</v>
      </c>
      <c r="B162" s="168">
        <f t="shared" ca="1" si="21"/>
        <v>10.988762878749224</v>
      </c>
      <c r="C162" s="168">
        <f t="shared" ca="1" si="22"/>
        <v>-1.0418080988738687</v>
      </c>
      <c r="D162" s="184">
        <f t="shared" ca="1" si="23"/>
        <v>-0.13166501750607815</v>
      </c>
      <c r="E162" s="230">
        <f t="shared" ca="1" si="24"/>
        <v>0.55231731624669389</v>
      </c>
      <c r="F162" s="168">
        <f t="shared" ca="1" si="25"/>
        <v>17.72271865415879</v>
      </c>
      <c r="G162" s="168">
        <f t="shared" ca="1" si="26"/>
        <v>6.7339557754095658</v>
      </c>
      <c r="H162" s="184">
        <f t="shared" ca="1" si="27"/>
        <v>0.8510457981780386</v>
      </c>
      <c r="I162" s="184">
        <f t="shared" ca="1" si="28"/>
        <v>0.19781841198354283</v>
      </c>
      <c r="J162" s="223">
        <f t="shared" ca="1" si="29"/>
        <v>0</v>
      </c>
      <c r="K162" s="220" t="str" cm="1">
        <f t="array" aca="1" ref="K162" ca="1">_xlfn.IFS(G162&lt;$B$11,"Fail",G162&lt;25,"Marginal",G162&lt;35,"Solid",TRUE,"Blowout")</f>
        <v>Fail</v>
      </c>
      <c r="L162" s="226">
        <f ca="1">IF(AND(E162&lt;$B$10,C162&gt;=$B$11),1,0)</f>
        <v>0</v>
      </c>
      <c r="M162" s="217" t="str" cm="1">
        <f t="array" aca="1" ref="M162" ca="1">_xlfn.IFS(C162&lt;$B$11,"Fail",C162&lt;25,"Marginal",C162&lt;35,"Solid",TRUE,"Blowout")</f>
        <v>Fail</v>
      </c>
    </row>
    <row r="163" spans="1:13" x14ac:dyDescent="0.25">
      <c r="A163" s="169">
        <f t="shared" ca="1" si="20"/>
        <v>22.468094182743155</v>
      </c>
      <c r="B163" s="168">
        <f t="shared" ca="1" si="21"/>
        <v>6.8610453659938546</v>
      </c>
      <c r="C163" s="168">
        <f t="shared" ca="1" si="22"/>
        <v>15.6070488167493</v>
      </c>
      <c r="D163" s="184">
        <f t="shared" ca="1" si="23"/>
        <v>1.972438453777368</v>
      </c>
      <c r="E163" s="230">
        <f t="shared" ca="1" si="24"/>
        <v>2.4884054026078694E-2</v>
      </c>
      <c r="F163" s="168">
        <f t="shared" ca="1" si="25"/>
        <v>38.554119767842245</v>
      </c>
      <c r="G163" s="168">
        <f t="shared" ca="1" si="26"/>
        <v>31.693074401848392</v>
      </c>
      <c r="H163" s="184">
        <f t="shared" ca="1" si="27"/>
        <v>4.0054105938045828</v>
      </c>
      <c r="I163" s="184">
        <f t="shared" ca="1" si="28"/>
        <v>4.1907008639974902E-5</v>
      </c>
      <c r="J163" s="223">
        <f t="shared" ca="1" si="29"/>
        <v>1</v>
      </c>
      <c r="K163" s="220" t="str" cm="1">
        <f t="array" aca="1" ref="K163" ca="1">_xlfn.IFS(G163&lt;$B$11,"Fail",G163&lt;25,"Marginal",G163&lt;35,"Solid",TRUE,"Blowout")</f>
        <v>Solid</v>
      </c>
      <c r="L163" s="226">
        <f ca="1">IF(AND(E163&lt;$B$10,C163&gt;=$B$11),1,0)</f>
        <v>0</v>
      </c>
      <c r="M163" s="217" t="str" cm="1">
        <f t="array" aca="1" ref="M163" ca="1">_xlfn.IFS(C163&lt;$B$11,"Fail",C163&lt;25,"Marginal",C163&lt;35,"Solid",TRUE,"Blowout")</f>
        <v>Fail</v>
      </c>
    </row>
    <row r="164" spans="1:13" x14ac:dyDescent="0.25">
      <c r="A164" s="169">
        <f t="shared" ca="1" si="20"/>
        <v>13.253086668688281</v>
      </c>
      <c r="B164" s="168">
        <f t="shared" ca="1" si="21"/>
        <v>3.3626183465941475</v>
      </c>
      <c r="C164" s="168">
        <f t="shared" ca="1" si="22"/>
        <v>9.890468322094133</v>
      </c>
      <c r="D164" s="184">
        <f t="shared" ca="1" si="23"/>
        <v>1.2499698228296225</v>
      </c>
      <c r="E164" s="230">
        <f t="shared" ca="1" si="24"/>
        <v>0.10629602192021975</v>
      </c>
      <c r="F164" s="168">
        <f t="shared" ca="1" si="25"/>
        <v>1.8047427861395859</v>
      </c>
      <c r="G164" s="168">
        <f t="shared" ca="1" si="26"/>
        <v>-1.5578755604545615</v>
      </c>
      <c r="H164" s="184">
        <f t="shared" ca="1" si="27"/>
        <v>-0.1968862722043157</v>
      </c>
      <c r="I164" s="184">
        <f t="shared" ca="1" si="28"/>
        <v>0.57795403485424313</v>
      </c>
      <c r="J164" s="223">
        <f t="shared" ca="1" si="29"/>
        <v>0</v>
      </c>
      <c r="K164" s="220" t="str" cm="1">
        <f t="array" aca="1" ref="K164" ca="1">_xlfn.IFS(G164&lt;$B$11,"Fail",G164&lt;25,"Marginal",G164&lt;35,"Solid",TRUE,"Blowout")</f>
        <v>Fail</v>
      </c>
      <c r="L164" s="226">
        <f ca="1">IF(AND(E164&lt;$B$10,C164&gt;=$B$11),1,0)</f>
        <v>0</v>
      </c>
      <c r="M164" s="217" t="str" cm="1">
        <f t="array" aca="1" ref="M164" ca="1">_xlfn.IFS(C164&lt;$B$11,"Fail",C164&lt;25,"Marginal",C164&lt;35,"Solid",TRUE,"Blowout")</f>
        <v>Fail</v>
      </c>
    </row>
    <row r="165" spans="1:13" x14ac:dyDescent="0.25">
      <c r="A165" s="169">
        <f t="shared" ca="1" si="20"/>
        <v>23.746290304972945</v>
      </c>
      <c r="B165" s="168">
        <f t="shared" ca="1" si="21"/>
        <v>12.663249388084479</v>
      </c>
      <c r="C165" s="168">
        <f t="shared" ca="1" si="22"/>
        <v>11.083040916888466</v>
      </c>
      <c r="D165" s="184">
        <f t="shared" ca="1" si="23"/>
        <v>1.4006886469015356</v>
      </c>
      <c r="E165" s="230">
        <f t="shared" ca="1" si="24"/>
        <v>8.1333342769584233E-2</v>
      </c>
      <c r="F165" s="168">
        <f t="shared" ca="1" si="25"/>
        <v>30.514029127059153</v>
      </c>
      <c r="G165" s="168">
        <f t="shared" ca="1" si="26"/>
        <v>17.850779738974673</v>
      </c>
      <c r="H165" s="184">
        <f t="shared" ca="1" si="27"/>
        <v>2.2560039889974002</v>
      </c>
      <c r="I165" s="184">
        <f t="shared" ca="1" si="28"/>
        <v>1.2509480591360957E-2</v>
      </c>
      <c r="J165" s="223">
        <f t="shared" ca="1" si="29"/>
        <v>0</v>
      </c>
      <c r="K165" s="220" t="str" cm="1">
        <f t="array" aca="1" ref="K165" ca="1">_xlfn.IFS(G165&lt;$B$11,"Fail",G165&lt;25,"Marginal",G165&lt;35,"Solid",TRUE,"Blowout")</f>
        <v>Fail</v>
      </c>
      <c r="L165" s="226">
        <f ca="1">IF(AND(E165&lt;$B$10,C165&gt;=$B$11),1,0)</f>
        <v>0</v>
      </c>
      <c r="M165" s="217" t="str" cm="1">
        <f t="array" aca="1" ref="M165" ca="1">_xlfn.IFS(C165&lt;$B$11,"Fail",C165&lt;25,"Marginal",C165&lt;35,"Solid",TRUE,"Blowout")</f>
        <v>Fail</v>
      </c>
    </row>
    <row r="166" spans="1:13" x14ac:dyDescent="0.25">
      <c r="A166" s="169">
        <f t="shared" ca="1" si="20"/>
        <v>66.943425008825827</v>
      </c>
      <c r="B166" s="168">
        <f t="shared" ca="1" si="21"/>
        <v>3.4935784614819023</v>
      </c>
      <c r="C166" s="168">
        <f t="shared" ca="1" si="22"/>
        <v>63.449846547343924</v>
      </c>
      <c r="D166" s="184">
        <f t="shared" ca="1" si="23"/>
        <v>8.0188713885448895</v>
      </c>
      <c r="E166" s="230">
        <f t="shared" ca="1" si="24"/>
        <v>2.77658213636864E-14</v>
      </c>
      <c r="F166" s="168">
        <f t="shared" ca="1" si="25"/>
        <v>6.3069332149160138</v>
      </c>
      <c r="G166" s="168">
        <f t="shared" ca="1" si="26"/>
        <v>2.8133547534341115</v>
      </c>
      <c r="H166" s="184">
        <f t="shared" ca="1" si="27"/>
        <v>0.35555531125368717</v>
      </c>
      <c r="I166" s="184">
        <f t="shared" ca="1" si="28"/>
        <v>0.36125117172592225</v>
      </c>
      <c r="J166" s="223">
        <f t="shared" ca="1" si="29"/>
        <v>0</v>
      </c>
      <c r="K166" s="220" t="str" cm="1">
        <f t="array" aca="1" ref="K166" ca="1">_xlfn.IFS(G166&lt;$B$11,"Fail",G166&lt;25,"Marginal",G166&lt;35,"Solid",TRUE,"Blowout")</f>
        <v>Fail</v>
      </c>
      <c r="L166" s="226">
        <f ca="1">IF(AND(E166&lt;$B$10,C166&gt;=$B$11),1,0)</f>
        <v>1</v>
      </c>
      <c r="M166" s="217" t="str" cm="1">
        <f t="array" aca="1" ref="M166" ca="1">_xlfn.IFS(C166&lt;$B$11,"Fail",C166&lt;25,"Marginal",C166&lt;35,"Solid",TRUE,"Blowout")</f>
        <v>Blowout</v>
      </c>
    </row>
    <row r="167" spans="1:13" x14ac:dyDescent="0.25">
      <c r="A167" s="169">
        <f t="shared" ca="1" si="20"/>
        <v>32.737604943504302</v>
      </c>
      <c r="B167" s="168">
        <f t="shared" ca="1" si="21"/>
        <v>4.8183161921590818</v>
      </c>
      <c r="C167" s="168">
        <f t="shared" ca="1" si="22"/>
        <v>27.919288751345221</v>
      </c>
      <c r="D167" s="184">
        <f t="shared" ca="1" si="23"/>
        <v>3.5284748181326728</v>
      </c>
      <c r="E167" s="230">
        <f t="shared" ca="1" si="24"/>
        <v>2.5269636060710186E-4</v>
      </c>
      <c r="F167" s="168">
        <f t="shared" ca="1" si="25"/>
        <v>29.87470542828126</v>
      </c>
      <c r="G167" s="168">
        <f t="shared" ca="1" si="26"/>
        <v>25.056389236122179</v>
      </c>
      <c r="H167" s="184">
        <f t="shared" ca="1" si="27"/>
        <v>3.1666579775864747</v>
      </c>
      <c r="I167" s="184">
        <f t="shared" ca="1" si="28"/>
        <v>8.7634138966378636E-4</v>
      </c>
      <c r="J167" s="223">
        <f t="shared" ca="1" si="29"/>
        <v>1</v>
      </c>
      <c r="K167" s="220" t="str" cm="1">
        <f t="array" aca="1" ref="K167" ca="1">_xlfn.IFS(G167&lt;$B$11,"Fail",G167&lt;25,"Marginal",G167&lt;35,"Solid",TRUE,"Blowout")</f>
        <v>Solid</v>
      </c>
      <c r="L167" s="226">
        <f ca="1">IF(AND(E167&lt;$B$10,C167&gt;=$B$11),1,0)</f>
        <v>1</v>
      </c>
      <c r="M167" s="217" t="str" cm="1">
        <f t="array" aca="1" ref="M167" ca="1">_xlfn.IFS(C167&lt;$B$11,"Fail",C167&lt;25,"Marginal",C167&lt;35,"Solid",TRUE,"Blowout")</f>
        <v>Solid</v>
      </c>
    </row>
    <row r="168" spans="1:13" x14ac:dyDescent="0.25">
      <c r="A168" s="169">
        <f t="shared" ca="1" si="20"/>
        <v>8.8891154826917465</v>
      </c>
      <c r="B168" s="168">
        <f t="shared" ca="1" si="21"/>
        <v>0.59986175616353332</v>
      </c>
      <c r="C168" s="168">
        <f t="shared" ca="1" si="22"/>
        <v>8.2892537265282122</v>
      </c>
      <c r="D168" s="184">
        <f t="shared" ca="1" si="23"/>
        <v>1.0476063088733931</v>
      </c>
      <c r="E168" s="230">
        <f t="shared" ca="1" si="24"/>
        <v>0.14796464780512872</v>
      </c>
      <c r="F168" s="168">
        <f t="shared" ca="1" si="25"/>
        <v>39.461384820404881</v>
      </c>
      <c r="G168" s="168">
        <f t="shared" ca="1" si="26"/>
        <v>38.861523064241347</v>
      </c>
      <c r="H168" s="184">
        <f t="shared" ca="1" si="27"/>
        <v>4.9113681493713113</v>
      </c>
      <c r="I168" s="184">
        <f t="shared" ca="1" si="28"/>
        <v>8.6256165958952027E-7</v>
      </c>
      <c r="J168" s="223">
        <f t="shared" ca="1" si="29"/>
        <v>1</v>
      </c>
      <c r="K168" s="220" t="str" cm="1">
        <f t="array" aca="1" ref="K168" ca="1">_xlfn.IFS(G168&lt;$B$11,"Fail",G168&lt;25,"Marginal",G168&lt;35,"Solid",TRUE,"Blowout")</f>
        <v>Blowout</v>
      </c>
      <c r="L168" s="226">
        <f ca="1">IF(AND(E168&lt;$B$10,C168&gt;=$B$11),1,0)</f>
        <v>0</v>
      </c>
      <c r="M168" s="217" t="str" cm="1">
        <f t="array" aca="1" ref="M168" ca="1">_xlfn.IFS(C168&lt;$B$11,"Fail",C168&lt;25,"Marginal",C168&lt;35,"Solid",TRUE,"Blowout")</f>
        <v>Fail</v>
      </c>
    </row>
    <row r="169" spans="1:13" x14ac:dyDescent="0.25">
      <c r="A169" s="169">
        <f t="shared" ca="1" si="20"/>
        <v>17.734473885632561</v>
      </c>
      <c r="B169" s="168">
        <f t="shared" ca="1" si="21"/>
        <v>0.60419376641907352</v>
      </c>
      <c r="C169" s="168">
        <f t="shared" ca="1" si="22"/>
        <v>17.130280119213488</v>
      </c>
      <c r="D169" s="184">
        <f t="shared" ca="1" si="23"/>
        <v>2.1649463410951406</v>
      </c>
      <c r="E169" s="230">
        <f t="shared" ca="1" si="24"/>
        <v>1.5714992486713646E-2</v>
      </c>
      <c r="F169" s="168">
        <f t="shared" ca="1" si="25"/>
        <v>23.895218645544873</v>
      </c>
      <c r="G169" s="168">
        <f t="shared" ca="1" si="26"/>
        <v>23.2910248791258</v>
      </c>
      <c r="H169" s="184">
        <f t="shared" ca="1" si="27"/>
        <v>2.9435490103786131</v>
      </c>
      <c r="I169" s="184">
        <f t="shared" ca="1" si="28"/>
        <v>1.7901065412441867E-3</v>
      </c>
      <c r="J169" s="223">
        <f t="shared" ca="1" si="29"/>
        <v>1</v>
      </c>
      <c r="K169" s="220" t="str" cm="1">
        <f t="array" aca="1" ref="K169" ca="1">_xlfn.IFS(G169&lt;$B$11,"Fail",G169&lt;25,"Marginal",G169&lt;35,"Solid",TRUE,"Blowout")</f>
        <v>Marginal</v>
      </c>
      <c r="L169" s="226">
        <f ca="1">IF(AND(E169&lt;$B$10,C169&gt;=$B$11),1,0)</f>
        <v>0</v>
      </c>
      <c r="M169" s="217" t="str" cm="1">
        <f t="array" aca="1" ref="M169" ca="1">_xlfn.IFS(C169&lt;$B$11,"Fail",C169&lt;25,"Marginal",C169&lt;35,"Solid",TRUE,"Blowout")</f>
        <v>Fail</v>
      </c>
    </row>
    <row r="170" spans="1:13" x14ac:dyDescent="0.25">
      <c r="A170" s="169">
        <f t="shared" ca="1" si="20"/>
        <v>11.33897376982496</v>
      </c>
      <c r="B170" s="168">
        <f t="shared" ca="1" si="21"/>
        <v>12.654850069306192</v>
      </c>
      <c r="C170" s="168">
        <f t="shared" ca="1" si="22"/>
        <v>-1.3158762994812321</v>
      </c>
      <c r="D170" s="184">
        <f t="shared" ca="1" si="23"/>
        <v>-0.16630210131242767</v>
      </c>
      <c r="E170" s="230">
        <f t="shared" ca="1" si="24"/>
        <v>0.56596670330855359</v>
      </c>
      <c r="F170" s="168">
        <f t="shared" ca="1" si="25"/>
        <v>17.977884206773751</v>
      </c>
      <c r="G170" s="168">
        <f t="shared" ca="1" si="26"/>
        <v>5.3230341374675589</v>
      </c>
      <c r="H170" s="184">
        <f t="shared" ca="1" si="27"/>
        <v>0.67273174748084807</v>
      </c>
      <c r="I170" s="184">
        <f t="shared" ca="1" si="28"/>
        <v>0.25089960147911583</v>
      </c>
      <c r="J170" s="223">
        <f t="shared" ca="1" si="29"/>
        <v>0</v>
      </c>
      <c r="K170" s="220" t="str" cm="1">
        <f t="array" aca="1" ref="K170" ca="1">_xlfn.IFS(G170&lt;$B$11,"Fail",G170&lt;25,"Marginal",G170&lt;35,"Solid",TRUE,"Blowout")</f>
        <v>Fail</v>
      </c>
      <c r="L170" s="226">
        <f ca="1">IF(AND(E170&lt;$B$10,C170&gt;=$B$11),1,0)</f>
        <v>0</v>
      </c>
      <c r="M170" s="217" t="str" cm="1">
        <f t="array" aca="1" ref="M170" ca="1">_xlfn.IFS(C170&lt;$B$11,"Fail",C170&lt;25,"Marginal",C170&lt;35,"Solid",TRUE,"Blowout")</f>
        <v>Fail</v>
      </c>
    </row>
    <row r="171" spans="1:13" x14ac:dyDescent="0.25">
      <c r="A171" s="169">
        <f t="shared" ca="1" si="20"/>
        <v>68.240939855403767</v>
      </c>
      <c r="B171" s="168">
        <f t="shared" ca="1" si="21"/>
        <v>5.3407445271297531</v>
      </c>
      <c r="C171" s="168">
        <f t="shared" ca="1" si="22"/>
        <v>62.900195328274016</v>
      </c>
      <c r="D171" s="184">
        <f t="shared" ca="1" si="23"/>
        <v>7.9494057763469188</v>
      </c>
      <c r="E171" s="230">
        <f t="shared" ca="1" si="24"/>
        <v>4.311152483510406E-14</v>
      </c>
      <c r="F171" s="168">
        <f t="shared" ca="1" si="25"/>
        <v>47.791139631351044</v>
      </c>
      <c r="G171" s="168">
        <f t="shared" ca="1" si="26"/>
        <v>42.450395104221293</v>
      </c>
      <c r="H171" s="184">
        <f t="shared" ca="1" si="27"/>
        <v>5.364934310434764</v>
      </c>
      <c r="I171" s="184">
        <f t="shared" ca="1" si="28"/>
        <v>9.9297682965104885E-8</v>
      </c>
      <c r="J171" s="223">
        <f t="shared" ca="1" si="29"/>
        <v>1</v>
      </c>
      <c r="K171" s="220" t="str" cm="1">
        <f t="array" aca="1" ref="K171" ca="1">_xlfn.IFS(G171&lt;$B$11,"Fail",G171&lt;25,"Marginal",G171&lt;35,"Solid",TRUE,"Blowout")</f>
        <v>Blowout</v>
      </c>
      <c r="L171" s="226">
        <f ca="1">IF(AND(E171&lt;$B$10,C171&gt;=$B$11),1,0)</f>
        <v>1</v>
      </c>
      <c r="M171" s="217" t="str" cm="1">
        <f t="array" aca="1" ref="M171" ca="1">_xlfn.IFS(C171&lt;$B$11,"Fail",C171&lt;25,"Marginal",C171&lt;35,"Solid",TRUE,"Blowout")</f>
        <v>Blowout</v>
      </c>
    </row>
    <row r="172" spans="1:13" x14ac:dyDescent="0.25">
      <c r="A172" s="169">
        <f t="shared" ca="1" si="20"/>
        <v>27.78733957501094</v>
      </c>
      <c r="B172" s="168">
        <f t="shared" ca="1" si="21"/>
        <v>8.4455797353452677</v>
      </c>
      <c r="C172" s="168">
        <f t="shared" ca="1" si="22"/>
        <v>19.34175983966567</v>
      </c>
      <c r="D172" s="184">
        <f t="shared" ca="1" si="23"/>
        <v>2.4444359288823878</v>
      </c>
      <c r="E172" s="230">
        <f t="shared" ca="1" si="24"/>
        <v>7.6333864681273188E-3</v>
      </c>
      <c r="F172" s="168">
        <f t="shared" ca="1" si="25"/>
        <v>5.3324626207403609</v>
      </c>
      <c r="G172" s="168">
        <f t="shared" ca="1" si="26"/>
        <v>-3.1131171146049068</v>
      </c>
      <c r="H172" s="184">
        <f t="shared" ca="1" si="27"/>
        <v>-0.39343965537990278</v>
      </c>
      <c r="I172" s="184">
        <f t="shared" ca="1" si="28"/>
        <v>0.65281877844283864</v>
      </c>
      <c r="J172" s="223">
        <f t="shared" ca="1" si="29"/>
        <v>0</v>
      </c>
      <c r="K172" s="220" t="str" cm="1">
        <f t="array" aca="1" ref="K172" ca="1">_xlfn.IFS(G172&lt;$B$11,"Fail",G172&lt;25,"Marginal",G172&lt;35,"Solid",TRUE,"Blowout")</f>
        <v>Fail</v>
      </c>
      <c r="L172" s="226">
        <f ca="1">IF(AND(E172&lt;$B$10,C172&gt;=$B$11),1,0)</f>
        <v>0</v>
      </c>
      <c r="M172" s="217" t="str" cm="1">
        <f t="array" aca="1" ref="M172" ca="1">_xlfn.IFS(C172&lt;$B$11,"Fail",C172&lt;25,"Marginal",C172&lt;35,"Solid",TRUE,"Blowout")</f>
        <v>Fail</v>
      </c>
    </row>
    <row r="173" spans="1:13" x14ac:dyDescent="0.25">
      <c r="A173" s="169">
        <f t="shared" ca="1" si="20"/>
        <v>62.091725193559888</v>
      </c>
      <c r="B173" s="168">
        <f t="shared" ca="1" si="21"/>
        <v>-3.6158926331224528E-2</v>
      </c>
      <c r="C173" s="168">
        <f t="shared" ca="1" si="22"/>
        <v>62.127884119891114</v>
      </c>
      <c r="D173" s="184">
        <f t="shared" ca="1" si="23"/>
        <v>7.8518001147267107</v>
      </c>
      <c r="E173" s="230">
        <f t="shared" ca="1" si="24"/>
        <v>7.9720264791168674E-14</v>
      </c>
      <c r="F173" s="168">
        <f t="shared" ca="1" si="25"/>
        <v>51.854616436663783</v>
      </c>
      <c r="G173" s="168">
        <f t="shared" ca="1" si="26"/>
        <v>51.890775362995008</v>
      </c>
      <c r="H173" s="184">
        <f t="shared" ca="1" si="27"/>
        <v>6.5580214378808348</v>
      </c>
      <c r="I173" s="184">
        <f t="shared" ca="1" si="28"/>
        <v>1.8045400264881905E-10</v>
      </c>
      <c r="J173" s="223">
        <f t="shared" ca="1" si="29"/>
        <v>1</v>
      </c>
      <c r="K173" s="220" t="str" cm="1">
        <f t="array" aca="1" ref="K173" ca="1">_xlfn.IFS(G173&lt;$B$11,"Fail",G173&lt;25,"Marginal",G173&lt;35,"Solid",TRUE,"Blowout")</f>
        <v>Blowout</v>
      </c>
      <c r="L173" s="226">
        <f ca="1">IF(AND(E173&lt;$B$10,C173&gt;=$B$11),1,0)</f>
        <v>1</v>
      </c>
      <c r="M173" s="217" t="str" cm="1">
        <f t="array" aca="1" ref="M173" ca="1">_xlfn.IFS(C173&lt;$B$11,"Fail",C173&lt;25,"Marginal",C173&lt;35,"Solid",TRUE,"Blowout")</f>
        <v>Blowout</v>
      </c>
    </row>
    <row r="174" spans="1:13" x14ac:dyDescent="0.25">
      <c r="A174" s="169">
        <f t="shared" ca="1" si="20"/>
        <v>27.815880490979744</v>
      </c>
      <c r="B174" s="168">
        <f t="shared" ca="1" si="21"/>
        <v>9.8118371497033472</v>
      </c>
      <c r="C174" s="168">
        <f t="shared" ca="1" si="22"/>
        <v>18.004043341276397</v>
      </c>
      <c r="D174" s="184">
        <f t="shared" ca="1" si="23"/>
        <v>2.2753736357700771</v>
      </c>
      <c r="E174" s="230">
        <f t="shared" ca="1" si="24"/>
        <v>1.1906338823568627E-2</v>
      </c>
      <c r="F174" s="168">
        <f t="shared" ca="1" si="25"/>
        <v>35.683023845854343</v>
      </c>
      <c r="G174" s="168">
        <f t="shared" ca="1" si="26"/>
        <v>25.871186696150996</v>
      </c>
      <c r="H174" s="184">
        <f t="shared" ca="1" si="27"/>
        <v>3.2696331051119429</v>
      </c>
      <c r="I174" s="184">
        <f t="shared" ca="1" si="28"/>
        <v>6.2172476352140586E-4</v>
      </c>
      <c r="J174" s="223">
        <f t="shared" ca="1" si="29"/>
        <v>1</v>
      </c>
      <c r="K174" s="220" t="str" cm="1">
        <f t="array" aca="1" ref="K174" ca="1">_xlfn.IFS(G174&lt;$B$11,"Fail",G174&lt;25,"Marginal",G174&lt;35,"Solid",TRUE,"Blowout")</f>
        <v>Solid</v>
      </c>
      <c r="L174" s="226">
        <f ca="1">IF(AND(E174&lt;$B$10,C174&gt;=$B$11),1,0)</f>
        <v>0</v>
      </c>
      <c r="M174" s="217" t="str" cm="1">
        <f t="array" aca="1" ref="M174" ca="1">_xlfn.IFS(C174&lt;$B$11,"Fail",C174&lt;25,"Marginal",C174&lt;35,"Solid",TRUE,"Blowout")</f>
        <v>Fail</v>
      </c>
    </row>
    <row r="175" spans="1:13" x14ac:dyDescent="0.25">
      <c r="A175" s="169">
        <f t="shared" ca="1" si="20"/>
        <v>19.031800644526506</v>
      </c>
      <c r="B175" s="168">
        <f t="shared" ca="1" si="21"/>
        <v>-2.831471653787152</v>
      </c>
      <c r="C175" s="168">
        <f t="shared" ca="1" si="22"/>
        <v>21.863272298313657</v>
      </c>
      <c r="D175" s="184">
        <f t="shared" ca="1" si="23"/>
        <v>2.7631078439582524</v>
      </c>
      <c r="E175" s="230">
        <f t="shared" ca="1" si="24"/>
        <v>3.096422043747547E-3</v>
      </c>
      <c r="F175" s="168">
        <f t="shared" ca="1" si="25"/>
        <v>-2.8680431678956317</v>
      </c>
      <c r="G175" s="168">
        <f t="shared" ca="1" si="26"/>
        <v>-3.6571514108479697E-2</v>
      </c>
      <c r="H175" s="184">
        <f t="shared" ca="1" si="27"/>
        <v>-4.6219539380829263E-3</v>
      </c>
      <c r="I175" s="184">
        <f t="shared" ca="1" si="28"/>
        <v>0.50184186555959942</v>
      </c>
      <c r="J175" s="223">
        <f t="shared" ca="1" si="29"/>
        <v>0</v>
      </c>
      <c r="K175" s="220" t="str" cm="1">
        <f t="array" aca="1" ref="K175" ca="1">_xlfn.IFS(G175&lt;$B$11,"Fail",G175&lt;25,"Marginal",G175&lt;35,"Solid",TRUE,"Blowout")</f>
        <v>Fail</v>
      </c>
      <c r="L175" s="226">
        <f ca="1">IF(AND(E175&lt;$B$10,C175&gt;=$B$11),1,0)</f>
        <v>1</v>
      </c>
      <c r="M175" s="217" t="str" cm="1">
        <f t="array" aca="1" ref="M175" ca="1">_xlfn.IFS(C175&lt;$B$11,"Fail",C175&lt;25,"Marginal",C175&lt;35,"Solid",TRUE,"Blowout")</f>
        <v>Marginal</v>
      </c>
    </row>
    <row r="176" spans="1:13" x14ac:dyDescent="0.25">
      <c r="A176" s="169">
        <f t="shared" ca="1" si="20"/>
        <v>86.149411884947725</v>
      </c>
      <c r="B176" s="168">
        <f t="shared" ca="1" si="21"/>
        <v>4.5131000996560822</v>
      </c>
      <c r="C176" s="168">
        <f t="shared" ca="1" si="22"/>
        <v>81.636311785291639</v>
      </c>
      <c r="D176" s="184">
        <f t="shared" ca="1" si="23"/>
        <v>10.317299732993737</v>
      </c>
      <c r="E176" s="230">
        <f t="shared" ca="1" si="24"/>
        <v>4.9821493808488677E-21</v>
      </c>
      <c r="F176" s="168">
        <f t="shared" ca="1" si="25"/>
        <v>38.384999006659484</v>
      </c>
      <c r="G176" s="168">
        <f t="shared" ca="1" si="26"/>
        <v>33.871898907003398</v>
      </c>
      <c r="H176" s="184">
        <f t="shared" ca="1" si="27"/>
        <v>4.2807731744218778</v>
      </c>
      <c r="I176" s="184">
        <f t="shared" ca="1" si="28"/>
        <v>1.3719564341522732E-5</v>
      </c>
      <c r="J176" s="223">
        <f t="shared" ca="1" si="29"/>
        <v>1</v>
      </c>
      <c r="K176" s="220" t="str" cm="1">
        <f t="array" aca="1" ref="K176" ca="1">_xlfn.IFS(G176&lt;$B$11,"Fail",G176&lt;25,"Marginal",G176&lt;35,"Solid",TRUE,"Blowout")</f>
        <v>Solid</v>
      </c>
      <c r="L176" s="226">
        <f ca="1">IF(AND(E176&lt;$B$10,C176&gt;=$B$11),1,0)</f>
        <v>1</v>
      </c>
      <c r="M176" s="217" t="str" cm="1">
        <f t="array" aca="1" ref="M176" ca="1">_xlfn.IFS(C176&lt;$B$11,"Fail",C176&lt;25,"Marginal",C176&lt;35,"Solid",TRUE,"Blowout")</f>
        <v>Blowout</v>
      </c>
    </row>
    <row r="177" spans="1:13" x14ac:dyDescent="0.25">
      <c r="A177" s="169">
        <f t="shared" ca="1" si="20"/>
        <v>28.628532394792575</v>
      </c>
      <c r="B177" s="168">
        <f t="shared" ca="1" si="21"/>
        <v>9.1004270043300792</v>
      </c>
      <c r="C177" s="168">
        <f t="shared" ca="1" si="22"/>
        <v>19.528105390462496</v>
      </c>
      <c r="D177" s="184">
        <f t="shared" ca="1" si="23"/>
        <v>2.4679865139031465</v>
      </c>
      <c r="E177" s="230">
        <f t="shared" ca="1" si="24"/>
        <v>7.1615387049585354E-3</v>
      </c>
      <c r="F177" s="168">
        <f t="shared" ca="1" si="25"/>
        <v>29.113304793988569</v>
      </c>
      <c r="G177" s="168">
        <f t="shared" ca="1" si="26"/>
        <v>20.012877789658489</v>
      </c>
      <c r="H177" s="184">
        <f t="shared" ca="1" si="27"/>
        <v>2.5292526592667675</v>
      </c>
      <c r="I177" s="184">
        <f t="shared" ca="1" si="28"/>
        <v>6.0531621230475469E-3</v>
      </c>
      <c r="J177" s="223">
        <f t="shared" ca="1" si="29"/>
        <v>1</v>
      </c>
      <c r="K177" s="220" t="str" cm="1">
        <f t="array" aca="1" ref="K177" ca="1">_xlfn.IFS(G177&lt;$B$11,"Fail",G177&lt;25,"Marginal",G177&lt;35,"Solid",TRUE,"Blowout")</f>
        <v>Marginal</v>
      </c>
      <c r="L177" s="226">
        <f ca="1">IF(AND(E177&lt;$B$10,C177&gt;=$B$11),1,0)</f>
        <v>0</v>
      </c>
      <c r="M177" s="217" t="str" cm="1">
        <f t="array" aca="1" ref="M177" ca="1">_xlfn.IFS(C177&lt;$B$11,"Fail",C177&lt;25,"Marginal",C177&lt;35,"Solid",TRUE,"Blowout")</f>
        <v>Fail</v>
      </c>
    </row>
    <row r="178" spans="1:13" x14ac:dyDescent="0.25">
      <c r="A178" s="169">
        <f t="shared" ca="1" si="20"/>
        <v>29.615194809780853</v>
      </c>
      <c r="B178" s="168">
        <f t="shared" ca="1" si="21"/>
        <v>6.8095570446865112</v>
      </c>
      <c r="C178" s="168">
        <f t="shared" ca="1" si="22"/>
        <v>22.805637765094342</v>
      </c>
      <c r="D178" s="184">
        <f t="shared" ca="1" si="23"/>
        <v>2.8822051765811429</v>
      </c>
      <c r="E178" s="230">
        <f t="shared" ca="1" si="24"/>
        <v>2.1631367152681862E-3</v>
      </c>
      <c r="F178" s="168">
        <f t="shared" ca="1" si="25"/>
        <v>34.614886667726047</v>
      </c>
      <c r="G178" s="168">
        <f t="shared" ca="1" si="26"/>
        <v>27.805329623039537</v>
      </c>
      <c r="H178" s="184">
        <f t="shared" ca="1" si="27"/>
        <v>3.5140725202050946</v>
      </c>
      <c r="I178" s="184">
        <f t="shared" ca="1" si="28"/>
        <v>2.660493741376651E-4</v>
      </c>
      <c r="J178" s="223">
        <f t="shared" ca="1" si="29"/>
        <v>1</v>
      </c>
      <c r="K178" s="220" t="str" cm="1">
        <f t="array" aca="1" ref="K178" ca="1">_xlfn.IFS(G178&lt;$B$11,"Fail",G178&lt;25,"Marginal",G178&lt;35,"Solid",TRUE,"Blowout")</f>
        <v>Solid</v>
      </c>
      <c r="L178" s="226">
        <f ca="1">IF(AND(E178&lt;$B$10,C178&gt;=$B$11),1,0)</f>
        <v>1</v>
      </c>
      <c r="M178" s="217" t="str" cm="1">
        <f t="array" aca="1" ref="M178" ca="1">_xlfn.IFS(C178&lt;$B$11,"Fail",C178&lt;25,"Marginal",C178&lt;35,"Solid",TRUE,"Blowout")</f>
        <v>Marginal</v>
      </c>
    </row>
    <row r="179" spans="1:13" x14ac:dyDescent="0.25">
      <c r="A179" s="169">
        <f t="shared" ca="1" si="20"/>
        <v>61.358303937935204</v>
      </c>
      <c r="B179" s="168">
        <f t="shared" ca="1" si="21"/>
        <v>5.6912335654778898</v>
      </c>
      <c r="C179" s="168">
        <f t="shared" ca="1" si="22"/>
        <v>55.667070372457317</v>
      </c>
      <c r="D179" s="184">
        <f t="shared" ca="1" si="23"/>
        <v>7.0352743494932701</v>
      </c>
      <c r="E179" s="230">
        <f t="shared" ca="1" si="24"/>
        <v>1.1507418900160024E-11</v>
      </c>
      <c r="F179" s="168">
        <f t="shared" ca="1" si="25"/>
        <v>61.047661089234452</v>
      </c>
      <c r="G179" s="168">
        <f t="shared" ca="1" si="26"/>
        <v>55.356427523756565</v>
      </c>
      <c r="H179" s="184">
        <f t="shared" ca="1" si="27"/>
        <v>6.9960149156718847</v>
      </c>
      <c r="I179" s="184">
        <f t="shared" ca="1" si="28"/>
        <v>1.4496641953695813E-11</v>
      </c>
      <c r="J179" s="223">
        <f t="shared" ca="1" si="29"/>
        <v>1</v>
      </c>
      <c r="K179" s="220" t="str" cm="1">
        <f t="array" aca="1" ref="K179" ca="1">_xlfn.IFS(G179&lt;$B$11,"Fail",G179&lt;25,"Marginal",G179&lt;35,"Solid",TRUE,"Blowout")</f>
        <v>Blowout</v>
      </c>
      <c r="L179" s="226">
        <f ca="1">IF(AND(E179&lt;$B$10,C179&gt;=$B$11),1,0)</f>
        <v>1</v>
      </c>
      <c r="M179" s="217" t="str" cm="1">
        <f t="array" aca="1" ref="M179" ca="1">_xlfn.IFS(C179&lt;$B$11,"Fail",C179&lt;25,"Marginal",C179&lt;35,"Solid",TRUE,"Blowout")</f>
        <v>Blowout</v>
      </c>
    </row>
    <row r="180" spans="1:13" x14ac:dyDescent="0.25">
      <c r="A180" s="169">
        <f t="shared" ca="1" si="20"/>
        <v>65.109789943347366</v>
      </c>
      <c r="B180" s="168">
        <f t="shared" ca="1" si="21"/>
        <v>1.5885150110871042</v>
      </c>
      <c r="C180" s="168">
        <f t="shared" ca="1" si="22"/>
        <v>63.521274932260262</v>
      </c>
      <c r="D180" s="184">
        <f t="shared" ca="1" si="23"/>
        <v>8.0278985976447288</v>
      </c>
      <c r="E180" s="230">
        <f t="shared" ca="1" si="24"/>
        <v>2.6218865482700482E-14</v>
      </c>
      <c r="F180" s="168">
        <f t="shared" ca="1" si="25"/>
        <v>2.22369400727748</v>
      </c>
      <c r="G180" s="168">
        <f t="shared" ca="1" si="26"/>
        <v>0.63517899619037577</v>
      </c>
      <c r="H180" s="184">
        <f t="shared" ca="1" si="27"/>
        <v>8.0274720213155237E-2</v>
      </c>
      <c r="I180" s="184">
        <f t="shared" ca="1" si="28"/>
        <v>0.46804459003327648</v>
      </c>
      <c r="J180" s="223">
        <f t="shared" ca="1" si="29"/>
        <v>0</v>
      </c>
      <c r="K180" s="220" t="str" cm="1">
        <f t="array" aca="1" ref="K180" ca="1">_xlfn.IFS(G180&lt;$B$11,"Fail",G180&lt;25,"Marginal",G180&lt;35,"Solid",TRUE,"Blowout")</f>
        <v>Fail</v>
      </c>
      <c r="L180" s="226">
        <f ca="1">IF(AND(E180&lt;$B$10,C180&gt;=$B$11),1,0)</f>
        <v>1</v>
      </c>
      <c r="M180" s="217" t="str" cm="1">
        <f t="array" aca="1" ref="M180" ca="1">_xlfn.IFS(C180&lt;$B$11,"Fail",C180&lt;25,"Marginal",C180&lt;35,"Solid",TRUE,"Blowout")</f>
        <v>Blowout</v>
      </c>
    </row>
    <row r="181" spans="1:13" x14ac:dyDescent="0.25">
      <c r="A181" s="169">
        <f t="shared" ca="1" si="20"/>
        <v>-1.2550233808862161</v>
      </c>
      <c r="B181" s="168">
        <f t="shared" ca="1" si="21"/>
        <v>7.8656163754124186</v>
      </c>
      <c r="C181" s="168">
        <f t="shared" ca="1" si="22"/>
        <v>-9.120639756298635</v>
      </c>
      <c r="D181" s="184">
        <f t="shared" ca="1" si="23"/>
        <v>-1.1526779207012874</v>
      </c>
      <c r="E181" s="230">
        <f t="shared" ca="1" si="24"/>
        <v>0.87487515966464491</v>
      </c>
      <c r="F181" s="168">
        <f t="shared" ca="1" si="25"/>
        <v>-1.7873301223883142</v>
      </c>
      <c r="G181" s="168">
        <f t="shared" ca="1" si="26"/>
        <v>-9.6529464978007322</v>
      </c>
      <c r="H181" s="184">
        <f t="shared" ca="1" si="27"/>
        <v>-1.2199515160152765</v>
      </c>
      <c r="I181" s="184">
        <f t="shared" ca="1" si="28"/>
        <v>0.88812818698953078</v>
      </c>
      <c r="J181" s="223">
        <f t="shared" ca="1" si="29"/>
        <v>0</v>
      </c>
      <c r="K181" s="220" t="str" cm="1">
        <f t="array" aca="1" ref="K181" ca="1">_xlfn.IFS(G181&lt;$B$11,"Fail",G181&lt;25,"Marginal",G181&lt;35,"Solid",TRUE,"Blowout")</f>
        <v>Fail</v>
      </c>
      <c r="L181" s="226">
        <f ca="1">IF(AND(E181&lt;$B$10,C181&gt;=$B$11),1,0)</f>
        <v>0</v>
      </c>
      <c r="M181" s="217" t="str" cm="1">
        <f t="array" aca="1" ref="M181" ca="1">_xlfn.IFS(C181&lt;$B$11,"Fail",C181&lt;25,"Marginal",C181&lt;35,"Solid",TRUE,"Blowout")</f>
        <v>Fail</v>
      </c>
    </row>
    <row r="182" spans="1:13" x14ac:dyDescent="0.25">
      <c r="A182" s="169">
        <f t="shared" ca="1" si="20"/>
        <v>14.233134706385487</v>
      </c>
      <c r="B182" s="168">
        <f t="shared" ca="1" si="21"/>
        <v>16.928770750728887</v>
      </c>
      <c r="C182" s="168">
        <f t="shared" ca="1" si="22"/>
        <v>-2.6956360443434004</v>
      </c>
      <c r="D182" s="184">
        <f t="shared" ca="1" si="23"/>
        <v>-0.34067787277919714</v>
      </c>
      <c r="E182" s="230">
        <f t="shared" ca="1" si="24"/>
        <v>0.63317010159666975</v>
      </c>
      <c r="F182" s="168">
        <f t="shared" ca="1" si="25"/>
        <v>30.600505108686157</v>
      </c>
      <c r="G182" s="168">
        <f t="shared" ca="1" si="26"/>
        <v>13.67173435795727</v>
      </c>
      <c r="H182" s="184">
        <f t="shared" ca="1" si="27"/>
        <v>1.7278509790091681</v>
      </c>
      <c r="I182" s="184">
        <f t="shared" ca="1" si="28"/>
        <v>4.2684489734842936E-2</v>
      </c>
      <c r="J182" s="223">
        <f t="shared" ca="1" si="29"/>
        <v>0</v>
      </c>
      <c r="K182" s="220" t="str" cm="1">
        <f t="array" aca="1" ref="K182" ca="1">_xlfn.IFS(G182&lt;$B$11,"Fail",G182&lt;25,"Marginal",G182&lt;35,"Solid",TRUE,"Blowout")</f>
        <v>Fail</v>
      </c>
      <c r="L182" s="226">
        <f ca="1">IF(AND(E182&lt;$B$10,C182&gt;=$B$11),1,0)</f>
        <v>0</v>
      </c>
      <c r="M182" s="217" t="str" cm="1">
        <f t="array" aca="1" ref="M182" ca="1">_xlfn.IFS(C182&lt;$B$11,"Fail",C182&lt;25,"Marginal",C182&lt;35,"Solid",TRUE,"Blowout")</f>
        <v>Fail</v>
      </c>
    </row>
    <row r="183" spans="1:13" x14ac:dyDescent="0.25">
      <c r="A183" s="169">
        <f t="shared" ca="1" si="20"/>
        <v>-3.8371828435397806</v>
      </c>
      <c r="B183" s="168">
        <f t="shared" ca="1" si="21"/>
        <v>-1.1364597011733899</v>
      </c>
      <c r="C183" s="168">
        <f t="shared" ca="1" si="22"/>
        <v>-2.7007231423663907</v>
      </c>
      <c r="D183" s="184">
        <f t="shared" ca="1" si="23"/>
        <v>-0.34132078662386411</v>
      </c>
      <c r="E183" s="230">
        <f t="shared" ca="1" si="24"/>
        <v>0.63341177694813577</v>
      </c>
      <c r="F183" s="168">
        <f t="shared" ca="1" si="25"/>
        <v>6.1847758991007202</v>
      </c>
      <c r="G183" s="168">
        <f t="shared" ca="1" si="26"/>
        <v>7.3212356002741101</v>
      </c>
      <c r="H183" s="184">
        <f t="shared" ca="1" si="27"/>
        <v>0.92526696089057614</v>
      </c>
      <c r="I183" s="184">
        <f t="shared" ca="1" si="28"/>
        <v>0.17790267022900469</v>
      </c>
      <c r="J183" s="223">
        <f t="shared" ca="1" si="29"/>
        <v>0</v>
      </c>
      <c r="K183" s="220" t="str" cm="1">
        <f t="array" aca="1" ref="K183" ca="1">_xlfn.IFS(G183&lt;$B$11,"Fail",G183&lt;25,"Marginal",G183&lt;35,"Solid",TRUE,"Blowout")</f>
        <v>Fail</v>
      </c>
      <c r="L183" s="226">
        <f ca="1">IF(AND(E183&lt;$B$10,C183&gt;=$B$11),1,0)</f>
        <v>0</v>
      </c>
      <c r="M183" s="217" t="str" cm="1">
        <f t="array" aca="1" ref="M183" ca="1">_xlfn.IFS(C183&lt;$B$11,"Fail",C183&lt;25,"Marginal",C183&lt;35,"Solid",TRUE,"Blowout")</f>
        <v>Fail</v>
      </c>
    </row>
    <row r="184" spans="1:13" x14ac:dyDescent="0.25">
      <c r="A184" s="169">
        <f t="shared" ca="1" si="20"/>
        <v>52.419430675046797</v>
      </c>
      <c r="B184" s="168">
        <f t="shared" ca="1" si="21"/>
        <v>6.9666512693186151</v>
      </c>
      <c r="C184" s="168">
        <f t="shared" ca="1" si="22"/>
        <v>45.45277940572818</v>
      </c>
      <c r="D184" s="184">
        <f t="shared" ca="1" si="23"/>
        <v>5.7443794136598045</v>
      </c>
      <c r="E184" s="230">
        <f t="shared" ca="1" si="24"/>
        <v>1.4665647274226902E-8</v>
      </c>
      <c r="F184" s="168">
        <f t="shared" ca="1" si="25"/>
        <v>34.555462819916009</v>
      </c>
      <c r="G184" s="168">
        <f t="shared" ca="1" si="26"/>
        <v>27.588811550597395</v>
      </c>
      <c r="H184" s="184">
        <f t="shared" ca="1" si="27"/>
        <v>3.4867086939598466</v>
      </c>
      <c r="I184" s="184">
        <f t="shared" ca="1" si="28"/>
        <v>2.932616617178157E-4</v>
      </c>
      <c r="J184" s="223">
        <f t="shared" ca="1" si="29"/>
        <v>1</v>
      </c>
      <c r="K184" s="220" t="str" cm="1">
        <f t="array" aca="1" ref="K184" ca="1">_xlfn.IFS(G184&lt;$B$11,"Fail",G184&lt;25,"Marginal",G184&lt;35,"Solid",TRUE,"Blowout")</f>
        <v>Solid</v>
      </c>
      <c r="L184" s="226">
        <f ca="1">IF(AND(E184&lt;$B$10,C184&gt;=$B$11),1,0)</f>
        <v>1</v>
      </c>
      <c r="M184" s="217" t="str" cm="1">
        <f t="array" aca="1" ref="M184" ca="1">_xlfn.IFS(C184&lt;$B$11,"Fail",C184&lt;25,"Marginal",C184&lt;35,"Solid",TRUE,"Blowout")</f>
        <v>Blowout</v>
      </c>
    </row>
    <row r="185" spans="1:13" x14ac:dyDescent="0.25">
      <c r="A185" s="169">
        <f t="shared" ca="1" si="20"/>
        <v>37.511118319261122</v>
      </c>
      <c r="B185" s="168">
        <f t="shared" ca="1" si="21"/>
        <v>1.5654416707356811</v>
      </c>
      <c r="C185" s="168">
        <f t="shared" ca="1" si="22"/>
        <v>35.945676648525442</v>
      </c>
      <c r="D185" s="184">
        <f t="shared" ca="1" si="23"/>
        <v>4.5428598129653475</v>
      </c>
      <c r="E185" s="230">
        <f t="shared" ca="1" si="24"/>
        <v>4.4984345364466616E-6</v>
      </c>
      <c r="F185" s="168">
        <f t="shared" ca="1" si="25"/>
        <v>26.317889623837804</v>
      </c>
      <c r="G185" s="168">
        <f t="shared" ca="1" si="26"/>
        <v>24.752447953102124</v>
      </c>
      <c r="H185" s="184">
        <f t="shared" ca="1" si="27"/>
        <v>3.1282454960623696</v>
      </c>
      <c r="I185" s="184">
        <f t="shared" ca="1" si="28"/>
        <v>9.9387318780916291E-4</v>
      </c>
      <c r="J185" s="223">
        <f t="shared" ca="1" si="29"/>
        <v>1</v>
      </c>
      <c r="K185" s="220" t="str" cm="1">
        <f t="array" aca="1" ref="K185" ca="1">_xlfn.IFS(G185&lt;$B$11,"Fail",G185&lt;25,"Marginal",G185&lt;35,"Solid",TRUE,"Blowout")</f>
        <v>Marginal</v>
      </c>
      <c r="L185" s="226">
        <f ca="1">IF(AND(E185&lt;$B$10,C185&gt;=$B$11),1,0)</f>
        <v>1</v>
      </c>
      <c r="M185" s="217" t="str" cm="1">
        <f t="array" aca="1" ref="M185" ca="1">_xlfn.IFS(C185&lt;$B$11,"Fail",C185&lt;25,"Marginal",C185&lt;35,"Solid",TRUE,"Blowout")</f>
        <v>Blowout</v>
      </c>
    </row>
    <row r="186" spans="1:13" x14ac:dyDescent="0.25">
      <c r="A186" s="169">
        <f t="shared" ca="1" si="20"/>
        <v>48.712080751624228</v>
      </c>
      <c r="B186" s="168">
        <f t="shared" ca="1" si="21"/>
        <v>7.0402293135259626</v>
      </c>
      <c r="C186" s="168">
        <f t="shared" ca="1" si="22"/>
        <v>41.671851438098265</v>
      </c>
      <c r="D186" s="184">
        <f t="shared" ca="1" si="23"/>
        <v>5.2665409829686611</v>
      </c>
      <c r="E186" s="230">
        <f t="shared" ca="1" si="24"/>
        <v>1.6058600155423625E-7</v>
      </c>
      <c r="F186" s="168">
        <f t="shared" ca="1" si="25"/>
        <v>51.82823054568037</v>
      </c>
      <c r="G186" s="168">
        <f t="shared" ca="1" si="26"/>
        <v>44.788001232154407</v>
      </c>
      <c r="H186" s="184">
        <f t="shared" ca="1" si="27"/>
        <v>5.6603639121909044</v>
      </c>
      <c r="I186" s="184">
        <f t="shared" ca="1" si="28"/>
        <v>2.2576349935341812E-8</v>
      </c>
      <c r="J186" s="223">
        <f t="shared" ca="1" si="29"/>
        <v>1</v>
      </c>
      <c r="K186" s="220" t="str" cm="1">
        <f t="array" aca="1" ref="K186" ca="1">_xlfn.IFS(G186&lt;$B$11,"Fail",G186&lt;25,"Marginal",G186&lt;35,"Solid",TRUE,"Blowout")</f>
        <v>Blowout</v>
      </c>
      <c r="L186" s="226">
        <f ca="1">IF(AND(E186&lt;$B$10,C186&gt;=$B$11),1,0)</f>
        <v>1</v>
      </c>
      <c r="M186" s="217" t="str" cm="1">
        <f t="array" aca="1" ref="M186" ca="1">_xlfn.IFS(C186&lt;$B$11,"Fail",C186&lt;25,"Marginal",C186&lt;35,"Solid",TRUE,"Blowout")</f>
        <v>Blowout</v>
      </c>
    </row>
    <row r="187" spans="1:13" x14ac:dyDescent="0.25">
      <c r="A187" s="169">
        <f t="shared" ca="1" si="20"/>
        <v>31.966790957558537</v>
      </c>
      <c r="B187" s="168">
        <f t="shared" ca="1" si="21"/>
        <v>-4.5429991355528241</v>
      </c>
      <c r="C187" s="168">
        <f t="shared" ca="1" si="22"/>
        <v>36.509790093111363</v>
      </c>
      <c r="D187" s="184">
        <f t="shared" ca="1" si="23"/>
        <v>4.614153179408846</v>
      </c>
      <c r="E187" s="230">
        <f t="shared" ca="1" si="24"/>
        <v>3.292836788103358E-6</v>
      </c>
      <c r="F187" s="168">
        <f t="shared" ca="1" si="25"/>
        <v>12.492125281415928</v>
      </c>
      <c r="G187" s="168">
        <f t="shared" ca="1" si="26"/>
        <v>17.035124416968753</v>
      </c>
      <c r="H187" s="184">
        <f t="shared" ca="1" si="27"/>
        <v>2.1529204437965892</v>
      </c>
      <c r="I187" s="184">
        <f t="shared" ca="1" si="28"/>
        <v>1.6187328429551943E-2</v>
      </c>
      <c r="J187" s="223">
        <f t="shared" ca="1" si="29"/>
        <v>0</v>
      </c>
      <c r="K187" s="220" t="str" cm="1">
        <f t="array" aca="1" ref="K187" ca="1">_xlfn.IFS(G187&lt;$B$11,"Fail",G187&lt;25,"Marginal",G187&lt;35,"Solid",TRUE,"Blowout")</f>
        <v>Fail</v>
      </c>
      <c r="L187" s="226">
        <f ca="1">IF(AND(E187&lt;$B$10,C187&gt;=$B$11),1,0)</f>
        <v>1</v>
      </c>
      <c r="M187" s="217" t="str" cm="1">
        <f t="array" aca="1" ref="M187" ca="1">_xlfn.IFS(C187&lt;$B$11,"Fail",C187&lt;25,"Marginal",C187&lt;35,"Solid",TRUE,"Blowout")</f>
        <v>Blowout</v>
      </c>
    </row>
    <row r="188" spans="1:13" x14ac:dyDescent="0.25">
      <c r="A188" s="169">
        <f t="shared" ca="1" si="20"/>
        <v>16.021725433878569</v>
      </c>
      <c r="B188" s="168">
        <f t="shared" ca="1" si="21"/>
        <v>2.9220304928042551</v>
      </c>
      <c r="C188" s="168">
        <f t="shared" ca="1" si="22"/>
        <v>13.099694941074313</v>
      </c>
      <c r="D188" s="184">
        <f t="shared" ca="1" si="23"/>
        <v>1.6555559182206456</v>
      </c>
      <c r="E188" s="230">
        <f t="shared" ca="1" si="24"/>
        <v>4.9593746324648129E-2</v>
      </c>
      <c r="F188" s="168">
        <f t="shared" ca="1" si="25"/>
        <v>11.162284997257267</v>
      </c>
      <c r="G188" s="168">
        <f t="shared" ca="1" si="26"/>
        <v>8.2402545044530111</v>
      </c>
      <c r="H188" s="184">
        <f t="shared" ca="1" si="27"/>
        <v>1.0414137255758653</v>
      </c>
      <c r="I188" s="184">
        <f t="shared" ca="1" si="28"/>
        <v>0.14939329936047827</v>
      </c>
      <c r="J188" s="223">
        <f t="shared" ca="1" si="29"/>
        <v>0</v>
      </c>
      <c r="K188" s="220" t="str" cm="1">
        <f t="array" aca="1" ref="K188" ca="1">_xlfn.IFS(G188&lt;$B$11,"Fail",G188&lt;25,"Marginal",G188&lt;35,"Solid",TRUE,"Blowout")</f>
        <v>Fail</v>
      </c>
      <c r="L188" s="226">
        <f ca="1">IF(AND(E188&lt;$B$10,C188&gt;=$B$11),1,0)</f>
        <v>0</v>
      </c>
      <c r="M188" s="217" t="str" cm="1">
        <f t="array" aca="1" ref="M188" ca="1">_xlfn.IFS(C188&lt;$B$11,"Fail",C188&lt;25,"Marginal",C188&lt;35,"Solid",TRUE,"Blowout")</f>
        <v>Fail</v>
      </c>
    </row>
    <row r="189" spans="1:13" x14ac:dyDescent="0.25">
      <c r="A189" s="169">
        <f t="shared" ca="1" si="20"/>
        <v>16.696027184076023</v>
      </c>
      <c r="B189" s="168">
        <f t="shared" ca="1" si="21"/>
        <v>3.4139483428116817</v>
      </c>
      <c r="C189" s="168">
        <f t="shared" ca="1" si="22"/>
        <v>13.28207884126434</v>
      </c>
      <c r="D189" s="184">
        <f t="shared" ca="1" si="23"/>
        <v>1.678605824856334</v>
      </c>
      <c r="E189" s="230">
        <f t="shared" ca="1" si="24"/>
        <v>4.729944235324899E-2</v>
      </c>
      <c r="F189" s="168">
        <f t="shared" ca="1" si="25"/>
        <v>34.774378231266859</v>
      </c>
      <c r="G189" s="168">
        <f t="shared" ca="1" si="26"/>
        <v>31.360429888455176</v>
      </c>
      <c r="H189" s="184">
        <f t="shared" ca="1" si="27"/>
        <v>3.9633705619344513</v>
      </c>
      <c r="I189" s="184">
        <f t="shared" ca="1" si="28"/>
        <v>4.9446280306879488E-5</v>
      </c>
      <c r="J189" s="223">
        <f t="shared" ca="1" si="29"/>
        <v>1</v>
      </c>
      <c r="K189" s="220" t="str" cm="1">
        <f t="array" aca="1" ref="K189" ca="1">_xlfn.IFS(G189&lt;$B$11,"Fail",G189&lt;25,"Marginal",G189&lt;35,"Solid",TRUE,"Blowout")</f>
        <v>Solid</v>
      </c>
      <c r="L189" s="226">
        <f ca="1">IF(AND(E189&lt;$B$10,C189&gt;=$B$11),1,0)</f>
        <v>0</v>
      </c>
      <c r="M189" s="217" t="str" cm="1">
        <f t="array" aca="1" ref="M189" ca="1">_xlfn.IFS(C189&lt;$B$11,"Fail",C189&lt;25,"Marginal",C189&lt;35,"Solid",TRUE,"Blowout")</f>
        <v>Fail</v>
      </c>
    </row>
    <row r="190" spans="1:13" x14ac:dyDescent="0.25">
      <c r="A190" s="169">
        <f t="shared" ca="1" si="20"/>
        <v>0.96795317577716133</v>
      </c>
      <c r="B190" s="168">
        <f t="shared" ca="1" si="21"/>
        <v>0.18453160910106092</v>
      </c>
      <c r="C190" s="168">
        <f t="shared" ca="1" si="22"/>
        <v>0.78342156667610041</v>
      </c>
      <c r="D190" s="184">
        <f t="shared" ca="1" si="23"/>
        <v>9.9009802671476618E-2</v>
      </c>
      <c r="E190" s="230">
        <f t="shared" ca="1" si="24"/>
        <v>0.46060874057334422</v>
      </c>
      <c r="F190" s="168">
        <f t="shared" ca="1" si="25"/>
        <v>28.44890058447082</v>
      </c>
      <c r="G190" s="168">
        <f t="shared" ca="1" si="26"/>
        <v>28.264368975369759</v>
      </c>
      <c r="H190" s="184">
        <f t="shared" ca="1" si="27"/>
        <v>3.5720864907490641</v>
      </c>
      <c r="I190" s="184">
        <f t="shared" ca="1" si="28"/>
        <v>2.1599663822291092E-4</v>
      </c>
      <c r="J190" s="223">
        <f t="shared" ca="1" si="29"/>
        <v>1</v>
      </c>
      <c r="K190" s="220" t="str" cm="1">
        <f t="array" aca="1" ref="K190" ca="1">_xlfn.IFS(G190&lt;$B$11,"Fail",G190&lt;25,"Marginal",G190&lt;35,"Solid",TRUE,"Blowout")</f>
        <v>Solid</v>
      </c>
      <c r="L190" s="226">
        <f ca="1">IF(AND(E190&lt;$B$10,C190&gt;=$B$11),1,0)</f>
        <v>0</v>
      </c>
      <c r="M190" s="217" t="str" cm="1">
        <f t="array" aca="1" ref="M190" ca="1">_xlfn.IFS(C190&lt;$B$11,"Fail",C190&lt;25,"Marginal",C190&lt;35,"Solid",TRUE,"Blowout")</f>
        <v>Fail</v>
      </c>
    </row>
    <row r="191" spans="1:13" x14ac:dyDescent="0.25">
      <c r="A191" s="169">
        <f t="shared" ca="1" si="20"/>
        <v>12.064067639628014</v>
      </c>
      <c r="B191" s="168">
        <f t="shared" ca="1" si="21"/>
        <v>11.81100143741874</v>
      </c>
      <c r="C191" s="168">
        <f t="shared" ca="1" si="22"/>
        <v>0.25306620220927378</v>
      </c>
      <c r="D191" s="184">
        <f t="shared" ca="1" si="23"/>
        <v>3.1982824840868111E-2</v>
      </c>
      <c r="E191" s="230">
        <f t="shared" ca="1" si="24"/>
        <v>0.48725686373135257</v>
      </c>
      <c r="F191" s="168">
        <f t="shared" ca="1" si="25"/>
        <v>23.063542405752106</v>
      </c>
      <c r="G191" s="168">
        <f t="shared" ca="1" si="26"/>
        <v>11.252540968333365</v>
      </c>
      <c r="H191" s="184">
        <f t="shared" ca="1" si="27"/>
        <v>1.4221102765326523</v>
      </c>
      <c r="I191" s="184">
        <f t="shared" ca="1" si="28"/>
        <v>7.8180396375965105E-2</v>
      </c>
      <c r="J191" s="223">
        <f t="shared" ca="1" si="29"/>
        <v>0</v>
      </c>
      <c r="K191" s="220" t="str" cm="1">
        <f t="array" aca="1" ref="K191" ca="1">_xlfn.IFS(G191&lt;$B$11,"Fail",G191&lt;25,"Marginal",G191&lt;35,"Solid",TRUE,"Blowout")</f>
        <v>Fail</v>
      </c>
      <c r="L191" s="226">
        <f ca="1">IF(AND(E191&lt;$B$10,C191&gt;=$B$11),1,0)</f>
        <v>0</v>
      </c>
      <c r="M191" s="217" t="str" cm="1">
        <f t="array" aca="1" ref="M191" ca="1">_xlfn.IFS(C191&lt;$B$11,"Fail",C191&lt;25,"Marginal",C191&lt;35,"Solid",TRUE,"Blowout")</f>
        <v>Fail</v>
      </c>
    </row>
    <row r="192" spans="1:13" x14ac:dyDescent="0.25">
      <c r="A192" s="169">
        <f t="shared" ca="1" si="20"/>
        <v>31.610247866795838</v>
      </c>
      <c r="B192" s="168">
        <f t="shared" ca="1" si="21"/>
        <v>1.1053340632161666</v>
      </c>
      <c r="C192" s="168">
        <f t="shared" ca="1" si="22"/>
        <v>30.504913803579672</v>
      </c>
      <c r="D192" s="184">
        <f t="shared" ca="1" si="23"/>
        <v>3.8552493634012253</v>
      </c>
      <c r="E192" s="230">
        <f t="shared" ca="1" si="24"/>
        <v>7.519964470871733E-5</v>
      </c>
      <c r="F192" s="168">
        <f t="shared" ca="1" si="25"/>
        <v>27.300275203251921</v>
      </c>
      <c r="G192" s="168">
        <f t="shared" ca="1" si="26"/>
        <v>26.194941140035755</v>
      </c>
      <c r="H192" s="184">
        <f t="shared" ca="1" si="27"/>
        <v>3.3105495988192146</v>
      </c>
      <c r="I192" s="184">
        <f t="shared" ca="1" si="28"/>
        <v>5.41173198196368E-4</v>
      </c>
      <c r="J192" s="223">
        <f t="shared" ca="1" si="29"/>
        <v>1</v>
      </c>
      <c r="K192" s="220" t="str" cm="1">
        <f t="array" aca="1" ref="K192" ca="1">_xlfn.IFS(G192&lt;$B$11,"Fail",G192&lt;25,"Marginal",G192&lt;35,"Solid",TRUE,"Blowout")</f>
        <v>Solid</v>
      </c>
      <c r="L192" s="226">
        <f ca="1">IF(AND(E192&lt;$B$10,C192&gt;=$B$11),1,0)</f>
        <v>1</v>
      </c>
      <c r="M192" s="217" t="str" cm="1">
        <f t="array" aca="1" ref="M192" ca="1">_xlfn.IFS(C192&lt;$B$11,"Fail",C192&lt;25,"Marginal",C192&lt;35,"Solid",TRUE,"Blowout")</f>
        <v>Solid</v>
      </c>
    </row>
    <row r="193" spans="1:13" x14ac:dyDescent="0.25">
      <c r="A193" s="169">
        <f t="shared" ca="1" si="20"/>
        <v>27.870510222979757</v>
      </c>
      <c r="B193" s="168">
        <f t="shared" ca="1" si="21"/>
        <v>-1.0446459547775611</v>
      </c>
      <c r="C193" s="168">
        <f t="shared" ca="1" si="22"/>
        <v>28.915156177757318</v>
      </c>
      <c r="D193" s="184">
        <f t="shared" ca="1" si="23"/>
        <v>3.6543337956871911</v>
      </c>
      <c r="E193" s="230">
        <f t="shared" ca="1" si="24"/>
        <v>1.6001120634359704E-4</v>
      </c>
      <c r="F193" s="168">
        <f t="shared" ca="1" si="25"/>
        <v>25.901059228858308</v>
      </c>
      <c r="G193" s="168">
        <f t="shared" ca="1" si="26"/>
        <v>26.945705183635869</v>
      </c>
      <c r="H193" s="184">
        <f t="shared" ca="1" si="27"/>
        <v>3.4054321026607504</v>
      </c>
      <c r="I193" s="184">
        <f t="shared" ca="1" si="28"/>
        <v>3.9026015467471707E-4</v>
      </c>
      <c r="J193" s="223">
        <f t="shared" ca="1" si="29"/>
        <v>1</v>
      </c>
      <c r="K193" s="220" t="str" cm="1">
        <f t="array" aca="1" ref="K193" ca="1">_xlfn.IFS(G193&lt;$B$11,"Fail",G193&lt;25,"Marginal",G193&lt;35,"Solid",TRUE,"Blowout")</f>
        <v>Solid</v>
      </c>
      <c r="L193" s="226">
        <f ca="1">IF(AND(E193&lt;$B$10,C193&gt;=$B$11),1,0)</f>
        <v>1</v>
      </c>
      <c r="M193" s="217" t="str" cm="1">
        <f t="array" aca="1" ref="M193" ca="1">_xlfn.IFS(C193&lt;$B$11,"Fail",C193&lt;25,"Marginal",C193&lt;35,"Solid",TRUE,"Blowout")</f>
        <v>Solid</v>
      </c>
    </row>
    <row r="194" spans="1:13" x14ac:dyDescent="0.25">
      <c r="A194" s="169">
        <f t="shared" ca="1" si="20"/>
        <v>30.12831026911779</v>
      </c>
      <c r="B194" s="168">
        <f t="shared" ca="1" si="21"/>
        <v>4.7666044578248119</v>
      </c>
      <c r="C194" s="168">
        <f t="shared" ca="1" si="22"/>
        <v>25.361705811292978</v>
      </c>
      <c r="D194" s="184">
        <f t="shared" ca="1" si="23"/>
        <v>3.205244270261884</v>
      </c>
      <c r="E194" s="230">
        <f t="shared" ca="1" si="24"/>
        <v>7.7134254283840243E-4</v>
      </c>
      <c r="F194" s="168">
        <f t="shared" ca="1" si="25"/>
        <v>-4.3223169204975678</v>
      </c>
      <c r="G194" s="168">
        <f t="shared" ca="1" si="26"/>
        <v>-9.0889213783223788</v>
      </c>
      <c r="H194" s="184">
        <f t="shared" ca="1" si="27"/>
        <v>-1.1486693122099325</v>
      </c>
      <c r="I194" s="184">
        <f t="shared" ca="1" si="28"/>
        <v>0.87405199241051834</v>
      </c>
      <c r="J194" s="223">
        <f t="shared" ca="1" si="29"/>
        <v>0</v>
      </c>
      <c r="K194" s="220" t="str" cm="1">
        <f t="array" aca="1" ref="K194" ca="1">_xlfn.IFS(G194&lt;$B$11,"Fail",G194&lt;25,"Marginal",G194&lt;35,"Solid",TRUE,"Blowout")</f>
        <v>Fail</v>
      </c>
      <c r="L194" s="226">
        <f ca="1">IF(AND(E194&lt;$B$10,C194&gt;=$B$11),1,0)</f>
        <v>1</v>
      </c>
      <c r="M194" s="217" t="str" cm="1">
        <f t="array" aca="1" ref="M194" ca="1">_xlfn.IFS(C194&lt;$B$11,"Fail",C194&lt;25,"Marginal",C194&lt;35,"Solid",TRUE,"Blowout")</f>
        <v>Solid</v>
      </c>
    </row>
    <row r="195" spans="1:13" x14ac:dyDescent="0.25">
      <c r="A195" s="169">
        <f t="shared" ca="1" si="20"/>
        <v>58.716392136084586</v>
      </c>
      <c r="B195" s="168">
        <f t="shared" ca="1" si="21"/>
        <v>4.3254672505881624</v>
      </c>
      <c r="C195" s="168">
        <f t="shared" ca="1" si="22"/>
        <v>54.390924885496425</v>
      </c>
      <c r="D195" s="184">
        <f t="shared" ca="1" si="23"/>
        <v>6.8739934782247216</v>
      </c>
      <c r="E195" s="230">
        <f t="shared" ca="1" si="24"/>
        <v>2.9565006806446239E-11</v>
      </c>
      <c r="F195" s="168">
        <f t="shared" ca="1" si="25"/>
        <v>34.272786417189607</v>
      </c>
      <c r="G195" s="168">
        <f t="shared" ca="1" si="26"/>
        <v>29.947319166601446</v>
      </c>
      <c r="H195" s="184">
        <f t="shared" ca="1" si="27"/>
        <v>3.7847798520599412</v>
      </c>
      <c r="I195" s="184">
        <f t="shared" ca="1" si="28"/>
        <v>9.8352626321487224E-5</v>
      </c>
      <c r="J195" s="223">
        <f t="shared" ca="1" si="29"/>
        <v>1</v>
      </c>
      <c r="K195" s="220" t="str" cm="1">
        <f t="array" aca="1" ref="K195" ca="1">_xlfn.IFS(G195&lt;$B$11,"Fail",G195&lt;25,"Marginal",G195&lt;35,"Solid",TRUE,"Blowout")</f>
        <v>Solid</v>
      </c>
      <c r="L195" s="226">
        <f ca="1">IF(AND(E195&lt;$B$10,C195&gt;=$B$11),1,0)</f>
        <v>1</v>
      </c>
      <c r="M195" s="217" t="str" cm="1">
        <f t="array" aca="1" ref="M195" ca="1">_xlfn.IFS(C195&lt;$B$11,"Fail",C195&lt;25,"Marginal",C195&lt;35,"Solid",TRUE,"Blowout")</f>
        <v>Blowout</v>
      </c>
    </row>
    <row r="196" spans="1:13" x14ac:dyDescent="0.25">
      <c r="A196" s="169">
        <f t="shared" ca="1" si="20"/>
        <v>37.563597361667078</v>
      </c>
      <c r="B196" s="168">
        <f t="shared" ca="1" si="21"/>
        <v>14.258010326109806</v>
      </c>
      <c r="C196" s="168">
        <f t="shared" ca="1" si="22"/>
        <v>23.305587035557274</v>
      </c>
      <c r="D196" s="184">
        <f t="shared" ca="1" si="23"/>
        <v>2.9453893940188904</v>
      </c>
      <c r="E196" s="230">
        <f t="shared" ca="1" si="24"/>
        <v>1.779885238146942E-3</v>
      </c>
      <c r="F196" s="168">
        <f t="shared" ca="1" si="25"/>
        <v>28.760920039635941</v>
      </c>
      <c r="G196" s="168">
        <f t="shared" ca="1" si="26"/>
        <v>14.502909713526135</v>
      </c>
      <c r="H196" s="184">
        <f t="shared" ca="1" si="27"/>
        <v>1.8328959655665675</v>
      </c>
      <c r="I196" s="184">
        <f t="shared" ca="1" si="28"/>
        <v>3.4061020736574729E-2</v>
      </c>
      <c r="J196" s="223">
        <f t="shared" ca="1" si="29"/>
        <v>0</v>
      </c>
      <c r="K196" s="220" t="str" cm="1">
        <f t="array" aca="1" ref="K196" ca="1">_xlfn.IFS(G196&lt;$B$11,"Fail",G196&lt;25,"Marginal",G196&lt;35,"Solid",TRUE,"Blowout")</f>
        <v>Fail</v>
      </c>
      <c r="L196" s="226">
        <f ca="1">IF(AND(E196&lt;$B$10,C196&gt;=$B$11),1,0)</f>
        <v>1</v>
      </c>
      <c r="M196" s="217" t="str" cm="1">
        <f t="array" aca="1" ref="M196" ca="1">_xlfn.IFS(C196&lt;$B$11,"Fail",C196&lt;25,"Marginal",C196&lt;35,"Solid",TRUE,"Blowout")</f>
        <v>Marginal</v>
      </c>
    </row>
    <row r="197" spans="1:13" x14ac:dyDescent="0.25">
      <c r="A197" s="169">
        <f t="shared" ca="1" si="20"/>
        <v>27.790904792562962</v>
      </c>
      <c r="B197" s="168">
        <f t="shared" ca="1" si="21"/>
        <v>10.067192472095321</v>
      </c>
      <c r="C197" s="168">
        <f t="shared" ca="1" si="22"/>
        <v>17.723712320467641</v>
      </c>
      <c r="D197" s="184">
        <f t="shared" ca="1" si="23"/>
        <v>2.2399450488718</v>
      </c>
      <c r="E197" s="230">
        <f t="shared" ca="1" si="24"/>
        <v>1.3029552164844827E-2</v>
      </c>
      <c r="F197" s="168">
        <f t="shared" ca="1" si="25"/>
        <v>11.160081442548138</v>
      </c>
      <c r="G197" s="168">
        <f t="shared" ca="1" si="26"/>
        <v>1.0928889704528171</v>
      </c>
      <c r="H197" s="184">
        <f t="shared" ca="1" si="27"/>
        <v>0.13812068228535745</v>
      </c>
      <c r="I197" s="184">
        <f t="shared" ca="1" si="28"/>
        <v>0.44513347327865999</v>
      </c>
      <c r="J197" s="223">
        <f t="shared" ca="1" si="29"/>
        <v>0</v>
      </c>
      <c r="K197" s="220" t="str" cm="1">
        <f t="array" aca="1" ref="K197" ca="1">_xlfn.IFS(G197&lt;$B$11,"Fail",G197&lt;25,"Marginal",G197&lt;35,"Solid",TRUE,"Blowout")</f>
        <v>Fail</v>
      </c>
      <c r="L197" s="226">
        <f ca="1">IF(AND(E197&lt;$B$10,C197&gt;=$B$11),1,0)</f>
        <v>0</v>
      </c>
      <c r="M197" s="217" t="str" cm="1">
        <f t="array" aca="1" ref="M197" ca="1">_xlfn.IFS(C197&lt;$B$11,"Fail",C197&lt;25,"Marginal",C197&lt;35,"Solid",TRUE,"Blowout")</f>
        <v>Fail</v>
      </c>
    </row>
    <row r="198" spans="1:13" x14ac:dyDescent="0.25">
      <c r="A198" s="169">
        <f t="shared" ca="1" si="20"/>
        <v>15.90818994774007</v>
      </c>
      <c r="B198" s="168">
        <f t="shared" ca="1" si="21"/>
        <v>4.861116307630768</v>
      </c>
      <c r="C198" s="168">
        <f t="shared" ca="1" si="22"/>
        <v>11.047073640109302</v>
      </c>
      <c r="D198" s="184">
        <f t="shared" ca="1" si="23"/>
        <v>1.3961430572369</v>
      </c>
      <c r="E198" s="230">
        <f t="shared" ca="1" si="24"/>
        <v>8.2014637009014929E-2</v>
      </c>
      <c r="F198" s="168">
        <f t="shared" ca="1" si="25"/>
        <v>41.171468211174549</v>
      </c>
      <c r="G198" s="168">
        <f t="shared" ca="1" si="26"/>
        <v>36.310351903543783</v>
      </c>
      <c r="H198" s="184">
        <f t="shared" ca="1" si="27"/>
        <v>4.588947930237544</v>
      </c>
      <c r="I198" s="184">
        <f t="shared" ca="1" si="28"/>
        <v>3.6783563057950306E-6</v>
      </c>
      <c r="J198" s="223">
        <f t="shared" ca="1" si="29"/>
        <v>1</v>
      </c>
      <c r="K198" s="220" t="str" cm="1">
        <f t="array" aca="1" ref="K198" ca="1">_xlfn.IFS(G198&lt;$B$11,"Fail",G198&lt;25,"Marginal",G198&lt;35,"Solid",TRUE,"Blowout")</f>
        <v>Blowout</v>
      </c>
      <c r="L198" s="226">
        <f ca="1">IF(AND(E198&lt;$B$10,C198&gt;=$B$11),1,0)</f>
        <v>0</v>
      </c>
      <c r="M198" s="217" t="str" cm="1">
        <f t="array" aca="1" ref="M198" ca="1">_xlfn.IFS(C198&lt;$B$11,"Fail",C198&lt;25,"Marginal",C198&lt;35,"Solid",TRUE,"Blowout")</f>
        <v>Fail</v>
      </c>
    </row>
    <row r="199" spans="1:13" x14ac:dyDescent="0.25">
      <c r="A199" s="169">
        <f t="shared" ca="1" si="20"/>
        <v>33.734206604950714</v>
      </c>
      <c r="B199" s="168">
        <f t="shared" ca="1" si="21"/>
        <v>5.7548527231062394</v>
      </c>
      <c r="C199" s="168">
        <f t="shared" ca="1" si="22"/>
        <v>27.979353881844474</v>
      </c>
      <c r="D199" s="184">
        <f t="shared" ca="1" si="23"/>
        <v>3.536065924851115</v>
      </c>
      <c r="E199" s="230">
        <f t="shared" ca="1" si="24"/>
        <v>2.4591397367947369E-4</v>
      </c>
      <c r="F199" s="168">
        <f t="shared" ca="1" si="25"/>
        <v>33.726973271323033</v>
      </c>
      <c r="G199" s="168">
        <f t="shared" ca="1" si="26"/>
        <v>27.972120548216793</v>
      </c>
      <c r="H199" s="184">
        <f t="shared" ca="1" si="27"/>
        <v>3.5351517670520489</v>
      </c>
      <c r="I199" s="184">
        <f t="shared" ca="1" si="28"/>
        <v>2.4672159703234916E-4</v>
      </c>
      <c r="J199" s="223">
        <f t="shared" ca="1" si="29"/>
        <v>1</v>
      </c>
      <c r="K199" s="220" t="str" cm="1">
        <f t="array" aca="1" ref="K199" ca="1">_xlfn.IFS(G199&lt;$B$11,"Fail",G199&lt;25,"Marginal",G199&lt;35,"Solid",TRUE,"Blowout")</f>
        <v>Solid</v>
      </c>
      <c r="L199" s="226">
        <f ca="1">IF(AND(E199&lt;$B$10,C199&gt;=$B$11),1,0)</f>
        <v>1</v>
      </c>
      <c r="M199" s="217" t="str" cm="1">
        <f t="array" aca="1" ref="M199" ca="1">_xlfn.IFS(C199&lt;$B$11,"Fail",C199&lt;25,"Marginal",C199&lt;35,"Solid",TRUE,"Blowout")</f>
        <v>Solid</v>
      </c>
    </row>
    <row r="200" spans="1:13" x14ac:dyDescent="0.25">
      <c r="A200" s="169">
        <f t="shared" ca="1" si="20"/>
        <v>2.773546735113896</v>
      </c>
      <c r="B200" s="168">
        <f t="shared" ca="1" si="21"/>
        <v>6.2833136896220818</v>
      </c>
      <c r="C200" s="168">
        <f t="shared" ca="1" si="22"/>
        <v>-3.5097669545081858</v>
      </c>
      <c r="D200" s="184">
        <f t="shared" ca="1" si="23"/>
        <v>-0.44356876089472869</v>
      </c>
      <c r="E200" s="230">
        <f t="shared" ca="1" si="24"/>
        <v>0.67111248519275224</v>
      </c>
      <c r="F200" s="168">
        <f t="shared" ca="1" si="25"/>
        <v>29.884733736772315</v>
      </c>
      <c r="G200" s="168">
        <f t="shared" ca="1" si="26"/>
        <v>23.601420047150235</v>
      </c>
      <c r="H200" s="184">
        <f t="shared" ca="1" si="27"/>
        <v>2.982777142004692</v>
      </c>
      <c r="I200" s="184">
        <f t="shared" ca="1" si="28"/>
        <v>1.5834731985278621E-3</v>
      </c>
      <c r="J200" s="223">
        <f t="shared" ca="1" si="29"/>
        <v>1</v>
      </c>
      <c r="K200" s="220" t="str" cm="1">
        <f t="array" aca="1" ref="K200" ca="1">_xlfn.IFS(G200&lt;$B$11,"Fail",G200&lt;25,"Marginal",G200&lt;35,"Solid",TRUE,"Blowout")</f>
        <v>Marginal</v>
      </c>
      <c r="L200" s="226">
        <f ca="1">IF(AND(E200&lt;$B$10,C200&gt;=$B$11),1,0)</f>
        <v>0</v>
      </c>
      <c r="M200" s="217" t="str" cm="1">
        <f t="array" aca="1" ref="M200" ca="1">_xlfn.IFS(C200&lt;$B$11,"Fail",C200&lt;25,"Marginal",C200&lt;35,"Solid",TRUE,"Blowout")</f>
        <v>Fail</v>
      </c>
    </row>
    <row r="201" spans="1:13" x14ac:dyDescent="0.25">
      <c r="A201" s="169">
        <f t="shared" ca="1" si="20"/>
        <v>43.669844589065136</v>
      </c>
      <c r="B201" s="168">
        <f t="shared" ca="1" si="21"/>
        <v>8.6139961960611338</v>
      </c>
      <c r="C201" s="168">
        <f t="shared" ca="1" si="22"/>
        <v>35.055848393003998</v>
      </c>
      <c r="D201" s="184">
        <f t="shared" ca="1" si="23"/>
        <v>4.4304021991617342</v>
      </c>
      <c r="E201" s="230">
        <f t="shared" ca="1" si="24"/>
        <v>7.303562269480538E-6</v>
      </c>
      <c r="F201" s="168">
        <f t="shared" ca="1" si="25"/>
        <v>49.190710894396467</v>
      </c>
      <c r="G201" s="168">
        <f t="shared" ca="1" si="26"/>
        <v>40.576714698335337</v>
      </c>
      <c r="H201" s="184">
        <f t="shared" ca="1" si="27"/>
        <v>5.128136224771545</v>
      </c>
      <c r="I201" s="184">
        <f t="shared" ca="1" si="28"/>
        <v>3.1234201359356707E-7</v>
      </c>
      <c r="J201" s="223">
        <f t="shared" ca="1" si="29"/>
        <v>1</v>
      </c>
      <c r="K201" s="220" t="str" cm="1">
        <f t="array" aca="1" ref="K201" ca="1">_xlfn.IFS(G201&lt;$B$11,"Fail",G201&lt;25,"Marginal",G201&lt;35,"Solid",TRUE,"Blowout")</f>
        <v>Blowout</v>
      </c>
      <c r="L201" s="226">
        <f ca="1">IF(AND(E201&lt;$B$10,C201&gt;=$B$11),1,0)</f>
        <v>1</v>
      </c>
      <c r="M201" s="217" t="str" cm="1">
        <f t="array" aca="1" ref="M201" ca="1">_xlfn.IFS(C201&lt;$B$11,"Fail",C201&lt;25,"Marginal",C201&lt;35,"Solid",TRUE,"Blowout")</f>
        <v>Blowout</v>
      </c>
    </row>
    <row r="202" spans="1:13" x14ac:dyDescent="0.25">
      <c r="A202" s="169">
        <f t="shared" ca="1" si="20"/>
        <v>38.870599613913399</v>
      </c>
      <c r="B202" s="168">
        <f t="shared" ca="1" si="21"/>
        <v>-7.0508856403959594</v>
      </c>
      <c r="C202" s="168">
        <f t="shared" ca="1" si="22"/>
        <v>45.92148525430936</v>
      </c>
      <c r="D202" s="184">
        <f t="shared" ca="1" si="23"/>
        <v>5.8036150481546311</v>
      </c>
      <c r="E202" s="230">
        <f t="shared" ca="1" si="24"/>
        <v>1.0790864565567959E-8</v>
      </c>
      <c r="F202" s="168">
        <f t="shared" ca="1" si="25"/>
        <v>-3.0681483031802079</v>
      </c>
      <c r="G202" s="168">
        <f t="shared" ca="1" si="26"/>
        <v>3.9827373372157515</v>
      </c>
      <c r="H202" s="184">
        <f t="shared" ca="1" si="27"/>
        <v>0.50334335257467644</v>
      </c>
      <c r="I202" s="184">
        <f t="shared" ca="1" si="28"/>
        <v>0.30760440949138657</v>
      </c>
      <c r="J202" s="223">
        <f t="shared" ca="1" si="29"/>
        <v>0</v>
      </c>
      <c r="K202" s="220" t="str" cm="1">
        <f t="array" aca="1" ref="K202" ca="1">_xlfn.IFS(G202&lt;$B$11,"Fail",G202&lt;25,"Marginal",G202&lt;35,"Solid",TRUE,"Blowout")</f>
        <v>Fail</v>
      </c>
      <c r="L202" s="226">
        <f ca="1">IF(AND(E202&lt;$B$10,C202&gt;=$B$11),1,0)</f>
        <v>1</v>
      </c>
      <c r="M202" s="217" t="str" cm="1">
        <f t="array" aca="1" ref="M202" ca="1">_xlfn.IFS(C202&lt;$B$11,"Fail",C202&lt;25,"Marginal",C202&lt;35,"Solid",TRUE,"Blowout")</f>
        <v>Blowout</v>
      </c>
    </row>
    <row r="203" spans="1:13" x14ac:dyDescent="0.25">
      <c r="A203" s="169">
        <f t="shared" ca="1" si="20"/>
        <v>-2.2464472828436897</v>
      </c>
      <c r="B203" s="168">
        <f t="shared" ca="1" si="21"/>
        <v>11.699298739422552</v>
      </c>
      <c r="C203" s="168">
        <f t="shared" ca="1" si="22"/>
        <v>-13.945746022266242</v>
      </c>
      <c r="D203" s="184">
        <f t="shared" ca="1" si="23"/>
        <v>-1.762480917687038</v>
      </c>
      <c r="E203" s="230">
        <f t="shared" ca="1" si="24"/>
        <v>0.96033603042798021</v>
      </c>
      <c r="F203" s="168">
        <f t="shared" ca="1" si="25"/>
        <v>25.44477901331744</v>
      </c>
      <c r="G203" s="168">
        <f t="shared" ca="1" si="26"/>
        <v>13.745480273894888</v>
      </c>
      <c r="H203" s="184">
        <f t="shared" ca="1" si="27"/>
        <v>1.7371710805935423</v>
      </c>
      <c r="I203" s="184">
        <f t="shared" ca="1" si="28"/>
        <v>4.1853716147703772E-2</v>
      </c>
      <c r="J203" s="223">
        <f t="shared" ca="1" si="29"/>
        <v>0</v>
      </c>
      <c r="K203" s="220" t="str" cm="1">
        <f t="array" aca="1" ref="K203" ca="1">_xlfn.IFS(G203&lt;$B$11,"Fail",G203&lt;25,"Marginal",G203&lt;35,"Solid",TRUE,"Blowout")</f>
        <v>Fail</v>
      </c>
      <c r="L203" s="226">
        <f ca="1">IF(AND(E203&lt;$B$10,C203&gt;=$B$11),1,0)</f>
        <v>0</v>
      </c>
      <c r="M203" s="217" t="str" cm="1">
        <f t="array" aca="1" ref="M203" ca="1">_xlfn.IFS(C203&lt;$B$11,"Fail",C203&lt;25,"Marginal",C203&lt;35,"Solid",TRUE,"Blowout")</f>
        <v>Fail</v>
      </c>
    </row>
    <row r="204" spans="1:13" x14ac:dyDescent="0.25">
      <c r="A204" s="169">
        <f t="shared" ca="1" si="20"/>
        <v>26.252183155344127</v>
      </c>
      <c r="B204" s="168">
        <f t="shared" ca="1" si="21"/>
        <v>1.2969118203253625</v>
      </c>
      <c r="C204" s="168">
        <f t="shared" ca="1" si="22"/>
        <v>24.955271335018764</v>
      </c>
      <c r="D204" s="184">
        <f t="shared" ca="1" si="23"/>
        <v>3.1538785700992893</v>
      </c>
      <c r="E204" s="230">
        <f t="shared" ca="1" si="24"/>
        <v>9.1393397455718898E-4</v>
      </c>
      <c r="F204" s="168">
        <f t="shared" ca="1" si="25"/>
        <v>20.222855249819425</v>
      </c>
      <c r="G204" s="168">
        <f t="shared" ca="1" si="26"/>
        <v>18.925943429494062</v>
      </c>
      <c r="H204" s="184">
        <f t="shared" ca="1" si="27"/>
        <v>2.3918845281169889</v>
      </c>
      <c r="I204" s="184">
        <f t="shared" ca="1" si="28"/>
        <v>8.7868246528153161E-3</v>
      </c>
      <c r="J204" s="223">
        <f t="shared" ca="1" si="29"/>
        <v>0</v>
      </c>
      <c r="K204" s="220" t="str" cm="1">
        <f t="array" aca="1" ref="K204" ca="1">_xlfn.IFS(G204&lt;$B$11,"Fail",G204&lt;25,"Marginal",G204&lt;35,"Solid",TRUE,"Blowout")</f>
        <v>Fail</v>
      </c>
      <c r="L204" s="226">
        <f ca="1">IF(AND(E204&lt;$B$10,C204&gt;=$B$11),1,0)</f>
        <v>1</v>
      </c>
      <c r="M204" s="217" t="str" cm="1">
        <f t="array" aca="1" ref="M204" ca="1">_xlfn.IFS(C204&lt;$B$11,"Fail",C204&lt;25,"Marginal",C204&lt;35,"Solid",TRUE,"Blowout")</f>
        <v>Marginal</v>
      </c>
    </row>
    <row r="205" spans="1:13" x14ac:dyDescent="0.25">
      <c r="A205" s="169">
        <f t="shared" ca="1" si="20"/>
        <v>37.487244071367975</v>
      </c>
      <c r="B205" s="168">
        <f t="shared" ca="1" si="21"/>
        <v>5.6490507940046184</v>
      </c>
      <c r="C205" s="168">
        <f t="shared" ca="1" si="22"/>
        <v>31.838193277363356</v>
      </c>
      <c r="D205" s="184">
        <f t="shared" ca="1" si="23"/>
        <v>4.0237508997647629</v>
      </c>
      <c r="E205" s="230">
        <f t="shared" ca="1" si="24"/>
        <v>3.8972625421561483E-5</v>
      </c>
      <c r="F205" s="168">
        <f t="shared" ca="1" si="25"/>
        <v>57.937220841548751</v>
      </c>
      <c r="G205" s="168">
        <f t="shared" ca="1" si="26"/>
        <v>52.288170047544135</v>
      </c>
      <c r="H205" s="184">
        <f t="shared" ca="1" si="27"/>
        <v>6.6082446777985711</v>
      </c>
      <c r="I205" s="184">
        <f t="shared" ca="1" si="28"/>
        <v>1.3585139859372098E-10</v>
      </c>
      <c r="J205" s="223">
        <f t="shared" ca="1" si="29"/>
        <v>1</v>
      </c>
      <c r="K205" s="220" t="str" cm="1">
        <f t="array" aca="1" ref="K205" ca="1">_xlfn.IFS(G205&lt;$B$11,"Fail",G205&lt;25,"Marginal",G205&lt;35,"Solid",TRUE,"Blowout")</f>
        <v>Blowout</v>
      </c>
      <c r="L205" s="226">
        <f ca="1">IF(AND(E205&lt;$B$10,C205&gt;=$B$11),1,0)</f>
        <v>1</v>
      </c>
      <c r="M205" s="217" t="str" cm="1">
        <f t="array" aca="1" ref="M205" ca="1">_xlfn.IFS(C205&lt;$B$11,"Fail",C205&lt;25,"Marginal",C205&lt;35,"Solid",TRUE,"Blowout")</f>
        <v>Solid</v>
      </c>
    </row>
    <row r="206" spans="1:13" x14ac:dyDescent="0.25">
      <c r="A206" s="169">
        <f t="shared" ca="1" si="20"/>
        <v>53.170484301948534</v>
      </c>
      <c r="B206" s="168">
        <f t="shared" ca="1" si="21"/>
        <v>0.33426874250278793</v>
      </c>
      <c r="C206" s="168">
        <f t="shared" ca="1" si="22"/>
        <v>52.836215559445748</v>
      </c>
      <c r="D206" s="184">
        <f t="shared" ca="1" si="23"/>
        <v>6.6775073587055944</v>
      </c>
      <c r="E206" s="230">
        <f t="shared" ca="1" si="24"/>
        <v>9.1629814181243137E-11</v>
      </c>
      <c r="F206" s="168">
        <f t="shared" ca="1" si="25"/>
        <v>9.5069807754088167</v>
      </c>
      <c r="G206" s="168">
        <f t="shared" ca="1" si="26"/>
        <v>9.1727120329060288</v>
      </c>
      <c r="H206" s="184">
        <f t="shared" ca="1" si="27"/>
        <v>1.1592588804946551</v>
      </c>
      <c r="I206" s="184">
        <f t="shared" ca="1" si="28"/>
        <v>0.1237816560056529</v>
      </c>
      <c r="J206" s="223">
        <f t="shared" ca="1" si="29"/>
        <v>0</v>
      </c>
      <c r="K206" s="220" t="str" cm="1">
        <f t="array" aca="1" ref="K206" ca="1">_xlfn.IFS(G206&lt;$B$11,"Fail",G206&lt;25,"Marginal",G206&lt;35,"Solid",TRUE,"Blowout")</f>
        <v>Fail</v>
      </c>
      <c r="L206" s="226">
        <f ca="1">IF(AND(E206&lt;$B$10,C206&gt;=$B$11),1,0)</f>
        <v>1</v>
      </c>
      <c r="M206" s="217" t="str" cm="1">
        <f t="array" aca="1" ref="M206" ca="1">_xlfn.IFS(C206&lt;$B$11,"Fail",C206&lt;25,"Marginal",C206&lt;35,"Solid",TRUE,"Blowout")</f>
        <v>Blowout</v>
      </c>
    </row>
    <row r="207" spans="1:13" x14ac:dyDescent="0.25">
      <c r="A207" s="169">
        <f t="shared" ca="1" si="20"/>
        <v>33.9339809365176</v>
      </c>
      <c r="B207" s="168">
        <f t="shared" ca="1" si="21"/>
        <v>14.275333170427936</v>
      </c>
      <c r="C207" s="168">
        <f t="shared" ca="1" si="22"/>
        <v>19.658647766089665</v>
      </c>
      <c r="D207" s="184">
        <f t="shared" ca="1" si="23"/>
        <v>2.4844846234790032</v>
      </c>
      <c r="E207" s="230">
        <f t="shared" ca="1" si="24"/>
        <v>6.8465983626421374E-3</v>
      </c>
      <c r="F207" s="168">
        <f t="shared" ca="1" si="25"/>
        <v>25.090264726706483</v>
      </c>
      <c r="G207" s="168">
        <f t="shared" ca="1" si="26"/>
        <v>10.814931556278546</v>
      </c>
      <c r="H207" s="184">
        <f t="shared" ca="1" si="27"/>
        <v>1.3668046487867136</v>
      </c>
      <c r="I207" s="184">
        <f t="shared" ca="1" si="28"/>
        <v>8.6516377107172859E-2</v>
      </c>
      <c r="J207" s="223">
        <f t="shared" ca="1" si="29"/>
        <v>0</v>
      </c>
      <c r="K207" s="220" t="str" cm="1">
        <f t="array" aca="1" ref="K207" ca="1">_xlfn.IFS(G207&lt;$B$11,"Fail",G207&lt;25,"Marginal",G207&lt;35,"Solid",TRUE,"Blowout")</f>
        <v>Fail</v>
      </c>
      <c r="L207" s="226">
        <f ca="1">IF(AND(E207&lt;$B$10,C207&gt;=$B$11),1,0)</f>
        <v>0</v>
      </c>
      <c r="M207" s="217" t="str" cm="1">
        <f t="array" aca="1" ref="M207" ca="1">_xlfn.IFS(C207&lt;$B$11,"Fail",C207&lt;25,"Marginal",C207&lt;35,"Solid",TRUE,"Blowout")</f>
        <v>Fail</v>
      </c>
    </row>
    <row r="208" spans="1:13" x14ac:dyDescent="0.25">
      <c r="A208" s="169">
        <f t="shared" ca="1" si="20"/>
        <v>80.856178792079817</v>
      </c>
      <c r="B208" s="168">
        <f t="shared" ca="1" si="21"/>
        <v>1.5278447138873359</v>
      </c>
      <c r="C208" s="168">
        <f t="shared" ca="1" si="22"/>
        <v>79.328334078192484</v>
      </c>
      <c r="D208" s="184">
        <f t="shared" ca="1" si="23"/>
        <v>10.025614608317394</v>
      </c>
      <c r="E208" s="230">
        <f t="shared" ca="1" si="24"/>
        <v>3.9087401558991575E-20</v>
      </c>
      <c r="F208" s="168">
        <f t="shared" ca="1" si="25"/>
        <v>13.827185157564484</v>
      </c>
      <c r="G208" s="168">
        <f t="shared" ca="1" si="26"/>
        <v>12.299340443677149</v>
      </c>
      <c r="H208" s="184">
        <f t="shared" ca="1" si="27"/>
        <v>1.5544061104731595</v>
      </c>
      <c r="I208" s="184">
        <f t="shared" ca="1" si="28"/>
        <v>6.0737269897191207E-2</v>
      </c>
      <c r="J208" s="223">
        <f t="shared" ca="1" si="29"/>
        <v>0</v>
      </c>
      <c r="K208" s="220" t="str" cm="1">
        <f t="array" aca="1" ref="K208" ca="1">_xlfn.IFS(G208&lt;$B$11,"Fail",G208&lt;25,"Marginal",G208&lt;35,"Solid",TRUE,"Blowout")</f>
        <v>Fail</v>
      </c>
      <c r="L208" s="226">
        <f ca="1">IF(AND(E208&lt;$B$10,C208&gt;=$B$11),1,0)</f>
        <v>1</v>
      </c>
      <c r="M208" s="217" t="str" cm="1">
        <f t="array" aca="1" ref="M208" ca="1">_xlfn.IFS(C208&lt;$B$11,"Fail",C208&lt;25,"Marginal",C208&lt;35,"Solid",TRUE,"Blowout")</f>
        <v>Blowout</v>
      </c>
    </row>
    <row r="209" spans="1:13" x14ac:dyDescent="0.25">
      <c r="A209" s="169">
        <f t="shared" ref="A209:A272" ca="1" si="30">NORMINV(RAND(), MAX(0, NORMINV(RAND(), $B$6, $B$12)), $B$7/SQRT($B$9))</f>
        <v>11.966426003766429</v>
      </c>
      <c r="B209" s="168">
        <f t="shared" ref="B209:B272" ca="1" si="31">NORMINV(RAND(), $B$8, $B$7/SQRT($B$9))</f>
        <v>11.973698046491293</v>
      </c>
      <c r="C209" s="168">
        <f t="shared" ref="C209:C272" ca="1" si="32">A209-B209</f>
        <v>-7.2720427248640362E-3</v>
      </c>
      <c r="D209" s="184">
        <f t="shared" ref="D209:D272" ca="1" si="33">C209/($B$7*SQRT(2/$B$9))</f>
        <v>-9.1904990344108715E-4</v>
      </c>
      <c r="E209" s="230">
        <f t="shared" ref="E209:E272" ca="1" si="34">_xlfn.T.DIST.RT(D209, 2*$B$9-2)</f>
        <v>0.50036624600794599</v>
      </c>
      <c r="F209" s="168">
        <f t="shared" ref="F209:F272" ca="1" si="35">NORMINV(RAND(), MAX(0, NORMINV(RAND(), $N$7, $N$8)), $B$7/SQRT($B$9))</f>
        <v>27.442334903165779</v>
      </c>
      <c r="G209" s="168">
        <f t="shared" ref="G209:G272" ca="1" si="36">F209-B209</f>
        <v>15.468636856674486</v>
      </c>
      <c r="H209" s="184">
        <f t="shared" ref="H209:H272" ca="1" si="37">G209/($B$7*SQRT(2/$B$9))</f>
        <v>1.9549457762237956</v>
      </c>
      <c r="I209" s="184">
        <f t="shared" ref="I209:I272" ca="1" si="38">_xlfn.T.DIST.RT(H209, 2*$B$9-2)</f>
        <v>2.5905763107848496E-2</v>
      </c>
      <c r="J209" s="223">
        <f t="shared" ref="J209:J272" ca="1" si="39">IF(AND(I209&lt;$B$10, G209&gt;=$B$11), 1, 0)</f>
        <v>0</v>
      </c>
      <c r="K209" s="220" t="str" cm="1">
        <f t="array" aca="1" ref="K209" ca="1">_xlfn.IFS(G209&lt;$B$11,"Fail",G209&lt;25,"Marginal",G209&lt;35,"Solid",TRUE,"Blowout")</f>
        <v>Fail</v>
      </c>
      <c r="L209" s="226">
        <f ca="1">IF(AND(E209&lt;$B$10,C209&gt;=$B$11),1,0)</f>
        <v>0</v>
      </c>
      <c r="M209" s="217" t="str" cm="1">
        <f t="array" aca="1" ref="M209" ca="1">_xlfn.IFS(C209&lt;$B$11,"Fail",C209&lt;25,"Marginal",C209&lt;35,"Solid",TRUE,"Blowout")</f>
        <v>Fail</v>
      </c>
    </row>
    <row r="210" spans="1:13" x14ac:dyDescent="0.25">
      <c r="A210" s="169">
        <f t="shared" ca="1" si="30"/>
        <v>38.027747458804001</v>
      </c>
      <c r="B210" s="168">
        <f t="shared" ca="1" si="31"/>
        <v>7.7480332890942831</v>
      </c>
      <c r="C210" s="168">
        <f t="shared" ca="1" si="32"/>
        <v>30.279714169709717</v>
      </c>
      <c r="D210" s="184">
        <f t="shared" ca="1" si="33"/>
        <v>3.826788350506527</v>
      </c>
      <c r="E210" s="230">
        <f t="shared" ca="1" si="34"/>
        <v>8.3848724163801557E-5</v>
      </c>
      <c r="F210" s="168">
        <f t="shared" ca="1" si="35"/>
        <v>61.800772159631819</v>
      </c>
      <c r="G210" s="168">
        <f t="shared" ca="1" si="36"/>
        <v>54.052738870537539</v>
      </c>
      <c r="H210" s="184">
        <f t="shared" ca="1" si="37"/>
        <v>6.8312531044188312</v>
      </c>
      <c r="I210" s="184">
        <f t="shared" ca="1" si="38"/>
        <v>3.7878648219126481E-11</v>
      </c>
      <c r="J210" s="223">
        <f t="shared" ca="1" si="39"/>
        <v>1</v>
      </c>
      <c r="K210" s="220" t="str" cm="1">
        <f t="array" aca="1" ref="K210" ca="1">_xlfn.IFS(G210&lt;$B$11,"Fail",G210&lt;25,"Marginal",G210&lt;35,"Solid",TRUE,"Blowout")</f>
        <v>Blowout</v>
      </c>
      <c r="L210" s="226">
        <f ca="1">IF(AND(E210&lt;$B$10,C210&gt;=$B$11),1,0)</f>
        <v>1</v>
      </c>
      <c r="M210" s="217" t="str" cm="1">
        <f t="array" aca="1" ref="M210" ca="1">_xlfn.IFS(C210&lt;$B$11,"Fail",C210&lt;25,"Marginal",C210&lt;35,"Solid",TRUE,"Blowout")</f>
        <v>Solid</v>
      </c>
    </row>
    <row r="211" spans="1:13" x14ac:dyDescent="0.25">
      <c r="A211" s="169">
        <f t="shared" ca="1" si="30"/>
        <v>23.727401613768563</v>
      </c>
      <c r="B211" s="168">
        <f t="shared" ca="1" si="31"/>
        <v>4.5863326410315866</v>
      </c>
      <c r="C211" s="168">
        <f t="shared" ca="1" si="32"/>
        <v>19.141068972736978</v>
      </c>
      <c r="D211" s="184">
        <f t="shared" ca="1" si="33"/>
        <v>2.4190723647710715</v>
      </c>
      <c r="E211" s="230">
        <f t="shared" ca="1" si="34"/>
        <v>8.1721822046536014E-3</v>
      </c>
      <c r="F211" s="168">
        <f t="shared" ca="1" si="35"/>
        <v>30.983578692352179</v>
      </c>
      <c r="G211" s="168">
        <f t="shared" ca="1" si="36"/>
        <v>26.397246051320593</v>
      </c>
      <c r="H211" s="184">
        <f t="shared" ca="1" si="37"/>
        <v>3.3361171478857616</v>
      </c>
      <c r="I211" s="184">
        <f t="shared" ca="1" si="38"/>
        <v>4.9588910105951471E-4</v>
      </c>
      <c r="J211" s="223">
        <f t="shared" ca="1" si="39"/>
        <v>1</v>
      </c>
      <c r="K211" s="220" t="str" cm="1">
        <f t="array" aca="1" ref="K211" ca="1">_xlfn.IFS(G211&lt;$B$11,"Fail",G211&lt;25,"Marginal",G211&lt;35,"Solid",TRUE,"Blowout")</f>
        <v>Solid</v>
      </c>
      <c r="L211" s="226">
        <f ca="1">IF(AND(E211&lt;$B$10,C211&gt;=$B$11),1,0)</f>
        <v>0</v>
      </c>
      <c r="M211" s="217" t="str" cm="1">
        <f t="array" aca="1" ref="M211" ca="1">_xlfn.IFS(C211&lt;$B$11,"Fail",C211&lt;25,"Marginal",C211&lt;35,"Solid",TRUE,"Blowout")</f>
        <v>Fail</v>
      </c>
    </row>
    <row r="212" spans="1:13" x14ac:dyDescent="0.25">
      <c r="A212" s="169">
        <f t="shared" ca="1" si="30"/>
        <v>-3.8995608562429398</v>
      </c>
      <c r="B212" s="168">
        <f t="shared" ca="1" si="31"/>
        <v>6.9147891086470592</v>
      </c>
      <c r="C212" s="168">
        <f t="shared" ca="1" si="32"/>
        <v>-10.814349964889999</v>
      </c>
      <c r="D212" s="184">
        <f t="shared" ca="1" si="33"/>
        <v>-1.3667311465357355</v>
      </c>
      <c r="E212" s="230">
        <f t="shared" ca="1" si="34"/>
        <v>0.91347211561808683</v>
      </c>
      <c r="F212" s="168">
        <f t="shared" ca="1" si="35"/>
        <v>32.869200496658685</v>
      </c>
      <c r="G212" s="168">
        <f t="shared" ca="1" si="36"/>
        <v>25.954411388011625</v>
      </c>
      <c r="H212" s="184">
        <f t="shared" ca="1" si="37"/>
        <v>3.2801511463160882</v>
      </c>
      <c r="I212" s="184">
        <f t="shared" ca="1" si="38"/>
        <v>6.000160576334272E-4</v>
      </c>
      <c r="J212" s="223">
        <f t="shared" ca="1" si="39"/>
        <v>1</v>
      </c>
      <c r="K212" s="220" t="str" cm="1">
        <f t="array" aca="1" ref="K212" ca="1">_xlfn.IFS(G212&lt;$B$11,"Fail",G212&lt;25,"Marginal",G212&lt;35,"Solid",TRUE,"Blowout")</f>
        <v>Solid</v>
      </c>
      <c r="L212" s="226">
        <f ca="1">IF(AND(E212&lt;$B$10,C212&gt;=$B$11),1,0)</f>
        <v>0</v>
      </c>
      <c r="M212" s="217" t="str" cm="1">
        <f t="array" aca="1" ref="M212" ca="1">_xlfn.IFS(C212&lt;$B$11,"Fail",C212&lt;25,"Marginal",C212&lt;35,"Solid",TRUE,"Blowout")</f>
        <v>Fail</v>
      </c>
    </row>
    <row r="213" spans="1:13" x14ac:dyDescent="0.25">
      <c r="A213" s="169">
        <f t="shared" ca="1" si="30"/>
        <v>22.672537265383202</v>
      </c>
      <c r="B213" s="168">
        <f t="shared" ca="1" si="31"/>
        <v>-2.720934933610307</v>
      </c>
      <c r="C213" s="168">
        <f t="shared" ca="1" si="32"/>
        <v>25.393472198993507</v>
      </c>
      <c r="D213" s="184">
        <f t="shared" ca="1" si="33"/>
        <v>3.20925894628256</v>
      </c>
      <c r="E213" s="230">
        <f t="shared" ca="1" si="34"/>
        <v>7.6111552702300947E-4</v>
      </c>
      <c r="F213" s="168">
        <f t="shared" ca="1" si="35"/>
        <v>21.494732820719815</v>
      </c>
      <c r="G213" s="168">
        <f t="shared" ca="1" si="36"/>
        <v>24.21566775433012</v>
      </c>
      <c r="H213" s="184">
        <f t="shared" ca="1" si="37"/>
        <v>3.0604065395936808</v>
      </c>
      <c r="I213" s="184">
        <f t="shared" ca="1" si="38"/>
        <v>1.2376351168263695E-3</v>
      </c>
      <c r="J213" s="223">
        <f t="shared" ca="1" si="39"/>
        <v>1</v>
      </c>
      <c r="K213" s="220" t="str" cm="1">
        <f t="array" aca="1" ref="K213" ca="1">_xlfn.IFS(G213&lt;$B$11,"Fail",G213&lt;25,"Marginal",G213&lt;35,"Solid",TRUE,"Blowout")</f>
        <v>Marginal</v>
      </c>
      <c r="L213" s="226">
        <f ca="1">IF(AND(E213&lt;$B$10,C213&gt;=$B$11),1,0)</f>
        <v>1</v>
      </c>
      <c r="M213" s="217" t="str" cm="1">
        <f t="array" aca="1" ref="M213" ca="1">_xlfn.IFS(C213&lt;$B$11,"Fail",C213&lt;25,"Marginal",C213&lt;35,"Solid",TRUE,"Blowout")</f>
        <v>Solid</v>
      </c>
    </row>
    <row r="214" spans="1:13" x14ac:dyDescent="0.25">
      <c r="A214" s="169">
        <f t="shared" ca="1" si="30"/>
        <v>30.282013037269447</v>
      </c>
      <c r="B214" s="168">
        <f t="shared" ca="1" si="31"/>
        <v>10.610732931636338</v>
      </c>
      <c r="C214" s="168">
        <f t="shared" ca="1" si="32"/>
        <v>19.671280105633109</v>
      </c>
      <c r="D214" s="184">
        <f t="shared" ca="1" si="33"/>
        <v>2.4860811144344184</v>
      </c>
      <c r="E214" s="230">
        <f t="shared" ca="1" si="34"/>
        <v>6.8167855016268951E-3</v>
      </c>
      <c r="F214" s="168">
        <f t="shared" ca="1" si="35"/>
        <v>39.70912941951778</v>
      </c>
      <c r="G214" s="168">
        <f t="shared" ca="1" si="36"/>
        <v>29.098396487881441</v>
      </c>
      <c r="H214" s="184">
        <f t="shared" ca="1" si="37"/>
        <v>3.6774919364872014</v>
      </c>
      <c r="I214" s="184">
        <f t="shared" ca="1" si="38"/>
        <v>1.46908719416888E-4</v>
      </c>
      <c r="J214" s="223">
        <f t="shared" ca="1" si="39"/>
        <v>1</v>
      </c>
      <c r="K214" s="220" t="str" cm="1">
        <f t="array" aca="1" ref="K214" ca="1">_xlfn.IFS(G214&lt;$B$11,"Fail",G214&lt;25,"Marginal",G214&lt;35,"Solid",TRUE,"Blowout")</f>
        <v>Solid</v>
      </c>
      <c r="L214" s="226">
        <f ca="1">IF(AND(E214&lt;$B$10,C214&gt;=$B$11),1,0)</f>
        <v>0</v>
      </c>
      <c r="M214" s="217" t="str" cm="1">
        <f t="array" aca="1" ref="M214" ca="1">_xlfn.IFS(C214&lt;$B$11,"Fail",C214&lt;25,"Marginal",C214&lt;35,"Solid",TRUE,"Blowout")</f>
        <v>Fail</v>
      </c>
    </row>
    <row r="215" spans="1:13" x14ac:dyDescent="0.25">
      <c r="A215" s="169">
        <f t="shared" ca="1" si="30"/>
        <v>28.176750471056966</v>
      </c>
      <c r="B215" s="168">
        <f t="shared" ca="1" si="31"/>
        <v>7.4512364749329976</v>
      </c>
      <c r="C215" s="168">
        <f t="shared" ca="1" si="32"/>
        <v>20.725513996123968</v>
      </c>
      <c r="D215" s="184">
        <f t="shared" ca="1" si="33"/>
        <v>2.6193165191092529</v>
      </c>
      <c r="E215" s="230">
        <f t="shared" ca="1" si="34"/>
        <v>4.7009397192506203E-3</v>
      </c>
      <c r="F215" s="168">
        <f t="shared" ca="1" si="35"/>
        <v>26.382510828741687</v>
      </c>
      <c r="G215" s="168">
        <f t="shared" ca="1" si="36"/>
        <v>18.931274353808689</v>
      </c>
      <c r="H215" s="184">
        <f t="shared" ca="1" si="37"/>
        <v>2.3925582570349802</v>
      </c>
      <c r="I215" s="184">
        <f t="shared" ca="1" si="38"/>
        <v>8.7711137299155556E-3</v>
      </c>
      <c r="J215" s="223">
        <f t="shared" ca="1" si="39"/>
        <v>0</v>
      </c>
      <c r="K215" s="220" t="str" cm="1">
        <f t="array" aca="1" ref="K215" ca="1">_xlfn.IFS(G215&lt;$B$11,"Fail",G215&lt;25,"Marginal",G215&lt;35,"Solid",TRUE,"Blowout")</f>
        <v>Fail</v>
      </c>
      <c r="L215" s="226">
        <f ca="1">IF(AND(E215&lt;$B$10,C215&gt;=$B$11),1,0)</f>
        <v>1</v>
      </c>
      <c r="M215" s="217" t="str" cm="1">
        <f t="array" aca="1" ref="M215" ca="1">_xlfn.IFS(C215&lt;$B$11,"Fail",C215&lt;25,"Marginal",C215&lt;35,"Solid",TRUE,"Blowout")</f>
        <v>Marginal</v>
      </c>
    </row>
    <row r="216" spans="1:13" x14ac:dyDescent="0.25">
      <c r="A216" s="169">
        <f t="shared" ca="1" si="30"/>
        <v>2.9572411466459734</v>
      </c>
      <c r="B216" s="168">
        <f t="shared" ca="1" si="31"/>
        <v>12.665297045752462</v>
      </c>
      <c r="C216" s="168">
        <f t="shared" ca="1" si="32"/>
        <v>-9.7080558991064887</v>
      </c>
      <c r="D216" s="184">
        <f t="shared" ca="1" si="33"/>
        <v>-1.2269163114469066</v>
      </c>
      <c r="E216" s="230">
        <f t="shared" ca="1" si="34"/>
        <v>0.88944026627351103</v>
      </c>
      <c r="F216" s="168">
        <f t="shared" ca="1" si="35"/>
        <v>22.247039482159735</v>
      </c>
      <c r="G216" s="168">
        <f t="shared" ca="1" si="36"/>
        <v>9.5817424364072732</v>
      </c>
      <c r="H216" s="184">
        <f t="shared" ca="1" si="37"/>
        <v>1.2109526572043232</v>
      </c>
      <c r="I216" s="184">
        <f t="shared" ca="1" si="38"/>
        <v>0.11358363106759715</v>
      </c>
      <c r="J216" s="223">
        <f t="shared" ca="1" si="39"/>
        <v>0</v>
      </c>
      <c r="K216" s="220" t="str" cm="1">
        <f t="array" aca="1" ref="K216" ca="1">_xlfn.IFS(G216&lt;$B$11,"Fail",G216&lt;25,"Marginal",G216&lt;35,"Solid",TRUE,"Blowout")</f>
        <v>Fail</v>
      </c>
      <c r="L216" s="226">
        <f ca="1">IF(AND(E216&lt;$B$10,C216&gt;=$B$11),1,0)</f>
        <v>0</v>
      </c>
      <c r="M216" s="217" t="str" cm="1">
        <f t="array" aca="1" ref="M216" ca="1">_xlfn.IFS(C216&lt;$B$11,"Fail",C216&lt;25,"Marginal",C216&lt;35,"Solid",TRUE,"Blowout")</f>
        <v>Fail</v>
      </c>
    </row>
    <row r="217" spans="1:13" x14ac:dyDescent="0.25">
      <c r="A217" s="169">
        <f t="shared" ca="1" si="30"/>
        <v>46.117364936297633</v>
      </c>
      <c r="B217" s="168">
        <f t="shared" ca="1" si="31"/>
        <v>2.5770736330290509</v>
      </c>
      <c r="C217" s="168">
        <f t="shared" ca="1" si="32"/>
        <v>43.540291303268582</v>
      </c>
      <c r="D217" s="184">
        <f t="shared" ca="1" si="33"/>
        <v>5.502676762506777</v>
      </c>
      <c r="E217" s="230">
        <f t="shared" ca="1" si="34"/>
        <v>5.0124485592641529E-8</v>
      </c>
      <c r="F217" s="168">
        <f t="shared" ca="1" si="35"/>
        <v>8.1135803909282114</v>
      </c>
      <c r="G217" s="168">
        <f t="shared" ca="1" si="36"/>
        <v>5.5365067578991605</v>
      </c>
      <c r="H217" s="184">
        <f t="shared" ca="1" si="37"/>
        <v>0.69971068567165018</v>
      </c>
      <c r="I217" s="184">
        <f t="shared" ca="1" si="38"/>
        <v>0.24241063746417929</v>
      </c>
      <c r="J217" s="223">
        <f t="shared" ca="1" si="39"/>
        <v>0</v>
      </c>
      <c r="K217" s="220" t="str" cm="1">
        <f t="array" aca="1" ref="K217" ca="1">_xlfn.IFS(G217&lt;$B$11,"Fail",G217&lt;25,"Marginal",G217&lt;35,"Solid",TRUE,"Blowout")</f>
        <v>Fail</v>
      </c>
      <c r="L217" s="226">
        <f ca="1">IF(AND(E217&lt;$B$10,C217&gt;=$B$11),1,0)</f>
        <v>1</v>
      </c>
      <c r="M217" s="217" t="str" cm="1">
        <f t="array" aca="1" ref="M217" ca="1">_xlfn.IFS(C217&lt;$B$11,"Fail",C217&lt;25,"Marginal",C217&lt;35,"Solid",TRUE,"Blowout")</f>
        <v>Blowout</v>
      </c>
    </row>
    <row r="218" spans="1:13" x14ac:dyDescent="0.25">
      <c r="A218" s="169">
        <f t="shared" ca="1" si="30"/>
        <v>19.418205451160098</v>
      </c>
      <c r="B218" s="168">
        <f t="shared" ca="1" si="31"/>
        <v>17.387763969045352</v>
      </c>
      <c r="C218" s="168">
        <f t="shared" ca="1" si="32"/>
        <v>2.0304414821147461</v>
      </c>
      <c r="D218" s="184">
        <f t="shared" ca="1" si="33"/>
        <v>0.25660974758852573</v>
      </c>
      <c r="E218" s="230">
        <f t="shared" ca="1" si="34"/>
        <v>0.3988557247933508</v>
      </c>
      <c r="F218" s="168">
        <f t="shared" ca="1" si="35"/>
        <v>6.8955640110917225</v>
      </c>
      <c r="G218" s="168">
        <f t="shared" ca="1" si="36"/>
        <v>-10.49219995795363</v>
      </c>
      <c r="H218" s="184">
        <f t="shared" ca="1" si="37"/>
        <v>-1.3260174235874218</v>
      </c>
      <c r="I218" s="184">
        <f t="shared" ca="1" si="38"/>
        <v>0.90691959764880148</v>
      </c>
      <c r="J218" s="223">
        <f t="shared" ca="1" si="39"/>
        <v>0</v>
      </c>
      <c r="K218" s="220" t="str" cm="1">
        <f t="array" aca="1" ref="K218" ca="1">_xlfn.IFS(G218&lt;$B$11,"Fail",G218&lt;25,"Marginal",G218&lt;35,"Solid",TRUE,"Blowout")</f>
        <v>Fail</v>
      </c>
      <c r="L218" s="226">
        <f ca="1">IF(AND(E218&lt;$B$10,C218&gt;=$B$11),1,0)</f>
        <v>0</v>
      </c>
      <c r="M218" s="217" t="str" cm="1">
        <f t="array" aca="1" ref="M218" ca="1">_xlfn.IFS(C218&lt;$B$11,"Fail",C218&lt;25,"Marginal",C218&lt;35,"Solid",TRUE,"Blowout")</f>
        <v>Fail</v>
      </c>
    </row>
    <row r="219" spans="1:13" x14ac:dyDescent="0.25">
      <c r="A219" s="169">
        <f t="shared" ca="1" si="30"/>
        <v>35.836764668057256</v>
      </c>
      <c r="B219" s="168">
        <f t="shared" ca="1" si="31"/>
        <v>-5.7300700462213303</v>
      </c>
      <c r="C219" s="168">
        <f t="shared" ca="1" si="32"/>
        <v>41.566834714278585</v>
      </c>
      <c r="D219" s="184">
        <f t="shared" ca="1" si="33"/>
        <v>5.2532688373642111</v>
      </c>
      <c r="E219" s="230">
        <f t="shared" ca="1" si="34"/>
        <v>1.7125960400416058E-7</v>
      </c>
      <c r="F219" s="168">
        <f t="shared" ca="1" si="35"/>
        <v>23.912389808515815</v>
      </c>
      <c r="G219" s="168">
        <f t="shared" ca="1" si="36"/>
        <v>29.642459854737147</v>
      </c>
      <c r="H219" s="184">
        <f t="shared" ca="1" si="37"/>
        <v>3.7462513488961706</v>
      </c>
      <c r="I219" s="184">
        <f t="shared" ca="1" si="38"/>
        <v>1.1371381351517531E-4</v>
      </c>
      <c r="J219" s="223">
        <f t="shared" ca="1" si="39"/>
        <v>1</v>
      </c>
      <c r="K219" s="220" t="str" cm="1">
        <f t="array" aca="1" ref="K219" ca="1">_xlfn.IFS(G219&lt;$B$11,"Fail",G219&lt;25,"Marginal",G219&lt;35,"Solid",TRUE,"Blowout")</f>
        <v>Solid</v>
      </c>
      <c r="L219" s="226">
        <f ca="1">IF(AND(E219&lt;$B$10,C219&gt;=$B$11),1,0)</f>
        <v>1</v>
      </c>
      <c r="M219" s="217" t="str" cm="1">
        <f t="array" aca="1" ref="M219" ca="1">_xlfn.IFS(C219&lt;$B$11,"Fail",C219&lt;25,"Marginal",C219&lt;35,"Solid",TRUE,"Blowout")</f>
        <v>Blowout</v>
      </c>
    </row>
    <row r="220" spans="1:13" x14ac:dyDescent="0.25">
      <c r="A220" s="169">
        <f t="shared" ca="1" si="30"/>
        <v>47.687729063034411</v>
      </c>
      <c r="B220" s="168">
        <f t="shared" ca="1" si="31"/>
        <v>3.175696026272175</v>
      </c>
      <c r="C220" s="168">
        <f t="shared" ca="1" si="32"/>
        <v>44.512033036762233</v>
      </c>
      <c r="D220" s="184">
        <f t="shared" ca="1" si="33"/>
        <v>5.6254867046545955</v>
      </c>
      <c r="E220" s="230">
        <f t="shared" ca="1" si="34"/>
        <v>2.696881749783347E-8</v>
      </c>
      <c r="F220" s="168">
        <f t="shared" ca="1" si="35"/>
        <v>21.150945452225255</v>
      </c>
      <c r="G220" s="168">
        <f t="shared" ca="1" si="36"/>
        <v>17.975249425953081</v>
      </c>
      <c r="H220" s="184">
        <f t="shared" ca="1" si="37"/>
        <v>2.2717346245460228</v>
      </c>
      <c r="I220" s="184">
        <f t="shared" ca="1" si="38"/>
        <v>1.2017675982499242E-2</v>
      </c>
      <c r="J220" s="223">
        <f t="shared" ca="1" si="39"/>
        <v>0</v>
      </c>
      <c r="K220" s="220" t="str" cm="1">
        <f t="array" aca="1" ref="K220" ca="1">_xlfn.IFS(G220&lt;$B$11,"Fail",G220&lt;25,"Marginal",G220&lt;35,"Solid",TRUE,"Blowout")</f>
        <v>Fail</v>
      </c>
      <c r="L220" s="226">
        <f ca="1">IF(AND(E220&lt;$B$10,C220&gt;=$B$11),1,0)</f>
        <v>1</v>
      </c>
      <c r="M220" s="217" t="str" cm="1">
        <f t="array" aca="1" ref="M220" ca="1">_xlfn.IFS(C220&lt;$B$11,"Fail",C220&lt;25,"Marginal",C220&lt;35,"Solid",TRUE,"Blowout")</f>
        <v>Blowout</v>
      </c>
    </row>
    <row r="221" spans="1:13" x14ac:dyDescent="0.25">
      <c r="A221" s="169">
        <f t="shared" ca="1" si="30"/>
        <v>37.398504136050477</v>
      </c>
      <c r="B221" s="168">
        <f t="shared" ca="1" si="31"/>
        <v>9.3162122835845125</v>
      </c>
      <c r="C221" s="168">
        <f t="shared" ca="1" si="32"/>
        <v>28.082291852465964</v>
      </c>
      <c r="D221" s="184">
        <f t="shared" ca="1" si="33"/>
        <v>3.549075355012552</v>
      </c>
      <c r="E221" s="230">
        <f t="shared" ca="1" si="34"/>
        <v>2.3468628317008404E-4</v>
      </c>
      <c r="F221" s="168">
        <f t="shared" ca="1" si="35"/>
        <v>32.386355089972149</v>
      </c>
      <c r="G221" s="168">
        <f t="shared" ca="1" si="36"/>
        <v>23.070142806387636</v>
      </c>
      <c r="H221" s="184">
        <f t="shared" ca="1" si="37"/>
        <v>2.915633656288656</v>
      </c>
      <c r="I221" s="184">
        <f t="shared" ca="1" si="38"/>
        <v>1.9518798867217226E-3</v>
      </c>
      <c r="J221" s="223">
        <f t="shared" ca="1" si="39"/>
        <v>1</v>
      </c>
      <c r="K221" s="220" t="str" cm="1">
        <f t="array" aca="1" ref="K221" ca="1">_xlfn.IFS(G221&lt;$B$11,"Fail",G221&lt;25,"Marginal",G221&lt;35,"Solid",TRUE,"Blowout")</f>
        <v>Marginal</v>
      </c>
      <c r="L221" s="226">
        <f ca="1">IF(AND(E221&lt;$B$10,C221&gt;=$B$11),1,0)</f>
        <v>1</v>
      </c>
      <c r="M221" s="217" t="str" cm="1">
        <f t="array" aca="1" ref="M221" ca="1">_xlfn.IFS(C221&lt;$B$11,"Fail",C221&lt;25,"Marginal",C221&lt;35,"Solid",TRUE,"Blowout")</f>
        <v>Solid</v>
      </c>
    </row>
    <row r="222" spans="1:13" x14ac:dyDescent="0.25">
      <c r="A222" s="169">
        <f t="shared" ca="1" si="30"/>
        <v>1.3694376911192769</v>
      </c>
      <c r="B222" s="168">
        <f t="shared" ca="1" si="31"/>
        <v>2.6103841517456234</v>
      </c>
      <c r="C222" s="168">
        <f t="shared" ca="1" si="32"/>
        <v>-1.2409464606263465</v>
      </c>
      <c r="D222" s="184">
        <f t="shared" ca="1" si="33"/>
        <v>-0.15683237406110348</v>
      </c>
      <c r="E222" s="230">
        <f t="shared" ca="1" si="34"/>
        <v>0.56224212756869685</v>
      </c>
      <c r="F222" s="168">
        <f t="shared" ca="1" si="35"/>
        <v>2.6741781676616343</v>
      </c>
      <c r="G222" s="168">
        <f t="shared" ca="1" si="36"/>
        <v>6.379401591601086E-2</v>
      </c>
      <c r="H222" s="184">
        <f t="shared" ca="1" si="37"/>
        <v>8.0623679461158757E-3</v>
      </c>
      <c r="I222" s="184">
        <f t="shared" ca="1" si="38"/>
        <v>0.49678714033735882</v>
      </c>
      <c r="J222" s="223">
        <f t="shared" ca="1" si="39"/>
        <v>0</v>
      </c>
      <c r="K222" s="220" t="str" cm="1">
        <f t="array" aca="1" ref="K222" ca="1">_xlfn.IFS(G222&lt;$B$11,"Fail",G222&lt;25,"Marginal",G222&lt;35,"Solid",TRUE,"Blowout")</f>
        <v>Fail</v>
      </c>
      <c r="L222" s="226">
        <f ca="1">IF(AND(E222&lt;$B$10,C222&gt;=$B$11),1,0)</f>
        <v>0</v>
      </c>
      <c r="M222" s="217" t="str" cm="1">
        <f t="array" aca="1" ref="M222" ca="1">_xlfn.IFS(C222&lt;$B$11,"Fail",C222&lt;25,"Marginal",C222&lt;35,"Solid",TRUE,"Blowout")</f>
        <v>Fail</v>
      </c>
    </row>
    <row r="223" spans="1:13" x14ac:dyDescent="0.25">
      <c r="A223" s="169">
        <f t="shared" ca="1" si="30"/>
        <v>19.306277113304148</v>
      </c>
      <c r="B223" s="168">
        <f t="shared" ca="1" si="31"/>
        <v>6.1404267866784199</v>
      </c>
      <c r="C223" s="168">
        <f t="shared" ca="1" si="32"/>
        <v>13.165850326625728</v>
      </c>
      <c r="D223" s="184">
        <f t="shared" ca="1" si="33"/>
        <v>1.6639167190304722</v>
      </c>
      <c r="E223" s="230">
        <f t="shared" ca="1" si="34"/>
        <v>4.8751420688553211E-2</v>
      </c>
      <c r="F223" s="168">
        <f t="shared" ca="1" si="35"/>
        <v>24.122327143585089</v>
      </c>
      <c r="G223" s="168">
        <f t="shared" ca="1" si="36"/>
        <v>17.981900356906671</v>
      </c>
      <c r="H223" s="184">
        <f t="shared" ca="1" si="37"/>
        <v>2.2725751775628238</v>
      </c>
      <c r="I223" s="184">
        <f t="shared" ca="1" si="38"/>
        <v>1.1991878494521834E-2</v>
      </c>
      <c r="J223" s="223">
        <f t="shared" ca="1" si="39"/>
        <v>0</v>
      </c>
      <c r="K223" s="220" t="str" cm="1">
        <f t="array" aca="1" ref="K223" ca="1">_xlfn.IFS(G223&lt;$B$11,"Fail",G223&lt;25,"Marginal",G223&lt;35,"Solid",TRUE,"Blowout")</f>
        <v>Fail</v>
      </c>
      <c r="L223" s="226">
        <f ca="1">IF(AND(E223&lt;$B$10,C223&gt;=$B$11),1,0)</f>
        <v>0</v>
      </c>
      <c r="M223" s="217" t="str" cm="1">
        <f t="array" aca="1" ref="M223" ca="1">_xlfn.IFS(C223&lt;$B$11,"Fail",C223&lt;25,"Marginal",C223&lt;35,"Solid",TRUE,"Blowout")</f>
        <v>Fail</v>
      </c>
    </row>
    <row r="224" spans="1:13" x14ac:dyDescent="0.25">
      <c r="A224" s="169">
        <f t="shared" ca="1" si="30"/>
        <v>36.836460385531296</v>
      </c>
      <c r="B224" s="168">
        <f t="shared" ca="1" si="31"/>
        <v>-1.0488034326741698</v>
      </c>
      <c r="C224" s="168">
        <f t="shared" ca="1" si="32"/>
        <v>37.885263818205466</v>
      </c>
      <c r="D224" s="184">
        <f t="shared" ca="1" si="33"/>
        <v>4.7879872783080826</v>
      </c>
      <c r="E224" s="230">
        <f t="shared" ca="1" si="34"/>
        <v>1.5156062681871615E-6</v>
      </c>
      <c r="F224" s="168">
        <f t="shared" ca="1" si="35"/>
        <v>11.618215870280874</v>
      </c>
      <c r="G224" s="168">
        <f t="shared" ca="1" si="36"/>
        <v>12.667019302955044</v>
      </c>
      <c r="H224" s="184">
        <f t="shared" ca="1" si="37"/>
        <v>1.6008738270284133</v>
      </c>
      <c r="I224" s="184">
        <f t="shared" ca="1" si="38"/>
        <v>5.5394750452331332E-2</v>
      </c>
      <c r="J224" s="223">
        <f t="shared" ca="1" si="39"/>
        <v>0</v>
      </c>
      <c r="K224" s="220" t="str" cm="1">
        <f t="array" aca="1" ref="K224" ca="1">_xlfn.IFS(G224&lt;$B$11,"Fail",G224&lt;25,"Marginal",G224&lt;35,"Solid",TRUE,"Blowout")</f>
        <v>Fail</v>
      </c>
      <c r="L224" s="226">
        <f ca="1">IF(AND(E224&lt;$B$10,C224&gt;=$B$11),1,0)</f>
        <v>1</v>
      </c>
      <c r="M224" s="217" t="str" cm="1">
        <f t="array" aca="1" ref="M224" ca="1">_xlfn.IFS(C224&lt;$B$11,"Fail",C224&lt;25,"Marginal",C224&lt;35,"Solid",TRUE,"Blowout")</f>
        <v>Blowout</v>
      </c>
    </row>
    <row r="225" spans="1:13" x14ac:dyDescent="0.25">
      <c r="A225" s="169">
        <f t="shared" ca="1" si="30"/>
        <v>62.684011312428304</v>
      </c>
      <c r="B225" s="168">
        <f t="shared" ca="1" si="31"/>
        <v>-1.2940313324418558</v>
      </c>
      <c r="C225" s="168">
        <f t="shared" ca="1" si="32"/>
        <v>63.978042644870158</v>
      </c>
      <c r="D225" s="184">
        <f t="shared" ca="1" si="33"/>
        <v>8.0856254755044805</v>
      </c>
      <c r="E225" s="230">
        <f t="shared" ca="1" si="34"/>
        <v>1.8157483582449473E-14</v>
      </c>
      <c r="F225" s="168">
        <f t="shared" ca="1" si="35"/>
        <v>36.473370813916333</v>
      </c>
      <c r="G225" s="168">
        <f t="shared" ca="1" si="36"/>
        <v>37.767402146358187</v>
      </c>
      <c r="H225" s="184">
        <f t="shared" ca="1" si="37"/>
        <v>4.7730917720206554</v>
      </c>
      <c r="I225" s="184">
        <f t="shared" ca="1" si="38"/>
        <v>1.6211620876266549E-6</v>
      </c>
      <c r="J225" s="223">
        <f t="shared" ca="1" si="39"/>
        <v>1</v>
      </c>
      <c r="K225" s="220" t="str" cm="1">
        <f t="array" aca="1" ref="K225" ca="1">_xlfn.IFS(G225&lt;$B$11,"Fail",G225&lt;25,"Marginal",G225&lt;35,"Solid",TRUE,"Blowout")</f>
        <v>Blowout</v>
      </c>
      <c r="L225" s="226">
        <f ca="1">IF(AND(E225&lt;$B$10,C225&gt;=$B$11),1,0)</f>
        <v>1</v>
      </c>
      <c r="M225" s="217" t="str" cm="1">
        <f t="array" aca="1" ref="M225" ca="1">_xlfn.IFS(C225&lt;$B$11,"Fail",C225&lt;25,"Marginal",C225&lt;35,"Solid",TRUE,"Blowout")</f>
        <v>Blowout</v>
      </c>
    </row>
    <row r="226" spans="1:13" x14ac:dyDescent="0.25">
      <c r="A226" s="169">
        <f t="shared" ca="1" si="30"/>
        <v>38.610998287279571</v>
      </c>
      <c r="B226" s="168">
        <f t="shared" ca="1" si="31"/>
        <v>5.5848623109520101</v>
      </c>
      <c r="C226" s="168">
        <f t="shared" ca="1" si="32"/>
        <v>33.026135976327559</v>
      </c>
      <c r="D226" s="184">
        <f t="shared" ca="1" si="33"/>
        <v>4.1738845917800296</v>
      </c>
      <c r="E226" s="230">
        <f t="shared" ca="1" si="34"/>
        <v>2.1306961630810001E-5</v>
      </c>
      <c r="F226" s="168">
        <f t="shared" ca="1" si="35"/>
        <v>26.729299301146359</v>
      </c>
      <c r="G226" s="168">
        <f t="shared" ca="1" si="36"/>
        <v>21.14443699019435</v>
      </c>
      <c r="H226" s="184">
        <f t="shared" ca="1" si="37"/>
        <v>2.6722605338540006</v>
      </c>
      <c r="I226" s="184">
        <f t="shared" ca="1" si="38"/>
        <v>4.0390747014523581E-3</v>
      </c>
      <c r="J226" s="223">
        <f t="shared" ca="1" si="39"/>
        <v>1</v>
      </c>
      <c r="K226" s="220" t="str" cm="1">
        <f t="array" aca="1" ref="K226" ca="1">_xlfn.IFS(G226&lt;$B$11,"Fail",G226&lt;25,"Marginal",G226&lt;35,"Solid",TRUE,"Blowout")</f>
        <v>Marginal</v>
      </c>
      <c r="L226" s="226">
        <f ca="1">IF(AND(E226&lt;$B$10,C226&gt;=$B$11),1,0)</f>
        <v>1</v>
      </c>
      <c r="M226" s="217" t="str" cm="1">
        <f t="array" aca="1" ref="M226" ca="1">_xlfn.IFS(C226&lt;$B$11,"Fail",C226&lt;25,"Marginal",C226&lt;35,"Solid",TRUE,"Blowout")</f>
        <v>Solid</v>
      </c>
    </row>
    <row r="227" spans="1:13" x14ac:dyDescent="0.25">
      <c r="A227" s="169">
        <f t="shared" ca="1" si="30"/>
        <v>27.45907914355913</v>
      </c>
      <c r="B227" s="168">
        <f t="shared" ca="1" si="31"/>
        <v>5.4947383488960337</v>
      </c>
      <c r="C227" s="168">
        <f t="shared" ca="1" si="32"/>
        <v>21.964340794663094</v>
      </c>
      <c r="D227" s="184">
        <f t="shared" ca="1" si="33"/>
        <v>2.7758810076105087</v>
      </c>
      <c r="E227" s="230">
        <f t="shared" ca="1" si="34"/>
        <v>2.9812286698732812E-3</v>
      </c>
      <c r="F227" s="168">
        <f t="shared" ca="1" si="35"/>
        <v>28.607365047001075</v>
      </c>
      <c r="G227" s="168">
        <f t="shared" ca="1" si="36"/>
        <v>23.112626698105039</v>
      </c>
      <c r="H227" s="184">
        <f t="shared" ca="1" si="37"/>
        <v>2.9210028239431831</v>
      </c>
      <c r="I227" s="184">
        <f t="shared" ca="1" si="38"/>
        <v>1.9197630983038513E-3</v>
      </c>
      <c r="J227" s="223">
        <f t="shared" ca="1" si="39"/>
        <v>1</v>
      </c>
      <c r="K227" s="220" t="str" cm="1">
        <f t="array" aca="1" ref="K227" ca="1">_xlfn.IFS(G227&lt;$B$11,"Fail",G227&lt;25,"Marginal",G227&lt;35,"Solid",TRUE,"Blowout")</f>
        <v>Marginal</v>
      </c>
      <c r="L227" s="226">
        <f ca="1">IF(AND(E227&lt;$B$10,C227&gt;=$B$11),1,0)</f>
        <v>1</v>
      </c>
      <c r="M227" s="217" t="str" cm="1">
        <f t="array" aca="1" ref="M227" ca="1">_xlfn.IFS(C227&lt;$B$11,"Fail",C227&lt;25,"Marginal",C227&lt;35,"Solid",TRUE,"Blowout")</f>
        <v>Marginal</v>
      </c>
    </row>
    <row r="228" spans="1:13" x14ac:dyDescent="0.25">
      <c r="A228" s="169">
        <f t="shared" ca="1" si="30"/>
        <v>16.851350705833248</v>
      </c>
      <c r="B228" s="168">
        <f t="shared" ca="1" si="31"/>
        <v>10.342123229988585</v>
      </c>
      <c r="C228" s="168">
        <f t="shared" ca="1" si="32"/>
        <v>6.5092274758446624</v>
      </c>
      <c r="D228" s="184">
        <f t="shared" ca="1" si="33"/>
        <v>0.82264435310546924</v>
      </c>
      <c r="E228" s="230">
        <f t="shared" ca="1" si="34"/>
        <v>0.20578489853034798</v>
      </c>
      <c r="F228" s="168">
        <f t="shared" ca="1" si="35"/>
        <v>15.127897049238019</v>
      </c>
      <c r="G228" s="168">
        <f t="shared" ca="1" si="36"/>
        <v>4.7857738192494335</v>
      </c>
      <c r="H228" s="184">
        <f t="shared" ca="1" si="37"/>
        <v>0.60483211291285555</v>
      </c>
      <c r="I228" s="184">
        <f t="shared" ca="1" si="38"/>
        <v>0.27294600880360986</v>
      </c>
      <c r="J228" s="223">
        <f t="shared" ca="1" si="39"/>
        <v>0</v>
      </c>
      <c r="K228" s="220" t="str" cm="1">
        <f t="array" aca="1" ref="K228" ca="1">_xlfn.IFS(G228&lt;$B$11,"Fail",G228&lt;25,"Marginal",G228&lt;35,"Solid",TRUE,"Blowout")</f>
        <v>Fail</v>
      </c>
      <c r="L228" s="226">
        <f ca="1">IF(AND(E228&lt;$B$10,C228&gt;=$B$11),1,0)</f>
        <v>0</v>
      </c>
      <c r="M228" s="217" t="str" cm="1">
        <f t="array" aca="1" ref="M228" ca="1">_xlfn.IFS(C228&lt;$B$11,"Fail",C228&lt;25,"Marginal",C228&lt;35,"Solid",TRUE,"Blowout")</f>
        <v>Fail</v>
      </c>
    </row>
    <row r="229" spans="1:13" x14ac:dyDescent="0.25">
      <c r="A229" s="169">
        <f t="shared" ca="1" si="30"/>
        <v>37.850639372286835</v>
      </c>
      <c r="B229" s="168">
        <f t="shared" ca="1" si="31"/>
        <v>14.447490027589494</v>
      </c>
      <c r="C229" s="168">
        <f t="shared" ca="1" si="32"/>
        <v>23.40314934469734</v>
      </c>
      <c r="D229" s="184">
        <f t="shared" ca="1" si="33"/>
        <v>2.9577194413229435</v>
      </c>
      <c r="E229" s="230">
        <f t="shared" ca="1" si="34"/>
        <v>1.7127723883945253E-3</v>
      </c>
      <c r="F229" s="168">
        <f t="shared" ca="1" si="35"/>
        <v>-1.5308265706530779</v>
      </c>
      <c r="G229" s="168">
        <f t="shared" ca="1" si="36"/>
        <v>-15.978316598242571</v>
      </c>
      <c r="H229" s="184">
        <f t="shared" ca="1" si="37"/>
        <v>-2.019359742834915</v>
      </c>
      <c r="I229" s="184">
        <f t="shared" ca="1" si="38"/>
        <v>0.97768988717806937</v>
      </c>
      <c r="J229" s="223">
        <f t="shared" ca="1" si="39"/>
        <v>0</v>
      </c>
      <c r="K229" s="220" t="str" cm="1">
        <f t="array" aca="1" ref="K229" ca="1">_xlfn.IFS(G229&lt;$B$11,"Fail",G229&lt;25,"Marginal",G229&lt;35,"Solid",TRUE,"Blowout")</f>
        <v>Fail</v>
      </c>
      <c r="L229" s="226">
        <f ca="1">IF(AND(E229&lt;$B$10,C229&gt;=$B$11),1,0)</f>
        <v>1</v>
      </c>
      <c r="M229" s="217" t="str" cm="1">
        <f t="array" aca="1" ref="M229" ca="1">_xlfn.IFS(C229&lt;$B$11,"Fail",C229&lt;25,"Marginal",C229&lt;35,"Solid",TRUE,"Blowout")</f>
        <v>Marginal</v>
      </c>
    </row>
    <row r="230" spans="1:13" x14ac:dyDescent="0.25">
      <c r="A230" s="169">
        <f t="shared" ca="1" si="30"/>
        <v>30.271688451721918</v>
      </c>
      <c r="B230" s="168">
        <f t="shared" ca="1" si="31"/>
        <v>-0.14763883825087909</v>
      </c>
      <c r="C230" s="168">
        <f t="shared" ca="1" si="32"/>
        <v>30.419327289972799</v>
      </c>
      <c r="D230" s="184">
        <f t="shared" ca="1" si="33"/>
        <v>3.8444328321950327</v>
      </c>
      <c r="E230" s="230">
        <f t="shared" ca="1" si="34"/>
        <v>7.8382057653012148E-5</v>
      </c>
      <c r="F230" s="168">
        <f t="shared" ca="1" si="35"/>
        <v>68.802388955152509</v>
      </c>
      <c r="G230" s="168">
        <f t="shared" ca="1" si="36"/>
        <v>68.950027793403393</v>
      </c>
      <c r="H230" s="184">
        <f t="shared" ca="1" si="37"/>
        <v>8.713991210354509</v>
      </c>
      <c r="I230" s="184">
        <f t="shared" ca="1" si="38"/>
        <v>3.0544549150667018E-16</v>
      </c>
      <c r="J230" s="223">
        <f t="shared" ca="1" si="39"/>
        <v>1</v>
      </c>
      <c r="K230" s="220" t="str" cm="1">
        <f t="array" aca="1" ref="K230" ca="1">_xlfn.IFS(G230&lt;$B$11,"Fail",G230&lt;25,"Marginal",G230&lt;35,"Solid",TRUE,"Blowout")</f>
        <v>Blowout</v>
      </c>
      <c r="L230" s="226">
        <f ca="1">IF(AND(E230&lt;$B$10,C230&gt;=$B$11),1,0)</f>
        <v>1</v>
      </c>
      <c r="M230" s="217" t="str" cm="1">
        <f t="array" aca="1" ref="M230" ca="1">_xlfn.IFS(C230&lt;$B$11,"Fail",C230&lt;25,"Marginal",C230&lt;35,"Solid",TRUE,"Blowout")</f>
        <v>Solid</v>
      </c>
    </row>
    <row r="231" spans="1:13" x14ac:dyDescent="0.25">
      <c r="A231" s="169">
        <f t="shared" ca="1" si="30"/>
        <v>24.972197422153037</v>
      </c>
      <c r="B231" s="168">
        <f t="shared" ca="1" si="31"/>
        <v>4.8729617940074856</v>
      </c>
      <c r="C231" s="168">
        <f t="shared" ca="1" si="32"/>
        <v>20.09923562814555</v>
      </c>
      <c r="D231" s="184">
        <f t="shared" ca="1" si="33"/>
        <v>2.5401666714811824</v>
      </c>
      <c r="E231" s="230">
        <f t="shared" ca="1" si="34"/>
        <v>5.8726225094785697E-3</v>
      </c>
      <c r="F231" s="168">
        <f t="shared" ca="1" si="35"/>
        <v>29.497832842580209</v>
      </c>
      <c r="G231" s="168">
        <f t="shared" ca="1" si="36"/>
        <v>24.624871048572722</v>
      </c>
      <c r="H231" s="184">
        <f t="shared" ca="1" si="37"/>
        <v>3.1121221664526346</v>
      </c>
      <c r="I231" s="184">
        <f t="shared" ca="1" si="38"/>
        <v>1.0474145872156173E-3</v>
      </c>
      <c r="J231" s="223">
        <f t="shared" ca="1" si="39"/>
        <v>1</v>
      </c>
      <c r="K231" s="220" t="str" cm="1">
        <f t="array" aca="1" ref="K231" ca="1">_xlfn.IFS(G231&lt;$B$11,"Fail",G231&lt;25,"Marginal",G231&lt;35,"Solid",TRUE,"Blowout")</f>
        <v>Marginal</v>
      </c>
      <c r="L231" s="226">
        <f ca="1">IF(AND(E231&lt;$B$10,C231&gt;=$B$11),1,0)</f>
        <v>1</v>
      </c>
      <c r="M231" s="217" t="str" cm="1">
        <f t="array" aca="1" ref="M231" ca="1">_xlfn.IFS(C231&lt;$B$11,"Fail",C231&lt;25,"Marginal",C231&lt;35,"Solid",TRUE,"Blowout")</f>
        <v>Marginal</v>
      </c>
    </row>
    <row r="232" spans="1:13" x14ac:dyDescent="0.25">
      <c r="A232" s="169">
        <f t="shared" ca="1" si="30"/>
        <v>46.297605738781733</v>
      </c>
      <c r="B232" s="168">
        <f t="shared" ca="1" si="31"/>
        <v>11.876386532623354</v>
      </c>
      <c r="C232" s="168">
        <f t="shared" ca="1" si="32"/>
        <v>34.421219206158383</v>
      </c>
      <c r="D232" s="184">
        <f t="shared" ca="1" si="33"/>
        <v>4.3501969645449003</v>
      </c>
      <c r="E232" s="230">
        <f t="shared" ca="1" si="34"/>
        <v>1.0261084146099687E-5</v>
      </c>
      <c r="F232" s="168">
        <f t="shared" ca="1" si="35"/>
        <v>27.372201378214903</v>
      </c>
      <c r="G232" s="168">
        <f t="shared" ca="1" si="36"/>
        <v>15.49581484559155</v>
      </c>
      <c r="H232" s="184">
        <f t="shared" ca="1" si="37"/>
        <v>1.9583805646367607</v>
      </c>
      <c r="I232" s="184">
        <f t="shared" ca="1" si="38"/>
        <v>2.5702402726884507E-2</v>
      </c>
      <c r="J232" s="223">
        <f t="shared" ca="1" si="39"/>
        <v>0</v>
      </c>
      <c r="K232" s="220" t="str" cm="1">
        <f t="array" aca="1" ref="K232" ca="1">_xlfn.IFS(G232&lt;$B$11,"Fail",G232&lt;25,"Marginal",G232&lt;35,"Solid",TRUE,"Blowout")</f>
        <v>Fail</v>
      </c>
      <c r="L232" s="226">
        <f ca="1">IF(AND(E232&lt;$B$10,C232&gt;=$B$11),1,0)</f>
        <v>1</v>
      </c>
      <c r="M232" s="217" t="str" cm="1">
        <f t="array" aca="1" ref="M232" ca="1">_xlfn.IFS(C232&lt;$B$11,"Fail",C232&lt;25,"Marginal",C232&lt;35,"Solid",TRUE,"Blowout")</f>
        <v>Solid</v>
      </c>
    </row>
    <row r="233" spans="1:13" x14ac:dyDescent="0.25">
      <c r="A233" s="169">
        <f t="shared" ca="1" si="30"/>
        <v>26.547825193259513</v>
      </c>
      <c r="B233" s="168">
        <f t="shared" ca="1" si="31"/>
        <v>9.3367998849899436E-2</v>
      </c>
      <c r="C233" s="168">
        <f t="shared" ca="1" si="32"/>
        <v>26.454457194409613</v>
      </c>
      <c r="D233" s="184">
        <f t="shared" ca="1" si="33"/>
        <v>3.3433475640866925</v>
      </c>
      <c r="E233" s="230">
        <f t="shared" ca="1" si="34"/>
        <v>4.8373859902841676E-4</v>
      </c>
      <c r="F233" s="168">
        <f t="shared" ca="1" si="35"/>
        <v>0.98307991710959108</v>
      </c>
      <c r="G233" s="168">
        <f t="shared" ca="1" si="36"/>
        <v>0.88971191825969165</v>
      </c>
      <c r="H233" s="184">
        <f t="shared" ca="1" si="37"/>
        <v>0.11244291095419028</v>
      </c>
      <c r="I233" s="184">
        <f t="shared" ca="1" si="38"/>
        <v>0.45528558365335026</v>
      </c>
      <c r="J233" s="223">
        <f t="shared" ca="1" si="39"/>
        <v>0</v>
      </c>
      <c r="K233" s="220" t="str" cm="1">
        <f t="array" aca="1" ref="K233" ca="1">_xlfn.IFS(G233&lt;$B$11,"Fail",G233&lt;25,"Marginal",G233&lt;35,"Solid",TRUE,"Blowout")</f>
        <v>Fail</v>
      </c>
      <c r="L233" s="226">
        <f ca="1">IF(AND(E233&lt;$B$10,C233&gt;=$B$11),1,0)</f>
        <v>1</v>
      </c>
      <c r="M233" s="217" t="str" cm="1">
        <f t="array" aca="1" ref="M233" ca="1">_xlfn.IFS(C233&lt;$B$11,"Fail",C233&lt;25,"Marginal",C233&lt;35,"Solid",TRUE,"Blowout")</f>
        <v>Solid</v>
      </c>
    </row>
    <row r="234" spans="1:13" x14ac:dyDescent="0.25">
      <c r="A234" s="169">
        <f t="shared" ca="1" si="30"/>
        <v>17.169171293315724</v>
      </c>
      <c r="B234" s="168">
        <f t="shared" ca="1" si="31"/>
        <v>-0.91270259921479813</v>
      </c>
      <c r="C234" s="168">
        <f t="shared" ca="1" si="32"/>
        <v>18.081873892530524</v>
      </c>
      <c r="D234" s="184">
        <f t="shared" ca="1" si="33"/>
        <v>2.2852099587017758</v>
      </c>
      <c r="E234" s="230">
        <f t="shared" ca="1" si="34"/>
        <v>1.1609887997320984E-2</v>
      </c>
      <c r="F234" s="168">
        <f t="shared" ca="1" si="35"/>
        <v>47.497217341786246</v>
      </c>
      <c r="G234" s="168">
        <f t="shared" ca="1" si="36"/>
        <v>48.409919941001043</v>
      </c>
      <c r="H234" s="184">
        <f t="shared" ca="1" si="37"/>
        <v>6.1181065528186389</v>
      </c>
      <c r="I234" s="184">
        <f t="shared" ca="1" si="38"/>
        <v>2.0419171257020168E-9</v>
      </c>
      <c r="J234" s="223">
        <f t="shared" ca="1" si="39"/>
        <v>1</v>
      </c>
      <c r="K234" s="220" t="str" cm="1">
        <f t="array" aca="1" ref="K234" ca="1">_xlfn.IFS(G234&lt;$B$11,"Fail",G234&lt;25,"Marginal",G234&lt;35,"Solid",TRUE,"Blowout")</f>
        <v>Blowout</v>
      </c>
      <c r="L234" s="226">
        <f ca="1">IF(AND(E234&lt;$B$10,C234&gt;=$B$11),1,0)</f>
        <v>0</v>
      </c>
      <c r="M234" s="217" t="str" cm="1">
        <f t="array" aca="1" ref="M234" ca="1">_xlfn.IFS(C234&lt;$B$11,"Fail",C234&lt;25,"Marginal",C234&lt;35,"Solid",TRUE,"Blowout")</f>
        <v>Fail</v>
      </c>
    </row>
    <row r="235" spans="1:13" x14ac:dyDescent="0.25">
      <c r="A235" s="169">
        <f t="shared" ca="1" si="30"/>
        <v>44.204397818231158</v>
      </c>
      <c r="B235" s="168">
        <f t="shared" ca="1" si="31"/>
        <v>-0.60138279062864175</v>
      </c>
      <c r="C235" s="168">
        <f t="shared" ca="1" si="32"/>
        <v>44.805780608859799</v>
      </c>
      <c r="D235" s="184">
        <f t="shared" ca="1" si="33"/>
        <v>5.6626108921747358</v>
      </c>
      <c r="E235" s="230">
        <f t="shared" ca="1" si="34"/>
        <v>2.2318659374720881E-8</v>
      </c>
      <c r="F235" s="168">
        <f t="shared" ca="1" si="35"/>
        <v>33.282483844132159</v>
      </c>
      <c r="G235" s="168">
        <f t="shared" ca="1" si="36"/>
        <v>33.8838666347608</v>
      </c>
      <c r="H235" s="184">
        <f t="shared" ca="1" si="37"/>
        <v>4.2822856709040886</v>
      </c>
      <c r="I235" s="184">
        <f t="shared" ca="1" si="38"/>
        <v>1.3633537183135364E-5</v>
      </c>
      <c r="J235" s="223">
        <f t="shared" ca="1" si="39"/>
        <v>1</v>
      </c>
      <c r="K235" s="220" t="str" cm="1">
        <f t="array" aca="1" ref="K235" ca="1">_xlfn.IFS(G235&lt;$B$11,"Fail",G235&lt;25,"Marginal",G235&lt;35,"Solid",TRUE,"Blowout")</f>
        <v>Solid</v>
      </c>
      <c r="L235" s="226">
        <f ca="1">IF(AND(E235&lt;$B$10,C235&gt;=$B$11),1,0)</f>
        <v>1</v>
      </c>
      <c r="M235" s="217" t="str" cm="1">
        <f t="array" aca="1" ref="M235" ca="1">_xlfn.IFS(C235&lt;$B$11,"Fail",C235&lt;25,"Marginal",C235&lt;35,"Solid",TRUE,"Blowout")</f>
        <v>Blowout</v>
      </c>
    </row>
    <row r="236" spans="1:13" x14ac:dyDescent="0.25">
      <c r="A236" s="169">
        <f t="shared" ca="1" si="30"/>
        <v>22.331389376028834</v>
      </c>
      <c r="B236" s="168">
        <f t="shared" ca="1" si="31"/>
        <v>7.6405506366470997</v>
      </c>
      <c r="C236" s="168">
        <f t="shared" ca="1" si="32"/>
        <v>14.690838739381736</v>
      </c>
      <c r="D236" s="184">
        <f t="shared" ca="1" si="33"/>
        <v>1.8566466721563168</v>
      </c>
      <c r="E236" s="230">
        <f t="shared" ca="1" si="34"/>
        <v>3.2325671570580077E-2</v>
      </c>
      <c r="F236" s="168">
        <f t="shared" ca="1" si="35"/>
        <v>54.052066222080605</v>
      </c>
      <c r="G236" s="168">
        <f t="shared" ca="1" si="36"/>
        <v>46.411515585433506</v>
      </c>
      <c r="H236" s="184">
        <f t="shared" ca="1" si="37"/>
        <v>5.8655456975666596</v>
      </c>
      <c r="I236" s="184">
        <f t="shared" ca="1" si="38"/>
        <v>7.8116183890025989E-9</v>
      </c>
      <c r="J236" s="223">
        <f t="shared" ca="1" si="39"/>
        <v>1</v>
      </c>
      <c r="K236" s="220" t="str" cm="1">
        <f t="array" aca="1" ref="K236" ca="1">_xlfn.IFS(G236&lt;$B$11,"Fail",G236&lt;25,"Marginal",G236&lt;35,"Solid",TRUE,"Blowout")</f>
        <v>Blowout</v>
      </c>
      <c r="L236" s="226">
        <f ca="1">IF(AND(E236&lt;$B$10,C236&gt;=$B$11),1,0)</f>
        <v>0</v>
      </c>
      <c r="M236" s="217" t="str" cm="1">
        <f t="array" aca="1" ref="M236" ca="1">_xlfn.IFS(C236&lt;$B$11,"Fail",C236&lt;25,"Marginal",C236&lt;35,"Solid",TRUE,"Blowout")</f>
        <v>Fail</v>
      </c>
    </row>
    <row r="237" spans="1:13" x14ac:dyDescent="0.25">
      <c r="A237" s="169">
        <f t="shared" ca="1" si="30"/>
        <v>-4.9337464194455878</v>
      </c>
      <c r="B237" s="168">
        <f t="shared" ca="1" si="31"/>
        <v>10.089263590285601</v>
      </c>
      <c r="C237" s="168">
        <f t="shared" ca="1" si="32"/>
        <v>-15.023010009731188</v>
      </c>
      <c r="D237" s="184">
        <f t="shared" ca="1" si="33"/>
        <v>-1.8986268949755214</v>
      </c>
      <c r="E237" s="230">
        <f t="shared" ca="1" si="34"/>
        <v>0.97056186564837277</v>
      </c>
      <c r="F237" s="168">
        <f t="shared" ca="1" si="35"/>
        <v>23.376180587297252</v>
      </c>
      <c r="G237" s="168">
        <f t="shared" ca="1" si="36"/>
        <v>13.286916997011652</v>
      </c>
      <c r="H237" s="184">
        <f t="shared" ca="1" si="37"/>
        <v>1.6792172770631806</v>
      </c>
      <c r="I237" s="184">
        <f t="shared" ca="1" si="38"/>
        <v>4.723976652370266E-2</v>
      </c>
      <c r="J237" s="223">
        <f t="shared" ca="1" si="39"/>
        <v>0</v>
      </c>
      <c r="K237" s="220" t="str" cm="1">
        <f t="array" aca="1" ref="K237" ca="1">_xlfn.IFS(G237&lt;$B$11,"Fail",G237&lt;25,"Marginal",G237&lt;35,"Solid",TRUE,"Blowout")</f>
        <v>Fail</v>
      </c>
      <c r="L237" s="226">
        <f ca="1">IF(AND(E237&lt;$B$10,C237&gt;=$B$11),1,0)</f>
        <v>0</v>
      </c>
      <c r="M237" s="217" t="str" cm="1">
        <f t="array" aca="1" ref="M237" ca="1">_xlfn.IFS(C237&lt;$B$11,"Fail",C237&lt;25,"Marginal",C237&lt;35,"Solid",TRUE,"Blowout")</f>
        <v>Fail</v>
      </c>
    </row>
    <row r="238" spans="1:13" x14ac:dyDescent="0.25">
      <c r="A238" s="169">
        <f t="shared" ca="1" si="30"/>
        <v>19.958667212820714</v>
      </c>
      <c r="B238" s="168">
        <f t="shared" ca="1" si="31"/>
        <v>11.122841739863416</v>
      </c>
      <c r="C238" s="168">
        <f t="shared" ca="1" si="32"/>
        <v>8.835825472957298</v>
      </c>
      <c r="D238" s="184">
        <f t="shared" ca="1" si="33"/>
        <v>1.1166827334468847</v>
      </c>
      <c r="E238" s="230">
        <f t="shared" ca="1" si="34"/>
        <v>0.13265270770955759</v>
      </c>
      <c r="F238" s="168">
        <f t="shared" ca="1" si="35"/>
        <v>1.5316541123515155</v>
      </c>
      <c r="G238" s="168">
        <f t="shared" ca="1" si="36"/>
        <v>-9.5911876275118999</v>
      </c>
      <c r="H238" s="184">
        <f t="shared" ca="1" si="37"/>
        <v>-1.2121463523325173</v>
      </c>
      <c r="I238" s="184">
        <f t="shared" ca="1" si="38"/>
        <v>0.88664451625510377</v>
      </c>
      <c r="J238" s="223">
        <f t="shared" ca="1" si="39"/>
        <v>0</v>
      </c>
      <c r="K238" s="220" t="str" cm="1">
        <f t="array" aca="1" ref="K238" ca="1">_xlfn.IFS(G238&lt;$B$11,"Fail",G238&lt;25,"Marginal",G238&lt;35,"Solid",TRUE,"Blowout")</f>
        <v>Fail</v>
      </c>
      <c r="L238" s="226">
        <f ca="1">IF(AND(E238&lt;$B$10,C238&gt;=$B$11),1,0)</f>
        <v>0</v>
      </c>
      <c r="M238" s="217" t="str" cm="1">
        <f t="array" aca="1" ref="M238" ca="1">_xlfn.IFS(C238&lt;$B$11,"Fail",C238&lt;25,"Marginal",C238&lt;35,"Solid",TRUE,"Blowout")</f>
        <v>Fail</v>
      </c>
    </row>
    <row r="239" spans="1:13" x14ac:dyDescent="0.25">
      <c r="A239" s="169">
        <f t="shared" ca="1" si="30"/>
        <v>35.940228853664316</v>
      </c>
      <c r="B239" s="168">
        <f t="shared" ca="1" si="31"/>
        <v>1.9226191226631606E-2</v>
      </c>
      <c r="C239" s="168">
        <f t="shared" ca="1" si="32"/>
        <v>35.921002662437687</v>
      </c>
      <c r="D239" s="184">
        <f t="shared" ca="1" si="33"/>
        <v>4.5397414835784851</v>
      </c>
      <c r="E239" s="230">
        <f t="shared" ca="1" si="34"/>
        <v>4.5598584267271506E-6</v>
      </c>
      <c r="F239" s="168">
        <f t="shared" ca="1" si="35"/>
        <v>33.161990865485343</v>
      </c>
      <c r="G239" s="168">
        <f t="shared" ca="1" si="36"/>
        <v>33.142764674258714</v>
      </c>
      <c r="H239" s="184">
        <f t="shared" ca="1" si="37"/>
        <v>4.1886242732735939</v>
      </c>
      <c r="I239" s="184">
        <f t="shared" ca="1" si="38"/>
        <v>2.0062193829469719E-5</v>
      </c>
      <c r="J239" s="223">
        <f t="shared" ca="1" si="39"/>
        <v>1</v>
      </c>
      <c r="K239" s="220" t="str" cm="1">
        <f t="array" aca="1" ref="K239" ca="1">_xlfn.IFS(G239&lt;$B$11,"Fail",G239&lt;25,"Marginal",G239&lt;35,"Solid",TRUE,"Blowout")</f>
        <v>Solid</v>
      </c>
      <c r="L239" s="226">
        <f ca="1">IF(AND(E239&lt;$B$10,C239&gt;=$B$11),1,0)</f>
        <v>1</v>
      </c>
      <c r="M239" s="217" t="str" cm="1">
        <f t="array" aca="1" ref="M239" ca="1">_xlfn.IFS(C239&lt;$B$11,"Fail",C239&lt;25,"Marginal",C239&lt;35,"Solid",TRUE,"Blowout")</f>
        <v>Blowout</v>
      </c>
    </row>
    <row r="240" spans="1:13" x14ac:dyDescent="0.25">
      <c r="A240" s="169">
        <f t="shared" ca="1" si="30"/>
        <v>37.64700617156759</v>
      </c>
      <c r="B240" s="168">
        <f t="shared" ca="1" si="31"/>
        <v>-2.0196463067446278</v>
      </c>
      <c r="C240" s="168">
        <f t="shared" ca="1" si="32"/>
        <v>39.666652478312216</v>
      </c>
      <c r="D240" s="184">
        <f t="shared" ca="1" si="33"/>
        <v>5.0131214170920053</v>
      </c>
      <c r="E240" s="230">
        <f t="shared" ca="1" si="34"/>
        <v>5.3758567744362617E-7</v>
      </c>
      <c r="F240" s="168">
        <f t="shared" ca="1" si="35"/>
        <v>13.151500765325608</v>
      </c>
      <c r="G240" s="168">
        <f t="shared" ca="1" si="36"/>
        <v>15.171147072070235</v>
      </c>
      <c r="H240" s="184">
        <f t="shared" ca="1" si="37"/>
        <v>1.9173486431815996</v>
      </c>
      <c r="I240" s="184">
        <f t="shared" ca="1" si="38"/>
        <v>2.8221682395883612E-2</v>
      </c>
      <c r="J240" s="223">
        <f t="shared" ca="1" si="39"/>
        <v>0</v>
      </c>
      <c r="K240" s="220" t="str" cm="1">
        <f t="array" aca="1" ref="K240" ca="1">_xlfn.IFS(G240&lt;$B$11,"Fail",G240&lt;25,"Marginal",G240&lt;35,"Solid",TRUE,"Blowout")</f>
        <v>Fail</v>
      </c>
      <c r="L240" s="226">
        <f ca="1">IF(AND(E240&lt;$B$10,C240&gt;=$B$11),1,0)</f>
        <v>1</v>
      </c>
      <c r="M240" s="217" t="str" cm="1">
        <f t="array" aca="1" ref="M240" ca="1">_xlfn.IFS(C240&lt;$B$11,"Fail",C240&lt;25,"Marginal",C240&lt;35,"Solid",TRUE,"Blowout")</f>
        <v>Blowout</v>
      </c>
    </row>
    <row r="241" spans="1:13" x14ac:dyDescent="0.25">
      <c r="A241" s="169">
        <f t="shared" ca="1" si="30"/>
        <v>2.507769973530972</v>
      </c>
      <c r="B241" s="168">
        <f t="shared" ca="1" si="31"/>
        <v>7.6762451688202944</v>
      </c>
      <c r="C241" s="168">
        <f t="shared" ca="1" si="32"/>
        <v>-5.1684751952893224</v>
      </c>
      <c r="D241" s="184">
        <f t="shared" ca="1" si="33"/>
        <v>-0.65319839402581581</v>
      </c>
      <c r="E241" s="230">
        <f t="shared" ca="1" si="34"/>
        <v>0.74285673675549102</v>
      </c>
      <c r="F241" s="168">
        <f t="shared" ca="1" si="35"/>
        <v>38.753266878571367</v>
      </c>
      <c r="G241" s="168">
        <f t="shared" ca="1" si="36"/>
        <v>31.077021709751072</v>
      </c>
      <c r="H241" s="184">
        <f t="shared" ca="1" si="37"/>
        <v>3.9275530799521392</v>
      </c>
      <c r="I241" s="184">
        <f t="shared" ca="1" si="38"/>
        <v>5.6870052740880784E-5</v>
      </c>
      <c r="J241" s="223">
        <f t="shared" ca="1" si="39"/>
        <v>1</v>
      </c>
      <c r="K241" s="220" t="str" cm="1">
        <f t="array" aca="1" ref="K241" ca="1">_xlfn.IFS(G241&lt;$B$11,"Fail",G241&lt;25,"Marginal",G241&lt;35,"Solid",TRUE,"Blowout")</f>
        <v>Solid</v>
      </c>
      <c r="L241" s="226">
        <f ca="1">IF(AND(E241&lt;$B$10,C241&gt;=$B$11),1,0)</f>
        <v>0</v>
      </c>
      <c r="M241" s="217" t="str" cm="1">
        <f t="array" aca="1" ref="M241" ca="1">_xlfn.IFS(C241&lt;$B$11,"Fail",C241&lt;25,"Marginal",C241&lt;35,"Solid",TRUE,"Blowout")</f>
        <v>Fail</v>
      </c>
    </row>
    <row r="242" spans="1:13" x14ac:dyDescent="0.25">
      <c r="A242" s="169">
        <f t="shared" ca="1" si="30"/>
        <v>64.230533516805934</v>
      </c>
      <c r="B242" s="168">
        <f t="shared" ca="1" si="31"/>
        <v>13.742017432399457</v>
      </c>
      <c r="C242" s="168">
        <f t="shared" ca="1" si="32"/>
        <v>50.488516084406477</v>
      </c>
      <c r="D242" s="184">
        <f t="shared" ca="1" si="33"/>
        <v>6.3808021470507938</v>
      </c>
      <c r="E242" s="230">
        <f t="shared" ca="1" si="34"/>
        <v>4.8595616772586413E-10</v>
      </c>
      <c r="F242" s="168">
        <f t="shared" ca="1" si="35"/>
        <v>33.729819514794194</v>
      </c>
      <c r="G242" s="168">
        <f t="shared" ca="1" si="36"/>
        <v>19.987802082394737</v>
      </c>
      <c r="H242" s="184">
        <f t="shared" ca="1" si="37"/>
        <v>2.5260835598525584</v>
      </c>
      <c r="I242" s="184">
        <f t="shared" ca="1" si="38"/>
        <v>6.1065049163856501E-3</v>
      </c>
      <c r="J242" s="223">
        <f t="shared" ca="1" si="39"/>
        <v>0</v>
      </c>
      <c r="K242" s="220" t="str" cm="1">
        <f t="array" aca="1" ref="K242" ca="1">_xlfn.IFS(G242&lt;$B$11,"Fail",G242&lt;25,"Marginal",G242&lt;35,"Solid",TRUE,"Blowout")</f>
        <v>Fail</v>
      </c>
      <c r="L242" s="226">
        <f ca="1">IF(AND(E242&lt;$B$10,C242&gt;=$B$11),1,0)</f>
        <v>1</v>
      </c>
      <c r="M242" s="217" t="str" cm="1">
        <f t="array" aca="1" ref="M242" ca="1">_xlfn.IFS(C242&lt;$B$11,"Fail",C242&lt;25,"Marginal",C242&lt;35,"Solid",TRUE,"Blowout")</f>
        <v>Blowout</v>
      </c>
    </row>
    <row r="243" spans="1:13" x14ac:dyDescent="0.25">
      <c r="A243" s="169">
        <f t="shared" ca="1" si="30"/>
        <v>16.952211596501307</v>
      </c>
      <c r="B243" s="168">
        <f t="shared" ca="1" si="31"/>
        <v>8.3141227344390867</v>
      </c>
      <c r="C243" s="168">
        <f t="shared" ca="1" si="32"/>
        <v>8.6380888620622205</v>
      </c>
      <c r="D243" s="184">
        <f t="shared" ca="1" si="33"/>
        <v>1.0916925319277804</v>
      </c>
      <c r="E243" s="230">
        <f t="shared" ca="1" si="34"/>
        <v>0.13806026305018301</v>
      </c>
      <c r="F243" s="168">
        <f t="shared" ca="1" si="35"/>
        <v>10.29053107176785</v>
      </c>
      <c r="G243" s="168">
        <f t="shared" ca="1" si="36"/>
        <v>1.9764083373287633</v>
      </c>
      <c r="H243" s="184">
        <f t="shared" ca="1" si="37"/>
        <v>0.24978097080915057</v>
      </c>
      <c r="I243" s="184">
        <f t="shared" ca="1" si="38"/>
        <v>0.40149081841113066</v>
      </c>
      <c r="J243" s="223">
        <f t="shared" ca="1" si="39"/>
        <v>0</v>
      </c>
      <c r="K243" s="220" t="str" cm="1">
        <f t="array" aca="1" ref="K243" ca="1">_xlfn.IFS(G243&lt;$B$11,"Fail",G243&lt;25,"Marginal",G243&lt;35,"Solid",TRUE,"Blowout")</f>
        <v>Fail</v>
      </c>
      <c r="L243" s="226">
        <f ca="1">IF(AND(E243&lt;$B$10,C243&gt;=$B$11),1,0)</f>
        <v>0</v>
      </c>
      <c r="M243" s="217" t="str" cm="1">
        <f t="array" aca="1" ref="M243" ca="1">_xlfn.IFS(C243&lt;$B$11,"Fail",C243&lt;25,"Marginal",C243&lt;35,"Solid",TRUE,"Blowout")</f>
        <v>Fail</v>
      </c>
    </row>
    <row r="244" spans="1:13" x14ac:dyDescent="0.25">
      <c r="A244" s="169">
        <f t="shared" ca="1" si="30"/>
        <v>17.481846324512738</v>
      </c>
      <c r="B244" s="168">
        <f t="shared" ca="1" si="31"/>
        <v>14.022642500597668</v>
      </c>
      <c r="C244" s="168">
        <f t="shared" ca="1" si="32"/>
        <v>3.45920382391507</v>
      </c>
      <c r="D244" s="184">
        <f t="shared" ca="1" si="33"/>
        <v>0.43717852887224684</v>
      </c>
      <c r="E244" s="230">
        <f t="shared" ca="1" si="34"/>
        <v>0.33119783429919503</v>
      </c>
      <c r="F244" s="168">
        <f t="shared" ca="1" si="35"/>
        <v>21.091715349468856</v>
      </c>
      <c r="G244" s="168">
        <f t="shared" ca="1" si="36"/>
        <v>7.0690728488711887</v>
      </c>
      <c r="H244" s="184">
        <f t="shared" ca="1" si="37"/>
        <v>0.89339831529861469</v>
      </c>
      <c r="I244" s="184">
        <f t="shared" ca="1" si="38"/>
        <v>0.18629296394277267</v>
      </c>
      <c r="J244" s="223">
        <f t="shared" ca="1" si="39"/>
        <v>0</v>
      </c>
      <c r="K244" s="220" t="str" cm="1">
        <f t="array" aca="1" ref="K244" ca="1">_xlfn.IFS(G244&lt;$B$11,"Fail",G244&lt;25,"Marginal",G244&lt;35,"Solid",TRUE,"Blowout")</f>
        <v>Fail</v>
      </c>
      <c r="L244" s="226">
        <f ca="1">IF(AND(E244&lt;$B$10,C244&gt;=$B$11),1,0)</f>
        <v>0</v>
      </c>
      <c r="M244" s="217" t="str" cm="1">
        <f t="array" aca="1" ref="M244" ca="1">_xlfn.IFS(C244&lt;$B$11,"Fail",C244&lt;25,"Marginal",C244&lt;35,"Solid",TRUE,"Blowout")</f>
        <v>Fail</v>
      </c>
    </row>
    <row r="245" spans="1:13" x14ac:dyDescent="0.25">
      <c r="A245" s="169">
        <f t="shared" ca="1" si="30"/>
        <v>31.868410595507363</v>
      </c>
      <c r="B245" s="168">
        <f t="shared" ca="1" si="31"/>
        <v>3.6830532279688102</v>
      </c>
      <c r="C245" s="168">
        <f t="shared" ca="1" si="32"/>
        <v>28.185357367538554</v>
      </c>
      <c r="D245" s="184">
        <f t="shared" ca="1" si="33"/>
        <v>3.5621009044020928</v>
      </c>
      <c r="E245" s="230">
        <f t="shared" ca="1" si="34"/>
        <v>2.2392829363331986E-4</v>
      </c>
      <c r="F245" s="168">
        <f t="shared" ca="1" si="35"/>
        <v>33.72146685835925</v>
      </c>
      <c r="G245" s="168">
        <f t="shared" ca="1" si="36"/>
        <v>30.038413630390441</v>
      </c>
      <c r="H245" s="184">
        <f t="shared" ca="1" si="37"/>
        <v>3.7962924849358513</v>
      </c>
      <c r="I245" s="184">
        <f t="shared" ca="1" si="38"/>
        <v>9.4157702544486833E-5</v>
      </c>
      <c r="J245" s="223">
        <f t="shared" ca="1" si="39"/>
        <v>1</v>
      </c>
      <c r="K245" s="220" t="str" cm="1">
        <f t="array" aca="1" ref="K245" ca="1">_xlfn.IFS(G245&lt;$B$11,"Fail",G245&lt;25,"Marginal",G245&lt;35,"Solid",TRUE,"Blowout")</f>
        <v>Solid</v>
      </c>
      <c r="L245" s="226">
        <f ca="1">IF(AND(E245&lt;$B$10,C245&gt;=$B$11),1,0)</f>
        <v>1</v>
      </c>
      <c r="M245" s="217" t="str" cm="1">
        <f t="array" aca="1" ref="M245" ca="1">_xlfn.IFS(C245&lt;$B$11,"Fail",C245&lt;25,"Marginal",C245&lt;35,"Solid",TRUE,"Blowout")</f>
        <v>Solid</v>
      </c>
    </row>
    <row r="246" spans="1:13" x14ac:dyDescent="0.25">
      <c r="A246" s="169">
        <f t="shared" ca="1" si="30"/>
        <v>28.854478575087342</v>
      </c>
      <c r="B246" s="168">
        <f t="shared" ca="1" si="31"/>
        <v>3.0104851146520959</v>
      </c>
      <c r="C246" s="168">
        <f t="shared" ca="1" si="32"/>
        <v>25.843993460435247</v>
      </c>
      <c r="D246" s="184">
        <f t="shared" ca="1" si="33"/>
        <v>3.2661963897893886</v>
      </c>
      <c r="E246" s="230">
        <f t="shared" ca="1" si="34"/>
        <v>6.2897474235100914E-4</v>
      </c>
      <c r="F246" s="168">
        <f t="shared" ca="1" si="35"/>
        <v>37.319178341700535</v>
      </c>
      <c r="G246" s="168">
        <f t="shared" ca="1" si="36"/>
        <v>34.308693227048437</v>
      </c>
      <c r="H246" s="184">
        <f t="shared" ca="1" si="37"/>
        <v>4.3359757898147224</v>
      </c>
      <c r="I246" s="184">
        <f t="shared" ca="1" si="38"/>
        <v>1.0893313376540076E-5</v>
      </c>
      <c r="J246" s="223">
        <f t="shared" ca="1" si="39"/>
        <v>1</v>
      </c>
      <c r="K246" s="220" t="str" cm="1">
        <f t="array" aca="1" ref="K246" ca="1">_xlfn.IFS(G246&lt;$B$11,"Fail",G246&lt;25,"Marginal",G246&lt;35,"Solid",TRUE,"Blowout")</f>
        <v>Solid</v>
      </c>
      <c r="L246" s="226">
        <f ca="1">IF(AND(E246&lt;$B$10,C246&gt;=$B$11),1,0)</f>
        <v>1</v>
      </c>
      <c r="M246" s="217" t="str" cm="1">
        <f t="array" aca="1" ref="M246" ca="1">_xlfn.IFS(C246&lt;$B$11,"Fail",C246&lt;25,"Marginal",C246&lt;35,"Solid",TRUE,"Blowout")</f>
        <v>Solid</v>
      </c>
    </row>
    <row r="247" spans="1:13" x14ac:dyDescent="0.25">
      <c r="A247" s="169">
        <f t="shared" ca="1" si="30"/>
        <v>64.796820510734449</v>
      </c>
      <c r="B247" s="168">
        <f t="shared" ca="1" si="31"/>
        <v>0.69263576687982464</v>
      </c>
      <c r="C247" s="168">
        <f t="shared" ca="1" si="32"/>
        <v>64.104184743854631</v>
      </c>
      <c r="D247" s="184">
        <f t="shared" ca="1" si="33"/>
        <v>8.1015674725853231</v>
      </c>
      <c r="E247" s="230">
        <f t="shared" ca="1" si="34"/>
        <v>1.6401575255416001E-14</v>
      </c>
      <c r="F247" s="168">
        <f t="shared" ca="1" si="35"/>
        <v>48.862598187020254</v>
      </c>
      <c r="G247" s="168">
        <f t="shared" ca="1" si="36"/>
        <v>48.169962420140429</v>
      </c>
      <c r="H247" s="184">
        <f t="shared" ca="1" si="37"/>
        <v>6.0877804196094818</v>
      </c>
      <c r="I247" s="184">
        <f t="shared" ca="1" si="38"/>
        <v>2.4037142034042191E-9</v>
      </c>
      <c r="J247" s="223">
        <f t="shared" ca="1" si="39"/>
        <v>1</v>
      </c>
      <c r="K247" s="220" t="str" cm="1">
        <f t="array" aca="1" ref="K247" ca="1">_xlfn.IFS(G247&lt;$B$11,"Fail",G247&lt;25,"Marginal",G247&lt;35,"Solid",TRUE,"Blowout")</f>
        <v>Blowout</v>
      </c>
      <c r="L247" s="226">
        <f ca="1">IF(AND(E247&lt;$B$10,C247&gt;=$B$11),1,0)</f>
        <v>1</v>
      </c>
      <c r="M247" s="217" t="str" cm="1">
        <f t="array" aca="1" ref="M247" ca="1">_xlfn.IFS(C247&lt;$B$11,"Fail",C247&lt;25,"Marginal",C247&lt;35,"Solid",TRUE,"Blowout")</f>
        <v>Blowout</v>
      </c>
    </row>
    <row r="248" spans="1:13" x14ac:dyDescent="0.25">
      <c r="A248" s="169">
        <f t="shared" ca="1" si="30"/>
        <v>52.347998527427507</v>
      </c>
      <c r="B248" s="168">
        <f t="shared" ca="1" si="31"/>
        <v>1.9312733036335459</v>
      </c>
      <c r="C248" s="168">
        <f t="shared" ca="1" si="32"/>
        <v>50.416725223793961</v>
      </c>
      <c r="D248" s="184">
        <f t="shared" ca="1" si="33"/>
        <v>6.3717291278166943</v>
      </c>
      <c r="E248" s="230">
        <f t="shared" ca="1" si="34"/>
        <v>5.1099552410440009E-10</v>
      </c>
      <c r="F248" s="168">
        <f t="shared" ca="1" si="35"/>
        <v>50.449533343069113</v>
      </c>
      <c r="G248" s="168">
        <f t="shared" ca="1" si="36"/>
        <v>48.518260039435567</v>
      </c>
      <c r="H248" s="184">
        <f t="shared" ca="1" si="37"/>
        <v>6.131798710685727</v>
      </c>
      <c r="I248" s="184">
        <f t="shared" ca="1" si="38"/>
        <v>1.8965947683365248E-9</v>
      </c>
      <c r="J248" s="223">
        <f t="shared" ca="1" si="39"/>
        <v>1</v>
      </c>
      <c r="K248" s="220" t="str" cm="1">
        <f t="array" aca="1" ref="K248" ca="1">_xlfn.IFS(G248&lt;$B$11,"Fail",G248&lt;25,"Marginal",G248&lt;35,"Solid",TRUE,"Blowout")</f>
        <v>Blowout</v>
      </c>
      <c r="L248" s="226">
        <f ca="1">IF(AND(E248&lt;$B$10,C248&gt;=$B$11),1,0)</f>
        <v>1</v>
      </c>
      <c r="M248" s="217" t="str" cm="1">
        <f t="array" aca="1" ref="M248" ca="1">_xlfn.IFS(C248&lt;$B$11,"Fail",C248&lt;25,"Marginal",C248&lt;35,"Solid",TRUE,"Blowout")</f>
        <v>Blowout</v>
      </c>
    </row>
    <row r="249" spans="1:13" x14ac:dyDescent="0.25">
      <c r="A249" s="169">
        <f t="shared" ca="1" si="30"/>
        <v>48.399399923295221</v>
      </c>
      <c r="B249" s="168">
        <f t="shared" ca="1" si="31"/>
        <v>-1.5309550139312558</v>
      </c>
      <c r="C249" s="168">
        <f t="shared" ca="1" si="32"/>
        <v>49.930354937226475</v>
      </c>
      <c r="D249" s="184">
        <f t="shared" ca="1" si="33"/>
        <v>6.3102610394378793</v>
      </c>
      <c r="E249" s="230">
        <f t="shared" ca="1" si="34"/>
        <v>7.1731080683738708E-10</v>
      </c>
      <c r="F249" s="168">
        <f t="shared" ca="1" si="35"/>
        <v>30.632056375090109</v>
      </c>
      <c r="G249" s="168">
        <f t="shared" ca="1" si="36"/>
        <v>32.163011389021364</v>
      </c>
      <c r="H249" s="184">
        <f t="shared" ca="1" si="37"/>
        <v>4.0648018211426749</v>
      </c>
      <c r="I249" s="184">
        <f t="shared" ca="1" si="38"/>
        <v>3.309718054577411E-5</v>
      </c>
      <c r="J249" s="223">
        <f t="shared" ca="1" si="39"/>
        <v>1</v>
      </c>
      <c r="K249" s="220" t="str" cm="1">
        <f t="array" aca="1" ref="K249" ca="1">_xlfn.IFS(G249&lt;$B$11,"Fail",G249&lt;25,"Marginal",G249&lt;35,"Solid",TRUE,"Blowout")</f>
        <v>Solid</v>
      </c>
      <c r="L249" s="226">
        <f ca="1">IF(AND(E249&lt;$B$10,C249&gt;=$B$11),1,0)</f>
        <v>1</v>
      </c>
      <c r="M249" s="217" t="str" cm="1">
        <f t="array" aca="1" ref="M249" ca="1">_xlfn.IFS(C249&lt;$B$11,"Fail",C249&lt;25,"Marginal",C249&lt;35,"Solid",TRUE,"Blowout")</f>
        <v>Blowout</v>
      </c>
    </row>
    <row r="250" spans="1:13" x14ac:dyDescent="0.25">
      <c r="A250" s="169">
        <f t="shared" ca="1" si="30"/>
        <v>15.739248665072234</v>
      </c>
      <c r="B250" s="168">
        <f t="shared" ca="1" si="31"/>
        <v>7.2161643596753393</v>
      </c>
      <c r="C250" s="168">
        <f t="shared" ca="1" si="32"/>
        <v>8.5230843053968943</v>
      </c>
      <c r="D250" s="184">
        <f t="shared" ca="1" si="33"/>
        <v>1.0771581114495881</v>
      </c>
      <c r="E250" s="230">
        <f t="shared" ca="1" si="34"/>
        <v>0.14127400518311459</v>
      </c>
      <c r="F250" s="168">
        <f t="shared" ca="1" si="35"/>
        <v>42.369321687637751</v>
      </c>
      <c r="G250" s="168">
        <f t="shared" ca="1" si="36"/>
        <v>35.153157327962411</v>
      </c>
      <c r="H250" s="184">
        <f t="shared" ca="1" si="37"/>
        <v>4.4427002247181164</v>
      </c>
      <c r="I250" s="184">
        <f t="shared" ca="1" si="38"/>
        <v>6.92967470931005E-6</v>
      </c>
      <c r="J250" s="223">
        <f t="shared" ca="1" si="39"/>
        <v>1</v>
      </c>
      <c r="K250" s="220" t="str" cm="1">
        <f t="array" aca="1" ref="K250" ca="1">_xlfn.IFS(G250&lt;$B$11,"Fail",G250&lt;25,"Marginal",G250&lt;35,"Solid",TRUE,"Blowout")</f>
        <v>Blowout</v>
      </c>
      <c r="L250" s="226">
        <f ca="1">IF(AND(E250&lt;$B$10,C250&gt;=$B$11),1,0)</f>
        <v>0</v>
      </c>
      <c r="M250" s="217" t="str" cm="1">
        <f t="array" aca="1" ref="M250" ca="1">_xlfn.IFS(C250&lt;$B$11,"Fail",C250&lt;25,"Marginal",C250&lt;35,"Solid",TRUE,"Blowout")</f>
        <v>Fail</v>
      </c>
    </row>
    <row r="251" spans="1:13" x14ac:dyDescent="0.25">
      <c r="A251" s="169">
        <f t="shared" ca="1" si="30"/>
        <v>31.341453689533601</v>
      </c>
      <c r="B251" s="168">
        <f t="shared" ca="1" si="31"/>
        <v>3.8676373272508764</v>
      </c>
      <c r="C251" s="168">
        <f t="shared" ca="1" si="32"/>
        <v>27.473816362282726</v>
      </c>
      <c r="D251" s="184">
        <f t="shared" ca="1" si="33"/>
        <v>3.4721754574655899</v>
      </c>
      <c r="E251" s="230">
        <f t="shared" ca="1" si="34"/>
        <v>3.0875421272636751E-4</v>
      </c>
      <c r="F251" s="168">
        <f t="shared" ca="1" si="35"/>
        <v>7.6807162369495412</v>
      </c>
      <c r="G251" s="168">
        <f t="shared" ca="1" si="36"/>
        <v>3.8130789096986648</v>
      </c>
      <c r="H251" s="184">
        <f t="shared" ca="1" si="37"/>
        <v>0.48190170717641445</v>
      </c>
      <c r="I251" s="184">
        <f t="shared" ca="1" si="38"/>
        <v>0.31516901126175201</v>
      </c>
      <c r="J251" s="223">
        <f t="shared" ca="1" si="39"/>
        <v>0</v>
      </c>
      <c r="K251" s="220" t="str" cm="1">
        <f t="array" aca="1" ref="K251" ca="1">_xlfn.IFS(G251&lt;$B$11,"Fail",G251&lt;25,"Marginal",G251&lt;35,"Solid",TRUE,"Blowout")</f>
        <v>Fail</v>
      </c>
      <c r="L251" s="226">
        <f ca="1">IF(AND(E251&lt;$B$10,C251&gt;=$B$11),1,0)</f>
        <v>1</v>
      </c>
      <c r="M251" s="217" t="str" cm="1">
        <f t="array" aca="1" ref="M251" ca="1">_xlfn.IFS(C251&lt;$B$11,"Fail",C251&lt;25,"Marginal",C251&lt;35,"Solid",TRUE,"Blowout")</f>
        <v>Solid</v>
      </c>
    </row>
    <row r="252" spans="1:13" x14ac:dyDescent="0.25">
      <c r="A252" s="169">
        <f t="shared" ca="1" si="30"/>
        <v>23.197054793684032</v>
      </c>
      <c r="B252" s="168">
        <f t="shared" ca="1" si="31"/>
        <v>-5.8919491175091157</v>
      </c>
      <c r="C252" s="168">
        <f t="shared" ca="1" si="32"/>
        <v>29.089003911193146</v>
      </c>
      <c r="D252" s="184">
        <f t="shared" ca="1" si="33"/>
        <v>3.6763048908351008</v>
      </c>
      <c r="E252" s="230">
        <f t="shared" ca="1" si="34"/>
        <v>1.4755496513860423E-4</v>
      </c>
      <c r="F252" s="168">
        <f t="shared" ca="1" si="35"/>
        <v>11.172979553074045</v>
      </c>
      <c r="G252" s="168">
        <f t="shared" ca="1" si="36"/>
        <v>17.064928670583161</v>
      </c>
      <c r="H252" s="184">
        <f t="shared" ca="1" si="37"/>
        <v>2.1566871428442722</v>
      </c>
      <c r="I252" s="184">
        <f t="shared" ca="1" si="38"/>
        <v>1.6038085579472627E-2</v>
      </c>
      <c r="J252" s="223">
        <f t="shared" ca="1" si="39"/>
        <v>0</v>
      </c>
      <c r="K252" s="220" t="str" cm="1">
        <f t="array" aca="1" ref="K252" ca="1">_xlfn.IFS(G252&lt;$B$11,"Fail",G252&lt;25,"Marginal",G252&lt;35,"Solid",TRUE,"Blowout")</f>
        <v>Fail</v>
      </c>
      <c r="L252" s="226">
        <f ca="1">IF(AND(E252&lt;$B$10,C252&gt;=$B$11),1,0)</f>
        <v>1</v>
      </c>
      <c r="M252" s="217" t="str" cm="1">
        <f t="array" aca="1" ref="M252" ca="1">_xlfn.IFS(C252&lt;$B$11,"Fail",C252&lt;25,"Marginal",C252&lt;35,"Solid",TRUE,"Blowout")</f>
        <v>Solid</v>
      </c>
    </row>
    <row r="253" spans="1:13" x14ac:dyDescent="0.25">
      <c r="A253" s="169">
        <f t="shared" ca="1" si="30"/>
        <v>37.085110522242331</v>
      </c>
      <c r="B253" s="168">
        <f t="shared" ca="1" si="31"/>
        <v>2.0072513905024012</v>
      </c>
      <c r="C253" s="168">
        <f t="shared" ca="1" si="32"/>
        <v>35.077859131739928</v>
      </c>
      <c r="D253" s="184">
        <f t="shared" ca="1" si="33"/>
        <v>4.4331839439995031</v>
      </c>
      <c r="E253" s="230">
        <f t="shared" ca="1" si="34"/>
        <v>7.2173331966408059E-6</v>
      </c>
      <c r="F253" s="168">
        <f t="shared" ca="1" si="35"/>
        <v>26.407257022235346</v>
      </c>
      <c r="G253" s="168">
        <f t="shared" ca="1" si="36"/>
        <v>24.400005631732945</v>
      </c>
      <c r="H253" s="184">
        <f t="shared" ca="1" si="37"/>
        <v>3.0837033923264552</v>
      </c>
      <c r="I253" s="184">
        <f t="shared" ca="1" si="38"/>
        <v>1.1483152737035639E-3</v>
      </c>
      <c r="J253" s="223">
        <f t="shared" ca="1" si="39"/>
        <v>1</v>
      </c>
      <c r="K253" s="220" t="str" cm="1">
        <f t="array" aca="1" ref="K253" ca="1">_xlfn.IFS(G253&lt;$B$11,"Fail",G253&lt;25,"Marginal",G253&lt;35,"Solid",TRUE,"Blowout")</f>
        <v>Marginal</v>
      </c>
      <c r="L253" s="226">
        <f ca="1">IF(AND(E253&lt;$B$10,C253&gt;=$B$11),1,0)</f>
        <v>1</v>
      </c>
      <c r="M253" s="217" t="str" cm="1">
        <f t="array" aca="1" ref="M253" ca="1">_xlfn.IFS(C253&lt;$B$11,"Fail",C253&lt;25,"Marginal",C253&lt;35,"Solid",TRUE,"Blowout")</f>
        <v>Blowout</v>
      </c>
    </row>
    <row r="254" spans="1:13" x14ac:dyDescent="0.25">
      <c r="A254" s="169">
        <f t="shared" ca="1" si="30"/>
        <v>47.482932413436714</v>
      </c>
      <c r="B254" s="168">
        <f t="shared" ca="1" si="31"/>
        <v>6.9163270457374839</v>
      </c>
      <c r="C254" s="168">
        <f t="shared" ca="1" si="32"/>
        <v>40.566605367699232</v>
      </c>
      <c r="D254" s="184">
        <f t="shared" ca="1" si="33"/>
        <v>5.1268585948542729</v>
      </c>
      <c r="E254" s="230">
        <f t="shared" ca="1" si="34"/>
        <v>3.1424719483840569E-7</v>
      </c>
      <c r="F254" s="168">
        <f t="shared" ca="1" si="35"/>
        <v>51.239662475453294</v>
      </c>
      <c r="G254" s="168">
        <f t="shared" ca="1" si="36"/>
        <v>44.323335429715812</v>
      </c>
      <c r="H254" s="184">
        <f t="shared" ca="1" si="37"/>
        <v>5.6016388638075361</v>
      </c>
      <c r="I254" s="184">
        <f t="shared" ca="1" si="38"/>
        <v>3.0441174865498699E-8</v>
      </c>
      <c r="J254" s="223">
        <f t="shared" ca="1" si="39"/>
        <v>1</v>
      </c>
      <c r="K254" s="220" t="str" cm="1">
        <f t="array" aca="1" ref="K254" ca="1">_xlfn.IFS(G254&lt;$B$11,"Fail",G254&lt;25,"Marginal",G254&lt;35,"Solid",TRUE,"Blowout")</f>
        <v>Blowout</v>
      </c>
      <c r="L254" s="226">
        <f ca="1">IF(AND(E254&lt;$B$10,C254&gt;=$B$11),1,0)</f>
        <v>1</v>
      </c>
      <c r="M254" s="217" t="str" cm="1">
        <f t="array" aca="1" ref="M254" ca="1">_xlfn.IFS(C254&lt;$B$11,"Fail",C254&lt;25,"Marginal",C254&lt;35,"Solid",TRUE,"Blowout")</f>
        <v>Blowout</v>
      </c>
    </row>
    <row r="255" spans="1:13" x14ac:dyDescent="0.25">
      <c r="A255" s="169">
        <f t="shared" ca="1" si="30"/>
        <v>30.396676238274942</v>
      </c>
      <c r="B255" s="168">
        <f t="shared" ca="1" si="31"/>
        <v>-2.5825789081021338</v>
      </c>
      <c r="C255" s="168">
        <f t="shared" ca="1" si="32"/>
        <v>32.979255146377078</v>
      </c>
      <c r="D255" s="184">
        <f t="shared" ca="1" si="33"/>
        <v>4.1679597335428911</v>
      </c>
      <c r="E255" s="230">
        <f t="shared" ca="1" si="34"/>
        <v>2.182781399607677E-5</v>
      </c>
      <c r="F255" s="168">
        <f t="shared" ca="1" si="35"/>
        <v>27.318286359285867</v>
      </c>
      <c r="G255" s="168">
        <f t="shared" ca="1" si="36"/>
        <v>29.900865267387999</v>
      </c>
      <c r="H255" s="184">
        <f t="shared" ca="1" si="37"/>
        <v>3.7789089498661732</v>
      </c>
      <c r="I255" s="184">
        <f t="shared" ca="1" si="38"/>
        <v>1.0055930216527702E-4</v>
      </c>
      <c r="J255" s="223">
        <f t="shared" ca="1" si="39"/>
        <v>1</v>
      </c>
      <c r="K255" s="220" t="str" cm="1">
        <f t="array" aca="1" ref="K255" ca="1">_xlfn.IFS(G255&lt;$B$11,"Fail",G255&lt;25,"Marginal",G255&lt;35,"Solid",TRUE,"Blowout")</f>
        <v>Solid</v>
      </c>
      <c r="L255" s="226">
        <f ca="1">IF(AND(E255&lt;$B$10,C255&gt;=$B$11),1,0)</f>
        <v>1</v>
      </c>
      <c r="M255" s="217" t="str" cm="1">
        <f t="array" aca="1" ref="M255" ca="1">_xlfn.IFS(C255&lt;$B$11,"Fail",C255&lt;25,"Marginal",C255&lt;35,"Solid",TRUE,"Blowout")</f>
        <v>Solid</v>
      </c>
    </row>
    <row r="256" spans="1:13" x14ac:dyDescent="0.25">
      <c r="A256" s="169">
        <f t="shared" ca="1" si="30"/>
        <v>17.033800591124692</v>
      </c>
      <c r="B256" s="168">
        <f t="shared" ca="1" si="31"/>
        <v>5.4007864067950955</v>
      </c>
      <c r="C256" s="168">
        <f t="shared" ca="1" si="32"/>
        <v>11.633014184329596</v>
      </c>
      <c r="D256" s="184">
        <f t="shared" ca="1" si="33"/>
        <v>1.4701949599776047</v>
      </c>
      <c r="E256" s="230">
        <f t="shared" ca="1" si="34"/>
        <v>7.1443787483897889E-2</v>
      </c>
      <c r="F256" s="168">
        <f t="shared" ca="1" si="35"/>
        <v>27.284229036127126</v>
      </c>
      <c r="G256" s="168">
        <f t="shared" ca="1" si="36"/>
        <v>21.883442629332031</v>
      </c>
      <c r="H256" s="184">
        <f t="shared" ca="1" si="37"/>
        <v>2.7656569957545463</v>
      </c>
      <c r="I256" s="184">
        <f t="shared" ca="1" si="38"/>
        <v>3.0731155907441658E-3</v>
      </c>
      <c r="J256" s="223">
        <f t="shared" ca="1" si="39"/>
        <v>1</v>
      </c>
      <c r="K256" s="220" t="str" cm="1">
        <f t="array" aca="1" ref="K256" ca="1">_xlfn.IFS(G256&lt;$B$11,"Fail",G256&lt;25,"Marginal",G256&lt;35,"Solid",TRUE,"Blowout")</f>
        <v>Marginal</v>
      </c>
      <c r="L256" s="226">
        <f ca="1">IF(AND(E256&lt;$B$10,C256&gt;=$B$11),1,0)</f>
        <v>0</v>
      </c>
      <c r="M256" s="217" t="str" cm="1">
        <f t="array" aca="1" ref="M256" ca="1">_xlfn.IFS(C256&lt;$B$11,"Fail",C256&lt;25,"Marginal",C256&lt;35,"Solid",TRUE,"Blowout")</f>
        <v>Fail</v>
      </c>
    </row>
    <row r="257" spans="1:13" x14ac:dyDescent="0.25">
      <c r="A257" s="169">
        <f t="shared" ca="1" si="30"/>
        <v>13.558522260436927</v>
      </c>
      <c r="B257" s="168">
        <f t="shared" ca="1" si="31"/>
        <v>6.8926188582626073</v>
      </c>
      <c r="C257" s="168">
        <f t="shared" ca="1" si="32"/>
        <v>6.6659034021743198</v>
      </c>
      <c r="D257" s="184">
        <f t="shared" ca="1" si="33"/>
        <v>0.84244525367945566</v>
      </c>
      <c r="E257" s="230">
        <f t="shared" ca="1" si="34"/>
        <v>0.20021080296722837</v>
      </c>
      <c r="F257" s="168">
        <f t="shared" ca="1" si="35"/>
        <v>39.563121459758023</v>
      </c>
      <c r="G257" s="168">
        <f t="shared" ca="1" si="36"/>
        <v>32.670502601495414</v>
      </c>
      <c r="H257" s="184">
        <f t="shared" ca="1" si="37"/>
        <v>4.1289391986950319</v>
      </c>
      <c r="I257" s="184">
        <f t="shared" ca="1" si="38"/>
        <v>2.5574191409979625E-5</v>
      </c>
      <c r="J257" s="223">
        <f t="shared" ca="1" si="39"/>
        <v>1</v>
      </c>
      <c r="K257" s="220" t="str" cm="1">
        <f t="array" aca="1" ref="K257" ca="1">_xlfn.IFS(G257&lt;$B$11,"Fail",G257&lt;25,"Marginal",G257&lt;35,"Solid",TRUE,"Blowout")</f>
        <v>Solid</v>
      </c>
      <c r="L257" s="226">
        <f ca="1">IF(AND(E257&lt;$B$10,C257&gt;=$B$11),1,0)</f>
        <v>0</v>
      </c>
      <c r="M257" s="217" t="str" cm="1">
        <f t="array" aca="1" ref="M257" ca="1">_xlfn.IFS(C257&lt;$B$11,"Fail",C257&lt;25,"Marginal",C257&lt;35,"Solid",TRUE,"Blowout")</f>
        <v>Fail</v>
      </c>
    </row>
    <row r="258" spans="1:13" x14ac:dyDescent="0.25">
      <c r="A258" s="169">
        <f t="shared" ca="1" si="30"/>
        <v>15.674097469779419</v>
      </c>
      <c r="B258" s="168">
        <f t="shared" ca="1" si="31"/>
        <v>2.8926208794992889</v>
      </c>
      <c r="C258" s="168">
        <f t="shared" ca="1" si="32"/>
        <v>12.78147659028013</v>
      </c>
      <c r="D258" s="184">
        <f t="shared" ca="1" si="33"/>
        <v>1.6153390829192491</v>
      </c>
      <c r="E258" s="230">
        <f t="shared" ca="1" si="34"/>
        <v>5.3810100112772652E-2</v>
      </c>
      <c r="F258" s="168">
        <f t="shared" ca="1" si="35"/>
        <v>-10.2728244054501</v>
      </c>
      <c r="G258" s="168">
        <f t="shared" ca="1" si="36"/>
        <v>-13.165445284949389</v>
      </c>
      <c r="H258" s="184">
        <f t="shared" ca="1" si="37"/>
        <v>-1.6638655293541167</v>
      </c>
      <c r="I258" s="184">
        <f t="shared" ca="1" si="38"/>
        <v>0.951243457346304</v>
      </c>
      <c r="J258" s="223">
        <f t="shared" ca="1" si="39"/>
        <v>0</v>
      </c>
      <c r="K258" s="220" t="str" cm="1">
        <f t="array" aca="1" ref="K258" ca="1">_xlfn.IFS(G258&lt;$B$11,"Fail",G258&lt;25,"Marginal",G258&lt;35,"Solid",TRUE,"Blowout")</f>
        <v>Fail</v>
      </c>
      <c r="L258" s="226">
        <f ca="1">IF(AND(E258&lt;$B$10,C258&gt;=$B$11),1,0)</f>
        <v>0</v>
      </c>
      <c r="M258" s="217" t="str" cm="1">
        <f t="array" aca="1" ref="M258" ca="1">_xlfn.IFS(C258&lt;$B$11,"Fail",C258&lt;25,"Marginal",C258&lt;35,"Solid",TRUE,"Blowout")</f>
        <v>Fail</v>
      </c>
    </row>
    <row r="259" spans="1:13" x14ac:dyDescent="0.25">
      <c r="A259" s="169">
        <f t="shared" ca="1" si="30"/>
        <v>40.937226922096528</v>
      </c>
      <c r="B259" s="168">
        <f t="shared" ca="1" si="31"/>
        <v>8.0580569766039503</v>
      </c>
      <c r="C259" s="168">
        <f t="shared" ca="1" si="32"/>
        <v>32.879169945492578</v>
      </c>
      <c r="D259" s="184">
        <f t="shared" ca="1" si="33"/>
        <v>4.1553108400078909</v>
      </c>
      <c r="E259" s="230">
        <f t="shared" ca="1" si="34"/>
        <v>2.2980748881992067E-5</v>
      </c>
      <c r="F259" s="168">
        <f t="shared" ca="1" si="35"/>
        <v>13.11116767588074</v>
      </c>
      <c r="G259" s="168">
        <f t="shared" ca="1" si="36"/>
        <v>5.0531106992767896</v>
      </c>
      <c r="H259" s="184">
        <f t="shared" ca="1" si="37"/>
        <v>0.63861848396033549</v>
      </c>
      <c r="I259" s="184">
        <f t="shared" ca="1" si="38"/>
        <v>0.26185606268782702</v>
      </c>
      <c r="J259" s="223">
        <f t="shared" ca="1" si="39"/>
        <v>0</v>
      </c>
      <c r="K259" s="220" t="str" cm="1">
        <f t="array" aca="1" ref="K259" ca="1">_xlfn.IFS(G259&lt;$B$11,"Fail",G259&lt;25,"Marginal",G259&lt;35,"Solid",TRUE,"Blowout")</f>
        <v>Fail</v>
      </c>
      <c r="L259" s="226">
        <f ca="1">IF(AND(E259&lt;$B$10,C259&gt;=$B$11),1,0)</f>
        <v>1</v>
      </c>
      <c r="M259" s="217" t="str" cm="1">
        <f t="array" aca="1" ref="M259" ca="1">_xlfn.IFS(C259&lt;$B$11,"Fail",C259&lt;25,"Marginal",C259&lt;35,"Solid",TRUE,"Blowout")</f>
        <v>Solid</v>
      </c>
    </row>
    <row r="260" spans="1:13" x14ac:dyDescent="0.25">
      <c r="A260" s="169">
        <f t="shared" ca="1" si="30"/>
        <v>30.57187648359789</v>
      </c>
      <c r="B260" s="168">
        <f t="shared" ca="1" si="31"/>
        <v>3.6723682920657983</v>
      </c>
      <c r="C260" s="168">
        <f t="shared" ca="1" si="32"/>
        <v>26.899508191532092</v>
      </c>
      <c r="D260" s="184">
        <f t="shared" ca="1" si="33"/>
        <v>3.3995936687105375</v>
      </c>
      <c r="E260" s="230">
        <f t="shared" ca="1" si="34"/>
        <v>3.9827306358549992E-4</v>
      </c>
      <c r="F260" s="168">
        <f t="shared" ca="1" si="35"/>
        <v>34.117727357536978</v>
      </c>
      <c r="G260" s="168">
        <f t="shared" ca="1" si="36"/>
        <v>30.44535906547118</v>
      </c>
      <c r="H260" s="184">
        <f t="shared" ca="1" si="37"/>
        <v>3.8477227607148952</v>
      </c>
      <c r="I260" s="184">
        <f t="shared" ca="1" si="38"/>
        <v>7.7400846075542605E-5</v>
      </c>
      <c r="J260" s="223">
        <f t="shared" ca="1" si="39"/>
        <v>1</v>
      </c>
      <c r="K260" s="220" t="str" cm="1">
        <f t="array" aca="1" ref="K260" ca="1">_xlfn.IFS(G260&lt;$B$11,"Fail",G260&lt;25,"Marginal",G260&lt;35,"Solid",TRUE,"Blowout")</f>
        <v>Solid</v>
      </c>
      <c r="L260" s="226">
        <f ca="1">IF(AND(E260&lt;$B$10,C260&gt;=$B$11),1,0)</f>
        <v>1</v>
      </c>
      <c r="M260" s="217" t="str" cm="1">
        <f t="array" aca="1" ref="M260" ca="1">_xlfn.IFS(C260&lt;$B$11,"Fail",C260&lt;25,"Marginal",C260&lt;35,"Solid",TRUE,"Blowout")</f>
        <v>Solid</v>
      </c>
    </row>
    <row r="261" spans="1:13" x14ac:dyDescent="0.25">
      <c r="A261" s="169">
        <f t="shared" ca="1" si="30"/>
        <v>20.114543972061689</v>
      </c>
      <c r="B261" s="168">
        <f t="shared" ca="1" si="31"/>
        <v>10.993250398441333</v>
      </c>
      <c r="C261" s="168">
        <f t="shared" ca="1" si="32"/>
        <v>9.1212935736203562</v>
      </c>
      <c r="D261" s="184">
        <f t="shared" ca="1" si="33"/>
        <v>1.1527605509565171</v>
      </c>
      <c r="E261" s="230">
        <f t="shared" ca="1" si="34"/>
        <v>0.12510791209842764</v>
      </c>
      <c r="F261" s="168">
        <f t="shared" ca="1" si="35"/>
        <v>12.57250871360824</v>
      </c>
      <c r="G261" s="168">
        <f t="shared" ca="1" si="36"/>
        <v>1.5792583151669071</v>
      </c>
      <c r="H261" s="184">
        <f t="shared" ca="1" si="37"/>
        <v>0.19958865163155609</v>
      </c>
      <c r="I261" s="184">
        <f t="shared" ca="1" si="38"/>
        <v>0.42099009647276198</v>
      </c>
      <c r="J261" s="223">
        <f t="shared" ca="1" si="39"/>
        <v>0</v>
      </c>
      <c r="K261" s="220" t="str" cm="1">
        <f t="array" aca="1" ref="K261" ca="1">_xlfn.IFS(G261&lt;$B$11,"Fail",G261&lt;25,"Marginal",G261&lt;35,"Solid",TRUE,"Blowout")</f>
        <v>Fail</v>
      </c>
      <c r="L261" s="226">
        <f ca="1">IF(AND(E261&lt;$B$10,C261&gt;=$B$11),1,0)</f>
        <v>0</v>
      </c>
      <c r="M261" s="217" t="str" cm="1">
        <f t="array" aca="1" ref="M261" ca="1">_xlfn.IFS(C261&lt;$B$11,"Fail",C261&lt;25,"Marginal",C261&lt;35,"Solid",TRUE,"Blowout")</f>
        <v>Fail</v>
      </c>
    </row>
    <row r="262" spans="1:13" x14ac:dyDescent="0.25">
      <c r="A262" s="169">
        <f t="shared" ca="1" si="30"/>
        <v>77.107641490224751</v>
      </c>
      <c r="B262" s="168">
        <f t="shared" ca="1" si="31"/>
        <v>9.6381487407688642</v>
      </c>
      <c r="C262" s="168">
        <f t="shared" ca="1" si="32"/>
        <v>67.469492749455881</v>
      </c>
      <c r="D262" s="184">
        <f t="shared" ca="1" si="33"/>
        <v>8.5268793298743866</v>
      </c>
      <c r="E262" s="230">
        <f t="shared" ca="1" si="34"/>
        <v>1.0474029137086886E-15</v>
      </c>
      <c r="F262" s="168">
        <f t="shared" ca="1" si="35"/>
        <v>43.104592545550346</v>
      </c>
      <c r="G262" s="168">
        <f t="shared" ca="1" si="36"/>
        <v>33.466443804781484</v>
      </c>
      <c r="H262" s="184">
        <f t="shared" ca="1" si="37"/>
        <v>4.229531248783478</v>
      </c>
      <c r="I262" s="184">
        <f t="shared" ca="1" si="38"/>
        <v>1.6961088854494457E-5</v>
      </c>
      <c r="J262" s="223">
        <f t="shared" ca="1" si="39"/>
        <v>1</v>
      </c>
      <c r="K262" s="220" t="str" cm="1">
        <f t="array" aca="1" ref="K262" ca="1">_xlfn.IFS(G262&lt;$B$11,"Fail",G262&lt;25,"Marginal",G262&lt;35,"Solid",TRUE,"Blowout")</f>
        <v>Solid</v>
      </c>
      <c r="L262" s="226">
        <f ca="1">IF(AND(E262&lt;$B$10,C262&gt;=$B$11),1,0)</f>
        <v>1</v>
      </c>
      <c r="M262" s="217" t="str" cm="1">
        <f t="array" aca="1" ref="M262" ca="1">_xlfn.IFS(C262&lt;$B$11,"Fail",C262&lt;25,"Marginal",C262&lt;35,"Solid",TRUE,"Blowout")</f>
        <v>Blowout</v>
      </c>
    </row>
    <row r="263" spans="1:13" x14ac:dyDescent="0.25">
      <c r="A263" s="169">
        <f t="shared" ca="1" si="30"/>
        <v>31.801005381399946</v>
      </c>
      <c r="B263" s="168">
        <f t="shared" ca="1" si="31"/>
        <v>-8.1513595671218102</v>
      </c>
      <c r="C263" s="168">
        <f t="shared" ca="1" si="32"/>
        <v>39.952364948521755</v>
      </c>
      <c r="D263" s="184">
        <f t="shared" ca="1" si="33"/>
        <v>5.0492301183321926</v>
      </c>
      <c r="E263" s="230">
        <f t="shared" ca="1" si="34"/>
        <v>4.5376939013338818E-7</v>
      </c>
      <c r="F263" s="168">
        <f t="shared" ca="1" si="35"/>
        <v>19.549042136855835</v>
      </c>
      <c r="G263" s="168">
        <f t="shared" ca="1" si="36"/>
        <v>27.700401703977647</v>
      </c>
      <c r="H263" s="184">
        <f t="shared" ca="1" si="37"/>
        <v>3.5008115978575973</v>
      </c>
      <c r="I263" s="184">
        <f t="shared" ca="1" si="38"/>
        <v>2.7892679186603664E-4</v>
      </c>
      <c r="J263" s="223">
        <f t="shared" ca="1" si="39"/>
        <v>1</v>
      </c>
      <c r="K263" s="220" t="str" cm="1">
        <f t="array" aca="1" ref="K263" ca="1">_xlfn.IFS(G263&lt;$B$11,"Fail",G263&lt;25,"Marginal",G263&lt;35,"Solid",TRUE,"Blowout")</f>
        <v>Solid</v>
      </c>
      <c r="L263" s="226">
        <f ca="1">IF(AND(E263&lt;$B$10,C263&gt;=$B$11),1,0)</f>
        <v>1</v>
      </c>
      <c r="M263" s="217" t="str" cm="1">
        <f t="array" aca="1" ref="M263" ca="1">_xlfn.IFS(C263&lt;$B$11,"Fail",C263&lt;25,"Marginal",C263&lt;35,"Solid",TRUE,"Blowout")</f>
        <v>Blowout</v>
      </c>
    </row>
    <row r="264" spans="1:13" x14ac:dyDescent="0.25">
      <c r="A264" s="169">
        <f t="shared" ca="1" si="30"/>
        <v>44.480979096014948</v>
      </c>
      <c r="B264" s="168">
        <f t="shared" ca="1" si="31"/>
        <v>8.4299353720259393</v>
      </c>
      <c r="C264" s="168">
        <f t="shared" ca="1" si="32"/>
        <v>36.051043723989011</v>
      </c>
      <c r="D264" s="184">
        <f t="shared" ca="1" si="33"/>
        <v>4.5561762364510843</v>
      </c>
      <c r="E264" s="230">
        <f t="shared" ca="1" si="34"/>
        <v>4.2449713264779455E-6</v>
      </c>
      <c r="F264" s="168">
        <f t="shared" ca="1" si="35"/>
        <v>26.613123716094321</v>
      </c>
      <c r="G264" s="168">
        <f t="shared" ca="1" si="36"/>
        <v>18.183188344068384</v>
      </c>
      <c r="H264" s="184">
        <f t="shared" ca="1" si="37"/>
        <v>2.2980142064800089</v>
      </c>
      <c r="I264" s="184">
        <f t="shared" ca="1" si="38"/>
        <v>1.1233666017003995E-2</v>
      </c>
      <c r="J264" s="223">
        <f t="shared" ca="1" si="39"/>
        <v>0</v>
      </c>
      <c r="K264" s="220" t="str" cm="1">
        <f t="array" aca="1" ref="K264" ca="1">_xlfn.IFS(G264&lt;$B$11,"Fail",G264&lt;25,"Marginal",G264&lt;35,"Solid",TRUE,"Blowout")</f>
        <v>Fail</v>
      </c>
      <c r="L264" s="226">
        <f ca="1">IF(AND(E264&lt;$B$10,C264&gt;=$B$11),1,0)</f>
        <v>1</v>
      </c>
      <c r="M264" s="217" t="str" cm="1">
        <f t="array" aca="1" ref="M264" ca="1">_xlfn.IFS(C264&lt;$B$11,"Fail",C264&lt;25,"Marginal",C264&lt;35,"Solid",TRUE,"Blowout")</f>
        <v>Blowout</v>
      </c>
    </row>
    <row r="265" spans="1:13" x14ac:dyDescent="0.25">
      <c r="A265" s="169">
        <f t="shared" ca="1" si="30"/>
        <v>29.127865617801916</v>
      </c>
      <c r="B265" s="168">
        <f t="shared" ca="1" si="31"/>
        <v>2.9175080132982338</v>
      </c>
      <c r="C265" s="168">
        <f t="shared" ca="1" si="32"/>
        <v>26.210357604503681</v>
      </c>
      <c r="D265" s="184">
        <f t="shared" ca="1" si="33"/>
        <v>3.3124979509833468</v>
      </c>
      <c r="E265" s="230">
        <f t="shared" ca="1" si="34"/>
        <v>5.3759126567420456E-4</v>
      </c>
      <c r="F265" s="168">
        <f t="shared" ca="1" si="35"/>
        <v>16.30004544562938</v>
      </c>
      <c r="G265" s="168">
        <f t="shared" ca="1" si="36"/>
        <v>13.382537432331146</v>
      </c>
      <c r="H265" s="184">
        <f t="shared" ca="1" si="37"/>
        <v>1.6913019079120757</v>
      </c>
      <c r="I265" s="184">
        <f t="shared" ca="1" si="38"/>
        <v>4.6072759332625571E-2</v>
      </c>
      <c r="J265" s="223">
        <f t="shared" ca="1" si="39"/>
        <v>0</v>
      </c>
      <c r="K265" s="220" t="str" cm="1">
        <f t="array" aca="1" ref="K265" ca="1">_xlfn.IFS(G265&lt;$B$11,"Fail",G265&lt;25,"Marginal",G265&lt;35,"Solid",TRUE,"Blowout")</f>
        <v>Fail</v>
      </c>
      <c r="L265" s="226">
        <f ca="1">IF(AND(E265&lt;$B$10,C265&gt;=$B$11),1,0)</f>
        <v>1</v>
      </c>
      <c r="M265" s="217" t="str" cm="1">
        <f t="array" aca="1" ref="M265" ca="1">_xlfn.IFS(C265&lt;$B$11,"Fail",C265&lt;25,"Marginal",C265&lt;35,"Solid",TRUE,"Blowout")</f>
        <v>Solid</v>
      </c>
    </row>
    <row r="266" spans="1:13" x14ac:dyDescent="0.25">
      <c r="A266" s="169">
        <f t="shared" ca="1" si="30"/>
        <v>39.206585816150827</v>
      </c>
      <c r="B266" s="168">
        <f t="shared" ca="1" si="31"/>
        <v>2.3916309338293433</v>
      </c>
      <c r="C266" s="168">
        <f t="shared" ca="1" si="32"/>
        <v>36.814954882321487</v>
      </c>
      <c r="D266" s="184">
        <f t="shared" ca="1" si="33"/>
        <v>4.6527202891836899</v>
      </c>
      <c r="E266" s="230">
        <f t="shared" ca="1" si="34"/>
        <v>2.7772393071519931E-6</v>
      </c>
      <c r="F266" s="168">
        <f t="shared" ca="1" si="35"/>
        <v>-4.6311460106998359</v>
      </c>
      <c r="G266" s="168">
        <f t="shared" ca="1" si="36"/>
        <v>-7.0227769445291788</v>
      </c>
      <c r="H266" s="184">
        <f t="shared" ca="1" si="37"/>
        <v>-0.88754738069536154</v>
      </c>
      <c r="I266" s="184">
        <f t="shared" ca="1" si="38"/>
        <v>0.81214021760648447</v>
      </c>
      <c r="J266" s="223">
        <f t="shared" ca="1" si="39"/>
        <v>0</v>
      </c>
      <c r="K266" s="220" t="str" cm="1">
        <f t="array" aca="1" ref="K266" ca="1">_xlfn.IFS(G266&lt;$B$11,"Fail",G266&lt;25,"Marginal",G266&lt;35,"Solid",TRUE,"Blowout")</f>
        <v>Fail</v>
      </c>
      <c r="L266" s="226">
        <f ca="1">IF(AND(E266&lt;$B$10,C266&gt;=$B$11),1,0)</f>
        <v>1</v>
      </c>
      <c r="M266" s="217" t="str" cm="1">
        <f t="array" aca="1" ref="M266" ca="1">_xlfn.IFS(C266&lt;$B$11,"Fail",C266&lt;25,"Marginal",C266&lt;35,"Solid",TRUE,"Blowout")</f>
        <v>Blowout</v>
      </c>
    </row>
    <row r="267" spans="1:13" x14ac:dyDescent="0.25">
      <c r="A267" s="169">
        <f t="shared" ca="1" si="30"/>
        <v>54.363301724598813</v>
      </c>
      <c r="B267" s="168">
        <f t="shared" ca="1" si="31"/>
        <v>4.6959967476667366</v>
      </c>
      <c r="C267" s="168">
        <f t="shared" ca="1" si="32"/>
        <v>49.667304976932073</v>
      </c>
      <c r="D267" s="184">
        <f t="shared" ca="1" si="33"/>
        <v>6.2770164546966267</v>
      </c>
      <c r="E267" s="230">
        <f t="shared" ca="1" si="34"/>
        <v>8.6094756759663453E-10</v>
      </c>
      <c r="F267" s="168">
        <f t="shared" ca="1" si="35"/>
        <v>13.70414553965907</v>
      </c>
      <c r="G267" s="168">
        <f t="shared" ca="1" si="36"/>
        <v>9.0081487919923333</v>
      </c>
      <c r="H267" s="184">
        <f t="shared" ca="1" si="37"/>
        <v>1.1384611711860217</v>
      </c>
      <c r="I267" s="184">
        <f t="shared" ca="1" si="38"/>
        <v>0.12806138972315975</v>
      </c>
      <c r="J267" s="223">
        <f t="shared" ca="1" si="39"/>
        <v>0</v>
      </c>
      <c r="K267" s="220" t="str" cm="1">
        <f t="array" aca="1" ref="K267" ca="1">_xlfn.IFS(G267&lt;$B$11,"Fail",G267&lt;25,"Marginal",G267&lt;35,"Solid",TRUE,"Blowout")</f>
        <v>Fail</v>
      </c>
      <c r="L267" s="226">
        <f ca="1">IF(AND(E267&lt;$B$10,C267&gt;=$B$11),1,0)</f>
        <v>1</v>
      </c>
      <c r="M267" s="217" t="str" cm="1">
        <f t="array" aca="1" ref="M267" ca="1">_xlfn.IFS(C267&lt;$B$11,"Fail",C267&lt;25,"Marginal",C267&lt;35,"Solid",TRUE,"Blowout")</f>
        <v>Blowout</v>
      </c>
    </row>
    <row r="268" spans="1:13" x14ac:dyDescent="0.25">
      <c r="A268" s="169">
        <f t="shared" ca="1" si="30"/>
        <v>4.0642905186531735</v>
      </c>
      <c r="B268" s="168">
        <f t="shared" ca="1" si="31"/>
        <v>7.1561403646829262</v>
      </c>
      <c r="C268" s="168">
        <f t="shared" ca="1" si="32"/>
        <v>-3.0918498460297528</v>
      </c>
      <c r="D268" s="184">
        <f t="shared" ca="1" si="33"/>
        <v>-0.39075187123589306</v>
      </c>
      <c r="E268" s="230">
        <f t="shared" ca="1" si="34"/>
        <v>0.65182724126260549</v>
      </c>
      <c r="F268" s="168">
        <f t="shared" ca="1" si="35"/>
        <v>-4.7805052559368955</v>
      </c>
      <c r="G268" s="168">
        <f t="shared" ca="1" si="36"/>
        <v>-11.936645620619821</v>
      </c>
      <c r="H268" s="184">
        <f t="shared" ca="1" si="37"/>
        <v>-1.5085682826823921</v>
      </c>
      <c r="I268" s="184">
        <f t="shared" ca="1" si="38"/>
        <v>0.93360320797572449</v>
      </c>
      <c r="J268" s="223">
        <f t="shared" ca="1" si="39"/>
        <v>0</v>
      </c>
      <c r="K268" s="220" t="str" cm="1">
        <f t="array" aca="1" ref="K268" ca="1">_xlfn.IFS(G268&lt;$B$11,"Fail",G268&lt;25,"Marginal",G268&lt;35,"Solid",TRUE,"Blowout")</f>
        <v>Fail</v>
      </c>
      <c r="L268" s="226">
        <f ca="1">IF(AND(E268&lt;$B$10,C268&gt;=$B$11),1,0)</f>
        <v>0</v>
      </c>
      <c r="M268" s="217" t="str" cm="1">
        <f t="array" aca="1" ref="M268" ca="1">_xlfn.IFS(C268&lt;$B$11,"Fail",C268&lt;25,"Marginal",C268&lt;35,"Solid",TRUE,"Blowout")</f>
        <v>Fail</v>
      </c>
    </row>
    <row r="269" spans="1:13" x14ac:dyDescent="0.25">
      <c r="A269" s="169">
        <f t="shared" ca="1" si="30"/>
        <v>36.432014371609021</v>
      </c>
      <c r="B269" s="168">
        <f t="shared" ca="1" si="31"/>
        <v>8.1300123279403422</v>
      </c>
      <c r="C269" s="168">
        <f t="shared" ca="1" si="32"/>
        <v>28.302002043668679</v>
      </c>
      <c r="D269" s="184">
        <f t="shared" ca="1" si="33"/>
        <v>3.5768426052405342</v>
      </c>
      <c r="E269" s="230">
        <f t="shared" ca="1" si="34"/>
        <v>2.123123371447499E-4</v>
      </c>
      <c r="F269" s="168">
        <f t="shared" ca="1" si="35"/>
        <v>14.980908616694803</v>
      </c>
      <c r="G269" s="168">
        <f t="shared" ca="1" si="36"/>
        <v>6.8508962887544609</v>
      </c>
      <c r="H269" s="184">
        <f t="shared" ca="1" si="37"/>
        <v>0.86582488729566842</v>
      </c>
      <c r="I269" s="184">
        <f t="shared" ca="1" si="38"/>
        <v>0.19374817573934977</v>
      </c>
      <c r="J269" s="223">
        <f t="shared" ca="1" si="39"/>
        <v>0</v>
      </c>
      <c r="K269" s="220" t="str" cm="1">
        <f t="array" aca="1" ref="K269" ca="1">_xlfn.IFS(G269&lt;$B$11,"Fail",G269&lt;25,"Marginal",G269&lt;35,"Solid",TRUE,"Blowout")</f>
        <v>Fail</v>
      </c>
      <c r="L269" s="226">
        <f ca="1">IF(AND(E269&lt;$B$10,C269&gt;=$B$11),1,0)</f>
        <v>1</v>
      </c>
      <c r="M269" s="217" t="str" cm="1">
        <f t="array" aca="1" ref="M269" ca="1">_xlfn.IFS(C269&lt;$B$11,"Fail",C269&lt;25,"Marginal",C269&lt;35,"Solid",TRUE,"Blowout")</f>
        <v>Solid</v>
      </c>
    </row>
    <row r="270" spans="1:13" x14ac:dyDescent="0.25">
      <c r="A270" s="169">
        <f t="shared" ca="1" si="30"/>
        <v>72.968356905856112</v>
      </c>
      <c r="B270" s="168">
        <f t="shared" ca="1" si="31"/>
        <v>7.0911823414816197</v>
      </c>
      <c r="C270" s="168">
        <f t="shared" ca="1" si="32"/>
        <v>65.877174564374485</v>
      </c>
      <c r="D270" s="184">
        <f t="shared" ca="1" si="33"/>
        <v>8.3256401554615458</v>
      </c>
      <c r="E270" s="230">
        <f t="shared" ca="1" si="34"/>
        <v>3.8841351030201659E-15</v>
      </c>
      <c r="F270" s="168">
        <f t="shared" ca="1" si="35"/>
        <v>45.286775997242138</v>
      </c>
      <c r="G270" s="168">
        <f t="shared" ca="1" si="36"/>
        <v>38.195593655760518</v>
      </c>
      <c r="H270" s="184">
        <f t="shared" ca="1" si="37"/>
        <v>4.8272071533872944</v>
      </c>
      <c r="I270" s="184">
        <f t="shared" ca="1" si="38"/>
        <v>1.2684492197755033E-6</v>
      </c>
      <c r="J270" s="223">
        <f t="shared" ca="1" si="39"/>
        <v>1</v>
      </c>
      <c r="K270" s="220" t="str" cm="1">
        <f t="array" aca="1" ref="K270" ca="1">_xlfn.IFS(G270&lt;$B$11,"Fail",G270&lt;25,"Marginal",G270&lt;35,"Solid",TRUE,"Blowout")</f>
        <v>Blowout</v>
      </c>
      <c r="L270" s="226">
        <f ca="1">IF(AND(E270&lt;$B$10,C270&gt;=$B$11),1,0)</f>
        <v>1</v>
      </c>
      <c r="M270" s="217" t="str" cm="1">
        <f t="array" aca="1" ref="M270" ca="1">_xlfn.IFS(C270&lt;$B$11,"Fail",C270&lt;25,"Marginal",C270&lt;35,"Solid",TRUE,"Blowout")</f>
        <v>Blowout</v>
      </c>
    </row>
    <row r="271" spans="1:13" x14ac:dyDescent="0.25">
      <c r="A271" s="169">
        <f t="shared" ca="1" si="30"/>
        <v>36.332023046996746</v>
      </c>
      <c r="B271" s="168">
        <f t="shared" ca="1" si="31"/>
        <v>5.1797683344722785</v>
      </c>
      <c r="C271" s="168">
        <f t="shared" ca="1" si="32"/>
        <v>31.152254712524467</v>
      </c>
      <c r="D271" s="184">
        <f t="shared" ca="1" si="33"/>
        <v>3.9370611214406832</v>
      </c>
      <c r="E271" s="230">
        <f t="shared" ca="1" si="34"/>
        <v>5.4802279126764841E-5</v>
      </c>
      <c r="F271" s="168">
        <f t="shared" ca="1" si="35"/>
        <v>41.220008573696276</v>
      </c>
      <c r="G271" s="168">
        <f t="shared" ca="1" si="36"/>
        <v>36.040240239223998</v>
      </c>
      <c r="H271" s="184">
        <f t="shared" ca="1" si="37"/>
        <v>4.5548108784621713</v>
      </c>
      <c r="I271" s="184">
        <f t="shared" ca="1" si="38"/>
        <v>4.2703134580777762E-6</v>
      </c>
      <c r="J271" s="223">
        <f t="shared" ca="1" si="39"/>
        <v>1</v>
      </c>
      <c r="K271" s="220" t="str" cm="1">
        <f t="array" aca="1" ref="K271" ca="1">_xlfn.IFS(G271&lt;$B$11,"Fail",G271&lt;25,"Marginal",G271&lt;35,"Solid",TRUE,"Blowout")</f>
        <v>Blowout</v>
      </c>
      <c r="L271" s="226">
        <f ca="1">IF(AND(E271&lt;$B$10,C271&gt;=$B$11),1,0)</f>
        <v>1</v>
      </c>
      <c r="M271" s="217" t="str" cm="1">
        <f t="array" aca="1" ref="M271" ca="1">_xlfn.IFS(C271&lt;$B$11,"Fail",C271&lt;25,"Marginal",C271&lt;35,"Solid",TRUE,"Blowout")</f>
        <v>Solid</v>
      </c>
    </row>
    <row r="272" spans="1:13" x14ac:dyDescent="0.25">
      <c r="A272" s="169">
        <f t="shared" ca="1" si="30"/>
        <v>74.086767928821544</v>
      </c>
      <c r="B272" s="168">
        <f t="shared" ca="1" si="31"/>
        <v>5.5925618285341132</v>
      </c>
      <c r="C272" s="168">
        <f t="shared" ca="1" si="32"/>
        <v>68.494206100287428</v>
      </c>
      <c r="D272" s="184">
        <f t="shared" ca="1" si="33"/>
        <v>8.6563838916279252</v>
      </c>
      <c r="E272" s="230">
        <f t="shared" ca="1" si="34"/>
        <v>4.4699179851074654E-16</v>
      </c>
      <c r="F272" s="168">
        <f t="shared" ca="1" si="35"/>
        <v>33.889115221993009</v>
      </c>
      <c r="G272" s="168">
        <f t="shared" ca="1" si="36"/>
        <v>28.296553393458897</v>
      </c>
      <c r="H272" s="184">
        <f t="shared" ca="1" si="37"/>
        <v>3.5761539979758843</v>
      </c>
      <c r="I272" s="184">
        <f t="shared" ca="1" si="38"/>
        <v>2.1284208186946887E-4</v>
      </c>
      <c r="J272" s="223">
        <f t="shared" ca="1" si="39"/>
        <v>1</v>
      </c>
      <c r="K272" s="220" t="str" cm="1">
        <f t="array" aca="1" ref="K272" ca="1">_xlfn.IFS(G272&lt;$B$11,"Fail",G272&lt;25,"Marginal",G272&lt;35,"Solid",TRUE,"Blowout")</f>
        <v>Solid</v>
      </c>
      <c r="L272" s="226">
        <f ca="1">IF(AND(E272&lt;$B$10,C272&gt;=$B$11),1,0)</f>
        <v>1</v>
      </c>
      <c r="M272" s="217" t="str" cm="1">
        <f t="array" aca="1" ref="M272" ca="1">_xlfn.IFS(C272&lt;$B$11,"Fail",C272&lt;25,"Marginal",C272&lt;35,"Solid",TRUE,"Blowout")</f>
        <v>Blowout</v>
      </c>
    </row>
    <row r="273" spans="1:13" x14ac:dyDescent="0.25">
      <c r="A273" s="169">
        <f t="shared" ref="A273:A336" ca="1" si="40">NORMINV(RAND(), MAX(0, NORMINV(RAND(), $B$6, $B$12)), $B$7/SQRT($B$9))</f>
        <v>73.289448702645672</v>
      </c>
      <c r="B273" s="168">
        <f t="shared" ref="B273:B336" ca="1" si="41">NORMINV(RAND(), $B$8, $B$7/SQRT($B$9))</f>
        <v>-4.1388929946362065</v>
      </c>
      <c r="C273" s="168">
        <f t="shared" ref="C273:C336" ca="1" si="42">A273-B273</f>
        <v>77.42834169728188</v>
      </c>
      <c r="D273" s="184">
        <f t="shared" ref="D273:D336" ca="1" si="43">C273/($B$7*SQRT(2/$B$9))</f>
        <v>9.7854911821658597</v>
      </c>
      <c r="E273" s="230">
        <f t="shared" ref="E273:E336" ca="1" si="44">_xlfn.T.DIST.RT(D273, 2*$B$9-2)</f>
        <v>2.0959052137984436E-19</v>
      </c>
      <c r="F273" s="168">
        <f t="shared" ref="F273:F336" ca="1" si="45">NORMINV(RAND(), MAX(0, NORMINV(RAND(), $N$7, $N$8)), $B$7/SQRT($B$9))</f>
        <v>7.5509398603923659</v>
      </c>
      <c r="G273" s="168">
        <f t="shared" ref="G273:G336" ca="1" si="46">F273-B273</f>
        <v>11.689832855028573</v>
      </c>
      <c r="H273" s="184">
        <f t="shared" ref="H273:H336" ca="1" si="47">G273/($B$7*SQRT(2/$B$9))</f>
        <v>1.4773757750243868</v>
      </c>
      <c r="I273" s="184">
        <f t="shared" ref="I273:I336" ca="1" si="48">_xlfn.T.DIST.RT(H273, 2*$B$9-2)</f>
        <v>7.0477449468073633E-2</v>
      </c>
      <c r="J273" s="223">
        <f t="shared" ref="J273:J336" ca="1" si="49">IF(AND(I273&lt;$B$10, G273&gt;=$B$11), 1, 0)</f>
        <v>0</v>
      </c>
      <c r="K273" s="220" t="str" cm="1">
        <f t="array" aca="1" ref="K273" ca="1">_xlfn.IFS(G273&lt;$B$11,"Fail",G273&lt;25,"Marginal",G273&lt;35,"Solid",TRUE,"Blowout")</f>
        <v>Fail</v>
      </c>
      <c r="L273" s="226">
        <f ca="1">IF(AND(E273&lt;$B$10,C273&gt;=$B$11),1,0)</f>
        <v>1</v>
      </c>
      <c r="M273" s="217" t="str" cm="1">
        <f t="array" aca="1" ref="M273" ca="1">_xlfn.IFS(C273&lt;$B$11,"Fail",C273&lt;25,"Marginal",C273&lt;35,"Solid",TRUE,"Blowout")</f>
        <v>Blowout</v>
      </c>
    </row>
    <row r="274" spans="1:13" x14ac:dyDescent="0.25">
      <c r="A274" s="169">
        <f t="shared" ca="1" si="40"/>
        <v>25.417914413732991</v>
      </c>
      <c r="B274" s="168">
        <f t="shared" ca="1" si="41"/>
        <v>-0.60492956490215377</v>
      </c>
      <c r="C274" s="168">
        <f t="shared" ca="1" si="42"/>
        <v>26.022843978635144</v>
      </c>
      <c r="D274" s="184">
        <f t="shared" ca="1" si="43"/>
        <v>3.2887997431662868</v>
      </c>
      <c r="E274" s="230">
        <f t="shared" ca="1" si="44"/>
        <v>5.8269610280366104E-4</v>
      </c>
      <c r="F274" s="168">
        <f t="shared" ca="1" si="45"/>
        <v>39.961346423340743</v>
      </c>
      <c r="G274" s="168">
        <f t="shared" ca="1" si="46"/>
        <v>40.566275988242893</v>
      </c>
      <c r="H274" s="184">
        <f t="shared" ca="1" si="47"/>
        <v>5.1268169674644186</v>
      </c>
      <c r="I274" s="184">
        <f t="shared" ca="1" si="48"/>
        <v>3.1430945819463309E-7</v>
      </c>
      <c r="J274" s="223">
        <f t="shared" ca="1" si="49"/>
        <v>1</v>
      </c>
      <c r="K274" s="220" t="str" cm="1">
        <f t="array" aca="1" ref="K274" ca="1">_xlfn.IFS(G274&lt;$B$11,"Fail",G274&lt;25,"Marginal",G274&lt;35,"Solid",TRUE,"Blowout")</f>
        <v>Blowout</v>
      </c>
      <c r="L274" s="226">
        <f ca="1">IF(AND(E274&lt;$B$10,C274&gt;=$B$11),1,0)</f>
        <v>1</v>
      </c>
      <c r="M274" s="217" t="str" cm="1">
        <f t="array" aca="1" ref="M274" ca="1">_xlfn.IFS(C274&lt;$B$11,"Fail",C274&lt;25,"Marginal",C274&lt;35,"Solid",TRUE,"Blowout")</f>
        <v>Solid</v>
      </c>
    </row>
    <row r="275" spans="1:13" x14ac:dyDescent="0.25">
      <c r="A275" s="169">
        <f t="shared" ca="1" si="40"/>
        <v>46.764266095810015</v>
      </c>
      <c r="B275" s="168">
        <f t="shared" ca="1" si="41"/>
        <v>13.542160832868912</v>
      </c>
      <c r="C275" s="168">
        <f t="shared" ca="1" si="42"/>
        <v>33.222105262941099</v>
      </c>
      <c r="D275" s="184">
        <f t="shared" ca="1" si="43"/>
        <v>4.198651436634198</v>
      </c>
      <c r="E275" s="230">
        <f t="shared" ca="1" si="44"/>
        <v>1.9255433950034992E-5</v>
      </c>
      <c r="F275" s="168">
        <f t="shared" ca="1" si="45"/>
        <v>64.466510602357673</v>
      </c>
      <c r="G275" s="168">
        <f t="shared" ca="1" si="46"/>
        <v>50.924349769488757</v>
      </c>
      <c r="H275" s="184">
        <f t="shared" ca="1" si="47"/>
        <v>6.4358833561891426</v>
      </c>
      <c r="I275" s="184">
        <f t="shared" ca="1" si="48"/>
        <v>3.5784613659969602E-10</v>
      </c>
      <c r="J275" s="223">
        <f t="shared" ca="1" si="49"/>
        <v>1</v>
      </c>
      <c r="K275" s="220" t="str" cm="1">
        <f t="array" aca="1" ref="K275" ca="1">_xlfn.IFS(G275&lt;$B$11,"Fail",G275&lt;25,"Marginal",G275&lt;35,"Solid",TRUE,"Blowout")</f>
        <v>Blowout</v>
      </c>
      <c r="L275" s="226">
        <f ca="1">IF(AND(E275&lt;$B$10,C275&gt;=$B$11),1,0)</f>
        <v>1</v>
      </c>
      <c r="M275" s="217" t="str" cm="1">
        <f t="array" aca="1" ref="M275" ca="1">_xlfn.IFS(C275&lt;$B$11,"Fail",C275&lt;25,"Marginal",C275&lt;35,"Solid",TRUE,"Blowout")</f>
        <v>Solid</v>
      </c>
    </row>
    <row r="276" spans="1:13" x14ac:dyDescent="0.25">
      <c r="A276" s="169">
        <f t="shared" ca="1" si="40"/>
        <v>42.960036609343234</v>
      </c>
      <c r="B276" s="168">
        <f t="shared" ca="1" si="41"/>
        <v>4.3984054291764654</v>
      </c>
      <c r="C276" s="168">
        <f t="shared" ca="1" si="42"/>
        <v>38.561631180166771</v>
      </c>
      <c r="D276" s="184">
        <f t="shared" ca="1" si="43"/>
        <v>4.8734674359776538</v>
      </c>
      <c r="E276" s="230">
        <f t="shared" ca="1" si="44"/>
        <v>1.0267845443546348E-6</v>
      </c>
      <c r="F276" s="168">
        <f t="shared" ca="1" si="45"/>
        <v>65.827890460989508</v>
      </c>
      <c r="G276" s="168">
        <f t="shared" ca="1" si="46"/>
        <v>61.429485031813044</v>
      </c>
      <c r="H276" s="184">
        <f t="shared" ca="1" si="47"/>
        <v>7.7635355598077913</v>
      </c>
      <c r="I276" s="184">
        <f t="shared" ca="1" si="48"/>
        <v>1.3849824143126965E-13</v>
      </c>
      <c r="J276" s="223">
        <f t="shared" ca="1" si="49"/>
        <v>1</v>
      </c>
      <c r="K276" s="220" t="str" cm="1">
        <f t="array" aca="1" ref="K276" ca="1">_xlfn.IFS(G276&lt;$B$11,"Fail",G276&lt;25,"Marginal",G276&lt;35,"Solid",TRUE,"Blowout")</f>
        <v>Blowout</v>
      </c>
      <c r="L276" s="226">
        <f ca="1">IF(AND(E276&lt;$B$10,C276&gt;=$B$11),1,0)</f>
        <v>1</v>
      </c>
      <c r="M276" s="217" t="str" cm="1">
        <f t="array" aca="1" ref="M276" ca="1">_xlfn.IFS(C276&lt;$B$11,"Fail",C276&lt;25,"Marginal",C276&lt;35,"Solid",TRUE,"Blowout")</f>
        <v>Blowout</v>
      </c>
    </row>
    <row r="277" spans="1:13" x14ac:dyDescent="0.25">
      <c r="A277" s="169">
        <f t="shared" ca="1" si="40"/>
        <v>6.1972227631099077</v>
      </c>
      <c r="B277" s="168">
        <f t="shared" ca="1" si="41"/>
        <v>10.532846119705704</v>
      </c>
      <c r="C277" s="168">
        <f t="shared" ca="1" si="42"/>
        <v>-4.3356233565957965</v>
      </c>
      <c r="D277" s="184">
        <f t="shared" ca="1" si="43"/>
        <v>-0.54794153142311042</v>
      </c>
      <c r="E277" s="230">
        <f t="shared" ca="1" si="44"/>
        <v>0.70786595476978487</v>
      </c>
      <c r="F277" s="168">
        <f t="shared" ca="1" si="45"/>
        <v>-1.409717517311651</v>
      </c>
      <c r="G277" s="168">
        <f t="shared" ca="1" si="46"/>
        <v>-11.942563637017354</v>
      </c>
      <c r="H277" s="184">
        <f t="shared" ca="1" si="47"/>
        <v>-1.5093162090360313</v>
      </c>
      <c r="I277" s="184">
        <f t="shared" ca="1" si="48"/>
        <v>0.9336987431698307</v>
      </c>
      <c r="J277" s="223">
        <f t="shared" ca="1" si="49"/>
        <v>0</v>
      </c>
      <c r="K277" s="220" t="str" cm="1">
        <f t="array" aca="1" ref="K277" ca="1">_xlfn.IFS(G277&lt;$B$11,"Fail",G277&lt;25,"Marginal",G277&lt;35,"Solid",TRUE,"Blowout")</f>
        <v>Fail</v>
      </c>
      <c r="L277" s="226">
        <f ca="1">IF(AND(E277&lt;$B$10,C277&gt;=$B$11),1,0)</f>
        <v>0</v>
      </c>
      <c r="M277" s="217" t="str" cm="1">
        <f t="array" aca="1" ref="M277" ca="1">_xlfn.IFS(C277&lt;$B$11,"Fail",C277&lt;25,"Marginal",C277&lt;35,"Solid",TRUE,"Blowout")</f>
        <v>Fail</v>
      </c>
    </row>
    <row r="278" spans="1:13" x14ac:dyDescent="0.25">
      <c r="A278" s="169">
        <f t="shared" ca="1" si="40"/>
        <v>46.843269661116032</v>
      </c>
      <c r="B278" s="168">
        <f t="shared" ca="1" si="41"/>
        <v>3.489423824881964</v>
      </c>
      <c r="C278" s="168">
        <f t="shared" ca="1" si="42"/>
        <v>43.353845836234072</v>
      </c>
      <c r="D278" s="184">
        <f t="shared" ca="1" si="43"/>
        <v>5.4791135499462653</v>
      </c>
      <c r="E278" s="230">
        <f t="shared" ca="1" si="44"/>
        <v>5.6391989381594887E-8</v>
      </c>
      <c r="F278" s="168">
        <f t="shared" ca="1" si="45"/>
        <v>-0.19170089720569372</v>
      </c>
      <c r="G278" s="168">
        <f t="shared" ca="1" si="46"/>
        <v>-3.6811247220876577</v>
      </c>
      <c r="H278" s="184">
        <f t="shared" ca="1" si="47"/>
        <v>-0.46522517102682653</v>
      </c>
      <c r="I278" s="184">
        <f t="shared" ca="1" si="48"/>
        <v>0.67889287764556405</v>
      </c>
      <c r="J278" s="223">
        <f t="shared" ca="1" si="49"/>
        <v>0</v>
      </c>
      <c r="K278" s="220" t="str" cm="1">
        <f t="array" aca="1" ref="K278" ca="1">_xlfn.IFS(G278&lt;$B$11,"Fail",G278&lt;25,"Marginal",G278&lt;35,"Solid",TRUE,"Blowout")</f>
        <v>Fail</v>
      </c>
      <c r="L278" s="226">
        <f ca="1">IF(AND(E278&lt;$B$10,C278&gt;=$B$11),1,0)</f>
        <v>1</v>
      </c>
      <c r="M278" s="217" t="str" cm="1">
        <f t="array" aca="1" ref="M278" ca="1">_xlfn.IFS(C278&lt;$B$11,"Fail",C278&lt;25,"Marginal",C278&lt;35,"Solid",TRUE,"Blowout")</f>
        <v>Blowout</v>
      </c>
    </row>
    <row r="279" spans="1:13" x14ac:dyDescent="0.25">
      <c r="A279" s="169">
        <f t="shared" ca="1" si="40"/>
        <v>38.558761014124656</v>
      </c>
      <c r="B279" s="168">
        <f t="shared" ca="1" si="41"/>
        <v>8.2521584943221082</v>
      </c>
      <c r="C279" s="168">
        <f t="shared" ca="1" si="42"/>
        <v>30.306602519802546</v>
      </c>
      <c r="D279" s="184">
        <f t="shared" ca="1" si="43"/>
        <v>3.8301865340006933</v>
      </c>
      <c r="E279" s="230">
        <f t="shared" ca="1" si="44"/>
        <v>8.276858404096219E-5</v>
      </c>
      <c r="F279" s="168">
        <f t="shared" ca="1" si="45"/>
        <v>19.59329735371297</v>
      </c>
      <c r="G279" s="168">
        <f t="shared" ca="1" si="46"/>
        <v>11.341138859390862</v>
      </c>
      <c r="H279" s="184">
        <f t="shared" ca="1" si="47"/>
        <v>1.433307389407563</v>
      </c>
      <c r="I279" s="184">
        <f t="shared" ca="1" si="48"/>
        <v>7.6569922057018722E-2</v>
      </c>
      <c r="J279" s="223">
        <f t="shared" ca="1" si="49"/>
        <v>0</v>
      </c>
      <c r="K279" s="220" t="str" cm="1">
        <f t="array" aca="1" ref="K279" ca="1">_xlfn.IFS(G279&lt;$B$11,"Fail",G279&lt;25,"Marginal",G279&lt;35,"Solid",TRUE,"Blowout")</f>
        <v>Fail</v>
      </c>
      <c r="L279" s="226">
        <f ca="1">IF(AND(E279&lt;$B$10,C279&gt;=$B$11),1,0)</f>
        <v>1</v>
      </c>
      <c r="M279" s="217" t="str" cm="1">
        <f t="array" aca="1" ref="M279" ca="1">_xlfn.IFS(C279&lt;$B$11,"Fail",C279&lt;25,"Marginal",C279&lt;35,"Solid",TRUE,"Blowout")</f>
        <v>Solid</v>
      </c>
    </row>
    <row r="280" spans="1:13" x14ac:dyDescent="0.25">
      <c r="A280" s="169">
        <f t="shared" ca="1" si="40"/>
        <v>22.577290669183565</v>
      </c>
      <c r="B280" s="168">
        <f t="shared" ca="1" si="41"/>
        <v>0.88015378464787197</v>
      </c>
      <c r="C280" s="168">
        <f t="shared" ca="1" si="42"/>
        <v>21.697136884535695</v>
      </c>
      <c r="D280" s="184">
        <f t="shared" ca="1" si="43"/>
        <v>2.7421114414661818</v>
      </c>
      <c r="E280" s="230">
        <f t="shared" ca="1" si="44"/>
        <v>3.2945668227144891E-3</v>
      </c>
      <c r="F280" s="168">
        <f t="shared" ca="1" si="45"/>
        <v>5.8732177023733421</v>
      </c>
      <c r="G280" s="168">
        <f t="shared" ca="1" si="46"/>
        <v>4.9930639177254701</v>
      </c>
      <c r="H280" s="184">
        <f t="shared" ca="1" si="47"/>
        <v>0.63102969620500504</v>
      </c>
      <c r="I280" s="184">
        <f t="shared" ca="1" si="48"/>
        <v>0.26432658472731579</v>
      </c>
      <c r="J280" s="223">
        <f t="shared" ca="1" si="49"/>
        <v>0</v>
      </c>
      <c r="K280" s="220" t="str" cm="1">
        <f t="array" aca="1" ref="K280" ca="1">_xlfn.IFS(G280&lt;$B$11,"Fail",G280&lt;25,"Marginal",G280&lt;35,"Solid",TRUE,"Blowout")</f>
        <v>Fail</v>
      </c>
      <c r="L280" s="226">
        <f ca="1">IF(AND(E280&lt;$B$10,C280&gt;=$B$11),1,0)</f>
        <v>1</v>
      </c>
      <c r="M280" s="217" t="str" cm="1">
        <f t="array" aca="1" ref="M280" ca="1">_xlfn.IFS(C280&lt;$B$11,"Fail",C280&lt;25,"Marginal",C280&lt;35,"Solid",TRUE,"Blowout")</f>
        <v>Marginal</v>
      </c>
    </row>
    <row r="281" spans="1:13" x14ac:dyDescent="0.25">
      <c r="A281" s="169">
        <f t="shared" ca="1" si="40"/>
        <v>29.577375110185027</v>
      </c>
      <c r="B281" s="168">
        <f t="shared" ca="1" si="41"/>
        <v>1.7975001211704518</v>
      </c>
      <c r="C281" s="168">
        <f t="shared" ca="1" si="42"/>
        <v>27.779874989014576</v>
      </c>
      <c r="D281" s="184">
        <f t="shared" ca="1" si="43"/>
        <v>3.5108555315503414</v>
      </c>
      <c r="E281" s="230">
        <f t="shared" ca="1" si="44"/>
        <v>2.6912107573639983E-4</v>
      </c>
      <c r="F281" s="168">
        <f t="shared" ca="1" si="45"/>
        <v>5.6500867055263599</v>
      </c>
      <c r="G281" s="168">
        <f t="shared" ca="1" si="46"/>
        <v>3.8525865843559082</v>
      </c>
      <c r="H281" s="184">
        <f t="shared" ca="1" si="47"/>
        <v>0.48689473677658096</v>
      </c>
      <c r="I281" s="184">
        <f t="shared" ca="1" si="48"/>
        <v>0.3134003334775417</v>
      </c>
      <c r="J281" s="223">
        <f t="shared" ca="1" si="49"/>
        <v>0</v>
      </c>
      <c r="K281" s="220" t="str" cm="1">
        <f t="array" aca="1" ref="K281" ca="1">_xlfn.IFS(G281&lt;$B$11,"Fail",G281&lt;25,"Marginal",G281&lt;35,"Solid",TRUE,"Blowout")</f>
        <v>Fail</v>
      </c>
      <c r="L281" s="226">
        <f ca="1">IF(AND(E281&lt;$B$10,C281&gt;=$B$11),1,0)</f>
        <v>1</v>
      </c>
      <c r="M281" s="217" t="str" cm="1">
        <f t="array" aca="1" ref="M281" ca="1">_xlfn.IFS(C281&lt;$B$11,"Fail",C281&lt;25,"Marginal",C281&lt;35,"Solid",TRUE,"Blowout")</f>
        <v>Solid</v>
      </c>
    </row>
    <row r="282" spans="1:13" x14ac:dyDescent="0.25">
      <c r="A282" s="169">
        <f t="shared" ca="1" si="40"/>
        <v>65.14317963775315</v>
      </c>
      <c r="B282" s="168">
        <f t="shared" ca="1" si="41"/>
        <v>15.509567533403557</v>
      </c>
      <c r="C282" s="168">
        <f t="shared" ca="1" si="42"/>
        <v>49.633612104349595</v>
      </c>
      <c r="D282" s="184">
        <f t="shared" ca="1" si="43"/>
        <v>6.2727583070942066</v>
      </c>
      <c r="E282" s="230">
        <f t="shared" ca="1" si="44"/>
        <v>8.812720332150812E-10</v>
      </c>
      <c r="F282" s="168">
        <f t="shared" ca="1" si="45"/>
        <v>45.942452537779445</v>
      </c>
      <c r="G282" s="168">
        <f t="shared" ca="1" si="46"/>
        <v>30.432885004375891</v>
      </c>
      <c r="H282" s="184">
        <f t="shared" ca="1" si="47"/>
        <v>3.846146273188777</v>
      </c>
      <c r="I282" s="184">
        <f t="shared" ca="1" si="48"/>
        <v>7.786956774634238E-5</v>
      </c>
      <c r="J282" s="223">
        <f t="shared" ca="1" si="49"/>
        <v>1</v>
      </c>
      <c r="K282" s="220" t="str" cm="1">
        <f t="array" aca="1" ref="K282" ca="1">_xlfn.IFS(G282&lt;$B$11,"Fail",G282&lt;25,"Marginal",G282&lt;35,"Solid",TRUE,"Blowout")</f>
        <v>Solid</v>
      </c>
      <c r="L282" s="226">
        <f ca="1">IF(AND(E282&lt;$B$10,C282&gt;=$B$11),1,0)</f>
        <v>1</v>
      </c>
      <c r="M282" s="217" t="str" cm="1">
        <f t="array" aca="1" ref="M282" ca="1">_xlfn.IFS(C282&lt;$B$11,"Fail",C282&lt;25,"Marginal",C282&lt;35,"Solid",TRUE,"Blowout")</f>
        <v>Blowout</v>
      </c>
    </row>
    <row r="283" spans="1:13" x14ac:dyDescent="0.25">
      <c r="A283" s="169">
        <f t="shared" ca="1" si="40"/>
        <v>40.065856650038107</v>
      </c>
      <c r="B283" s="168">
        <f t="shared" ca="1" si="41"/>
        <v>2.3621861105278636</v>
      </c>
      <c r="C283" s="168">
        <f t="shared" ca="1" si="42"/>
        <v>37.703670539510242</v>
      </c>
      <c r="D283" s="184">
        <f t="shared" ca="1" si="43"/>
        <v>4.7650372914110353</v>
      </c>
      <c r="E283" s="230">
        <f t="shared" ca="1" si="44"/>
        <v>1.6811604646104338E-6</v>
      </c>
      <c r="F283" s="168">
        <f t="shared" ca="1" si="45"/>
        <v>26.453814453899653</v>
      </c>
      <c r="G283" s="168">
        <f t="shared" ca="1" si="46"/>
        <v>24.091628343371788</v>
      </c>
      <c r="H283" s="184">
        <f t="shared" ca="1" si="47"/>
        <v>3.0447302828695046</v>
      </c>
      <c r="I283" s="184">
        <f t="shared" ca="1" si="48"/>
        <v>1.3012929107000615E-3</v>
      </c>
      <c r="J283" s="223">
        <f t="shared" ca="1" si="49"/>
        <v>1</v>
      </c>
      <c r="K283" s="220" t="str" cm="1">
        <f t="array" aca="1" ref="K283" ca="1">_xlfn.IFS(G283&lt;$B$11,"Fail",G283&lt;25,"Marginal",G283&lt;35,"Solid",TRUE,"Blowout")</f>
        <v>Marginal</v>
      </c>
      <c r="L283" s="226">
        <f ca="1">IF(AND(E283&lt;$B$10,C283&gt;=$B$11),1,0)</f>
        <v>1</v>
      </c>
      <c r="M283" s="217" t="str" cm="1">
        <f t="array" aca="1" ref="M283" ca="1">_xlfn.IFS(C283&lt;$B$11,"Fail",C283&lt;25,"Marginal",C283&lt;35,"Solid",TRUE,"Blowout")</f>
        <v>Blowout</v>
      </c>
    </row>
    <row r="284" spans="1:13" x14ac:dyDescent="0.25">
      <c r="A284" s="169">
        <f t="shared" ca="1" si="40"/>
        <v>31.416195609280805</v>
      </c>
      <c r="B284" s="168">
        <f t="shared" ca="1" si="41"/>
        <v>7.9333176251930819</v>
      </c>
      <c r="C284" s="168">
        <f t="shared" ca="1" si="42"/>
        <v>23.482877984087722</v>
      </c>
      <c r="D284" s="184">
        <f t="shared" ca="1" si="43"/>
        <v>2.9677956470199596</v>
      </c>
      <c r="E284" s="230">
        <f t="shared" ca="1" si="44"/>
        <v>1.6596577526877033E-3</v>
      </c>
      <c r="F284" s="168">
        <f t="shared" ca="1" si="45"/>
        <v>41.867176836402955</v>
      </c>
      <c r="G284" s="168">
        <f t="shared" ca="1" si="46"/>
        <v>33.933859211209871</v>
      </c>
      <c r="H284" s="184">
        <f t="shared" ca="1" si="47"/>
        <v>4.2886037955764316</v>
      </c>
      <c r="I284" s="184">
        <f t="shared" ca="1" si="48"/>
        <v>1.3279728117148146E-5</v>
      </c>
      <c r="J284" s="223">
        <f t="shared" ca="1" si="49"/>
        <v>1</v>
      </c>
      <c r="K284" s="220" t="str" cm="1">
        <f t="array" aca="1" ref="K284" ca="1">_xlfn.IFS(G284&lt;$B$11,"Fail",G284&lt;25,"Marginal",G284&lt;35,"Solid",TRUE,"Blowout")</f>
        <v>Solid</v>
      </c>
      <c r="L284" s="226">
        <f ca="1">IF(AND(E284&lt;$B$10,C284&gt;=$B$11),1,0)</f>
        <v>1</v>
      </c>
      <c r="M284" s="217" t="str" cm="1">
        <f t="array" aca="1" ref="M284" ca="1">_xlfn.IFS(C284&lt;$B$11,"Fail",C284&lt;25,"Marginal",C284&lt;35,"Solid",TRUE,"Blowout")</f>
        <v>Marginal</v>
      </c>
    </row>
    <row r="285" spans="1:13" x14ac:dyDescent="0.25">
      <c r="A285" s="169">
        <f t="shared" ca="1" si="40"/>
        <v>-5.9622045750649999</v>
      </c>
      <c r="B285" s="168">
        <f t="shared" ca="1" si="41"/>
        <v>8.0383806992878739</v>
      </c>
      <c r="C285" s="168">
        <f t="shared" ca="1" si="42"/>
        <v>-14.000585274352874</v>
      </c>
      <c r="D285" s="184">
        <f t="shared" ca="1" si="43"/>
        <v>-1.7694115713206693</v>
      </c>
      <c r="E285" s="230">
        <f t="shared" ca="1" si="44"/>
        <v>0.96091902071523516</v>
      </c>
      <c r="F285" s="168">
        <f t="shared" ca="1" si="45"/>
        <v>5.8576308429885646</v>
      </c>
      <c r="G285" s="168">
        <f t="shared" ca="1" si="46"/>
        <v>-2.1807498562993093</v>
      </c>
      <c r="H285" s="184">
        <f t="shared" ca="1" si="47"/>
        <v>-0.27560590891584968</v>
      </c>
      <c r="I285" s="184">
        <f t="shared" ca="1" si="48"/>
        <v>0.60844980399088855</v>
      </c>
      <c r="J285" s="223">
        <f t="shared" ca="1" si="49"/>
        <v>0</v>
      </c>
      <c r="K285" s="220" t="str" cm="1">
        <f t="array" aca="1" ref="K285" ca="1">_xlfn.IFS(G285&lt;$B$11,"Fail",G285&lt;25,"Marginal",G285&lt;35,"Solid",TRUE,"Blowout")</f>
        <v>Fail</v>
      </c>
      <c r="L285" s="226">
        <f ca="1">IF(AND(E285&lt;$B$10,C285&gt;=$B$11),1,0)</f>
        <v>0</v>
      </c>
      <c r="M285" s="217" t="str" cm="1">
        <f t="array" aca="1" ref="M285" ca="1">_xlfn.IFS(C285&lt;$B$11,"Fail",C285&lt;25,"Marginal",C285&lt;35,"Solid",TRUE,"Blowout")</f>
        <v>Fail</v>
      </c>
    </row>
    <row r="286" spans="1:13" x14ac:dyDescent="0.25">
      <c r="A286" s="169">
        <f t="shared" ca="1" si="40"/>
        <v>64.509310753074743</v>
      </c>
      <c r="B286" s="168">
        <f t="shared" ca="1" si="41"/>
        <v>11.368739101054109</v>
      </c>
      <c r="C286" s="168">
        <f t="shared" ca="1" si="42"/>
        <v>53.140571652020633</v>
      </c>
      <c r="D286" s="184">
        <f t="shared" ca="1" si="43"/>
        <v>6.7159722643828204</v>
      </c>
      <c r="E286" s="230">
        <f t="shared" ca="1" si="44"/>
        <v>7.354784997123157E-11</v>
      </c>
      <c r="F286" s="168">
        <f t="shared" ca="1" si="45"/>
        <v>30.373234948696354</v>
      </c>
      <c r="G286" s="168">
        <f t="shared" ca="1" si="46"/>
        <v>19.004495847642247</v>
      </c>
      <c r="H286" s="184">
        <f t="shared" ca="1" si="47"/>
        <v>2.4018120814944344</v>
      </c>
      <c r="I286" s="184">
        <f t="shared" ca="1" si="48"/>
        <v>8.5578156027416568E-3</v>
      </c>
      <c r="J286" s="223">
        <f t="shared" ca="1" si="49"/>
        <v>0</v>
      </c>
      <c r="K286" s="220" t="str" cm="1">
        <f t="array" aca="1" ref="K286" ca="1">_xlfn.IFS(G286&lt;$B$11,"Fail",G286&lt;25,"Marginal",G286&lt;35,"Solid",TRUE,"Blowout")</f>
        <v>Fail</v>
      </c>
      <c r="L286" s="226">
        <f ca="1">IF(AND(E286&lt;$B$10,C286&gt;=$B$11),1,0)</f>
        <v>1</v>
      </c>
      <c r="M286" s="217" t="str" cm="1">
        <f t="array" aca="1" ref="M286" ca="1">_xlfn.IFS(C286&lt;$B$11,"Fail",C286&lt;25,"Marginal",C286&lt;35,"Solid",TRUE,"Blowout")</f>
        <v>Blowout</v>
      </c>
    </row>
    <row r="287" spans="1:13" x14ac:dyDescent="0.25">
      <c r="A287" s="169">
        <f t="shared" ca="1" si="40"/>
        <v>7.9583904894753426</v>
      </c>
      <c r="B287" s="168">
        <f t="shared" ca="1" si="41"/>
        <v>11.68326391337898</v>
      </c>
      <c r="C287" s="168">
        <f t="shared" ca="1" si="42"/>
        <v>-3.7248734239036372</v>
      </c>
      <c r="D287" s="184">
        <f t="shared" ca="1" si="43"/>
        <v>-0.47075418697198523</v>
      </c>
      <c r="E287" s="230">
        <f t="shared" ca="1" si="44"/>
        <v>0.68086683268371306</v>
      </c>
      <c r="F287" s="168">
        <f t="shared" ca="1" si="45"/>
        <v>32.608062613509261</v>
      </c>
      <c r="G287" s="168">
        <f t="shared" ca="1" si="46"/>
        <v>20.924798700130282</v>
      </c>
      <c r="H287" s="184">
        <f t="shared" ca="1" si="47"/>
        <v>2.644502370582329</v>
      </c>
      <c r="I287" s="184">
        <f t="shared" ca="1" si="48"/>
        <v>4.3748134025417586E-3</v>
      </c>
      <c r="J287" s="223">
        <f t="shared" ca="1" si="49"/>
        <v>1</v>
      </c>
      <c r="K287" s="220" t="str" cm="1">
        <f t="array" aca="1" ref="K287" ca="1">_xlfn.IFS(G287&lt;$B$11,"Fail",G287&lt;25,"Marginal",G287&lt;35,"Solid",TRUE,"Blowout")</f>
        <v>Marginal</v>
      </c>
      <c r="L287" s="226">
        <f ca="1">IF(AND(E287&lt;$B$10,C287&gt;=$B$11),1,0)</f>
        <v>0</v>
      </c>
      <c r="M287" s="217" t="str" cm="1">
        <f t="array" aca="1" ref="M287" ca="1">_xlfn.IFS(C287&lt;$B$11,"Fail",C287&lt;25,"Marginal",C287&lt;35,"Solid",TRUE,"Blowout")</f>
        <v>Fail</v>
      </c>
    </row>
    <row r="288" spans="1:13" x14ac:dyDescent="0.25">
      <c r="A288" s="169">
        <f t="shared" ca="1" si="40"/>
        <v>41.078190851226282</v>
      </c>
      <c r="B288" s="168">
        <f t="shared" ca="1" si="41"/>
        <v>0.38892939091309309</v>
      </c>
      <c r="C288" s="168">
        <f t="shared" ca="1" si="42"/>
        <v>40.68926146031319</v>
      </c>
      <c r="D288" s="184">
        <f t="shared" ca="1" si="43"/>
        <v>5.1423600260667008</v>
      </c>
      <c r="E288" s="230">
        <f t="shared" ca="1" si="44"/>
        <v>2.918742883252738E-7</v>
      </c>
      <c r="F288" s="168">
        <f t="shared" ca="1" si="45"/>
        <v>18.647923472647125</v>
      </c>
      <c r="G288" s="168">
        <f t="shared" ca="1" si="46"/>
        <v>18.258994081734031</v>
      </c>
      <c r="H288" s="184">
        <f t="shared" ca="1" si="47"/>
        <v>2.3075946309243931</v>
      </c>
      <c r="I288" s="184">
        <f t="shared" ca="1" si="48"/>
        <v>1.0959187679695002E-2</v>
      </c>
      <c r="J288" s="223">
        <f t="shared" ca="1" si="49"/>
        <v>0</v>
      </c>
      <c r="K288" s="220" t="str" cm="1">
        <f t="array" aca="1" ref="K288" ca="1">_xlfn.IFS(G288&lt;$B$11,"Fail",G288&lt;25,"Marginal",G288&lt;35,"Solid",TRUE,"Blowout")</f>
        <v>Fail</v>
      </c>
      <c r="L288" s="226">
        <f ca="1">IF(AND(E288&lt;$B$10,C288&gt;=$B$11),1,0)</f>
        <v>1</v>
      </c>
      <c r="M288" s="217" t="str" cm="1">
        <f t="array" aca="1" ref="M288" ca="1">_xlfn.IFS(C288&lt;$B$11,"Fail",C288&lt;25,"Marginal",C288&lt;35,"Solid",TRUE,"Blowout")</f>
        <v>Blowout</v>
      </c>
    </row>
    <row r="289" spans="1:13" x14ac:dyDescent="0.25">
      <c r="A289" s="169">
        <f t="shared" ca="1" si="40"/>
        <v>31.883621010946083</v>
      </c>
      <c r="B289" s="168">
        <f t="shared" ca="1" si="41"/>
        <v>7.2892232546897873</v>
      </c>
      <c r="C289" s="168">
        <f t="shared" ca="1" si="42"/>
        <v>24.594397756256296</v>
      </c>
      <c r="D289" s="184">
        <f t="shared" ca="1" si="43"/>
        <v>3.1082709134525404</v>
      </c>
      <c r="E289" s="230">
        <f t="shared" ca="1" si="44"/>
        <v>1.0605916310974033E-3</v>
      </c>
      <c r="F289" s="168">
        <f t="shared" ca="1" si="45"/>
        <v>6.9785765127766517</v>
      </c>
      <c r="G289" s="168">
        <f t="shared" ca="1" si="46"/>
        <v>-0.31064674191313557</v>
      </c>
      <c r="H289" s="184">
        <f t="shared" ca="1" si="47"/>
        <v>-3.9259925850462257E-2</v>
      </c>
      <c r="I289" s="184">
        <f t="shared" ca="1" si="48"/>
        <v>0.51564124427836688</v>
      </c>
      <c r="J289" s="223">
        <f t="shared" ca="1" si="49"/>
        <v>0</v>
      </c>
      <c r="K289" s="220" t="str" cm="1">
        <f t="array" aca="1" ref="K289" ca="1">_xlfn.IFS(G289&lt;$B$11,"Fail",G289&lt;25,"Marginal",G289&lt;35,"Solid",TRUE,"Blowout")</f>
        <v>Fail</v>
      </c>
      <c r="L289" s="226">
        <f ca="1">IF(AND(E289&lt;$B$10,C289&gt;=$B$11),1,0)</f>
        <v>1</v>
      </c>
      <c r="M289" s="217" t="str" cm="1">
        <f t="array" aca="1" ref="M289" ca="1">_xlfn.IFS(C289&lt;$B$11,"Fail",C289&lt;25,"Marginal",C289&lt;35,"Solid",TRUE,"Blowout")</f>
        <v>Marginal</v>
      </c>
    </row>
    <row r="290" spans="1:13" x14ac:dyDescent="0.25">
      <c r="A290" s="169">
        <f t="shared" ca="1" si="40"/>
        <v>16.642489237551356</v>
      </c>
      <c r="B290" s="168">
        <f t="shared" ca="1" si="41"/>
        <v>9.8330289125499917</v>
      </c>
      <c r="C290" s="168">
        <f t="shared" ca="1" si="42"/>
        <v>6.8094603250013641</v>
      </c>
      <c r="D290" s="184">
        <f t="shared" ca="1" si="43"/>
        <v>0.86058815809493561</v>
      </c>
      <c r="E290" s="230">
        <f t="shared" ca="1" si="44"/>
        <v>0.19518448258662585</v>
      </c>
      <c r="F290" s="168">
        <f t="shared" ca="1" si="45"/>
        <v>37.427470808305486</v>
      </c>
      <c r="G290" s="168">
        <f t="shared" ca="1" si="46"/>
        <v>27.594441895755494</v>
      </c>
      <c r="H290" s="184">
        <f t="shared" ca="1" si="47"/>
        <v>3.4874202640605279</v>
      </c>
      <c r="I290" s="184">
        <f t="shared" ca="1" si="48"/>
        <v>2.9252215297585537E-4</v>
      </c>
      <c r="J290" s="223">
        <f t="shared" ca="1" si="49"/>
        <v>1</v>
      </c>
      <c r="K290" s="220" t="str" cm="1">
        <f t="array" aca="1" ref="K290" ca="1">_xlfn.IFS(G290&lt;$B$11,"Fail",G290&lt;25,"Marginal",G290&lt;35,"Solid",TRUE,"Blowout")</f>
        <v>Solid</v>
      </c>
      <c r="L290" s="226">
        <f ca="1">IF(AND(E290&lt;$B$10,C290&gt;=$B$11),1,0)</f>
        <v>0</v>
      </c>
      <c r="M290" s="217" t="str" cm="1">
        <f t="array" aca="1" ref="M290" ca="1">_xlfn.IFS(C290&lt;$B$11,"Fail",C290&lt;25,"Marginal",C290&lt;35,"Solid",TRUE,"Blowout")</f>
        <v>Fail</v>
      </c>
    </row>
    <row r="291" spans="1:13" x14ac:dyDescent="0.25">
      <c r="A291" s="169">
        <f t="shared" ca="1" si="40"/>
        <v>48.773081571658246</v>
      </c>
      <c r="B291" s="168">
        <f t="shared" ca="1" si="41"/>
        <v>-2.7102229188284728</v>
      </c>
      <c r="C291" s="168">
        <f t="shared" ca="1" si="42"/>
        <v>51.483304490486717</v>
      </c>
      <c r="D291" s="184">
        <f t="shared" ca="1" si="43"/>
        <v>6.5065247566590116</v>
      </c>
      <c r="E291" s="230">
        <f t="shared" ca="1" si="44"/>
        <v>2.410839421477685E-10</v>
      </c>
      <c r="F291" s="168">
        <f t="shared" ca="1" si="45"/>
        <v>28.106060809657908</v>
      </c>
      <c r="G291" s="168">
        <f t="shared" ca="1" si="46"/>
        <v>30.816283728486383</v>
      </c>
      <c r="H291" s="184">
        <f t="shared" ca="1" si="47"/>
        <v>3.8946006860277462</v>
      </c>
      <c r="I291" s="184">
        <f t="shared" ca="1" si="48"/>
        <v>6.4624488325790486E-5</v>
      </c>
      <c r="J291" s="223">
        <f t="shared" ca="1" si="49"/>
        <v>1</v>
      </c>
      <c r="K291" s="220" t="str" cm="1">
        <f t="array" aca="1" ref="K291" ca="1">_xlfn.IFS(G291&lt;$B$11,"Fail",G291&lt;25,"Marginal",G291&lt;35,"Solid",TRUE,"Blowout")</f>
        <v>Solid</v>
      </c>
      <c r="L291" s="226">
        <f ca="1">IF(AND(E291&lt;$B$10,C291&gt;=$B$11),1,0)</f>
        <v>1</v>
      </c>
      <c r="M291" s="217" t="str" cm="1">
        <f t="array" aca="1" ref="M291" ca="1">_xlfn.IFS(C291&lt;$B$11,"Fail",C291&lt;25,"Marginal",C291&lt;35,"Solid",TRUE,"Blowout")</f>
        <v>Blowout</v>
      </c>
    </row>
    <row r="292" spans="1:13" x14ac:dyDescent="0.25">
      <c r="A292" s="169">
        <f t="shared" ca="1" si="40"/>
        <v>14.683108468990502</v>
      </c>
      <c r="B292" s="168">
        <f t="shared" ca="1" si="41"/>
        <v>3.895109091349259</v>
      </c>
      <c r="C292" s="168">
        <f t="shared" ca="1" si="42"/>
        <v>10.787999377641244</v>
      </c>
      <c r="D292" s="184">
        <f t="shared" ca="1" si="43"/>
        <v>1.3634009261859867</v>
      </c>
      <c r="E292" s="230">
        <f t="shared" ca="1" si="44"/>
        <v>8.7050461929780401E-2</v>
      </c>
      <c r="F292" s="168">
        <f t="shared" ca="1" si="45"/>
        <v>13.425059199718339</v>
      </c>
      <c r="G292" s="168">
        <f t="shared" ca="1" si="46"/>
        <v>9.5299501083690803</v>
      </c>
      <c r="H292" s="184">
        <f t="shared" ca="1" si="47"/>
        <v>1.2044070776631386</v>
      </c>
      <c r="I292" s="184">
        <f t="shared" ca="1" si="48"/>
        <v>0.11484052647531991</v>
      </c>
      <c r="J292" s="223">
        <f t="shared" ca="1" si="49"/>
        <v>0</v>
      </c>
      <c r="K292" s="220" t="str" cm="1">
        <f t="array" aca="1" ref="K292" ca="1">_xlfn.IFS(G292&lt;$B$11,"Fail",G292&lt;25,"Marginal",G292&lt;35,"Solid",TRUE,"Blowout")</f>
        <v>Fail</v>
      </c>
      <c r="L292" s="226">
        <f ca="1">IF(AND(E292&lt;$B$10,C292&gt;=$B$11),1,0)</f>
        <v>0</v>
      </c>
      <c r="M292" s="217" t="str" cm="1">
        <f t="array" aca="1" ref="M292" ca="1">_xlfn.IFS(C292&lt;$B$11,"Fail",C292&lt;25,"Marginal",C292&lt;35,"Solid",TRUE,"Blowout")</f>
        <v>Fail</v>
      </c>
    </row>
    <row r="293" spans="1:13" x14ac:dyDescent="0.25">
      <c r="A293" s="169">
        <f t="shared" ca="1" si="40"/>
        <v>16.868751812805222</v>
      </c>
      <c r="B293" s="168">
        <f t="shared" ca="1" si="41"/>
        <v>7.9540552432850404</v>
      </c>
      <c r="C293" s="168">
        <f t="shared" ca="1" si="42"/>
        <v>8.9146965695201814</v>
      </c>
      <c r="D293" s="184">
        <f t="shared" ca="1" si="43"/>
        <v>1.1266505618030864</v>
      </c>
      <c r="E293" s="230">
        <f t="shared" ca="1" si="44"/>
        <v>0.13053731897858004</v>
      </c>
      <c r="F293" s="168">
        <f t="shared" ca="1" si="45"/>
        <v>22.205397717500031</v>
      </c>
      <c r="G293" s="168">
        <f t="shared" ca="1" si="46"/>
        <v>14.25134247421499</v>
      </c>
      <c r="H293" s="184">
        <f t="shared" ca="1" si="47"/>
        <v>1.801102581541562</v>
      </c>
      <c r="I293" s="184">
        <f t="shared" ca="1" si="48"/>
        <v>3.650401642853264E-2</v>
      </c>
      <c r="J293" s="223">
        <f t="shared" ca="1" si="49"/>
        <v>0</v>
      </c>
      <c r="K293" s="220" t="str" cm="1">
        <f t="array" aca="1" ref="K293" ca="1">_xlfn.IFS(G293&lt;$B$11,"Fail",G293&lt;25,"Marginal",G293&lt;35,"Solid",TRUE,"Blowout")</f>
        <v>Fail</v>
      </c>
      <c r="L293" s="226">
        <f ca="1">IF(AND(E293&lt;$B$10,C293&gt;=$B$11),1,0)</f>
        <v>0</v>
      </c>
      <c r="M293" s="217" t="str" cm="1">
        <f t="array" aca="1" ref="M293" ca="1">_xlfn.IFS(C293&lt;$B$11,"Fail",C293&lt;25,"Marginal",C293&lt;35,"Solid",TRUE,"Blowout")</f>
        <v>Fail</v>
      </c>
    </row>
    <row r="294" spans="1:13" x14ac:dyDescent="0.25">
      <c r="A294" s="169">
        <f t="shared" ca="1" si="40"/>
        <v>47.942768634219448</v>
      </c>
      <c r="B294" s="168">
        <f t="shared" ca="1" si="41"/>
        <v>-7.0305357167637261</v>
      </c>
      <c r="C294" s="168">
        <f t="shared" ca="1" si="42"/>
        <v>54.97330435098317</v>
      </c>
      <c r="D294" s="184">
        <f t="shared" ca="1" si="43"/>
        <v>6.9475953273573765</v>
      </c>
      <c r="E294" s="230">
        <f t="shared" ca="1" si="44"/>
        <v>1.9252400272933265E-11</v>
      </c>
      <c r="F294" s="168">
        <f t="shared" ca="1" si="45"/>
        <v>47.125201445428942</v>
      </c>
      <c r="G294" s="168">
        <f t="shared" ca="1" si="46"/>
        <v>54.155737162192665</v>
      </c>
      <c r="H294" s="184">
        <f t="shared" ca="1" si="47"/>
        <v>6.8442701580283467</v>
      </c>
      <c r="I294" s="184">
        <f t="shared" ca="1" si="48"/>
        <v>3.5128756454377094E-11</v>
      </c>
      <c r="J294" s="223">
        <f t="shared" ca="1" si="49"/>
        <v>1</v>
      </c>
      <c r="K294" s="220" t="str" cm="1">
        <f t="array" aca="1" ref="K294" ca="1">_xlfn.IFS(G294&lt;$B$11,"Fail",G294&lt;25,"Marginal",G294&lt;35,"Solid",TRUE,"Blowout")</f>
        <v>Blowout</v>
      </c>
      <c r="L294" s="226">
        <f ca="1">IF(AND(E294&lt;$B$10,C294&gt;=$B$11),1,0)</f>
        <v>1</v>
      </c>
      <c r="M294" s="217" t="str" cm="1">
        <f t="array" aca="1" ref="M294" ca="1">_xlfn.IFS(C294&lt;$B$11,"Fail",C294&lt;25,"Marginal",C294&lt;35,"Solid",TRUE,"Blowout")</f>
        <v>Blowout</v>
      </c>
    </row>
    <row r="295" spans="1:13" x14ac:dyDescent="0.25">
      <c r="A295" s="169">
        <f t="shared" ca="1" si="40"/>
        <v>59.941592858489209</v>
      </c>
      <c r="B295" s="168">
        <f t="shared" ca="1" si="41"/>
        <v>0.13076273209795364</v>
      </c>
      <c r="C295" s="168">
        <f t="shared" ca="1" si="42"/>
        <v>59.810830126391252</v>
      </c>
      <c r="D295" s="184">
        <f t="shared" ca="1" si="43"/>
        <v>7.5589679175625157</v>
      </c>
      <c r="E295" s="230">
        <f t="shared" ca="1" si="44"/>
        <v>4.9157281738998452E-13</v>
      </c>
      <c r="F295" s="168">
        <f t="shared" ca="1" si="45"/>
        <v>6.2389453364709819</v>
      </c>
      <c r="G295" s="168">
        <f t="shared" ca="1" si="46"/>
        <v>6.1081826043730283</v>
      </c>
      <c r="H295" s="184">
        <f t="shared" ca="1" si="47"/>
        <v>0.77195979797471814</v>
      </c>
      <c r="I295" s="184">
        <f t="shared" ca="1" si="48"/>
        <v>0.22046881402242496</v>
      </c>
      <c r="J295" s="223">
        <f t="shared" ca="1" si="49"/>
        <v>0</v>
      </c>
      <c r="K295" s="220" t="str" cm="1">
        <f t="array" aca="1" ref="K295" ca="1">_xlfn.IFS(G295&lt;$B$11,"Fail",G295&lt;25,"Marginal",G295&lt;35,"Solid",TRUE,"Blowout")</f>
        <v>Fail</v>
      </c>
      <c r="L295" s="226">
        <f ca="1">IF(AND(E295&lt;$B$10,C295&gt;=$B$11),1,0)</f>
        <v>1</v>
      </c>
      <c r="M295" s="217" t="str" cm="1">
        <f t="array" aca="1" ref="M295" ca="1">_xlfn.IFS(C295&lt;$B$11,"Fail",C295&lt;25,"Marginal",C295&lt;35,"Solid",TRUE,"Blowout")</f>
        <v>Blowout</v>
      </c>
    </row>
    <row r="296" spans="1:13" x14ac:dyDescent="0.25">
      <c r="A296" s="169">
        <f t="shared" ca="1" si="40"/>
        <v>22.438618440002926</v>
      </c>
      <c r="B296" s="168">
        <f t="shared" ca="1" si="41"/>
        <v>0.32943254713821624</v>
      </c>
      <c r="C296" s="168">
        <f t="shared" ca="1" si="42"/>
        <v>22.109185892864708</v>
      </c>
      <c r="D296" s="184">
        <f t="shared" ca="1" si="43"/>
        <v>2.7941867132495797</v>
      </c>
      <c r="E296" s="230">
        <f t="shared" ca="1" si="44"/>
        <v>2.8229120233007636E-3</v>
      </c>
      <c r="F296" s="168">
        <f t="shared" ca="1" si="45"/>
        <v>12.913993018176223</v>
      </c>
      <c r="G296" s="168">
        <f t="shared" ca="1" si="46"/>
        <v>12.584560471038007</v>
      </c>
      <c r="H296" s="184">
        <f t="shared" ca="1" si="47"/>
        <v>1.5904525761669321</v>
      </c>
      <c r="I296" s="184">
        <f t="shared" ca="1" si="48"/>
        <v>5.6559203735055817E-2</v>
      </c>
      <c r="J296" s="223">
        <f t="shared" ca="1" si="49"/>
        <v>0</v>
      </c>
      <c r="K296" s="220" t="str" cm="1">
        <f t="array" aca="1" ref="K296" ca="1">_xlfn.IFS(G296&lt;$B$11,"Fail",G296&lt;25,"Marginal",G296&lt;35,"Solid",TRUE,"Blowout")</f>
        <v>Fail</v>
      </c>
      <c r="L296" s="226">
        <f ca="1">IF(AND(E296&lt;$B$10,C296&gt;=$B$11),1,0)</f>
        <v>1</v>
      </c>
      <c r="M296" s="217" t="str" cm="1">
        <f t="array" aca="1" ref="M296" ca="1">_xlfn.IFS(C296&lt;$B$11,"Fail",C296&lt;25,"Marginal",C296&lt;35,"Solid",TRUE,"Blowout")</f>
        <v>Marginal</v>
      </c>
    </row>
    <row r="297" spans="1:13" x14ac:dyDescent="0.25">
      <c r="A297" s="169">
        <f t="shared" ca="1" si="40"/>
        <v>19.589473789587085</v>
      </c>
      <c r="B297" s="168">
        <f t="shared" ca="1" si="41"/>
        <v>3.9571159734176122</v>
      </c>
      <c r="C297" s="168">
        <f t="shared" ca="1" si="42"/>
        <v>15.632357816169474</v>
      </c>
      <c r="D297" s="184">
        <f t="shared" ca="1" si="43"/>
        <v>1.9756370369476473</v>
      </c>
      <c r="E297" s="230">
        <f t="shared" ca="1" si="44"/>
        <v>2.4700958755892979E-2</v>
      </c>
      <c r="F297" s="168">
        <f t="shared" ca="1" si="45"/>
        <v>67.721461463739558</v>
      </c>
      <c r="G297" s="168">
        <f t="shared" ca="1" si="46"/>
        <v>63.764345490321944</v>
      </c>
      <c r="H297" s="184">
        <f t="shared" ca="1" si="47"/>
        <v>8.0586181604096918</v>
      </c>
      <c r="I297" s="184">
        <f t="shared" ca="1" si="48"/>
        <v>2.1566496195344016E-14</v>
      </c>
      <c r="J297" s="223">
        <f t="shared" ca="1" si="49"/>
        <v>1</v>
      </c>
      <c r="K297" s="220" t="str" cm="1">
        <f t="array" aca="1" ref="K297" ca="1">_xlfn.IFS(G297&lt;$B$11,"Fail",G297&lt;25,"Marginal",G297&lt;35,"Solid",TRUE,"Blowout")</f>
        <v>Blowout</v>
      </c>
      <c r="L297" s="226">
        <f ca="1">IF(AND(E297&lt;$B$10,C297&gt;=$B$11),1,0)</f>
        <v>0</v>
      </c>
      <c r="M297" s="217" t="str" cm="1">
        <f t="array" aca="1" ref="M297" ca="1">_xlfn.IFS(C297&lt;$B$11,"Fail",C297&lt;25,"Marginal",C297&lt;35,"Solid",TRUE,"Blowout")</f>
        <v>Fail</v>
      </c>
    </row>
    <row r="298" spans="1:13" x14ac:dyDescent="0.25">
      <c r="A298" s="169">
        <f t="shared" ca="1" si="40"/>
        <v>28.555425700549087</v>
      </c>
      <c r="B298" s="168">
        <f t="shared" ca="1" si="41"/>
        <v>1.9155537723874998</v>
      </c>
      <c r="C298" s="168">
        <f t="shared" ca="1" si="42"/>
        <v>26.639871928161586</v>
      </c>
      <c r="D298" s="184">
        <f t="shared" ca="1" si="43"/>
        <v>3.3667805112789124</v>
      </c>
      <c r="E298" s="230">
        <f t="shared" ca="1" si="44"/>
        <v>4.4624085126187141E-4</v>
      </c>
      <c r="F298" s="168">
        <f t="shared" ca="1" si="45"/>
        <v>3.6928526211420709</v>
      </c>
      <c r="G298" s="168">
        <f t="shared" ca="1" si="46"/>
        <v>1.7772988487545711</v>
      </c>
      <c r="H298" s="184">
        <f t="shared" ca="1" si="47"/>
        <v>0.22461726328270215</v>
      </c>
      <c r="I298" s="184">
        <f t="shared" ca="1" si="48"/>
        <v>0.41123910139710401</v>
      </c>
      <c r="J298" s="223">
        <f t="shared" ca="1" si="49"/>
        <v>0</v>
      </c>
      <c r="K298" s="220" t="str" cm="1">
        <f t="array" aca="1" ref="K298" ca="1">_xlfn.IFS(G298&lt;$B$11,"Fail",G298&lt;25,"Marginal",G298&lt;35,"Solid",TRUE,"Blowout")</f>
        <v>Fail</v>
      </c>
      <c r="L298" s="226">
        <f ca="1">IF(AND(E298&lt;$B$10,C298&gt;=$B$11),1,0)</f>
        <v>1</v>
      </c>
      <c r="M298" s="217" t="str" cm="1">
        <f t="array" aca="1" ref="M298" ca="1">_xlfn.IFS(C298&lt;$B$11,"Fail",C298&lt;25,"Marginal",C298&lt;35,"Solid",TRUE,"Blowout")</f>
        <v>Solid</v>
      </c>
    </row>
    <row r="299" spans="1:13" x14ac:dyDescent="0.25">
      <c r="A299" s="169">
        <f t="shared" ca="1" si="40"/>
        <v>37.055096469337954</v>
      </c>
      <c r="B299" s="168">
        <f t="shared" ca="1" si="41"/>
        <v>2.4901535160257056</v>
      </c>
      <c r="C299" s="168">
        <f t="shared" ca="1" si="42"/>
        <v>34.564942953312247</v>
      </c>
      <c r="D299" s="184">
        <f t="shared" ca="1" si="43"/>
        <v>4.3683609524285689</v>
      </c>
      <c r="E299" s="230">
        <f t="shared" ca="1" si="44"/>
        <v>9.5045827231696892E-6</v>
      </c>
      <c r="F299" s="168">
        <f t="shared" ca="1" si="45"/>
        <v>22.997540062287996</v>
      </c>
      <c r="G299" s="168">
        <f t="shared" ca="1" si="46"/>
        <v>20.507386546262289</v>
      </c>
      <c r="H299" s="184">
        <f t="shared" ca="1" si="47"/>
        <v>2.5917492977220911</v>
      </c>
      <c r="I299" s="184">
        <f t="shared" ca="1" si="48"/>
        <v>5.082781171558629E-3</v>
      </c>
      <c r="J299" s="223">
        <f t="shared" ca="1" si="49"/>
        <v>1</v>
      </c>
      <c r="K299" s="220" t="str" cm="1">
        <f t="array" aca="1" ref="K299" ca="1">_xlfn.IFS(G299&lt;$B$11,"Fail",G299&lt;25,"Marginal",G299&lt;35,"Solid",TRUE,"Blowout")</f>
        <v>Marginal</v>
      </c>
      <c r="L299" s="226">
        <f ca="1">IF(AND(E299&lt;$B$10,C299&gt;=$B$11),1,0)</f>
        <v>1</v>
      </c>
      <c r="M299" s="217" t="str" cm="1">
        <f t="array" aca="1" ref="M299" ca="1">_xlfn.IFS(C299&lt;$B$11,"Fail",C299&lt;25,"Marginal",C299&lt;35,"Solid",TRUE,"Blowout")</f>
        <v>Solid</v>
      </c>
    </row>
    <row r="300" spans="1:13" x14ac:dyDescent="0.25">
      <c r="A300" s="169">
        <f t="shared" ca="1" si="40"/>
        <v>53.788278382227944</v>
      </c>
      <c r="B300" s="168">
        <f t="shared" ca="1" si="41"/>
        <v>5.3336270033267175</v>
      </c>
      <c r="C300" s="168">
        <f t="shared" ca="1" si="42"/>
        <v>48.454651378901225</v>
      </c>
      <c r="D300" s="184">
        <f t="shared" ca="1" si="43"/>
        <v>6.1237597681858125</v>
      </c>
      <c r="E300" s="230">
        <f t="shared" ca="1" si="44"/>
        <v>1.9806399683630339E-9</v>
      </c>
      <c r="F300" s="168">
        <f t="shared" ca="1" si="45"/>
        <v>42.016591323960412</v>
      </c>
      <c r="G300" s="168">
        <f t="shared" ca="1" si="46"/>
        <v>36.682964320633694</v>
      </c>
      <c r="H300" s="184">
        <f t="shared" ca="1" si="47"/>
        <v>4.6360391560325409</v>
      </c>
      <c r="I300" s="184">
        <f t="shared" ca="1" si="48"/>
        <v>2.9899097895006572E-6</v>
      </c>
      <c r="J300" s="223">
        <f t="shared" ca="1" si="49"/>
        <v>1</v>
      </c>
      <c r="K300" s="220" t="str" cm="1">
        <f t="array" aca="1" ref="K300" ca="1">_xlfn.IFS(G300&lt;$B$11,"Fail",G300&lt;25,"Marginal",G300&lt;35,"Solid",TRUE,"Blowout")</f>
        <v>Blowout</v>
      </c>
      <c r="L300" s="226">
        <f ca="1">IF(AND(E300&lt;$B$10,C300&gt;=$B$11),1,0)</f>
        <v>1</v>
      </c>
      <c r="M300" s="217" t="str" cm="1">
        <f t="array" aca="1" ref="M300" ca="1">_xlfn.IFS(C300&lt;$B$11,"Fail",C300&lt;25,"Marginal",C300&lt;35,"Solid",TRUE,"Blowout")</f>
        <v>Blowout</v>
      </c>
    </row>
    <row r="301" spans="1:13" x14ac:dyDescent="0.25">
      <c r="A301" s="169">
        <f t="shared" ca="1" si="40"/>
        <v>15.862117689408917</v>
      </c>
      <c r="B301" s="168">
        <f t="shared" ca="1" si="41"/>
        <v>7.0288913574134559</v>
      </c>
      <c r="C301" s="168">
        <f t="shared" ca="1" si="42"/>
        <v>8.833226331995462</v>
      </c>
      <c r="D301" s="184">
        <f t="shared" ca="1" si="43"/>
        <v>1.1163542507439657</v>
      </c>
      <c r="E301" s="230">
        <f t="shared" ca="1" si="44"/>
        <v>0.13272282110362074</v>
      </c>
      <c r="F301" s="168">
        <f t="shared" ca="1" si="45"/>
        <v>17.655855073361877</v>
      </c>
      <c r="G301" s="168">
        <f t="shared" ca="1" si="46"/>
        <v>10.62696371594842</v>
      </c>
      <c r="H301" s="184">
        <f t="shared" ca="1" si="47"/>
        <v>1.3430490367748684</v>
      </c>
      <c r="I301" s="184">
        <f t="shared" ca="1" si="48"/>
        <v>9.0295742572953516E-2</v>
      </c>
      <c r="J301" s="223">
        <f t="shared" ca="1" si="49"/>
        <v>0</v>
      </c>
      <c r="K301" s="220" t="str" cm="1">
        <f t="array" aca="1" ref="K301" ca="1">_xlfn.IFS(G301&lt;$B$11,"Fail",G301&lt;25,"Marginal",G301&lt;35,"Solid",TRUE,"Blowout")</f>
        <v>Fail</v>
      </c>
      <c r="L301" s="226">
        <f ca="1">IF(AND(E301&lt;$B$10,C301&gt;=$B$11),1,0)</f>
        <v>0</v>
      </c>
      <c r="M301" s="217" t="str" cm="1">
        <f t="array" aca="1" ref="M301" ca="1">_xlfn.IFS(C301&lt;$B$11,"Fail",C301&lt;25,"Marginal",C301&lt;35,"Solid",TRUE,"Blowout")</f>
        <v>Fail</v>
      </c>
    </row>
    <row r="302" spans="1:13" x14ac:dyDescent="0.25">
      <c r="A302" s="169">
        <f t="shared" ca="1" si="40"/>
        <v>52.870567321135226</v>
      </c>
      <c r="B302" s="168">
        <f t="shared" ca="1" si="41"/>
        <v>8.7806746213853106</v>
      </c>
      <c r="C302" s="168">
        <f t="shared" ca="1" si="42"/>
        <v>44.089892699749917</v>
      </c>
      <c r="D302" s="184">
        <f t="shared" ca="1" si="43"/>
        <v>5.5721360780633571</v>
      </c>
      <c r="E302" s="230">
        <f t="shared" ca="1" si="44"/>
        <v>3.5344029677589857E-8</v>
      </c>
      <c r="F302" s="168">
        <f t="shared" ca="1" si="45"/>
        <v>53.315201865329541</v>
      </c>
      <c r="G302" s="168">
        <f t="shared" ca="1" si="46"/>
        <v>44.534527243944233</v>
      </c>
      <c r="H302" s="184">
        <f t="shared" ca="1" si="47"/>
        <v>5.6283295508424924</v>
      </c>
      <c r="I302" s="184">
        <f t="shared" ca="1" si="48"/>
        <v>2.6581603584406794E-8</v>
      </c>
      <c r="J302" s="223">
        <f t="shared" ca="1" si="49"/>
        <v>1</v>
      </c>
      <c r="K302" s="220" t="str" cm="1">
        <f t="array" aca="1" ref="K302" ca="1">_xlfn.IFS(G302&lt;$B$11,"Fail",G302&lt;25,"Marginal",G302&lt;35,"Solid",TRUE,"Blowout")</f>
        <v>Blowout</v>
      </c>
      <c r="L302" s="226">
        <f ca="1">IF(AND(E302&lt;$B$10,C302&gt;=$B$11),1,0)</f>
        <v>1</v>
      </c>
      <c r="M302" s="217" t="str" cm="1">
        <f t="array" aca="1" ref="M302" ca="1">_xlfn.IFS(C302&lt;$B$11,"Fail",C302&lt;25,"Marginal",C302&lt;35,"Solid",TRUE,"Blowout")</f>
        <v>Blowout</v>
      </c>
    </row>
    <row r="303" spans="1:13" x14ac:dyDescent="0.25">
      <c r="A303" s="169">
        <f t="shared" ca="1" si="40"/>
        <v>51.731636972144514</v>
      </c>
      <c r="B303" s="168">
        <f t="shared" ca="1" si="41"/>
        <v>-2.4401726228481344</v>
      </c>
      <c r="C303" s="168">
        <f t="shared" ca="1" si="42"/>
        <v>54.171809594992652</v>
      </c>
      <c r="D303" s="184">
        <f t="shared" ca="1" si="43"/>
        <v>6.8463014122950998</v>
      </c>
      <c r="E303" s="230">
        <f t="shared" ca="1" si="44"/>
        <v>3.4717756196015937E-11</v>
      </c>
      <c r="F303" s="168">
        <f t="shared" ca="1" si="45"/>
        <v>31.406409833213019</v>
      </c>
      <c r="G303" s="168">
        <f t="shared" ca="1" si="46"/>
        <v>33.846582456061157</v>
      </c>
      <c r="H303" s="184">
        <f t="shared" ca="1" si="47"/>
        <v>4.2775736495188701</v>
      </c>
      <c r="I303" s="184">
        <f t="shared" ca="1" si="48"/>
        <v>1.3903260700341134E-5</v>
      </c>
      <c r="J303" s="223">
        <f t="shared" ca="1" si="49"/>
        <v>1</v>
      </c>
      <c r="K303" s="220" t="str" cm="1">
        <f t="array" aca="1" ref="K303" ca="1">_xlfn.IFS(G303&lt;$B$11,"Fail",G303&lt;25,"Marginal",G303&lt;35,"Solid",TRUE,"Blowout")</f>
        <v>Solid</v>
      </c>
      <c r="L303" s="226">
        <f ca="1">IF(AND(E303&lt;$B$10,C303&gt;=$B$11),1,0)</f>
        <v>1</v>
      </c>
      <c r="M303" s="217" t="str" cm="1">
        <f t="array" aca="1" ref="M303" ca="1">_xlfn.IFS(C303&lt;$B$11,"Fail",C303&lt;25,"Marginal",C303&lt;35,"Solid",TRUE,"Blowout")</f>
        <v>Blowout</v>
      </c>
    </row>
    <row r="304" spans="1:13" x14ac:dyDescent="0.25">
      <c r="A304" s="169">
        <f t="shared" ca="1" si="40"/>
        <v>17.736240903814565</v>
      </c>
      <c r="B304" s="168">
        <f t="shared" ca="1" si="41"/>
        <v>9.1098930676640713</v>
      </c>
      <c r="C304" s="168">
        <f t="shared" ca="1" si="42"/>
        <v>8.6263478361504937</v>
      </c>
      <c r="D304" s="184">
        <f t="shared" ca="1" si="43"/>
        <v>1.0902086863098803</v>
      </c>
      <c r="E304" s="230">
        <f t="shared" ca="1" si="44"/>
        <v>0.13838604077976008</v>
      </c>
      <c r="F304" s="168">
        <f t="shared" ca="1" si="45"/>
        <v>12.734527564878414</v>
      </c>
      <c r="G304" s="168">
        <f t="shared" ca="1" si="46"/>
        <v>3.6246344972143429</v>
      </c>
      <c r="H304" s="184">
        <f t="shared" ca="1" si="47"/>
        <v>0.45808586537647972</v>
      </c>
      <c r="I304" s="184">
        <f t="shared" ca="1" si="48"/>
        <v>0.32366351855972342</v>
      </c>
      <c r="J304" s="223">
        <f t="shared" ca="1" si="49"/>
        <v>0</v>
      </c>
      <c r="K304" s="220" t="str" cm="1">
        <f t="array" aca="1" ref="K304" ca="1">_xlfn.IFS(G304&lt;$B$11,"Fail",G304&lt;25,"Marginal",G304&lt;35,"Solid",TRUE,"Blowout")</f>
        <v>Fail</v>
      </c>
      <c r="L304" s="226">
        <f ca="1">IF(AND(E304&lt;$B$10,C304&gt;=$B$11),1,0)</f>
        <v>0</v>
      </c>
      <c r="M304" s="217" t="str" cm="1">
        <f t="array" aca="1" ref="M304" ca="1">_xlfn.IFS(C304&lt;$B$11,"Fail",C304&lt;25,"Marginal",C304&lt;35,"Solid",TRUE,"Blowout")</f>
        <v>Fail</v>
      </c>
    </row>
    <row r="305" spans="1:13" x14ac:dyDescent="0.25">
      <c r="A305" s="169">
        <f t="shared" ca="1" si="40"/>
        <v>59.247890948528308</v>
      </c>
      <c r="B305" s="168">
        <f t="shared" ca="1" si="41"/>
        <v>4.9302926285118689</v>
      </c>
      <c r="C305" s="168">
        <f t="shared" ca="1" si="42"/>
        <v>54.317598320016437</v>
      </c>
      <c r="D305" s="184">
        <f t="shared" ca="1" si="43"/>
        <v>6.8647263746784741</v>
      </c>
      <c r="E305" s="230">
        <f t="shared" ca="1" si="44"/>
        <v>3.1199457619179801E-11</v>
      </c>
      <c r="F305" s="168">
        <f t="shared" ca="1" si="45"/>
        <v>18.774400802028019</v>
      </c>
      <c r="G305" s="168">
        <f t="shared" ca="1" si="46"/>
        <v>13.844108173516151</v>
      </c>
      <c r="H305" s="184">
        <f t="shared" ca="1" si="47"/>
        <v>1.7496357985624833</v>
      </c>
      <c r="I305" s="184">
        <f t="shared" ca="1" si="48"/>
        <v>4.0763286806143564E-2</v>
      </c>
      <c r="J305" s="223">
        <f t="shared" ca="1" si="49"/>
        <v>0</v>
      </c>
      <c r="K305" s="220" t="str" cm="1">
        <f t="array" aca="1" ref="K305" ca="1">_xlfn.IFS(G305&lt;$B$11,"Fail",G305&lt;25,"Marginal",G305&lt;35,"Solid",TRUE,"Blowout")</f>
        <v>Fail</v>
      </c>
      <c r="L305" s="226">
        <f ca="1">IF(AND(E305&lt;$B$10,C305&gt;=$B$11),1,0)</f>
        <v>1</v>
      </c>
      <c r="M305" s="217" t="str" cm="1">
        <f t="array" aca="1" ref="M305" ca="1">_xlfn.IFS(C305&lt;$B$11,"Fail",C305&lt;25,"Marginal",C305&lt;35,"Solid",TRUE,"Blowout")</f>
        <v>Blowout</v>
      </c>
    </row>
    <row r="306" spans="1:13" x14ac:dyDescent="0.25">
      <c r="A306" s="169">
        <f t="shared" ca="1" si="40"/>
        <v>4.7806345842369655</v>
      </c>
      <c r="B306" s="168">
        <f t="shared" ca="1" si="41"/>
        <v>-3.9468971804758404</v>
      </c>
      <c r="C306" s="168">
        <f t="shared" ca="1" si="42"/>
        <v>8.7275317647128059</v>
      </c>
      <c r="D306" s="184">
        <f t="shared" ca="1" si="43"/>
        <v>1.1029964384303439</v>
      </c>
      <c r="E306" s="230">
        <f t="shared" ca="1" si="44"/>
        <v>0.13559577865093111</v>
      </c>
      <c r="F306" s="168">
        <f t="shared" ca="1" si="45"/>
        <v>-1.0042782173802594</v>
      </c>
      <c r="G306" s="168">
        <f t="shared" ca="1" si="46"/>
        <v>2.942618963095581</v>
      </c>
      <c r="H306" s="184">
        <f t="shared" ca="1" si="47"/>
        <v>0.37189188460763201</v>
      </c>
      <c r="I306" s="184">
        <f t="shared" ca="1" si="48"/>
        <v>0.35515937303516837</v>
      </c>
      <c r="J306" s="223">
        <f t="shared" ca="1" si="49"/>
        <v>0</v>
      </c>
      <c r="K306" s="220" t="str" cm="1">
        <f t="array" aca="1" ref="K306" ca="1">_xlfn.IFS(G306&lt;$B$11,"Fail",G306&lt;25,"Marginal",G306&lt;35,"Solid",TRUE,"Blowout")</f>
        <v>Fail</v>
      </c>
      <c r="L306" s="226">
        <f ca="1">IF(AND(E306&lt;$B$10,C306&gt;=$B$11),1,0)</f>
        <v>0</v>
      </c>
      <c r="M306" s="217" t="str" cm="1">
        <f t="array" aca="1" ref="M306" ca="1">_xlfn.IFS(C306&lt;$B$11,"Fail",C306&lt;25,"Marginal",C306&lt;35,"Solid",TRUE,"Blowout")</f>
        <v>Fail</v>
      </c>
    </row>
    <row r="307" spans="1:13" x14ac:dyDescent="0.25">
      <c r="A307" s="169">
        <f t="shared" ca="1" si="40"/>
        <v>48.910015729296482</v>
      </c>
      <c r="B307" s="168">
        <f t="shared" ca="1" si="41"/>
        <v>7.0668779652666895</v>
      </c>
      <c r="C307" s="168">
        <f t="shared" ca="1" si="42"/>
        <v>41.843137764029791</v>
      </c>
      <c r="D307" s="184">
        <f t="shared" ca="1" si="43"/>
        <v>5.2881883642154603</v>
      </c>
      <c r="E307" s="230">
        <f t="shared" ca="1" si="44"/>
        <v>1.4454913936460566E-7</v>
      </c>
      <c r="F307" s="168">
        <f t="shared" ca="1" si="45"/>
        <v>-1.6111612372593342</v>
      </c>
      <c r="G307" s="168">
        <f t="shared" ca="1" si="46"/>
        <v>-8.6780392025260245</v>
      </c>
      <c r="H307" s="184">
        <f t="shared" ca="1" si="47"/>
        <v>-1.0967415061891883</v>
      </c>
      <c r="I307" s="184">
        <f t="shared" ca="1" si="48"/>
        <v>0.86304429184920084</v>
      </c>
      <c r="J307" s="223">
        <f t="shared" ca="1" si="49"/>
        <v>0</v>
      </c>
      <c r="K307" s="220" t="str" cm="1">
        <f t="array" aca="1" ref="K307" ca="1">_xlfn.IFS(G307&lt;$B$11,"Fail",G307&lt;25,"Marginal",G307&lt;35,"Solid",TRUE,"Blowout")</f>
        <v>Fail</v>
      </c>
      <c r="L307" s="226">
        <f ca="1">IF(AND(E307&lt;$B$10,C307&gt;=$B$11),1,0)</f>
        <v>1</v>
      </c>
      <c r="M307" s="217" t="str" cm="1">
        <f t="array" aca="1" ref="M307" ca="1">_xlfn.IFS(C307&lt;$B$11,"Fail",C307&lt;25,"Marginal",C307&lt;35,"Solid",TRUE,"Blowout")</f>
        <v>Blowout</v>
      </c>
    </row>
    <row r="308" spans="1:13" x14ac:dyDescent="0.25">
      <c r="A308" s="169">
        <f t="shared" ca="1" si="40"/>
        <v>10.567554603573305</v>
      </c>
      <c r="B308" s="168">
        <f t="shared" ca="1" si="41"/>
        <v>-5.040324134366978</v>
      </c>
      <c r="C308" s="168">
        <f t="shared" ca="1" si="42"/>
        <v>15.607878737940283</v>
      </c>
      <c r="D308" s="184">
        <f t="shared" ca="1" si="43"/>
        <v>1.9725433402610282</v>
      </c>
      <c r="E308" s="230">
        <f t="shared" ca="1" si="44"/>
        <v>2.4878031931807567E-2</v>
      </c>
      <c r="F308" s="168">
        <f t="shared" ca="1" si="45"/>
        <v>39.133286557107013</v>
      </c>
      <c r="G308" s="168">
        <f t="shared" ca="1" si="46"/>
        <v>44.173610691473989</v>
      </c>
      <c r="H308" s="184">
        <f t="shared" ca="1" si="47"/>
        <v>5.5827164631245196</v>
      </c>
      <c r="I308" s="184">
        <f t="shared" ca="1" si="48"/>
        <v>3.3503131642279565E-8</v>
      </c>
      <c r="J308" s="223">
        <f t="shared" ca="1" si="49"/>
        <v>1</v>
      </c>
      <c r="K308" s="220" t="str" cm="1">
        <f t="array" aca="1" ref="K308" ca="1">_xlfn.IFS(G308&lt;$B$11,"Fail",G308&lt;25,"Marginal",G308&lt;35,"Solid",TRUE,"Blowout")</f>
        <v>Blowout</v>
      </c>
      <c r="L308" s="226">
        <f ca="1">IF(AND(E308&lt;$B$10,C308&gt;=$B$11),1,0)</f>
        <v>0</v>
      </c>
      <c r="M308" s="217" t="str" cm="1">
        <f t="array" aca="1" ref="M308" ca="1">_xlfn.IFS(C308&lt;$B$11,"Fail",C308&lt;25,"Marginal",C308&lt;35,"Solid",TRUE,"Blowout")</f>
        <v>Fail</v>
      </c>
    </row>
    <row r="309" spans="1:13" x14ac:dyDescent="0.25">
      <c r="A309" s="169">
        <f t="shared" ca="1" si="40"/>
        <v>23.514123695091172</v>
      </c>
      <c r="B309" s="168">
        <f t="shared" ca="1" si="41"/>
        <v>10.240742339542335</v>
      </c>
      <c r="C309" s="168">
        <f t="shared" ca="1" si="42"/>
        <v>13.273381355548837</v>
      </c>
      <c r="D309" s="184">
        <f t="shared" ca="1" si="43"/>
        <v>1.6775066256753828</v>
      </c>
      <c r="E309" s="230">
        <f t="shared" ca="1" si="44"/>
        <v>4.7406873684496677E-2</v>
      </c>
      <c r="F309" s="168">
        <f t="shared" ca="1" si="45"/>
        <v>5.9546633731492618</v>
      </c>
      <c r="G309" s="168">
        <f t="shared" ca="1" si="46"/>
        <v>-4.286078966393073</v>
      </c>
      <c r="H309" s="184">
        <f t="shared" ca="1" si="47"/>
        <v>-0.54168004909213141</v>
      </c>
      <c r="I309" s="184">
        <f t="shared" ca="1" si="48"/>
        <v>0.70571606319887104</v>
      </c>
      <c r="J309" s="223">
        <f t="shared" ca="1" si="49"/>
        <v>0</v>
      </c>
      <c r="K309" s="220" t="str" cm="1">
        <f t="array" aca="1" ref="K309" ca="1">_xlfn.IFS(G309&lt;$B$11,"Fail",G309&lt;25,"Marginal",G309&lt;35,"Solid",TRUE,"Blowout")</f>
        <v>Fail</v>
      </c>
      <c r="L309" s="226">
        <f ca="1">IF(AND(E309&lt;$B$10,C309&gt;=$B$11),1,0)</f>
        <v>0</v>
      </c>
      <c r="M309" s="217" t="str" cm="1">
        <f t="array" aca="1" ref="M309" ca="1">_xlfn.IFS(C309&lt;$B$11,"Fail",C309&lt;25,"Marginal",C309&lt;35,"Solid",TRUE,"Blowout")</f>
        <v>Fail</v>
      </c>
    </row>
    <row r="310" spans="1:13" x14ac:dyDescent="0.25">
      <c r="A310" s="169">
        <f t="shared" ca="1" si="40"/>
        <v>46.805571589610921</v>
      </c>
      <c r="B310" s="168">
        <f t="shared" ca="1" si="41"/>
        <v>3.4952230300992637</v>
      </c>
      <c r="C310" s="168">
        <f t="shared" ca="1" si="42"/>
        <v>43.31034855951166</v>
      </c>
      <c r="D310" s="184">
        <f t="shared" ca="1" si="43"/>
        <v>5.4736163094205743</v>
      </c>
      <c r="E310" s="230">
        <f t="shared" ca="1" si="44"/>
        <v>5.7960515736761486E-8</v>
      </c>
      <c r="F310" s="168">
        <f t="shared" ca="1" si="45"/>
        <v>5.2711953857762559</v>
      </c>
      <c r="G310" s="168">
        <f t="shared" ca="1" si="46"/>
        <v>1.7759723556769922</v>
      </c>
      <c r="H310" s="184">
        <f t="shared" ca="1" si="47"/>
        <v>0.22444961941962419</v>
      </c>
      <c r="I310" s="184">
        <f t="shared" ca="1" si="48"/>
        <v>0.41130423831283885</v>
      </c>
      <c r="J310" s="223">
        <f t="shared" ca="1" si="49"/>
        <v>0</v>
      </c>
      <c r="K310" s="220" t="str" cm="1">
        <f t="array" aca="1" ref="K310" ca="1">_xlfn.IFS(G310&lt;$B$11,"Fail",G310&lt;25,"Marginal",G310&lt;35,"Solid",TRUE,"Blowout")</f>
        <v>Fail</v>
      </c>
      <c r="L310" s="226">
        <f ca="1">IF(AND(E310&lt;$B$10,C310&gt;=$B$11),1,0)</f>
        <v>1</v>
      </c>
      <c r="M310" s="217" t="str" cm="1">
        <f t="array" aca="1" ref="M310" ca="1">_xlfn.IFS(C310&lt;$B$11,"Fail",C310&lt;25,"Marginal",C310&lt;35,"Solid",TRUE,"Blowout")</f>
        <v>Blowout</v>
      </c>
    </row>
    <row r="311" spans="1:13" x14ac:dyDescent="0.25">
      <c r="A311" s="169">
        <f t="shared" ca="1" si="40"/>
        <v>19.441779115854171</v>
      </c>
      <c r="B311" s="168">
        <f t="shared" ca="1" si="41"/>
        <v>12.169517118339773</v>
      </c>
      <c r="C311" s="168">
        <f t="shared" ca="1" si="42"/>
        <v>7.2722619975143985</v>
      </c>
      <c r="D311" s="184">
        <f t="shared" ca="1" si="43"/>
        <v>0.91907761539435362</v>
      </c>
      <c r="E311" s="230">
        <f t="shared" ca="1" si="44"/>
        <v>0.1795131349512824</v>
      </c>
      <c r="F311" s="168">
        <f t="shared" ca="1" si="45"/>
        <v>13.157760522786411</v>
      </c>
      <c r="G311" s="168">
        <f t="shared" ca="1" si="46"/>
        <v>0.98824340444663861</v>
      </c>
      <c r="H311" s="184">
        <f t="shared" ca="1" si="47"/>
        <v>0.12489544407207202</v>
      </c>
      <c r="I311" s="184">
        <f t="shared" ca="1" si="48"/>
        <v>0.45035818694608787</v>
      </c>
      <c r="J311" s="223">
        <f t="shared" ca="1" si="49"/>
        <v>0</v>
      </c>
      <c r="K311" s="220" t="str" cm="1">
        <f t="array" aca="1" ref="K311" ca="1">_xlfn.IFS(G311&lt;$B$11,"Fail",G311&lt;25,"Marginal",G311&lt;35,"Solid",TRUE,"Blowout")</f>
        <v>Fail</v>
      </c>
      <c r="L311" s="226">
        <f ca="1">IF(AND(E311&lt;$B$10,C311&gt;=$B$11),1,0)</f>
        <v>0</v>
      </c>
      <c r="M311" s="217" t="str" cm="1">
        <f t="array" aca="1" ref="M311" ca="1">_xlfn.IFS(C311&lt;$B$11,"Fail",C311&lt;25,"Marginal",C311&lt;35,"Solid",TRUE,"Blowout")</f>
        <v>Fail</v>
      </c>
    </row>
    <row r="312" spans="1:13" x14ac:dyDescent="0.25">
      <c r="A312" s="169">
        <f t="shared" ca="1" si="40"/>
        <v>59.943317036769002</v>
      </c>
      <c r="B312" s="168">
        <f t="shared" ca="1" si="41"/>
        <v>2.2442650071241488</v>
      </c>
      <c r="C312" s="168">
        <f t="shared" ca="1" si="42"/>
        <v>57.699052029644854</v>
      </c>
      <c r="D312" s="184">
        <f t="shared" ca="1" si="43"/>
        <v>7.2920787463441128</v>
      </c>
      <c r="E312" s="230">
        <f t="shared" ca="1" si="44"/>
        <v>2.4927684545697128E-12</v>
      </c>
      <c r="F312" s="168">
        <f t="shared" ca="1" si="45"/>
        <v>1.529435359772773</v>
      </c>
      <c r="G312" s="168">
        <f t="shared" ca="1" si="46"/>
        <v>-0.71482964735137577</v>
      </c>
      <c r="H312" s="184">
        <f t="shared" ca="1" si="47"/>
        <v>-9.0341069659679626E-2</v>
      </c>
      <c r="I312" s="184">
        <f t="shared" ca="1" si="48"/>
        <v>0.53595225086509779</v>
      </c>
      <c r="J312" s="223">
        <f t="shared" ca="1" si="49"/>
        <v>0</v>
      </c>
      <c r="K312" s="220" t="str" cm="1">
        <f t="array" aca="1" ref="K312" ca="1">_xlfn.IFS(G312&lt;$B$11,"Fail",G312&lt;25,"Marginal",G312&lt;35,"Solid",TRUE,"Blowout")</f>
        <v>Fail</v>
      </c>
      <c r="L312" s="226">
        <f ca="1">IF(AND(E312&lt;$B$10,C312&gt;=$B$11),1,0)</f>
        <v>1</v>
      </c>
      <c r="M312" s="217" t="str" cm="1">
        <f t="array" aca="1" ref="M312" ca="1">_xlfn.IFS(C312&lt;$B$11,"Fail",C312&lt;25,"Marginal",C312&lt;35,"Solid",TRUE,"Blowout")</f>
        <v>Blowout</v>
      </c>
    </row>
    <row r="313" spans="1:13" x14ac:dyDescent="0.25">
      <c r="A313" s="169">
        <f t="shared" ca="1" si="40"/>
        <v>43.023940679700303</v>
      </c>
      <c r="B313" s="168">
        <f t="shared" ca="1" si="41"/>
        <v>-14.048323468998827</v>
      </c>
      <c r="C313" s="168">
        <f t="shared" ca="1" si="42"/>
        <v>57.072264148699134</v>
      </c>
      <c r="D313" s="184">
        <f t="shared" ca="1" si="43"/>
        <v>7.2128645058265732</v>
      </c>
      <c r="E313" s="230">
        <f t="shared" ca="1" si="44"/>
        <v>4.00962630230485E-12</v>
      </c>
      <c r="F313" s="168">
        <f t="shared" ca="1" si="45"/>
        <v>33.360975677120294</v>
      </c>
      <c r="G313" s="168">
        <f t="shared" ca="1" si="46"/>
        <v>47.409299146119125</v>
      </c>
      <c r="H313" s="184">
        <f t="shared" ca="1" si="47"/>
        <v>5.9916468385800146</v>
      </c>
      <c r="I313" s="184">
        <f t="shared" ca="1" si="48"/>
        <v>4.0168722793439356E-9</v>
      </c>
      <c r="J313" s="223">
        <f t="shared" ca="1" si="49"/>
        <v>1</v>
      </c>
      <c r="K313" s="220" t="str" cm="1">
        <f t="array" aca="1" ref="K313" ca="1">_xlfn.IFS(G313&lt;$B$11,"Fail",G313&lt;25,"Marginal",G313&lt;35,"Solid",TRUE,"Blowout")</f>
        <v>Blowout</v>
      </c>
      <c r="L313" s="226">
        <f ca="1">IF(AND(E313&lt;$B$10,C313&gt;=$B$11),1,0)</f>
        <v>1</v>
      </c>
      <c r="M313" s="217" t="str" cm="1">
        <f t="array" aca="1" ref="M313" ca="1">_xlfn.IFS(C313&lt;$B$11,"Fail",C313&lt;25,"Marginal",C313&lt;35,"Solid",TRUE,"Blowout")</f>
        <v>Blowout</v>
      </c>
    </row>
    <row r="314" spans="1:13" x14ac:dyDescent="0.25">
      <c r="A314" s="169">
        <f t="shared" ca="1" si="40"/>
        <v>29.015558978513358</v>
      </c>
      <c r="B314" s="168">
        <f t="shared" ca="1" si="41"/>
        <v>4.1567146280676743</v>
      </c>
      <c r="C314" s="168">
        <f t="shared" ca="1" si="42"/>
        <v>24.858844350445683</v>
      </c>
      <c r="D314" s="184">
        <f t="shared" ca="1" si="43"/>
        <v>3.1416920065415699</v>
      </c>
      <c r="E314" s="230">
        <f t="shared" ca="1" si="44"/>
        <v>9.5116681842314212E-4</v>
      </c>
      <c r="F314" s="168">
        <f t="shared" ca="1" si="45"/>
        <v>2.866348718191682</v>
      </c>
      <c r="G314" s="168">
        <f t="shared" ca="1" si="46"/>
        <v>-1.2903659098759923</v>
      </c>
      <c r="H314" s="184">
        <f t="shared" ca="1" si="47"/>
        <v>-0.16307806619733164</v>
      </c>
      <c r="I314" s="184">
        <f t="shared" ca="1" si="48"/>
        <v>0.56469928983230999</v>
      </c>
      <c r="J314" s="223">
        <f t="shared" ca="1" si="49"/>
        <v>0</v>
      </c>
      <c r="K314" s="220" t="str" cm="1">
        <f t="array" aca="1" ref="K314" ca="1">_xlfn.IFS(G314&lt;$B$11,"Fail",G314&lt;25,"Marginal",G314&lt;35,"Solid",TRUE,"Blowout")</f>
        <v>Fail</v>
      </c>
      <c r="L314" s="226">
        <f ca="1">IF(AND(E314&lt;$B$10,C314&gt;=$B$11),1,0)</f>
        <v>1</v>
      </c>
      <c r="M314" s="217" t="str" cm="1">
        <f t="array" aca="1" ref="M314" ca="1">_xlfn.IFS(C314&lt;$B$11,"Fail",C314&lt;25,"Marginal",C314&lt;35,"Solid",TRUE,"Blowout")</f>
        <v>Marginal</v>
      </c>
    </row>
    <row r="315" spans="1:13" x14ac:dyDescent="0.25">
      <c r="A315" s="169">
        <f t="shared" ca="1" si="40"/>
        <v>14.195183501179912</v>
      </c>
      <c r="B315" s="168">
        <f t="shared" ca="1" si="41"/>
        <v>15.031676819711844</v>
      </c>
      <c r="C315" s="168">
        <f t="shared" ca="1" si="42"/>
        <v>-0.83649331853193232</v>
      </c>
      <c r="D315" s="184">
        <f t="shared" ca="1" si="43"/>
        <v>-0.10571707740348303</v>
      </c>
      <c r="E315" s="230">
        <f t="shared" ca="1" si="44"/>
        <v>0.5420501098029965</v>
      </c>
      <c r="F315" s="168">
        <f t="shared" ca="1" si="45"/>
        <v>20.077205772320713</v>
      </c>
      <c r="G315" s="168">
        <f t="shared" ca="1" si="46"/>
        <v>5.0455289526088691</v>
      </c>
      <c r="H315" s="184">
        <f t="shared" ca="1" si="47"/>
        <v>0.63766029328314899</v>
      </c>
      <c r="I315" s="184">
        <f t="shared" ca="1" si="48"/>
        <v>0.26216734186721757</v>
      </c>
      <c r="J315" s="223">
        <f t="shared" ca="1" si="49"/>
        <v>0</v>
      </c>
      <c r="K315" s="220" t="str" cm="1">
        <f t="array" aca="1" ref="K315" ca="1">_xlfn.IFS(G315&lt;$B$11,"Fail",G315&lt;25,"Marginal",G315&lt;35,"Solid",TRUE,"Blowout")</f>
        <v>Fail</v>
      </c>
      <c r="L315" s="226">
        <f ca="1">IF(AND(E315&lt;$B$10,C315&gt;=$B$11),1,0)</f>
        <v>0</v>
      </c>
      <c r="M315" s="217" t="str" cm="1">
        <f t="array" aca="1" ref="M315" ca="1">_xlfn.IFS(C315&lt;$B$11,"Fail",C315&lt;25,"Marginal",C315&lt;35,"Solid",TRUE,"Blowout")</f>
        <v>Fail</v>
      </c>
    </row>
    <row r="316" spans="1:13" x14ac:dyDescent="0.25">
      <c r="A316" s="169">
        <f t="shared" ca="1" si="40"/>
        <v>12.346171436212956</v>
      </c>
      <c r="B316" s="168">
        <f t="shared" ca="1" si="41"/>
        <v>-3.2662442584937139</v>
      </c>
      <c r="C316" s="168">
        <f t="shared" ca="1" si="42"/>
        <v>15.612415694706669</v>
      </c>
      <c r="D316" s="184">
        <f t="shared" ca="1" si="43"/>
        <v>1.9731167265619374</v>
      </c>
      <c r="E316" s="230">
        <f t="shared" ca="1" si="44"/>
        <v>2.4845132497361297E-2</v>
      </c>
      <c r="F316" s="168">
        <f t="shared" ca="1" si="45"/>
        <v>8.8590102722728989</v>
      </c>
      <c r="G316" s="168">
        <f t="shared" ca="1" si="46"/>
        <v>12.125254530766613</v>
      </c>
      <c r="H316" s="184">
        <f t="shared" ca="1" si="47"/>
        <v>1.5324049139037494</v>
      </c>
      <c r="I316" s="184">
        <f t="shared" ca="1" si="48"/>
        <v>6.3404449263629592E-2</v>
      </c>
      <c r="J316" s="223">
        <f t="shared" ca="1" si="49"/>
        <v>0</v>
      </c>
      <c r="K316" s="220" t="str" cm="1">
        <f t="array" aca="1" ref="K316" ca="1">_xlfn.IFS(G316&lt;$B$11,"Fail",G316&lt;25,"Marginal",G316&lt;35,"Solid",TRUE,"Blowout")</f>
        <v>Fail</v>
      </c>
      <c r="L316" s="226">
        <f ca="1">IF(AND(E316&lt;$B$10,C316&gt;=$B$11),1,0)</f>
        <v>0</v>
      </c>
      <c r="M316" s="217" t="str" cm="1">
        <f t="array" aca="1" ref="M316" ca="1">_xlfn.IFS(C316&lt;$B$11,"Fail",C316&lt;25,"Marginal",C316&lt;35,"Solid",TRUE,"Blowout")</f>
        <v>Fail</v>
      </c>
    </row>
    <row r="317" spans="1:13" x14ac:dyDescent="0.25">
      <c r="A317" s="169">
        <f t="shared" ca="1" si="40"/>
        <v>34.245731523802206</v>
      </c>
      <c r="B317" s="168">
        <f t="shared" ca="1" si="41"/>
        <v>7.5838286632599896</v>
      </c>
      <c r="C317" s="168">
        <f t="shared" ca="1" si="42"/>
        <v>26.661902860542217</v>
      </c>
      <c r="D317" s="184">
        <f t="shared" ca="1" si="43"/>
        <v>3.3695648082148897</v>
      </c>
      <c r="E317" s="230">
        <f t="shared" ca="1" si="44"/>
        <v>4.4197026616693688E-4</v>
      </c>
      <c r="F317" s="168">
        <f t="shared" ca="1" si="45"/>
        <v>38.150699357739889</v>
      </c>
      <c r="G317" s="168">
        <f t="shared" ca="1" si="46"/>
        <v>30.566870694479899</v>
      </c>
      <c r="H317" s="184">
        <f t="shared" ca="1" si="47"/>
        <v>3.8630795531778435</v>
      </c>
      <c r="I317" s="184">
        <f t="shared" ca="1" si="48"/>
        <v>7.2972688102085963E-5</v>
      </c>
      <c r="J317" s="223">
        <f t="shared" ca="1" si="49"/>
        <v>1</v>
      </c>
      <c r="K317" s="220" t="str" cm="1">
        <f t="array" aca="1" ref="K317" ca="1">_xlfn.IFS(G317&lt;$B$11,"Fail",G317&lt;25,"Marginal",G317&lt;35,"Solid",TRUE,"Blowout")</f>
        <v>Solid</v>
      </c>
      <c r="L317" s="226">
        <f ca="1">IF(AND(E317&lt;$B$10,C317&gt;=$B$11),1,0)</f>
        <v>1</v>
      </c>
      <c r="M317" s="217" t="str" cm="1">
        <f t="array" aca="1" ref="M317" ca="1">_xlfn.IFS(C317&lt;$B$11,"Fail",C317&lt;25,"Marginal",C317&lt;35,"Solid",TRUE,"Blowout")</f>
        <v>Solid</v>
      </c>
    </row>
    <row r="318" spans="1:13" x14ac:dyDescent="0.25">
      <c r="A318" s="169">
        <f t="shared" ca="1" si="40"/>
        <v>46.578752553553954</v>
      </c>
      <c r="B318" s="168">
        <f t="shared" ca="1" si="41"/>
        <v>6.6160506724586838</v>
      </c>
      <c r="C318" s="168">
        <f t="shared" ca="1" si="42"/>
        <v>39.962701881095271</v>
      </c>
      <c r="D318" s="184">
        <f t="shared" ca="1" si="43"/>
        <v>5.0505365128685007</v>
      </c>
      <c r="E318" s="230">
        <f t="shared" ca="1" si="44"/>
        <v>4.5098767432473874E-7</v>
      </c>
      <c r="F318" s="168">
        <f t="shared" ca="1" si="45"/>
        <v>18.070795325648174</v>
      </c>
      <c r="G318" s="168">
        <f t="shared" ca="1" si="46"/>
        <v>11.45474465318949</v>
      </c>
      <c r="H318" s="184">
        <f t="shared" ca="1" si="47"/>
        <v>1.4476650324758564</v>
      </c>
      <c r="I318" s="184">
        <f t="shared" ca="1" si="48"/>
        <v>7.4542187533677223E-2</v>
      </c>
      <c r="J318" s="223">
        <f t="shared" ca="1" si="49"/>
        <v>0</v>
      </c>
      <c r="K318" s="220" t="str" cm="1">
        <f t="array" aca="1" ref="K318" ca="1">_xlfn.IFS(G318&lt;$B$11,"Fail",G318&lt;25,"Marginal",G318&lt;35,"Solid",TRUE,"Blowout")</f>
        <v>Fail</v>
      </c>
      <c r="L318" s="226">
        <f ca="1">IF(AND(E318&lt;$B$10,C318&gt;=$B$11),1,0)</f>
        <v>1</v>
      </c>
      <c r="M318" s="217" t="str" cm="1">
        <f t="array" aca="1" ref="M318" ca="1">_xlfn.IFS(C318&lt;$B$11,"Fail",C318&lt;25,"Marginal",C318&lt;35,"Solid",TRUE,"Blowout")</f>
        <v>Blowout</v>
      </c>
    </row>
    <row r="319" spans="1:13" x14ac:dyDescent="0.25">
      <c r="A319" s="169">
        <f t="shared" ca="1" si="40"/>
        <v>17.999571271613227</v>
      </c>
      <c r="B319" s="168">
        <f t="shared" ca="1" si="41"/>
        <v>8.9084393799082697</v>
      </c>
      <c r="C319" s="168">
        <f t="shared" ca="1" si="42"/>
        <v>9.0911318917049577</v>
      </c>
      <c r="D319" s="184">
        <f t="shared" ca="1" si="43"/>
        <v>1.1489486796707242</v>
      </c>
      <c r="E319" s="230">
        <f t="shared" ca="1" si="44"/>
        <v>0.12589051658260861</v>
      </c>
      <c r="F319" s="168">
        <f t="shared" ca="1" si="45"/>
        <v>18.490167050008925</v>
      </c>
      <c r="G319" s="168">
        <f t="shared" ca="1" si="46"/>
        <v>9.5817276701006548</v>
      </c>
      <c r="H319" s="184">
        <f t="shared" ca="1" si="47"/>
        <v>1.2109507910199258</v>
      </c>
      <c r="I319" s="184">
        <f t="shared" ca="1" si="48"/>
        <v>0.11358398800356492</v>
      </c>
      <c r="J319" s="223">
        <f t="shared" ca="1" si="49"/>
        <v>0</v>
      </c>
      <c r="K319" s="220" t="str" cm="1">
        <f t="array" aca="1" ref="K319" ca="1">_xlfn.IFS(G319&lt;$B$11,"Fail",G319&lt;25,"Marginal",G319&lt;35,"Solid",TRUE,"Blowout")</f>
        <v>Fail</v>
      </c>
      <c r="L319" s="226">
        <f ca="1">IF(AND(E319&lt;$B$10,C319&gt;=$B$11),1,0)</f>
        <v>0</v>
      </c>
      <c r="M319" s="217" t="str" cm="1">
        <f t="array" aca="1" ref="M319" ca="1">_xlfn.IFS(C319&lt;$B$11,"Fail",C319&lt;25,"Marginal",C319&lt;35,"Solid",TRUE,"Blowout")</f>
        <v>Fail</v>
      </c>
    </row>
    <row r="320" spans="1:13" x14ac:dyDescent="0.25">
      <c r="A320" s="169">
        <f t="shared" ca="1" si="40"/>
        <v>33.560300774299307</v>
      </c>
      <c r="B320" s="168">
        <f t="shared" ca="1" si="41"/>
        <v>4.3780489103263154</v>
      </c>
      <c r="C320" s="168">
        <f t="shared" ca="1" si="42"/>
        <v>29.182251863972994</v>
      </c>
      <c r="D320" s="184">
        <f t="shared" ca="1" si="43"/>
        <v>3.6880896843574735</v>
      </c>
      <c r="E320" s="230">
        <f t="shared" ca="1" si="44"/>
        <v>1.4125624372843791E-4</v>
      </c>
      <c r="F320" s="168">
        <f t="shared" ca="1" si="45"/>
        <v>37.408063457354082</v>
      </c>
      <c r="G320" s="168">
        <f t="shared" ca="1" si="46"/>
        <v>33.030014547027768</v>
      </c>
      <c r="H320" s="184">
        <f t="shared" ca="1" si="47"/>
        <v>4.1743747704220402</v>
      </c>
      <c r="I320" s="184">
        <f t="shared" ca="1" si="48"/>
        <v>2.1264405875041308E-5</v>
      </c>
      <c r="J320" s="223">
        <f t="shared" ca="1" si="49"/>
        <v>1</v>
      </c>
      <c r="K320" s="220" t="str" cm="1">
        <f t="array" aca="1" ref="K320" ca="1">_xlfn.IFS(G320&lt;$B$11,"Fail",G320&lt;25,"Marginal",G320&lt;35,"Solid",TRUE,"Blowout")</f>
        <v>Solid</v>
      </c>
      <c r="L320" s="226">
        <f ca="1">IF(AND(E320&lt;$B$10,C320&gt;=$B$11),1,0)</f>
        <v>1</v>
      </c>
      <c r="M320" s="217" t="str" cm="1">
        <f t="array" aca="1" ref="M320" ca="1">_xlfn.IFS(C320&lt;$B$11,"Fail",C320&lt;25,"Marginal",C320&lt;35,"Solid",TRUE,"Blowout")</f>
        <v>Solid</v>
      </c>
    </row>
    <row r="321" spans="1:13" x14ac:dyDescent="0.25">
      <c r="A321" s="169">
        <f t="shared" ca="1" si="40"/>
        <v>24.341936972143721</v>
      </c>
      <c r="B321" s="168">
        <f t="shared" ca="1" si="41"/>
        <v>11.639348051209465</v>
      </c>
      <c r="C321" s="168">
        <f t="shared" ca="1" si="42"/>
        <v>12.702588920934256</v>
      </c>
      <c r="D321" s="184">
        <f t="shared" ca="1" si="43"/>
        <v>1.6053691600738944</v>
      </c>
      <c r="E321" s="230">
        <f t="shared" ca="1" si="44"/>
        <v>5.4898368409968215E-2</v>
      </c>
      <c r="F321" s="168">
        <f t="shared" ca="1" si="45"/>
        <v>8.1684306936284283</v>
      </c>
      <c r="G321" s="168">
        <f t="shared" ca="1" si="46"/>
        <v>-3.4709173575810368</v>
      </c>
      <c r="H321" s="184">
        <f t="shared" ca="1" si="47"/>
        <v>-0.43865889998555901</v>
      </c>
      <c r="I321" s="184">
        <f t="shared" ca="1" si="48"/>
        <v>0.66933795796428042</v>
      </c>
      <c r="J321" s="223">
        <f t="shared" ca="1" si="49"/>
        <v>0</v>
      </c>
      <c r="K321" s="220" t="str" cm="1">
        <f t="array" aca="1" ref="K321" ca="1">_xlfn.IFS(G321&lt;$B$11,"Fail",G321&lt;25,"Marginal",G321&lt;35,"Solid",TRUE,"Blowout")</f>
        <v>Fail</v>
      </c>
      <c r="L321" s="226">
        <f ca="1">IF(AND(E321&lt;$B$10,C321&gt;=$B$11),1,0)</f>
        <v>0</v>
      </c>
      <c r="M321" s="217" t="str" cm="1">
        <f t="array" aca="1" ref="M321" ca="1">_xlfn.IFS(C321&lt;$B$11,"Fail",C321&lt;25,"Marginal",C321&lt;35,"Solid",TRUE,"Blowout")</f>
        <v>Fail</v>
      </c>
    </row>
    <row r="322" spans="1:13" x14ac:dyDescent="0.25">
      <c r="A322" s="169">
        <f t="shared" ca="1" si="40"/>
        <v>35.201612888346432</v>
      </c>
      <c r="B322" s="168">
        <f t="shared" ca="1" si="41"/>
        <v>6.9901144054447224</v>
      </c>
      <c r="C322" s="168">
        <f t="shared" ca="1" si="42"/>
        <v>28.21149848290171</v>
      </c>
      <c r="D322" s="184">
        <f t="shared" ca="1" si="43"/>
        <v>3.5654046514315496</v>
      </c>
      <c r="E322" s="230">
        <f t="shared" ca="1" si="44"/>
        <v>2.2127429052511941E-4</v>
      </c>
      <c r="F322" s="168">
        <f t="shared" ca="1" si="45"/>
        <v>28.72688728691536</v>
      </c>
      <c r="G322" s="168">
        <f t="shared" ca="1" si="46"/>
        <v>21.736772881470639</v>
      </c>
      <c r="H322" s="184">
        <f t="shared" ca="1" si="47"/>
        <v>2.7471206885971564</v>
      </c>
      <c r="I322" s="184">
        <f t="shared" ca="1" si="48"/>
        <v>3.2462787771521807E-3</v>
      </c>
      <c r="J322" s="223">
        <f t="shared" ca="1" si="49"/>
        <v>1</v>
      </c>
      <c r="K322" s="220" t="str" cm="1">
        <f t="array" aca="1" ref="K322" ca="1">_xlfn.IFS(G322&lt;$B$11,"Fail",G322&lt;25,"Marginal",G322&lt;35,"Solid",TRUE,"Blowout")</f>
        <v>Marginal</v>
      </c>
      <c r="L322" s="226">
        <f ca="1">IF(AND(E322&lt;$B$10,C322&gt;=$B$11),1,0)</f>
        <v>1</v>
      </c>
      <c r="M322" s="217" t="str" cm="1">
        <f t="array" aca="1" ref="M322" ca="1">_xlfn.IFS(C322&lt;$B$11,"Fail",C322&lt;25,"Marginal",C322&lt;35,"Solid",TRUE,"Blowout")</f>
        <v>Solid</v>
      </c>
    </row>
    <row r="323" spans="1:13" x14ac:dyDescent="0.25">
      <c r="A323" s="169">
        <f t="shared" ca="1" si="40"/>
        <v>55.426972755938536</v>
      </c>
      <c r="B323" s="168">
        <f t="shared" ca="1" si="41"/>
        <v>7.7736129910274396</v>
      </c>
      <c r="C323" s="168">
        <f t="shared" ca="1" si="42"/>
        <v>47.653359764911094</v>
      </c>
      <c r="D323" s="184">
        <f t="shared" ca="1" si="43"/>
        <v>6.0224915264649761</v>
      </c>
      <c r="E323" s="230">
        <f t="shared" ca="1" si="44"/>
        <v>3.4087716901468799E-9</v>
      </c>
      <c r="F323" s="168">
        <f t="shared" ca="1" si="45"/>
        <v>36.718168026816628</v>
      </c>
      <c r="G323" s="168">
        <f t="shared" ca="1" si="46"/>
        <v>28.944555035789186</v>
      </c>
      <c r="H323" s="184">
        <f t="shared" ca="1" si="47"/>
        <v>3.6580492603314081</v>
      </c>
      <c r="I323" s="184">
        <f t="shared" ca="1" si="48"/>
        <v>1.5783740751802245E-4</v>
      </c>
      <c r="J323" s="223">
        <f t="shared" ca="1" si="49"/>
        <v>1</v>
      </c>
      <c r="K323" s="220" t="str" cm="1">
        <f t="array" aca="1" ref="K323" ca="1">_xlfn.IFS(G323&lt;$B$11,"Fail",G323&lt;25,"Marginal",G323&lt;35,"Solid",TRUE,"Blowout")</f>
        <v>Solid</v>
      </c>
      <c r="L323" s="226">
        <f ca="1">IF(AND(E323&lt;$B$10,C323&gt;=$B$11),1,0)</f>
        <v>1</v>
      </c>
      <c r="M323" s="217" t="str" cm="1">
        <f t="array" aca="1" ref="M323" ca="1">_xlfn.IFS(C323&lt;$B$11,"Fail",C323&lt;25,"Marginal",C323&lt;35,"Solid",TRUE,"Blowout")</f>
        <v>Blowout</v>
      </c>
    </row>
    <row r="324" spans="1:13" x14ac:dyDescent="0.25">
      <c r="A324" s="169">
        <f t="shared" ca="1" si="40"/>
        <v>42.608576242038367</v>
      </c>
      <c r="B324" s="168">
        <f t="shared" ca="1" si="41"/>
        <v>-5.2505470723521483</v>
      </c>
      <c r="C324" s="168">
        <f t="shared" ca="1" si="42"/>
        <v>47.859123314390516</v>
      </c>
      <c r="D324" s="184">
        <f t="shared" ca="1" si="43"/>
        <v>6.0484961825754491</v>
      </c>
      <c r="E324" s="230">
        <f t="shared" ca="1" si="44"/>
        <v>2.9668933594551981E-9</v>
      </c>
      <c r="F324" s="168">
        <f t="shared" ca="1" si="45"/>
        <v>27.855377352832971</v>
      </c>
      <c r="G324" s="168">
        <f t="shared" ca="1" si="46"/>
        <v>33.105924425185123</v>
      </c>
      <c r="H324" s="184">
        <f t="shared" ca="1" si="47"/>
        <v>4.1839683562727119</v>
      </c>
      <c r="I324" s="184">
        <f t="shared" ca="1" si="48"/>
        <v>2.0447680420807587E-5</v>
      </c>
      <c r="J324" s="223">
        <f t="shared" ca="1" si="49"/>
        <v>1</v>
      </c>
      <c r="K324" s="220" t="str" cm="1">
        <f t="array" aca="1" ref="K324" ca="1">_xlfn.IFS(G324&lt;$B$11,"Fail",G324&lt;25,"Marginal",G324&lt;35,"Solid",TRUE,"Blowout")</f>
        <v>Solid</v>
      </c>
      <c r="L324" s="226">
        <f ca="1">IF(AND(E324&lt;$B$10,C324&gt;=$B$11),1,0)</f>
        <v>1</v>
      </c>
      <c r="M324" s="217" t="str" cm="1">
        <f t="array" aca="1" ref="M324" ca="1">_xlfn.IFS(C324&lt;$B$11,"Fail",C324&lt;25,"Marginal",C324&lt;35,"Solid",TRUE,"Blowout")</f>
        <v>Blowout</v>
      </c>
    </row>
    <row r="325" spans="1:13" x14ac:dyDescent="0.25">
      <c r="A325" s="169">
        <f t="shared" ca="1" si="40"/>
        <v>-5.4558507969454739</v>
      </c>
      <c r="B325" s="168">
        <f t="shared" ca="1" si="41"/>
        <v>6.4874313347587451</v>
      </c>
      <c r="C325" s="168">
        <f t="shared" ca="1" si="42"/>
        <v>-11.943282131704219</v>
      </c>
      <c r="D325" s="184">
        <f t="shared" ca="1" si="43"/>
        <v>-1.5094070132979931</v>
      </c>
      <c r="E325" s="230">
        <f t="shared" ca="1" si="44"/>
        <v>0.93371033461113406</v>
      </c>
      <c r="F325" s="168">
        <f t="shared" ca="1" si="45"/>
        <v>40.498422081894574</v>
      </c>
      <c r="G325" s="168">
        <f t="shared" ca="1" si="46"/>
        <v>34.010990747135828</v>
      </c>
      <c r="H325" s="184">
        <f t="shared" ca="1" si="47"/>
        <v>4.2983517760720131</v>
      </c>
      <c r="I325" s="184">
        <f t="shared" ca="1" si="48"/>
        <v>1.2751036308783029E-5</v>
      </c>
      <c r="J325" s="223">
        <f t="shared" ca="1" si="49"/>
        <v>1</v>
      </c>
      <c r="K325" s="220" t="str" cm="1">
        <f t="array" aca="1" ref="K325" ca="1">_xlfn.IFS(G325&lt;$B$11,"Fail",G325&lt;25,"Marginal",G325&lt;35,"Solid",TRUE,"Blowout")</f>
        <v>Solid</v>
      </c>
      <c r="L325" s="226">
        <f ca="1">IF(AND(E325&lt;$B$10,C325&gt;=$B$11),1,0)</f>
        <v>0</v>
      </c>
      <c r="M325" s="217" t="str" cm="1">
        <f t="array" aca="1" ref="M325" ca="1">_xlfn.IFS(C325&lt;$B$11,"Fail",C325&lt;25,"Marginal",C325&lt;35,"Solid",TRUE,"Blowout")</f>
        <v>Fail</v>
      </c>
    </row>
    <row r="326" spans="1:13" x14ac:dyDescent="0.25">
      <c r="A326" s="169">
        <f t="shared" ca="1" si="40"/>
        <v>25.488144208666718</v>
      </c>
      <c r="B326" s="168">
        <f t="shared" ca="1" si="41"/>
        <v>14.277466863491034</v>
      </c>
      <c r="C326" s="168">
        <f t="shared" ca="1" si="42"/>
        <v>11.210677345175684</v>
      </c>
      <c r="D326" s="184">
        <f t="shared" ca="1" si="43"/>
        <v>1.4168194991986289</v>
      </c>
      <c r="E326" s="230">
        <f t="shared" ca="1" si="44"/>
        <v>7.8950305566877765E-2</v>
      </c>
      <c r="F326" s="168">
        <f t="shared" ca="1" si="45"/>
        <v>36.174111568304198</v>
      </c>
      <c r="G326" s="168">
        <f t="shared" ca="1" si="46"/>
        <v>21.896644704813163</v>
      </c>
      <c r="H326" s="184">
        <f t="shared" ca="1" si="47"/>
        <v>2.7673254906541525</v>
      </c>
      <c r="I326" s="184">
        <f t="shared" ca="1" si="48"/>
        <v>3.0579470546925314E-3</v>
      </c>
      <c r="J326" s="223">
        <f t="shared" ca="1" si="49"/>
        <v>1</v>
      </c>
      <c r="K326" s="220" t="str" cm="1">
        <f t="array" aca="1" ref="K326" ca="1">_xlfn.IFS(G326&lt;$B$11,"Fail",G326&lt;25,"Marginal",G326&lt;35,"Solid",TRUE,"Blowout")</f>
        <v>Marginal</v>
      </c>
      <c r="L326" s="226">
        <f ca="1">IF(AND(E326&lt;$B$10,C326&gt;=$B$11),1,0)</f>
        <v>0</v>
      </c>
      <c r="M326" s="217" t="str" cm="1">
        <f t="array" aca="1" ref="M326" ca="1">_xlfn.IFS(C326&lt;$B$11,"Fail",C326&lt;25,"Marginal",C326&lt;35,"Solid",TRUE,"Blowout")</f>
        <v>Fail</v>
      </c>
    </row>
    <row r="327" spans="1:13" x14ac:dyDescent="0.25">
      <c r="A327" s="169">
        <f t="shared" ca="1" si="40"/>
        <v>30.253707947235156</v>
      </c>
      <c r="B327" s="168">
        <f t="shared" ca="1" si="41"/>
        <v>-0.6451222705242472</v>
      </c>
      <c r="C327" s="168">
        <f t="shared" ca="1" si="42"/>
        <v>30.898830217759404</v>
      </c>
      <c r="D327" s="184">
        <f t="shared" ca="1" si="43"/>
        <v>3.9050330151360972</v>
      </c>
      <c r="E327" s="230">
        <f t="shared" ca="1" si="44"/>
        <v>6.2067088317094076E-5</v>
      </c>
      <c r="F327" s="168">
        <f t="shared" ca="1" si="45"/>
        <v>-6.225450812704862</v>
      </c>
      <c r="G327" s="168">
        <f t="shared" ca="1" si="46"/>
        <v>-5.5803285421806148</v>
      </c>
      <c r="H327" s="184">
        <f t="shared" ca="1" si="47"/>
        <v>-0.70524893787068954</v>
      </c>
      <c r="I327" s="184">
        <f t="shared" ca="1" si="48"/>
        <v>0.7593124021904547</v>
      </c>
      <c r="J327" s="223">
        <f t="shared" ca="1" si="49"/>
        <v>0</v>
      </c>
      <c r="K327" s="220" t="str" cm="1">
        <f t="array" aca="1" ref="K327" ca="1">_xlfn.IFS(G327&lt;$B$11,"Fail",G327&lt;25,"Marginal",G327&lt;35,"Solid",TRUE,"Blowout")</f>
        <v>Fail</v>
      </c>
      <c r="L327" s="226">
        <f ca="1">IF(AND(E327&lt;$B$10,C327&gt;=$B$11),1,0)</f>
        <v>1</v>
      </c>
      <c r="M327" s="217" t="str" cm="1">
        <f t="array" aca="1" ref="M327" ca="1">_xlfn.IFS(C327&lt;$B$11,"Fail",C327&lt;25,"Marginal",C327&lt;35,"Solid",TRUE,"Blowout")</f>
        <v>Solid</v>
      </c>
    </row>
    <row r="328" spans="1:13" x14ac:dyDescent="0.25">
      <c r="A328" s="169">
        <f t="shared" ca="1" si="40"/>
        <v>79.590922836129451</v>
      </c>
      <c r="B328" s="168">
        <f t="shared" ca="1" si="41"/>
        <v>6.717139995808644</v>
      </c>
      <c r="C328" s="168">
        <f t="shared" ca="1" si="42"/>
        <v>72.873782840320814</v>
      </c>
      <c r="D328" s="184">
        <f t="shared" ca="1" si="43"/>
        <v>9.2098803069169008</v>
      </c>
      <c r="E328" s="230">
        <f t="shared" ca="1" si="44"/>
        <v>1.0980517587406825E-17</v>
      </c>
      <c r="F328" s="168">
        <f t="shared" ca="1" si="45"/>
        <v>-12.749353833530339</v>
      </c>
      <c r="G328" s="168">
        <f t="shared" ca="1" si="46"/>
        <v>-19.466493829338983</v>
      </c>
      <c r="H328" s="184">
        <f t="shared" ca="1" si="47"/>
        <v>-2.4601999673379269</v>
      </c>
      <c r="I328" s="184">
        <f t="shared" ca="1" si="48"/>
        <v>0.99268540112694015</v>
      </c>
      <c r="J328" s="223">
        <f t="shared" ca="1" si="49"/>
        <v>0</v>
      </c>
      <c r="K328" s="220" t="str" cm="1">
        <f t="array" aca="1" ref="K328" ca="1">_xlfn.IFS(G328&lt;$B$11,"Fail",G328&lt;25,"Marginal",G328&lt;35,"Solid",TRUE,"Blowout")</f>
        <v>Fail</v>
      </c>
      <c r="L328" s="226">
        <f ca="1">IF(AND(E328&lt;$B$10,C328&gt;=$B$11),1,0)</f>
        <v>1</v>
      </c>
      <c r="M328" s="217" t="str" cm="1">
        <f t="array" aca="1" ref="M328" ca="1">_xlfn.IFS(C328&lt;$B$11,"Fail",C328&lt;25,"Marginal",C328&lt;35,"Solid",TRUE,"Blowout")</f>
        <v>Blowout</v>
      </c>
    </row>
    <row r="329" spans="1:13" x14ac:dyDescent="0.25">
      <c r="A329" s="169">
        <f t="shared" ca="1" si="40"/>
        <v>-3.9816311200917776</v>
      </c>
      <c r="B329" s="168">
        <f t="shared" ca="1" si="41"/>
        <v>6.7588877833388299</v>
      </c>
      <c r="C329" s="168">
        <f t="shared" ca="1" si="42"/>
        <v>-10.740518903430608</v>
      </c>
      <c r="D329" s="184">
        <f t="shared" ca="1" si="43"/>
        <v>-1.3574002841532575</v>
      </c>
      <c r="E329" s="230">
        <f t="shared" ca="1" si="44"/>
        <v>0.91200193444064848</v>
      </c>
      <c r="F329" s="168">
        <f t="shared" ca="1" si="45"/>
        <v>50.221252266701377</v>
      </c>
      <c r="G329" s="168">
        <f t="shared" ca="1" si="46"/>
        <v>43.462364483362549</v>
      </c>
      <c r="H329" s="184">
        <f t="shared" ca="1" si="47"/>
        <v>5.4928282730218028</v>
      </c>
      <c r="I329" s="184">
        <f t="shared" ca="1" si="48"/>
        <v>5.2656847637122573E-8</v>
      </c>
      <c r="J329" s="223">
        <f t="shared" ca="1" si="49"/>
        <v>1</v>
      </c>
      <c r="K329" s="220" t="str" cm="1">
        <f t="array" aca="1" ref="K329" ca="1">_xlfn.IFS(G329&lt;$B$11,"Fail",G329&lt;25,"Marginal",G329&lt;35,"Solid",TRUE,"Blowout")</f>
        <v>Blowout</v>
      </c>
      <c r="L329" s="226">
        <f ca="1">IF(AND(E329&lt;$B$10,C329&gt;=$B$11),1,0)</f>
        <v>0</v>
      </c>
      <c r="M329" s="217" t="str" cm="1">
        <f t="array" aca="1" ref="M329" ca="1">_xlfn.IFS(C329&lt;$B$11,"Fail",C329&lt;25,"Marginal",C329&lt;35,"Solid",TRUE,"Blowout")</f>
        <v>Fail</v>
      </c>
    </row>
    <row r="330" spans="1:13" x14ac:dyDescent="0.25">
      <c r="A330" s="169">
        <f t="shared" ca="1" si="40"/>
        <v>38.554370308137955</v>
      </c>
      <c r="B330" s="168">
        <f t="shared" ca="1" si="41"/>
        <v>17.214373584964832</v>
      </c>
      <c r="C330" s="168">
        <f t="shared" ca="1" si="42"/>
        <v>21.339996723173122</v>
      </c>
      <c r="D330" s="184">
        <f t="shared" ca="1" si="43"/>
        <v>2.6969756188048342</v>
      </c>
      <c r="E330" s="230">
        <f t="shared" ca="1" si="44"/>
        <v>3.7598770567708463E-3</v>
      </c>
      <c r="F330" s="168">
        <f t="shared" ca="1" si="45"/>
        <v>37.131528531767522</v>
      </c>
      <c r="G330" s="168">
        <f t="shared" ca="1" si="46"/>
        <v>19.91715494680269</v>
      </c>
      <c r="H330" s="184">
        <f t="shared" ca="1" si="47"/>
        <v>2.5171550860246668</v>
      </c>
      <c r="I330" s="184">
        <f t="shared" ca="1" si="48"/>
        <v>6.2590519142581352E-3</v>
      </c>
      <c r="J330" s="223">
        <f t="shared" ca="1" si="49"/>
        <v>0</v>
      </c>
      <c r="K330" s="220" t="str" cm="1">
        <f t="array" aca="1" ref="K330" ca="1">_xlfn.IFS(G330&lt;$B$11,"Fail",G330&lt;25,"Marginal",G330&lt;35,"Solid",TRUE,"Blowout")</f>
        <v>Fail</v>
      </c>
      <c r="L330" s="226">
        <f ca="1">IF(AND(E330&lt;$B$10,C330&gt;=$B$11),1,0)</f>
        <v>1</v>
      </c>
      <c r="M330" s="217" t="str" cm="1">
        <f t="array" aca="1" ref="M330" ca="1">_xlfn.IFS(C330&lt;$B$11,"Fail",C330&lt;25,"Marginal",C330&lt;35,"Solid",TRUE,"Blowout")</f>
        <v>Marginal</v>
      </c>
    </row>
    <row r="331" spans="1:13" x14ac:dyDescent="0.25">
      <c r="A331" s="169">
        <f t="shared" ca="1" si="40"/>
        <v>59.990671798318992</v>
      </c>
      <c r="B331" s="168">
        <f t="shared" ca="1" si="41"/>
        <v>-1.3634443179753069</v>
      </c>
      <c r="C331" s="168">
        <f t="shared" ca="1" si="42"/>
        <v>61.3541161162943</v>
      </c>
      <c r="D331" s="184">
        <f t="shared" ca="1" si="43"/>
        <v>7.7540103414955928</v>
      </c>
      <c r="E331" s="230">
        <f t="shared" ca="1" si="44"/>
        <v>1.4697439817271579E-13</v>
      </c>
      <c r="F331" s="168">
        <f t="shared" ca="1" si="45"/>
        <v>62.880172394154961</v>
      </c>
      <c r="G331" s="168">
        <f t="shared" ca="1" si="46"/>
        <v>64.243616712130262</v>
      </c>
      <c r="H331" s="184">
        <f t="shared" ca="1" si="47"/>
        <v>8.1191890600578738</v>
      </c>
      <c r="I331" s="184">
        <f t="shared" ca="1" si="48"/>
        <v>1.4655774271312699E-14</v>
      </c>
      <c r="J331" s="223">
        <f t="shared" ca="1" si="49"/>
        <v>1</v>
      </c>
      <c r="K331" s="220" t="str" cm="1">
        <f t="array" aca="1" ref="K331" ca="1">_xlfn.IFS(G331&lt;$B$11,"Fail",G331&lt;25,"Marginal",G331&lt;35,"Solid",TRUE,"Blowout")</f>
        <v>Blowout</v>
      </c>
      <c r="L331" s="226">
        <f ca="1">IF(AND(E331&lt;$B$10,C331&gt;=$B$11),1,0)</f>
        <v>1</v>
      </c>
      <c r="M331" s="217" t="str" cm="1">
        <f t="array" aca="1" ref="M331" ca="1">_xlfn.IFS(C331&lt;$B$11,"Fail",C331&lt;25,"Marginal",C331&lt;35,"Solid",TRUE,"Blowout")</f>
        <v>Blowout</v>
      </c>
    </row>
    <row r="332" spans="1:13" x14ac:dyDescent="0.25">
      <c r="A332" s="169">
        <f t="shared" ca="1" si="40"/>
        <v>49.571749708491936</v>
      </c>
      <c r="B332" s="168">
        <f t="shared" ca="1" si="41"/>
        <v>9.8840666495433087</v>
      </c>
      <c r="C332" s="168">
        <f t="shared" ca="1" si="42"/>
        <v>39.687683058948629</v>
      </c>
      <c r="D332" s="184">
        <f t="shared" ca="1" si="43"/>
        <v>5.0157792883167049</v>
      </c>
      <c r="E332" s="230">
        <f t="shared" ca="1" si="44"/>
        <v>5.309363791656139E-7</v>
      </c>
      <c r="F332" s="168">
        <f t="shared" ca="1" si="45"/>
        <v>22.158988080266436</v>
      </c>
      <c r="G332" s="168">
        <f t="shared" ca="1" si="46"/>
        <v>12.274921430723127</v>
      </c>
      <c r="H332" s="184">
        <f t="shared" ca="1" si="47"/>
        <v>1.5513200049115423</v>
      </c>
      <c r="I332" s="184">
        <f t="shared" ca="1" si="48"/>
        <v>6.1105979676970762E-2</v>
      </c>
      <c r="J332" s="223">
        <f t="shared" ca="1" si="49"/>
        <v>0</v>
      </c>
      <c r="K332" s="220" t="str" cm="1">
        <f t="array" aca="1" ref="K332" ca="1">_xlfn.IFS(G332&lt;$B$11,"Fail",G332&lt;25,"Marginal",G332&lt;35,"Solid",TRUE,"Blowout")</f>
        <v>Fail</v>
      </c>
      <c r="L332" s="226">
        <f ca="1">IF(AND(E332&lt;$B$10,C332&gt;=$B$11),1,0)</f>
        <v>1</v>
      </c>
      <c r="M332" s="217" t="str" cm="1">
        <f t="array" aca="1" ref="M332" ca="1">_xlfn.IFS(C332&lt;$B$11,"Fail",C332&lt;25,"Marginal",C332&lt;35,"Solid",TRUE,"Blowout")</f>
        <v>Blowout</v>
      </c>
    </row>
    <row r="333" spans="1:13" x14ac:dyDescent="0.25">
      <c r="A333" s="169">
        <f t="shared" ca="1" si="40"/>
        <v>46.692281779022935</v>
      </c>
      <c r="B333" s="168">
        <f t="shared" ca="1" si="41"/>
        <v>6.5313520853255946</v>
      </c>
      <c r="C333" s="168">
        <f t="shared" ca="1" si="42"/>
        <v>40.160929693697341</v>
      </c>
      <c r="D333" s="184">
        <f t="shared" ca="1" si="43"/>
        <v>5.0755887930769727</v>
      </c>
      <c r="E333" s="230">
        <f t="shared" ca="1" si="44"/>
        <v>4.0073299558854928E-7</v>
      </c>
      <c r="F333" s="168">
        <f t="shared" ca="1" si="45"/>
        <v>0.76819278325683094</v>
      </c>
      <c r="G333" s="168">
        <f t="shared" ca="1" si="46"/>
        <v>-5.7631593020687637</v>
      </c>
      <c r="H333" s="184">
        <f t="shared" ca="1" si="47"/>
        <v>-0.72835531919690844</v>
      </c>
      <c r="I333" s="184">
        <f t="shared" ca="1" si="48"/>
        <v>0.76642824715726166</v>
      </c>
      <c r="J333" s="223">
        <f t="shared" ca="1" si="49"/>
        <v>0</v>
      </c>
      <c r="K333" s="220" t="str" cm="1">
        <f t="array" aca="1" ref="K333" ca="1">_xlfn.IFS(G333&lt;$B$11,"Fail",G333&lt;25,"Marginal",G333&lt;35,"Solid",TRUE,"Blowout")</f>
        <v>Fail</v>
      </c>
      <c r="L333" s="226">
        <f ca="1">IF(AND(E333&lt;$B$10,C333&gt;=$B$11),1,0)</f>
        <v>1</v>
      </c>
      <c r="M333" s="217" t="str" cm="1">
        <f t="array" aca="1" ref="M333" ca="1">_xlfn.IFS(C333&lt;$B$11,"Fail",C333&lt;25,"Marginal",C333&lt;35,"Solid",TRUE,"Blowout")</f>
        <v>Blowout</v>
      </c>
    </row>
    <row r="334" spans="1:13" x14ac:dyDescent="0.25">
      <c r="A334" s="169">
        <f t="shared" ca="1" si="40"/>
        <v>46.195767176797006</v>
      </c>
      <c r="B334" s="168">
        <f t="shared" ca="1" si="41"/>
        <v>2.2957581889527967</v>
      </c>
      <c r="C334" s="168">
        <f t="shared" ca="1" si="42"/>
        <v>43.90000898784421</v>
      </c>
      <c r="D334" s="184">
        <f t="shared" ca="1" si="43"/>
        <v>5.5481383357927712</v>
      </c>
      <c r="E334" s="230">
        <f t="shared" ca="1" si="44"/>
        <v>3.989248911268271E-8</v>
      </c>
      <c r="F334" s="168">
        <f t="shared" ca="1" si="45"/>
        <v>13.844473718718538</v>
      </c>
      <c r="G334" s="168">
        <f t="shared" ca="1" si="46"/>
        <v>11.54871552976574</v>
      </c>
      <c r="H334" s="184">
        <f t="shared" ca="1" si="47"/>
        <v>1.459541190016624</v>
      </c>
      <c r="I334" s="184">
        <f t="shared" ca="1" si="48"/>
        <v>7.2896305594513683E-2</v>
      </c>
      <c r="J334" s="223">
        <f t="shared" ca="1" si="49"/>
        <v>0</v>
      </c>
      <c r="K334" s="220" t="str" cm="1">
        <f t="array" aca="1" ref="K334" ca="1">_xlfn.IFS(G334&lt;$B$11,"Fail",G334&lt;25,"Marginal",G334&lt;35,"Solid",TRUE,"Blowout")</f>
        <v>Fail</v>
      </c>
      <c r="L334" s="226">
        <f ca="1">IF(AND(E334&lt;$B$10,C334&gt;=$B$11),1,0)</f>
        <v>1</v>
      </c>
      <c r="M334" s="217" t="str" cm="1">
        <f t="array" aca="1" ref="M334" ca="1">_xlfn.IFS(C334&lt;$B$11,"Fail",C334&lt;25,"Marginal",C334&lt;35,"Solid",TRUE,"Blowout")</f>
        <v>Blowout</v>
      </c>
    </row>
    <row r="335" spans="1:13" x14ac:dyDescent="0.25">
      <c r="A335" s="169">
        <f t="shared" ca="1" si="40"/>
        <v>40.881209094892895</v>
      </c>
      <c r="B335" s="168">
        <f t="shared" ca="1" si="41"/>
        <v>-0.1910741810989105</v>
      </c>
      <c r="C335" s="168">
        <f t="shared" ca="1" si="42"/>
        <v>41.072283275991808</v>
      </c>
      <c r="D335" s="184">
        <f t="shared" ca="1" si="43"/>
        <v>5.1907668047441247</v>
      </c>
      <c r="E335" s="230">
        <f t="shared" ca="1" si="44"/>
        <v>2.3151512164864376E-7</v>
      </c>
      <c r="F335" s="168">
        <f t="shared" ca="1" si="45"/>
        <v>20.421595734381331</v>
      </c>
      <c r="G335" s="168">
        <f t="shared" ca="1" si="46"/>
        <v>20.61266991548024</v>
      </c>
      <c r="H335" s="184">
        <f t="shared" ca="1" si="47"/>
        <v>2.6050551423072545</v>
      </c>
      <c r="I335" s="184">
        <f t="shared" ca="1" si="48"/>
        <v>4.8951375660074067E-3</v>
      </c>
      <c r="J335" s="223">
        <f t="shared" ca="1" si="49"/>
        <v>1</v>
      </c>
      <c r="K335" s="220" t="str" cm="1">
        <f t="array" aca="1" ref="K335" ca="1">_xlfn.IFS(G335&lt;$B$11,"Fail",G335&lt;25,"Marginal",G335&lt;35,"Solid",TRUE,"Blowout")</f>
        <v>Marginal</v>
      </c>
      <c r="L335" s="226">
        <f ca="1">IF(AND(E335&lt;$B$10,C335&gt;=$B$11),1,0)</f>
        <v>1</v>
      </c>
      <c r="M335" s="217" t="str" cm="1">
        <f t="array" aca="1" ref="M335" ca="1">_xlfn.IFS(C335&lt;$B$11,"Fail",C335&lt;25,"Marginal",C335&lt;35,"Solid",TRUE,"Blowout")</f>
        <v>Blowout</v>
      </c>
    </row>
    <row r="336" spans="1:13" x14ac:dyDescent="0.25">
      <c r="A336" s="169">
        <f t="shared" ca="1" si="40"/>
        <v>5.6472047114732877</v>
      </c>
      <c r="B336" s="168">
        <f t="shared" ca="1" si="41"/>
        <v>5.2436256251359392</v>
      </c>
      <c r="C336" s="168">
        <f t="shared" ca="1" si="42"/>
        <v>0.40357908633734851</v>
      </c>
      <c r="D336" s="184">
        <f t="shared" ca="1" si="43"/>
        <v>5.1004832392004013E-2</v>
      </c>
      <c r="E336" s="230">
        <f t="shared" ca="1" si="44"/>
        <v>0.4796831629498427</v>
      </c>
      <c r="F336" s="168">
        <f t="shared" ca="1" si="45"/>
        <v>-1.6629309644343939</v>
      </c>
      <c r="G336" s="168">
        <f t="shared" ca="1" si="46"/>
        <v>-6.9065565895703331</v>
      </c>
      <c r="H336" s="184">
        <f t="shared" ca="1" si="47"/>
        <v>-0.87285930610008844</v>
      </c>
      <c r="I336" s="184">
        <f t="shared" ca="1" si="48"/>
        <v>0.80817095434545183</v>
      </c>
      <c r="J336" s="223">
        <f t="shared" ca="1" si="49"/>
        <v>0</v>
      </c>
      <c r="K336" s="220" t="str" cm="1">
        <f t="array" aca="1" ref="K336" ca="1">_xlfn.IFS(G336&lt;$B$11,"Fail",G336&lt;25,"Marginal",G336&lt;35,"Solid",TRUE,"Blowout")</f>
        <v>Fail</v>
      </c>
      <c r="L336" s="226">
        <f ca="1">IF(AND(E336&lt;$B$10,C336&gt;=$B$11),1,0)</f>
        <v>0</v>
      </c>
      <c r="M336" s="217" t="str" cm="1">
        <f t="array" aca="1" ref="M336" ca="1">_xlfn.IFS(C336&lt;$B$11,"Fail",C336&lt;25,"Marginal",C336&lt;35,"Solid",TRUE,"Blowout")</f>
        <v>Fail</v>
      </c>
    </row>
    <row r="337" spans="1:13" x14ac:dyDescent="0.25">
      <c r="A337" s="169">
        <f t="shared" ref="A337:A400" ca="1" si="50">NORMINV(RAND(), MAX(0, NORMINV(RAND(), $B$6, $B$12)), $B$7/SQRT($B$9))</f>
        <v>12.536014367607503</v>
      </c>
      <c r="B337" s="168">
        <f t="shared" ref="B337:B400" ca="1" si="51">NORMINV(RAND(), $B$8, $B$7/SQRT($B$9))</f>
        <v>11.184098790214044</v>
      </c>
      <c r="C337" s="168">
        <f t="shared" ref="C337:C400" ca="1" si="52">A337-B337</f>
        <v>1.3519155773934592</v>
      </c>
      <c r="D337" s="184">
        <f t="shared" ref="D337:D400" ca="1" si="53">C337/($B$7*SQRT(2/$B$9))</f>
        <v>0.17085679057079395</v>
      </c>
      <c r="E337" s="230">
        <f t="shared" ref="E337:E400" ca="1" si="54">_xlfn.T.DIST.RT(D337, 2*$B$9-2)</f>
        <v>0.43224395014268296</v>
      </c>
      <c r="F337" s="168">
        <f t="shared" ref="F337:F400" ca="1" si="55">NORMINV(RAND(), MAX(0, NORMINV(RAND(), $N$7, $N$8)), $B$7/SQRT($B$9))</f>
        <v>3.2863223428817037</v>
      </c>
      <c r="G337" s="168">
        <f t="shared" ref="G337:G400" ca="1" si="56">F337-B337</f>
        <v>-7.8977764473323404</v>
      </c>
      <c r="H337" s="184">
        <f t="shared" ref="H337:H400" ca="1" si="57">G337/($B$7*SQRT(2/$B$9))</f>
        <v>-0.99813091808475174</v>
      </c>
      <c r="I337" s="184">
        <f t="shared" ref="I337:I400" ca="1" si="58">_xlfn.T.DIST.RT(H337, 2*$B$9-2)</f>
        <v>0.84036299593352048</v>
      </c>
      <c r="J337" s="223">
        <f t="shared" ref="J337:J400" ca="1" si="59">IF(AND(I337&lt;$B$10, G337&gt;=$B$11), 1, 0)</f>
        <v>0</v>
      </c>
      <c r="K337" s="220" t="str" cm="1">
        <f t="array" aca="1" ref="K337" ca="1">_xlfn.IFS(G337&lt;$B$11,"Fail",G337&lt;25,"Marginal",G337&lt;35,"Solid",TRUE,"Blowout")</f>
        <v>Fail</v>
      </c>
      <c r="L337" s="226">
        <f ca="1">IF(AND(E337&lt;$B$10,C337&gt;=$B$11),1,0)</f>
        <v>0</v>
      </c>
      <c r="M337" s="217" t="str" cm="1">
        <f t="array" aca="1" ref="M337" ca="1">_xlfn.IFS(C337&lt;$B$11,"Fail",C337&lt;25,"Marginal",C337&lt;35,"Solid",TRUE,"Blowout")</f>
        <v>Fail</v>
      </c>
    </row>
    <row r="338" spans="1:13" x14ac:dyDescent="0.25">
      <c r="A338" s="169">
        <f t="shared" ca="1" si="50"/>
        <v>46.281757441552273</v>
      </c>
      <c r="B338" s="168">
        <f t="shared" ca="1" si="51"/>
        <v>6.0849550029279982</v>
      </c>
      <c r="C338" s="168">
        <f t="shared" ca="1" si="52"/>
        <v>40.196802438624275</v>
      </c>
      <c r="D338" s="184">
        <f t="shared" ca="1" si="53"/>
        <v>5.080122435687259</v>
      </c>
      <c r="E338" s="230">
        <f t="shared" ca="1" si="54"/>
        <v>3.9223821089473158E-7</v>
      </c>
      <c r="F338" s="168">
        <f t="shared" ca="1" si="55"/>
        <v>1.0432107364603973</v>
      </c>
      <c r="G338" s="168">
        <f t="shared" ca="1" si="56"/>
        <v>-5.0417442664676013</v>
      </c>
      <c r="H338" s="184">
        <f t="shared" ca="1" si="57"/>
        <v>-0.6371819798897479</v>
      </c>
      <c r="I338" s="184">
        <f t="shared" ca="1" si="58"/>
        <v>0.73767720118290869</v>
      </c>
      <c r="J338" s="223">
        <f t="shared" ca="1" si="59"/>
        <v>0</v>
      </c>
      <c r="K338" s="220" t="str" cm="1">
        <f t="array" aca="1" ref="K338" ca="1">_xlfn.IFS(G338&lt;$B$11,"Fail",G338&lt;25,"Marginal",G338&lt;35,"Solid",TRUE,"Blowout")</f>
        <v>Fail</v>
      </c>
      <c r="L338" s="226">
        <f ca="1">IF(AND(E338&lt;$B$10,C338&gt;=$B$11),1,0)</f>
        <v>1</v>
      </c>
      <c r="M338" s="217" t="str" cm="1">
        <f t="array" aca="1" ref="M338" ca="1">_xlfn.IFS(C338&lt;$B$11,"Fail",C338&lt;25,"Marginal",C338&lt;35,"Solid",TRUE,"Blowout")</f>
        <v>Blowout</v>
      </c>
    </row>
    <row r="339" spans="1:13" x14ac:dyDescent="0.25">
      <c r="A339" s="169">
        <f t="shared" ca="1" si="50"/>
        <v>10.782583002326064</v>
      </c>
      <c r="B339" s="168">
        <f t="shared" ca="1" si="51"/>
        <v>-0.41277870565670582</v>
      </c>
      <c r="C339" s="168">
        <f t="shared" ca="1" si="52"/>
        <v>11.195361707982769</v>
      </c>
      <c r="D339" s="184">
        <f t="shared" ca="1" si="53"/>
        <v>1.4148838897122928</v>
      </c>
      <c r="E339" s="230">
        <f t="shared" ca="1" si="54"/>
        <v>7.9233413554697429E-2</v>
      </c>
      <c r="F339" s="168">
        <f t="shared" ca="1" si="55"/>
        <v>-9.2543066705027393</v>
      </c>
      <c r="G339" s="168">
        <f t="shared" ca="1" si="56"/>
        <v>-8.8415279648460334</v>
      </c>
      <c r="H339" s="184">
        <f t="shared" ca="1" si="57"/>
        <v>-1.1174034215421011</v>
      </c>
      <c r="I339" s="184">
        <f t="shared" ca="1" si="58"/>
        <v>0.86750103045073035</v>
      </c>
      <c r="J339" s="223">
        <f t="shared" ca="1" si="59"/>
        <v>0</v>
      </c>
      <c r="K339" s="220" t="str" cm="1">
        <f t="array" aca="1" ref="K339" ca="1">_xlfn.IFS(G339&lt;$B$11,"Fail",G339&lt;25,"Marginal",G339&lt;35,"Solid",TRUE,"Blowout")</f>
        <v>Fail</v>
      </c>
      <c r="L339" s="226">
        <f ca="1">IF(AND(E339&lt;$B$10,C339&gt;=$B$11),1,0)</f>
        <v>0</v>
      </c>
      <c r="M339" s="217" t="str" cm="1">
        <f t="array" aca="1" ref="M339" ca="1">_xlfn.IFS(C339&lt;$B$11,"Fail",C339&lt;25,"Marginal",C339&lt;35,"Solid",TRUE,"Blowout")</f>
        <v>Fail</v>
      </c>
    </row>
    <row r="340" spans="1:13" x14ac:dyDescent="0.25">
      <c r="A340" s="169">
        <f t="shared" ca="1" si="50"/>
        <v>55.284991605305137</v>
      </c>
      <c r="B340" s="168">
        <f t="shared" ca="1" si="51"/>
        <v>0.53169656227967366</v>
      </c>
      <c r="C340" s="168">
        <f t="shared" ca="1" si="52"/>
        <v>54.75329504302546</v>
      </c>
      <c r="D340" s="184">
        <f t="shared" ca="1" si="53"/>
        <v>6.9197902743777879</v>
      </c>
      <c r="E340" s="230">
        <f t="shared" ca="1" si="54"/>
        <v>2.2646733954677526E-11</v>
      </c>
      <c r="F340" s="168">
        <f t="shared" ca="1" si="55"/>
        <v>23.811335732997936</v>
      </c>
      <c r="G340" s="168">
        <f t="shared" ca="1" si="56"/>
        <v>23.279639170718262</v>
      </c>
      <c r="H340" s="184">
        <f t="shared" ca="1" si="57"/>
        <v>2.9421100702336687</v>
      </c>
      <c r="I340" s="184">
        <f t="shared" ca="1" si="58"/>
        <v>1.7981356757008227E-3</v>
      </c>
      <c r="J340" s="223">
        <f t="shared" ca="1" si="59"/>
        <v>1</v>
      </c>
      <c r="K340" s="220" t="str" cm="1">
        <f t="array" aca="1" ref="K340" ca="1">_xlfn.IFS(G340&lt;$B$11,"Fail",G340&lt;25,"Marginal",G340&lt;35,"Solid",TRUE,"Blowout")</f>
        <v>Marginal</v>
      </c>
      <c r="L340" s="226">
        <f ca="1">IF(AND(E340&lt;$B$10,C340&gt;=$B$11),1,0)</f>
        <v>1</v>
      </c>
      <c r="M340" s="217" t="str" cm="1">
        <f t="array" aca="1" ref="M340" ca="1">_xlfn.IFS(C340&lt;$B$11,"Fail",C340&lt;25,"Marginal",C340&lt;35,"Solid",TRUE,"Blowout")</f>
        <v>Blowout</v>
      </c>
    </row>
    <row r="341" spans="1:13" x14ac:dyDescent="0.25">
      <c r="A341" s="169">
        <f t="shared" ca="1" si="50"/>
        <v>49.364555785359961</v>
      </c>
      <c r="B341" s="168">
        <f t="shared" ca="1" si="51"/>
        <v>2.604768075755262</v>
      </c>
      <c r="C341" s="168">
        <f t="shared" ca="1" si="52"/>
        <v>46.759787709604701</v>
      </c>
      <c r="D341" s="184">
        <f t="shared" ca="1" si="53"/>
        <v>5.9095607665370835</v>
      </c>
      <c r="E341" s="230">
        <f t="shared" ca="1" si="54"/>
        <v>6.2000515867129424E-9</v>
      </c>
      <c r="F341" s="168">
        <f t="shared" ca="1" si="55"/>
        <v>-8.6210428836291655</v>
      </c>
      <c r="G341" s="168">
        <f t="shared" ca="1" si="56"/>
        <v>-11.225810959384427</v>
      </c>
      <c r="H341" s="184">
        <f t="shared" ca="1" si="57"/>
        <v>-1.4187321043913492</v>
      </c>
      <c r="I341" s="184">
        <f t="shared" ca="1" si="58"/>
        <v>0.9213286795046034</v>
      </c>
      <c r="J341" s="223">
        <f t="shared" ca="1" si="59"/>
        <v>0</v>
      </c>
      <c r="K341" s="220" t="str" cm="1">
        <f t="array" aca="1" ref="K341" ca="1">_xlfn.IFS(G341&lt;$B$11,"Fail",G341&lt;25,"Marginal",G341&lt;35,"Solid",TRUE,"Blowout")</f>
        <v>Fail</v>
      </c>
      <c r="L341" s="226">
        <f ca="1">IF(AND(E341&lt;$B$10,C341&gt;=$B$11),1,0)</f>
        <v>1</v>
      </c>
      <c r="M341" s="217" t="str" cm="1">
        <f t="array" aca="1" ref="M341" ca="1">_xlfn.IFS(C341&lt;$B$11,"Fail",C341&lt;25,"Marginal",C341&lt;35,"Solid",TRUE,"Blowout")</f>
        <v>Blowout</v>
      </c>
    </row>
    <row r="342" spans="1:13" x14ac:dyDescent="0.25">
      <c r="A342" s="169">
        <f t="shared" ca="1" si="50"/>
        <v>32.018558340662665</v>
      </c>
      <c r="B342" s="168">
        <f t="shared" ca="1" si="51"/>
        <v>6.9917884516482545</v>
      </c>
      <c r="C342" s="168">
        <f t="shared" ca="1" si="52"/>
        <v>25.02676988901441</v>
      </c>
      <c r="D342" s="184">
        <f t="shared" ca="1" si="53"/>
        <v>3.1629146472556022</v>
      </c>
      <c r="E342" s="230">
        <f t="shared" ca="1" si="54"/>
        <v>8.8720205281315231E-4</v>
      </c>
      <c r="F342" s="168">
        <f t="shared" ca="1" si="55"/>
        <v>17.859155172806268</v>
      </c>
      <c r="G342" s="168">
        <f t="shared" ca="1" si="56"/>
        <v>10.867366721158014</v>
      </c>
      <c r="H342" s="184">
        <f t="shared" ca="1" si="57"/>
        <v>1.3734314708562021</v>
      </c>
      <c r="I342" s="184">
        <f t="shared" ca="1" si="58"/>
        <v>8.5483629049201676E-2</v>
      </c>
      <c r="J342" s="223">
        <f t="shared" ca="1" si="59"/>
        <v>0</v>
      </c>
      <c r="K342" s="220" t="str" cm="1">
        <f t="array" aca="1" ref="K342" ca="1">_xlfn.IFS(G342&lt;$B$11,"Fail",G342&lt;25,"Marginal",G342&lt;35,"Solid",TRUE,"Blowout")</f>
        <v>Fail</v>
      </c>
      <c r="L342" s="226">
        <f ca="1">IF(AND(E342&lt;$B$10,C342&gt;=$B$11),1,0)</f>
        <v>1</v>
      </c>
      <c r="M342" s="217" t="str" cm="1">
        <f t="array" aca="1" ref="M342" ca="1">_xlfn.IFS(C342&lt;$B$11,"Fail",C342&lt;25,"Marginal",C342&lt;35,"Solid",TRUE,"Blowout")</f>
        <v>Solid</v>
      </c>
    </row>
    <row r="343" spans="1:13" x14ac:dyDescent="0.25">
      <c r="A343" s="169">
        <f t="shared" ca="1" si="50"/>
        <v>20.148269277740603</v>
      </c>
      <c r="B343" s="168">
        <f t="shared" ca="1" si="51"/>
        <v>8.8705580998244535</v>
      </c>
      <c r="C343" s="168">
        <f t="shared" ca="1" si="52"/>
        <v>11.277711177916149</v>
      </c>
      <c r="D343" s="184">
        <f t="shared" ca="1" si="53"/>
        <v>1.4252913192687677</v>
      </c>
      <c r="E343" s="230">
        <f t="shared" ca="1" si="54"/>
        <v>7.7720261011120034E-2</v>
      </c>
      <c r="F343" s="168">
        <f t="shared" ca="1" si="55"/>
        <v>-14.447539894740752</v>
      </c>
      <c r="G343" s="168">
        <f t="shared" ca="1" si="56"/>
        <v>-23.318097994565207</v>
      </c>
      <c r="H343" s="184">
        <f t="shared" ca="1" si="57"/>
        <v>-2.946970544749604</v>
      </c>
      <c r="I343" s="184">
        <f t="shared" ca="1" si="58"/>
        <v>0.99822885360039726</v>
      </c>
      <c r="J343" s="223">
        <f t="shared" ca="1" si="59"/>
        <v>0</v>
      </c>
      <c r="K343" s="220" t="str" cm="1">
        <f t="array" aca="1" ref="K343" ca="1">_xlfn.IFS(G343&lt;$B$11,"Fail",G343&lt;25,"Marginal",G343&lt;35,"Solid",TRUE,"Blowout")</f>
        <v>Fail</v>
      </c>
      <c r="L343" s="226">
        <f ca="1">IF(AND(E343&lt;$B$10,C343&gt;=$B$11),1,0)</f>
        <v>0</v>
      </c>
      <c r="M343" s="217" t="str" cm="1">
        <f t="array" aca="1" ref="M343" ca="1">_xlfn.IFS(C343&lt;$B$11,"Fail",C343&lt;25,"Marginal",C343&lt;35,"Solid",TRUE,"Blowout")</f>
        <v>Fail</v>
      </c>
    </row>
    <row r="344" spans="1:13" x14ac:dyDescent="0.25">
      <c r="A344" s="169">
        <f t="shared" ca="1" si="50"/>
        <v>41.635878806663328</v>
      </c>
      <c r="B344" s="168">
        <f t="shared" ca="1" si="51"/>
        <v>7.426998114080714</v>
      </c>
      <c r="C344" s="168">
        <f t="shared" ca="1" si="52"/>
        <v>34.208880692582611</v>
      </c>
      <c r="D344" s="184">
        <f t="shared" ca="1" si="53"/>
        <v>4.3233613562045647</v>
      </c>
      <c r="E344" s="230">
        <f t="shared" ca="1" si="54"/>
        <v>1.1485203282167437E-5</v>
      </c>
      <c r="F344" s="168">
        <f t="shared" ca="1" si="55"/>
        <v>47.358765624114156</v>
      </c>
      <c r="G344" s="168">
        <f t="shared" ca="1" si="56"/>
        <v>39.931767510033438</v>
      </c>
      <c r="H344" s="184">
        <f t="shared" ca="1" si="57"/>
        <v>5.0466269881568016</v>
      </c>
      <c r="I344" s="184">
        <f t="shared" ca="1" si="58"/>
        <v>4.5936191908886951E-7</v>
      </c>
      <c r="J344" s="223">
        <f t="shared" ca="1" si="59"/>
        <v>1</v>
      </c>
      <c r="K344" s="220" t="str" cm="1">
        <f t="array" aca="1" ref="K344" ca="1">_xlfn.IFS(G344&lt;$B$11,"Fail",G344&lt;25,"Marginal",G344&lt;35,"Solid",TRUE,"Blowout")</f>
        <v>Blowout</v>
      </c>
      <c r="L344" s="226">
        <f ca="1">IF(AND(E344&lt;$B$10,C344&gt;=$B$11),1,0)</f>
        <v>1</v>
      </c>
      <c r="M344" s="217" t="str" cm="1">
        <f t="array" aca="1" ref="M344" ca="1">_xlfn.IFS(C344&lt;$B$11,"Fail",C344&lt;25,"Marginal",C344&lt;35,"Solid",TRUE,"Blowout")</f>
        <v>Solid</v>
      </c>
    </row>
    <row r="345" spans="1:13" x14ac:dyDescent="0.25">
      <c r="A345" s="169">
        <f t="shared" ca="1" si="50"/>
        <v>47.049307185358828</v>
      </c>
      <c r="B345" s="168">
        <f t="shared" ca="1" si="51"/>
        <v>3.0870962132604021</v>
      </c>
      <c r="C345" s="168">
        <f t="shared" ca="1" si="52"/>
        <v>43.962210972098426</v>
      </c>
      <c r="D345" s="184">
        <f t="shared" ca="1" si="53"/>
        <v>5.5559995007756475</v>
      </c>
      <c r="E345" s="230">
        <f t="shared" ca="1" si="54"/>
        <v>3.8343014967688978E-8</v>
      </c>
      <c r="F345" s="168">
        <f t="shared" ca="1" si="55"/>
        <v>-3.6992833101718499</v>
      </c>
      <c r="G345" s="168">
        <f t="shared" ca="1" si="56"/>
        <v>-6.7863795234322524</v>
      </c>
      <c r="H345" s="184">
        <f t="shared" ca="1" si="57"/>
        <v>-0.85767117737081155</v>
      </c>
      <c r="I345" s="184">
        <f t="shared" ca="1" si="58"/>
        <v>0.80401264372459125</v>
      </c>
      <c r="J345" s="223">
        <f t="shared" ca="1" si="59"/>
        <v>0</v>
      </c>
      <c r="K345" s="220" t="str" cm="1">
        <f t="array" aca="1" ref="K345" ca="1">_xlfn.IFS(G345&lt;$B$11,"Fail",G345&lt;25,"Marginal",G345&lt;35,"Solid",TRUE,"Blowout")</f>
        <v>Fail</v>
      </c>
      <c r="L345" s="226">
        <f ca="1">IF(AND(E345&lt;$B$10,C345&gt;=$B$11),1,0)</f>
        <v>1</v>
      </c>
      <c r="M345" s="217" t="str" cm="1">
        <f t="array" aca="1" ref="M345" ca="1">_xlfn.IFS(C345&lt;$B$11,"Fail",C345&lt;25,"Marginal",C345&lt;35,"Solid",TRUE,"Blowout")</f>
        <v>Blowout</v>
      </c>
    </row>
    <row r="346" spans="1:13" x14ac:dyDescent="0.25">
      <c r="A346" s="169">
        <f t="shared" ca="1" si="50"/>
        <v>7.2825629781150703</v>
      </c>
      <c r="B346" s="168">
        <f t="shared" ca="1" si="51"/>
        <v>7.5477035159838426</v>
      </c>
      <c r="C346" s="168">
        <f t="shared" ca="1" si="52"/>
        <v>-0.26514053786877234</v>
      </c>
      <c r="D346" s="184">
        <f t="shared" ca="1" si="53"/>
        <v>-3.3508794563795567E-2</v>
      </c>
      <c r="E346" s="230">
        <f t="shared" ca="1" si="54"/>
        <v>0.51335091552954459</v>
      </c>
      <c r="F346" s="168">
        <f t="shared" ca="1" si="55"/>
        <v>0.23737302562946672</v>
      </c>
      <c r="G346" s="168">
        <f t="shared" ca="1" si="56"/>
        <v>-7.3103304903543762</v>
      </c>
      <c r="H346" s="184">
        <f t="shared" ca="1" si="57"/>
        <v>-0.92388875938682558</v>
      </c>
      <c r="I346" s="184">
        <f t="shared" ca="1" si="58"/>
        <v>0.82173951850802984</v>
      </c>
      <c r="J346" s="223">
        <f t="shared" ca="1" si="59"/>
        <v>0</v>
      </c>
      <c r="K346" s="220" t="str" cm="1">
        <f t="array" aca="1" ref="K346" ca="1">_xlfn.IFS(G346&lt;$B$11,"Fail",G346&lt;25,"Marginal",G346&lt;35,"Solid",TRUE,"Blowout")</f>
        <v>Fail</v>
      </c>
      <c r="L346" s="226">
        <f ca="1">IF(AND(E346&lt;$B$10,C346&gt;=$B$11),1,0)</f>
        <v>0</v>
      </c>
      <c r="M346" s="217" t="str" cm="1">
        <f t="array" aca="1" ref="M346" ca="1">_xlfn.IFS(C346&lt;$B$11,"Fail",C346&lt;25,"Marginal",C346&lt;35,"Solid",TRUE,"Blowout")</f>
        <v>Fail</v>
      </c>
    </row>
    <row r="347" spans="1:13" x14ac:dyDescent="0.25">
      <c r="A347" s="169">
        <f t="shared" ca="1" si="50"/>
        <v>49.725005891880713</v>
      </c>
      <c r="B347" s="168">
        <f t="shared" ca="1" si="51"/>
        <v>10.688328392693204</v>
      </c>
      <c r="C347" s="168">
        <f t="shared" ca="1" si="52"/>
        <v>39.036677499187505</v>
      </c>
      <c r="D347" s="184">
        <f t="shared" ca="1" si="53"/>
        <v>4.933504387099144</v>
      </c>
      <c r="E347" s="230">
        <f t="shared" ca="1" si="54"/>
        <v>7.7872251506493915E-7</v>
      </c>
      <c r="F347" s="168">
        <f t="shared" ca="1" si="55"/>
        <v>4.3792389018586437</v>
      </c>
      <c r="G347" s="168">
        <f t="shared" ca="1" si="56"/>
        <v>-6.3090894908345607</v>
      </c>
      <c r="H347" s="184">
        <f t="shared" ca="1" si="57"/>
        <v>-0.79735066290621825</v>
      </c>
      <c r="I347" s="184">
        <f t="shared" ca="1" si="58"/>
        <v>0.78696150569712398</v>
      </c>
      <c r="J347" s="223">
        <f t="shared" ca="1" si="59"/>
        <v>0</v>
      </c>
      <c r="K347" s="220" t="str" cm="1">
        <f t="array" aca="1" ref="K347" ca="1">_xlfn.IFS(G347&lt;$B$11,"Fail",G347&lt;25,"Marginal",G347&lt;35,"Solid",TRUE,"Blowout")</f>
        <v>Fail</v>
      </c>
      <c r="L347" s="226">
        <f ca="1">IF(AND(E347&lt;$B$10,C347&gt;=$B$11),1,0)</f>
        <v>1</v>
      </c>
      <c r="M347" s="217" t="str" cm="1">
        <f t="array" aca="1" ref="M347" ca="1">_xlfn.IFS(C347&lt;$B$11,"Fail",C347&lt;25,"Marginal",C347&lt;35,"Solid",TRUE,"Blowout")</f>
        <v>Blowout</v>
      </c>
    </row>
    <row r="348" spans="1:13" x14ac:dyDescent="0.25">
      <c r="A348" s="169">
        <f t="shared" ca="1" si="50"/>
        <v>50.225366935375618</v>
      </c>
      <c r="B348" s="168">
        <f t="shared" ca="1" si="51"/>
        <v>4.9040838815528698</v>
      </c>
      <c r="C348" s="168">
        <f t="shared" ca="1" si="52"/>
        <v>45.321283053822746</v>
      </c>
      <c r="D348" s="184">
        <f t="shared" ca="1" si="53"/>
        <v>5.7277607393623704</v>
      </c>
      <c r="E348" s="230">
        <f t="shared" ca="1" si="54"/>
        <v>1.5977651050569214E-8</v>
      </c>
      <c r="F348" s="168">
        <f t="shared" ca="1" si="55"/>
        <v>-3.5472150341536439</v>
      </c>
      <c r="G348" s="168">
        <f t="shared" ca="1" si="56"/>
        <v>-8.4512989157065128</v>
      </c>
      <c r="H348" s="184">
        <f t="shared" ca="1" si="57"/>
        <v>-1.0680857836375071</v>
      </c>
      <c r="I348" s="184">
        <f t="shared" ca="1" si="58"/>
        <v>0.85669431018444553</v>
      </c>
      <c r="J348" s="223">
        <f t="shared" ca="1" si="59"/>
        <v>0</v>
      </c>
      <c r="K348" s="220" t="str" cm="1">
        <f t="array" aca="1" ref="K348" ca="1">_xlfn.IFS(G348&lt;$B$11,"Fail",G348&lt;25,"Marginal",G348&lt;35,"Solid",TRUE,"Blowout")</f>
        <v>Fail</v>
      </c>
      <c r="L348" s="226">
        <f ca="1">IF(AND(E348&lt;$B$10,C348&gt;=$B$11),1,0)</f>
        <v>1</v>
      </c>
      <c r="M348" s="217" t="str" cm="1">
        <f t="array" aca="1" ref="M348" ca="1">_xlfn.IFS(C348&lt;$B$11,"Fail",C348&lt;25,"Marginal",C348&lt;35,"Solid",TRUE,"Blowout")</f>
        <v>Blowout</v>
      </c>
    </row>
    <row r="349" spans="1:13" x14ac:dyDescent="0.25">
      <c r="A349" s="169">
        <f t="shared" ca="1" si="50"/>
        <v>32.452567431661265</v>
      </c>
      <c r="B349" s="168">
        <f t="shared" ca="1" si="51"/>
        <v>9.4474389550856959</v>
      </c>
      <c r="C349" s="168">
        <f t="shared" ca="1" si="52"/>
        <v>23.005128476575571</v>
      </c>
      <c r="D349" s="184">
        <f t="shared" ca="1" si="53"/>
        <v>2.9074170635379328</v>
      </c>
      <c r="E349" s="230">
        <f t="shared" ca="1" si="54"/>
        <v>2.0019811380231284E-3</v>
      </c>
      <c r="F349" s="168">
        <f t="shared" ca="1" si="55"/>
        <v>40.137930473622454</v>
      </c>
      <c r="G349" s="168">
        <f t="shared" ca="1" si="56"/>
        <v>30.69049151853676</v>
      </c>
      <c r="H349" s="184">
        <f t="shared" ca="1" si="57"/>
        <v>3.87870290836308</v>
      </c>
      <c r="I349" s="184">
        <f t="shared" ca="1" si="58"/>
        <v>6.8714739577935264E-5</v>
      </c>
      <c r="J349" s="223">
        <f t="shared" ca="1" si="59"/>
        <v>1</v>
      </c>
      <c r="K349" s="220" t="str" cm="1">
        <f t="array" aca="1" ref="K349" ca="1">_xlfn.IFS(G349&lt;$B$11,"Fail",G349&lt;25,"Marginal",G349&lt;35,"Solid",TRUE,"Blowout")</f>
        <v>Solid</v>
      </c>
      <c r="L349" s="226">
        <f ca="1">IF(AND(E349&lt;$B$10,C349&gt;=$B$11),1,0)</f>
        <v>1</v>
      </c>
      <c r="M349" s="217" t="str" cm="1">
        <f t="array" aca="1" ref="M349" ca="1">_xlfn.IFS(C349&lt;$B$11,"Fail",C349&lt;25,"Marginal",C349&lt;35,"Solid",TRUE,"Blowout")</f>
        <v>Marginal</v>
      </c>
    </row>
    <row r="350" spans="1:13" x14ac:dyDescent="0.25">
      <c r="A350" s="169">
        <f t="shared" ca="1" si="50"/>
        <v>14.72000635603354</v>
      </c>
      <c r="B350" s="168">
        <f t="shared" ca="1" si="51"/>
        <v>8.0831876299601664</v>
      </c>
      <c r="C350" s="168">
        <f t="shared" ca="1" si="52"/>
        <v>6.6368187260733738</v>
      </c>
      <c r="D350" s="184">
        <f t="shared" ca="1" si="53"/>
        <v>0.83876949574272142</v>
      </c>
      <c r="E350" s="230">
        <f t="shared" ca="1" si="54"/>
        <v>0.20123859510319786</v>
      </c>
      <c r="F350" s="168">
        <f t="shared" ca="1" si="55"/>
        <v>39.703602425836159</v>
      </c>
      <c r="G350" s="168">
        <f t="shared" ca="1" si="56"/>
        <v>31.620414795875995</v>
      </c>
      <c r="H350" s="184">
        <f t="shared" ca="1" si="57"/>
        <v>3.9962277814395404</v>
      </c>
      <c r="I350" s="184">
        <f t="shared" ca="1" si="58"/>
        <v>4.3454039588986848E-5</v>
      </c>
      <c r="J350" s="223">
        <f t="shared" ca="1" si="59"/>
        <v>1</v>
      </c>
      <c r="K350" s="220" t="str" cm="1">
        <f t="array" aca="1" ref="K350" ca="1">_xlfn.IFS(G350&lt;$B$11,"Fail",G350&lt;25,"Marginal",G350&lt;35,"Solid",TRUE,"Blowout")</f>
        <v>Solid</v>
      </c>
      <c r="L350" s="226">
        <f ca="1">IF(AND(E350&lt;$B$10,C350&gt;=$B$11),1,0)</f>
        <v>0</v>
      </c>
      <c r="M350" s="217" t="str" cm="1">
        <f t="array" aca="1" ref="M350" ca="1">_xlfn.IFS(C350&lt;$B$11,"Fail",C350&lt;25,"Marginal",C350&lt;35,"Solid",TRUE,"Blowout")</f>
        <v>Fail</v>
      </c>
    </row>
    <row r="351" spans="1:13" x14ac:dyDescent="0.25">
      <c r="A351" s="169">
        <f t="shared" ca="1" si="50"/>
        <v>16.342243563287745</v>
      </c>
      <c r="B351" s="168">
        <f t="shared" ca="1" si="51"/>
        <v>3.463660139687426</v>
      </c>
      <c r="C351" s="168">
        <f t="shared" ca="1" si="52"/>
        <v>12.878583423600318</v>
      </c>
      <c r="D351" s="184">
        <f t="shared" ca="1" si="53"/>
        <v>1.6276115666164701</v>
      </c>
      <c r="E351" s="230">
        <f t="shared" ca="1" si="54"/>
        <v>5.249418440958907E-2</v>
      </c>
      <c r="F351" s="168">
        <f t="shared" ca="1" si="55"/>
        <v>47.037525586351201</v>
      </c>
      <c r="G351" s="168">
        <f t="shared" ca="1" si="56"/>
        <v>43.573865446663774</v>
      </c>
      <c r="H351" s="184">
        <f t="shared" ca="1" si="57"/>
        <v>5.5069199049652182</v>
      </c>
      <c r="I351" s="184">
        <f t="shared" ca="1" si="58"/>
        <v>4.9070378951484302E-8</v>
      </c>
      <c r="J351" s="223">
        <f t="shared" ca="1" si="59"/>
        <v>1</v>
      </c>
      <c r="K351" s="220" t="str" cm="1">
        <f t="array" aca="1" ref="K351" ca="1">_xlfn.IFS(G351&lt;$B$11,"Fail",G351&lt;25,"Marginal",G351&lt;35,"Solid",TRUE,"Blowout")</f>
        <v>Blowout</v>
      </c>
      <c r="L351" s="226">
        <f ca="1">IF(AND(E351&lt;$B$10,C351&gt;=$B$11),1,0)</f>
        <v>0</v>
      </c>
      <c r="M351" s="217" t="str" cm="1">
        <f t="array" aca="1" ref="M351" ca="1">_xlfn.IFS(C351&lt;$B$11,"Fail",C351&lt;25,"Marginal",C351&lt;35,"Solid",TRUE,"Blowout")</f>
        <v>Fail</v>
      </c>
    </row>
    <row r="352" spans="1:13" x14ac:dyDescent="0.25">
      <c r="A352" s="169">
        <f t="shared" ca="1" si="50"/>
        <v>21.830861284187609</v>
      </c>
      <c r="B352" s="168">
        <f t="shared" ca="1" si="51"/>
        <v>1.0678126240960357</v>
      </c>
      <c r="C352" s="168">
        <f t="shared" ca="1" si="52"/>
        <v>20.763048660091574</v>
      </c>
      <c r="D352" s="184">
        <f t="shared" ca="1" si="53"/>
        <v>2.6240601971375979</v>
      </c>
      <c r="E352" s="230">
        <f t="shared" ca="1" si="54"/>
        <v>4.6378949492135836E-3</v>
      </c>
      <c r="F352" s="168">
        <f t="shared" ca="1" si="55"/>
        <v>30.622900985514384</v>
      </c>
      <c r="G352" s="168">
        <f t="shared" ca="1" si="56"/>
        <v>29.555088361418349</v>
      </c>
      <c r="H352" s="184">
        <f t="shared" ca="1" si="57"/>
        <v>3.7352092297095498</v>
      </c>
      <c r="I352" s="184">
        <f t="shared" ca="1" si="58"/>
        <v>1.1851798063315852E-4</v>
      </c>
      <c r="J352" s="223">
        <f t="shared" ca="1" si="59"/>
        <v>1</v>
      </c>
      <c r="K352" s="220" t="str" cm="1">
        <f t="array" aca="1" ref="K352" ca="1">_xlfn.IFS(G352&lt;$B$11,"Fail",G352&lt;25,"Marginal",G352&lt;35,"Solid",TRUE,"Blowout")</f>
        <v>Solid</v>
      </c>
      <c r="L352" s="226">
        <f ca="1">IF(AND(E352&lt;$B$10,C352&gt;=$B$11),1,0)</f>
        <v>1</v>
      </c>
      <c r="M352" s="217" t="str" cm="1">
        <f t="array" aca="1" ref="M352" ca="1">_xlfn.IFS(C352&lt;$B$11,"Fail",C352&lt;25,"Marginal",C352&lt;35,"Solid",TRUE,"Blowout")</f>
        <v>Marginal</v>
      </c>
    </row>
    <row r="353" spans="1:13" x14ac:dyDescent="0.25">
      <c r="A353" s="169">
        <f t="shared" ca="1" si="50"/>
        <v>20.317328578115923</v>
      </c>
      <c r="B353" s="168">
        <f t="shared" ca="1" si="51"/>
        <v>-5.6761105459743355</v>
      </c>
      <c r="C353" s="168">
        <f t="shared" ca="1" si="52"/>
        <v>25.993439124090258</v>
      </c>
      <c r="D353" s="184">
        <f t="shared" ca="1" si="53"/>
        <v>3.2850835206752147</v>
      </c>
      <c r="E353" s="230">
        <f t="shared" ca="1" si="54"/>
        <v>5.9008055062492997E-4</v>
      </c>
      <c r="F353" s="168">
        <f t="shared" ca="1" si="55"/>
        <v>50.040748744090706</v>
      </c>
      <c r="G353" s="168">
        <f t="shared" ca="1" si="56"/>
        <v>55.716859290065045</v>
      </c>
      <c r="H353" s="184">
        <f t="shared" ca="1" si="57"/>
        <v>7.041566735505163</v>
      </c>
      <c r="I353" s="184">
        <f t="shared" ca="1" si="58"/>
        <v>1.1088482953145552E-11</v>
      </c>
      <c r="J353" s="223">
        <f t="shared" ca="1" si="59"/>
        <v>1</v>
      </c>
      <c r="K353" s="220" t="str" cm="1">
        <f t="array" aca="1" ref="K353" ca="1">_xlfn.IFS(G353&lt;$B$11,"Fail",G353&lt;25,"Marginal",G353&lt;35,"Solid",TRUE,"Blowout")</f>
        <v>Blowout</v>
      </c>
      <c r="L353" s="226">
        <f ca="1">IF(AND(E353&lt;$B$10,C353&gt;=$B$11),1,0)</f>
        <v>1</v>
      </c>
      <c r="M353" s="217" t="str" cm="1">
        <f t="array" aca="1" ref="M353" ca="1">_xlfn.IFS(C353&lt;$B$11,"Fail",C353&lt;25,"Marginal",C353&lt;35,"Solid",TRUE,"Blowout")</f>
        <v>Solid</v>
      </c>
    </row>
    <row r="354" spans="1:13" x14ac:dyDescent="0.25">
      <c r="A354" s="169">
        <f t="shared" ca="1" si="50"/>
        <v>6.2446654868397946</v>
      </c>
      <c r="B354" s="168">
        <f t="shared" ca="1" si="51"/>
        <v>12.241233450306858</v>
      </c>
      <c r="C354" s="168">
        <f t="shared" ca="1" si="52"/>
        <v>-5.9965679634670632</v>
      </c>
      <c r="D354" s="184">
        <f t="shared" ca="1" si="53"/>
        <v>-0.75785379931267693</v>
      </c>
      <c r="E354" s="230">
        <f t="shared" ca="1" si="54"/>
        <v>0.77533945486342781</v>
      </c>
      <c r="F354" s="168">
        <f t="shared" ca="1" si="55"/>
        <v>2.0105648932185467</v>
      </c>
      <c r="G354" s="168">
        <f t="shared" ca="1" si="56"/>
        <v>-10.230668557088311</v>
      </c>
      <c r="H354" s="184">
        <f t="shared" ca="1" si="57"/>
        <v>-1.2929647562962545</v>
      </c>
      <c r="I354" s="184">
        <f t="shared" ca="1" si="58"/>
        <v>0.90133407310022462</v>
      </c>
      <c r="J354" s="223">
        <f t="shared" ca="1" si="59"/>
        <v>0</v>
      </c>
      <c r="K354" s="220" t="str" cm="1">
        <f t="array" aca="1" ref="K354" ca="1">_xlfn.IFS(G354&lt;$B$11,"Fail",G354&lt;25,"Marginal",G354&lt;35,"Solid",TRUE,"Blowout")</f>
        <v>Fail</v>
      </c>
      <c r="L354" s="226">
        <f ca="1">IF(AND(E354&lt;$B$10,C354&gt;=$B$11),1,0)</f>
        <v>0</v>
      </c>
      <c r="M354" s="217" t="str" cm="1">
        <f t="array" aca="1" ref="M354" ca="1">_xlfn.IFS(C354&lt;$B$11,"Fail",C354&lt;25,"Marginal",C354&lt;35,"Solid",TRUE,"Blowout")</f>
        <v>Fail</v>
      </c>
    </row>
    <row r="355" spans="1:13" x14ac:dyDescent="0.25">
      <c r="A355" s="169">
        <f t="shared" ca="1" si="50"/>
        <v>57.480900702215926</v>
      </c>
      <c r="B355" s="168">
        <f t="shared" ca="1" si="51"/>
        <v>16.736193306938503</v>
      </c>
      <c r="C355" s="168">
        <f t="shared" ca="1" si="52"/>
        <v>40.744707395277423</v>
      </c>
      <c r="D355" s="184">
        <f t="shared" ca="1" si="53"/>
        <v>5.1493673530452471</v>
      </c>
      <c r="E355" s="230">
        <f t="shared" ca="1" si="54"/>
        <v>2.8227546481602976E-7</v>
      </c>
      <c r="F355" s="168">
        <f t="shared" ca="1" si="55"/>
        <v>27.261064856444051</v>
      </c>
      <c r="G355" s="168">
        <f t="shared" ca="1" si="56"/>
        <v>10.524871549505548</v>
      </c>
      <c r="H355" s="184">
        <f t="shared" ca="1" si="57"/>
        <v>1.3301465004090403</v>
      </c>
      <c r="I355" s="184">
        <f t="shared" ca="1" si="58"/>
        <v>9.2399503070273184E-2</v>
      </c>
      <c r="J355" s="223">
        <f t="shared" ca="1" si="59"/>
        <v>0</v>
      </c>
      <c r="K355" s="220" t="str" cm="1">
        <f t="array" aca="1" ref="K355" ca="1">_xlfn.IFS(G355&lt;$B$11,"Fail",G355&lt;25,"Marginal",G355&lt;35,"Solid",TRUE,"Blowout")</f>
        <v>Fail</v>
      </c>
      <c r="L355" s="226">
        <f ca="1">IF(AND(E355&lt;$B$10,C355&gt;=$B$11),1,0)</f>
        <v>1</v>
      </c>
      <c r="M355" s="217" t="str" cm="1">
        <f t="array" aca="1" ref="M355" ca="1">_xlfn.IFS(C355&lt;$B$11,"Fail",C355&lt;25,"Marginal",C355&lt;35,"Solid",TRUE,"Blowout")</f>
        <v>Blowout</v>
      </c>
    </row>
    <row r="356" spans="1:13" x14ac:dyDescent="0.25">
      <c r="A356" s="169">
        <f t="shared" ca="1" si="50"/>
        <v>43.861005415406794</v>
      </c>
      <c r="B356" s="168">
        <f t="shared" ca="1" si="51"/>
        <v>7.6420332627430199</v>
      </c>
      <c r="C356" s="168">
        <f t="shared" ca="1" si="52"/>
        <v>36.218972152663774</v>
      </c>
      <c r="D356" s="184">
        <f t="shared" ca="1" si="53"/>
        <v>4.5773992424203511</v>
      </c>
      <c r="E356" s="230">
        <f t="shared" ca="1" si="54"/>
        <v>3.8691780579702869E-6</v>
      </c>
      <c r="F356" s="168">
        <f t="shared" ca="1" si="55"/>
        <v>33.206883358520763</v>
      </c>
      <c r="G356" s="168">
        <f t="shared" ca="1" si="56"/>
        <v>25.564850095777743</v>
      </c>
      <c r="H356" s="184">
        <f t="shared" ca="1" si="57"/>
        <v>3.2309179003688664</v>
      </c>
      <c r="I356" s="184">
        <f t="shared" ca="1" si="58"/>
        <v>7.0807689620441805E-4</v>
      </c>
      <c r="J356" s="223">
        <f t="shared" ca="1" si="59"/>
        <v>1</v>
      </c>
      <c r="K356" s="220" t="str" cm="1">
        <f t="array" aca="1" ref="K356" ca="1">_xlfn.IFS(G356&lt;$B$11,"Fail",G356&lt;25,"Marginal",G356&lt;35,"Solid",TRUE,"Blowout")</f>
        <v>Solid</v>
      </c>
      <c r="L356" s="226">
        <f ca="1">IF(AND(E356&lt;$B$10,C356&gt;=$B$11),1,0)</f>
        <v>1</v>
      </c>
      <c r="M356" s="217" t="str" cm="1">
        <f t="array" aca="1" ref="M356" ca="1">_xlfn.IFS(C356&lt;$B$11,"Fail",C356&lt;25,"Marginal",C356&lt;35,"Solid",TRUE,"Blowout")</f>
        <v>Blowout</v>
      </c>
    </row>
    <row r="357" spans="1:13" x14ac:dyDescent="0.25">
      <c r="A357" s="169">
        <f t="shared" ca="1" si="50"/>
        <v>26.930251450688758</v>
      </c>
      <c r="B357" s="168">
        <f t="shared" ca="1" si="51"/>
        <v>6.6472879192803704</v>
      </c>
      <c r="C357" s="168">
        <f t="shared" ca="1" si="52"/>
        <v>20.282963531408388</v>
      </c>
      <c r="D357" s="184">
        <f t="shared" ca="1" si="53"/>
        <v>2.5633864349151634</v>
      </c>
      <c r="E357" s="230">
        <f t="shared" ca="1" si="54"/>
        <v>5.5044298001825495E-3</v>
      </c>
      <c r="F357" s="168">
        <f t="shared" ca="1" si="55"/>
        <v>7.2911627412135909</v>
      </c>
      <c r="G357" s="168">
        <f t="shared" ca="1" si="56"/>
        <v>0.64387482193322043</v>
      </c>
      <c r="H357" s="184">
        <f t="shared" ca="1" si="57"/>
        <v>8.1373709604674702E-2</v>
      </c>
      <c r="I357" s="184">
        <f t="shared" ca="1" si="58"/>
        <v>0.46760807156916928</v>
      </c>
      <c r="J357" s="223">
        <f t="shared" ca="1" si="59"/>
        <v>0</v>
      </c>
      <c r="K357" s="220" t="str" cm="1">
        <f t="array" aca="1" ref="K357" ca="1">_xlfn.IFS(G357&lt;$B$11,"Fail",G357&lt;25,"Marginal",G357&lt;35,"Solid",TRUE,"Blowout")</f>
        <v>Fail</v>
      </c>
      <c r="L357" s="226">
        <f ca="1">IF(AND(E357&lt;$B$10,C357&gt;=$B$11),1,0)</f>
        <v>1</v>
      </c>
      <c r="M357" s="217" t="str" cm="1">
        <f t="array" aca="1" ref="M357" ca="1">_xlfn.IFS(C357&lt;$B$11,"Fail",C357&lt;25,"Marginal",C357&lt;35,"Solid",TRUE,"Blowout")</f>
        <v>Marginal</v>
      </c>
    </row>
    <row r="358" spans="1:13" x14ac:dyDescent="0.25">
      <c r="A358" s="169">
        <f t="shared" ca="1" si="50"/>
        <v>39.822626302889795</v>
      </c>
      <c r="B358" s="168">
        <f t="shared" ca="1" si="51"/>
        <v>10.049625889745204</v>
      </c>
      <c r="C358" s="168">
        <f t="shared" ca="1" si="52"/>
        <v>29.77300041314459</v>
      </c>
      <c r="D358" s="184">
        <f t="shared" ca="1" si="53"/>
        <v>3.7627492288095135</v>
      </c>
      <c r="E358" s="230">
        <f t="shared" ca="1" si="54"/>
        <v>1.0687749579833826E-4</v>
      </c>
      <c r="F358" s="168">
        <f t="shared" ca="1" si="55"/>
        <v>19.63734051225159</v>
      </c>
      <c r="G358" s="168">
        <f t="shared" ca="1" si="56"/>
        <v>9.5877146225063861</v>
      </c>
      <c r="H358" s="184">
        <f t="shared" ca="1" si="57"/>
        <v>1.2117074295929611</v>
      </c>
      <c r="I358" s="184">
        <f t="shared" ca="1" si="58"/>
        <v>0.11343933543705713</v>
      </c>
      <c r="J358" s="223">
        <f t="shared" ca="1" si="59"/>
        <v>0</v>
      </c>
      <c r="K358" s="220" t="str" cm="1">
        <f t="array" aca="1" ref="K358" ca="1">_xlfn.IFS(G358&lt;$B$11,"Fail",G358&lt;25,"Marginal",G358&lt;35,"Solid",TRUE,"Blowout")</f>
        <v>Fail</v>
      </c>
      <c r="L358" s="226">
        <f ca="1">IF(AND(E358&lt;$B$10,C358&gt;=$B$11),1,0)</f>
        <v>1</v>
      </c>
      <c r="M358" s="217" t="str" cm="1">
        <f t="array" aca="1" ref="M358" ca="1">_xlfn.IFS(C358&lt;$B$11,"Fail",C358&lt;25,"Marginal",C358&lt;35,"Solid",TRUE,"Blowout")</f>
        <v>Solid</v>
      </c>
    </row>
    <row r="359" spans="1:13" x14ac:dyDescent="0.25">
      <c r="A359" s="169">
        <f t="shared" ca="1" si="50"/>
        <v>68.083512780990446</v>
      </c>
      <c r="B359" s="168">
        <f t="shared" ca="1" si="51"/>
        <v>9.8534504309746378</v>
      </c>
      <c r="C359" s="168">
        <f t="shared" ca="1" si="52"/>
        <v>58.230062350015807</v>
      </c>
      <c r="D359" s="184">
        <f t="shared" ca="1" si="53"/>
        <v>7.3591884983254268</v>
      </c>
      <c r="E359" s="230">
        <f t="shared" ca="1" si="54"/>
        <v>1.6625233299955063E-12</v>
      </c>
      <c r="F359" s="168">
        <f t="shared" ca="1" si="55"/>
        <v>15.501555061972608</v>
      </c>
      <c r="G359" s="168">
        <f t="shared" ca="1" si="56"/>
        <v>5.6481046309979703</v>
      </c>
      <c r="H359" s="184">
        <f t="shared" ca="1" si="57"/>
        <v>0.71381456519713926</v>
      </c>
      <c r="I359" s="184">
        <f t="shared" ca="1" si="58"/>
        <v>0.23803595896725843</v>
      </c>
      <c r="J359" s="223">
        <f t="shared" ca="1" si="59"/>
        <v>0</v>
      </c>
      <c r="K359" s="220" t="str" cm="1">
        <f t="array" aca="1" ref="K359" ca="1">_xlfn.IFS(G359&lt;$B$11,"Fail",G359&lt;25,"Marginal",G359&lt;35,"Solid",TRUE,"Blowout")</f>
        <v>Fail</v>
      </c>
      <c r="L359" s="226">
        <f ca="1">IF(AND(E359&lt;$B$10,C359&gt;=$B$11),1,0)</f>
        <v>1</v>
      </c>
      <c r="M359" s="217" t="str" cm="1">
        <f t="array" aca="1" ref="M359" ca="1">_xlfn.IFS(C359&lt;$B$11,"Fail",C359&lt;25,"Marginal",C359&lt;35,"Solid",TRUE,"Blowout")</f>
        <v>Blowout</v>
      </c>
    </row>
    <row r="360" spans="1:13" x14ac:dyDescent="0.25">
      <c r="A360" s="169">
        <f t="shared" ca="1" si="50"/>
        <v>24.593878397219601</v>
      </c>
      <c r="B360" s="168">
        <f t="shared" ca="1" si="51"/>
        <v>2.0069696667613064</v>
      </c>
      <c r="C360" s="168">
        <f t="shared" ca="1" si="52"/>
        <v>22.586908730458294</v>
      </c>
      <c r="D360" s="184">
        <f t="shared" ca="1" si="53"/>
        <v>2.8545619261537634</v>
      </c>
      <c r="E360" s="230">
        <f t="shared" ca="1" si="54"/>
        <v>2.3533734069368624E-3</v>
      </c>
      <c r="F360" s="168">
        <f t="shared" ca="1" si="55"/>
        <v>21.339168962565811</v>
      </c>
      <c r="G360" s="168">
        <f t="shared" ca="1" si="56"/>
        <v>19.332199295804504</v>
      </c>
      <c r="H360" s="184">
        <f t="shared" ca="1" si="57"/>
        <v>2.4432276553277776</v>
      </c>
      <c r="I360" s="184">
        <f t="shared" ca="1" si="58"/>
        <v>7.6583213568875092E-3</v>
      </c>
      <c r="J360" s="223">
        <f t="shared" ca="1" si="59"/>
        <v>0</v>
      </c>
      <c r="K360" s="220" t="str" cm="1">
        <f t="array" aca="1" ref="K360" ca="1">_xlfn.IFS(G360&lt;$B$11,"Fail",G360&lt;25,"Marginal",G360&lt;35,"Solid",TRUE,"Blowout")</f>
        <v>Fail</v>
      </c>
      <c r="L360" s="226">
        <f ca="1">IF(AND(E360&lt;$B$10,C360&gt;=$B$11),1,0)</f>
        <v>1</v>
      </c>
      <c r="M360" s="217" t="str" cm="1">
        <f t="array" aca="1" ref="M360" ca="1">_xlfn.IFS(C360&lt;$B$11,"Fail",C360&lt;25,"Marginal",C360&lt;35,"Solid",TRUE,"Blowout")</f>
        <v>Marginal</v>
      </c>
    </row>
    <row r="361" spans="1:13" x14ac:dyDescent="0.25">
      <c r="A361" s="169">
        <f t="shared" ca="1" si="50"/>
        <v>7.4152322705596019</v>
      </c>
      <c r="B361" s="168">
        <f t="shared" ca="1" si="51"/>
        <v>5.6715658329125445</v>
      </c>
      <c r="C361" s="168">
        <f t="shared" ca="1" si="52"/>
        <v>1.7436664376470574</v>
      </c>
      <c r="D361" s="184">
        <f t="shared" ca="1" si="53"/>
        <v>0.22036675687751195</v>
      </c>
      <c r="E361" s="230">
        <f t="shared" ca="1" si="54"/>
        <v>0.41289136327392806</v>
      </c>
      <c r="F361" s="168">
        <f t="shared" ca="1" si="55"/>
        <v>12.949454011158357</v>
      </c>
      <c r="G361" s="168">
        <f t="shared" ca="1" si="56"/>
        <v>7.2778881782458127</v>
      </c>
      <c r="H361" s="184">
        <f t="shared" ca="1" si="57"/>
        <v>0.91978865918955421</v>
      </c>
      <c r="I361" s="184">
        <f t="shared" ca="1" si="58"/>
        <v>0.17932765411263402</v>
      </c>
      <c r="J361" s="223">
        <f t="shared" ca="1" si="59"/>
        <v>0</v>
      </c>
      <c r="K361" s="220" t="str" cm="1">
        <f t="array" aca="1" ref="K361" ca="1">_xlfn.IFS(G361&lt;$B$11,"Fail",G361&lt;25,"Marginal",G361&lt;35,"Solid",TRUE,"Blowout")</f>
        <v>Fail</v>
      </c>
      <c r="L361" s="226">
        <f ca="1">IF(AND(E361&lt;$B$10,C361&gt;=$B$11),1,0)</f>
        <v>0</v>
      </c>
      <c r="M361" s="217" t="str" cm="1">
        <f t="array" aca="1" ref="M361" ca="1">_xlfn.IFS(C361&lt;$B$11,"Fail",C361&lt;25,"Marginal",C361&lt;35,"Solid",TRUE,"Blowout")</f>
        <v>Fail</v>
      </c>
    </row>
    <row r="362" spans="1:13" x14ac:dyDescent="0.25">
      <c r="A362" s="169">
        <f t="shared" ca="1" si="50"/>
        <v>3.1005474740922088</v>
      </c>
      <c r="B362" s="168">
        <f t="shared" ca="1" si="51"/>
        <v>-1.8873971584519555</v>
      </c>
      <c r="C362" s="168">
        <f t="shared" ca="1" si="52"/>
        <v>4.9879446325441643</v>
      </c>
      <c r="D362" s="184">
        <f t="shared" ca="1" si="53"/>
        <v>0.63038271450679806</v>
      </c>
      <c r="E362" s="230">
        <f t="shared" ca="1" si="54"/>
        <v>0.26453776022573683</v>
      </c>
      <c r="F362" s="168">
        <f t="shared" ca="1" si="55"/>
        <v>63.316410468594405</v>
      </c>
      <c r="G362" s="168">
        <f t="shared" ca="1" si="56"/>
        <v>65.203807627046359</v>
      </c>
      <c r="H362" s="184">
        <f t="shared" ca="1" si="57"/>
        <v>8.2405391952298519</v>
      </c>
      <c r="I362" s="184">
        <f t="shared" ca="1" si="58"/>
        <v>6.7285847447057716E-15</v>
      </c>
      <c r="J362" s="223">
        <f t="shared" ca="1" si="59"/>
        <v>1</v>
      </c>
      <c r="K362" s="220" t="str" cm="1">
        <f t="array" aca="1" ref="K362" ca="1">_xlfn.IFS(G362&lt;$B$11,"Fail",G362&lt;25,"Marginal",G362&lt;35,"Solid",TRUE,"Blowout")</f>
        <v>Blowout</v>
      </c>
      <c r="L362" s="226">
        <f ca="1">IF(AND(E362&lt;$B$10,C362&gt;=$B$11),1,0)</f>
        <v>0</v>
      </c>
      <c r="M362" s="217" t="str" cm="1">
        <f t="array" aca="1" ref="M362" ca="1">_xlfn.IFS(C362&lt;$B$11,"Fail",C362&lt;25,"Marginal",C362&lt;35,"Solid",TRUE,"Blowout")</f>
        <v>Fail</v>
      </c>
    </row>
    <row r="363" spans="1:13" x14ac:dyDescent="0.25">
      <c r="A363" s="169">
        <f t="shared" ca="1" si="50"/>
        <v>40.933530786189216</v>
      </c>
      <c r="B363" s="168">
        <f t="shared" ca="1" si="51"/>
        <v>1.4561009715369884</v>
      </c>
      <c r="C363" s="168">
        <f t="shared" ca="1" si="52"/>
        <v>39.477429814652226</v>
      </c>
      <c r="D363" s="184">
        <f t="shared" ca="1" si="53"/>
        <v>4.9892072189299155</v>
      </c>
      <c r="E363" s="230">
        <f t="shared" ca="1" si="54"/>
        <v>6.0115474454564699E-7</v>
      </c>
      <c r="F363" s="168">
        <f t="shared" ca="1" si="55"/>
        <v>45.617962774934867</v>
      </c>
      <c r="G363" s="168">
        <f t="shared" ca="1" si="56"/>
        <v>44.161861803397876</v>
      </c>
      <c r="H363" s="184">
        <f t="shared" ca="1" si="57"/>
        <v>5.5812316238763984</v>
      </c>
      <c r="I363" s="184">
        <f t="shared" ca="1" si="58"/>
        <v>3.3755725018184748E-8</v>
      </c>
      <c r="J363" s="223">
        <f t="shared" ca="1" si="59"/>
        <v>1</v>
      </c>
      <c r="K363" s="220" t="str" cm="1">
        <f t="array" aca="1" ref="K363" ca="1">_xlfn.IFS(G363&lt;$B$11,"Fail",G363&lt;25,"Marginal",G363&lt;35,"Solid",TRUE,"Blowout")</f>
        <v>Blowout</v>
      </c>
      <c r="L363" s="226">
        <f ca="1">IF(AND(E363&lt;$B$10,C363&gt;=$B$11),1,0)</f>
        <v>1</v>
      </c>
      <c r="M363" s="217" t="str" cm="1">
        <f t="array" aca="1" ref="M363" ca="1">_xlfn.IFS(C363&lt;$B$11,"Fail",C363&lt;25,"Marginal",C363&lt;35,"Solid",TRUE,"Blowout")</f>
        <v>Blowout</v>
      </c>
    </row>
    <row r="364" spans="1:13" x14ac:dyDescent="0.25">
      <c r="A364" s="169">
        <f t="shared" ca="1" si="50"/>
        <v>20.477424610416751</v>
      </c>
      <c r="B364" s="168">
        <f t="shared" ca="1" si="51"/>
        <v>6.1495564834972551</v>
      </c>
      <c r="C364" s="168">
        <f t="shared" ca="1" si="52"/>
        <v>14.327868126919496</v>
      </c>
      <c r="D364" s="184">
        <f t="shared" ca="1" si="53"/>
        <v>1.8107739897537789</v>
      </c>
      <c r="E364" s="230">
        <f t="shared" ca="1" si="54"/>
        <v>3.5746043301914748E-2</v>
      </c>
      <c r="F364" s="168">
        <f t="shared" ca="1" si="55"/>
        <v>8.1152745002250288</v>
      </c>
      <c r="G364" s="168">
        <f t="shared" ca="1" si="56"/>
        <v>1.9657180167277737</v>
      </c>
      <c r="H364" s="184">
        <f t="shared" ca="1" si="57"/>
        <v>0.2484299146495792</v>
      </c>
      <c r="I364" s="184">
        <f t="shared" ca="1" si="58"/>
        <v>0.40201270390862348</v>
      </c>
      <c r="J364" s="223">
        <f t="shared" ca="1" si="59"/>
        <v>0</v>
      </c>
      <c r="K364" s="220" t="str" cm="1">
        <f t="array" aca="1" ref="K364" ca="1">_xlfn.IFS(G364&lt;$B$11,"Fail",G364&lt;25,"Marginal",G364&lt;35,"Solid",TRUE,"Blowout")</f>
        <v>Fail</v>
      </c>
      <c r="L364" s="226">
        <f ca="1">IF(AND(E364&lt;$B$10,C364&gt;=$B$11),1,0)</f>
        <v>0</v>
      </c>
      <c r="M364" s="217" t="str" cm="1">
        <f t="array" aca="1" ref="M364" ca="1">_xlfn.IFS(C364&lt;$B$11,"Fail",C364&lt;25,"Marginal",C364&lt;35,"Solid",TRUE,"Blowout")</f>
        <v>Fail</v>
      </c>
    </row>
    <row r="365" spans="1:13" x14ac:dyDescent="0.25">
      <c r="A365" s="169">
        <f t="shared" ca="1" si="50"/>
        <v>59.461445132669574</v>
      </c>
      <c r="B365" s="168">
        <f t="shared" ca="1" si="51"/>
        <v>7.493155378120445</v>
      </c>
      <c r="C365" s="168">
        <f t="shared" ca="1" si="52"/>
        <v>51.968289754549133</v>
      </c>
      <c r="D365" s="184">
        <f t="shared" ca="1" si="53"/>
        <v>6.5678178041521074</v>
      </c>
      <c r="E365" s="230">
        <f t="shared" ca="1" si="54"/>
        <v>1.7075083686697627E-10</v>
      </c>
      <c r="F365" s="168">
        <f t="shared" ca="1" si="55"/>
        <v>36.271065767497717</v>
      </c>
      <c r="G365" s="168">
        <f t="shared" ca="1" si="56"/>
        <v>28.777910389377272</v>
      </c>
      <c r="H365" s="184">
        <f t="shared" ca="1" si="57"/>
        <v>3.6369885003787488</v>
      </c>
      <c r="I365" s="184">
        <f t="shared" ca="1" si="58"/>
        <v>1.7053783745116157E-4</v>
      </c>
      <c r="J365" s="223">
        <f t="shared" ca="1" si="59"/>
        <v>1</v>
      </c>
      <c r="K365" s="220" t="str" cm="1">
        <f t="array" aca="1" ref="K365" ca="1">_xlfn.IFS(G365&lt;$B$11,"Fail",G365&lt;25,"Marginal",G365&lt;35,"Solid",TRUE,"Blowout")</f>
        <v>Solid</v>
      </c>
      <c r="L365" s="226">
        <f ca="1">IF(AND(E365&lt;$B$10,C365&gt;=$B$11),1,0)</f>
        <v>1</v>
      </c>
      <c r="M365" s="217" t="str" cm="1">
        <f t="array" aca="1" ref="M365" ca="1">_xlfn.IFS(C365&lt;$B$11,"Fail",C365&lt;25,"Marginal",C365&lt;35,"Solid",TRUE,"Blowout")</f>
        <v>Blowout</v>
      </c>
    </row>
    <row r="366" spans="1:13" x14ac:dyDescent="0.25">
      <c r="A366" s="169">
        <f t="shared" ca="1" si="50"/>
        <v>18.090918229703057</v>
      </c>
      <c r="B366" s="168">
        <f t="shared" ca="1" si="51"/>
        <v>6.3365798172530567</v>
      </c>
      <c r="C366" s="168">
        <f t="shared" ca="1" si="52"/>
        <v>11.75433841245</v>
      </c>
      <c r="D366" s="184">
        <f t="shared" ca="1" si="53"/>
        <v>1.48552806848065</v>
      </c>
      <c r="E366" s="230">
        <f t="shared" ca="1" si="54"/>
        <v>6.9392671213381177E-2</v>
      </c>
      <c r="F366" s="168">
        <f t="shared" ca="1" si="55"/>
        <v>9.2429869177009163</v>
      </c>
      <c r="G366" s="168">
        <f t="shared" ca="1" si="56"/>
        <v>2.9064071004478595</v>
      </c>
      <c r="H366" s="184">
        <f t="shared" ca="1" si="57"/>
        <v>0.36731538387338575</v>
      </c>
      <c r="I366" s="184">
        <f t="shared" ca="1" si="58"/>
        <v>0.35686224538454137</v>
      </c>
      <c r="J366" s="223">
        <f t="shared" ca="1" si="59"/>
        <v>0</v>
      </c>
      <c r="K366" s="220" t="str" cm="1">
        <f t="array" aca="1" ref="K366" ca="1">_xlfn.IFS(G366&lt;$B$11,"Fail",G366&lt;25,"Marginal",G366&lt;35,"Solid",TRUE,"Blowout")</f>
        <v>Fail</v>
      </c>
      <c r="L366" s="226">
        <f ca="1">IF(AND(E366&lt;$B$10,C366&gt;=$B$11),1,0)</f>
        <v>0</v>
      </c>
      <c r="M366" s="217" t="str" cm="1">
        <f t="array" aca="1" ref="M366" ca="1">_xlfn.IFS(C366&lt;$B$11,"Fail",C366&lt;25,"Marginal",C366&lt;35,"Solid",TRUE,"Blowout")</f>
        <v>Fail</v>
      </c>
    </row>
    <row r="367" spans="1:13" x14ac:dyDescent="0.25">
      <c r="A367" s="169">
        <f t="shared" ca="1" si="50"/>
        <v>13.735882987747518</v>
      </c>
      <c r="B367" s="168">
        <f t="shared" ca="1" si="51"/>
        <v>1.7958252189021082</v>
      </c>
      <c r="C367" s="168">
        <f t="shared" ca="1" si="52"/>
        <v>11.94005776884541</v>
      </c>
      <c r="D367" s="184">
        <f t="shared" ca="1" si="53"/>
        <v>1.5089995142655801</v>
      </c>
      <c r="E367" s="230">
        <f t="shared" ca="1" si="54"/>
        <v>6.6341696249484189E-2</v>
      </c>
      <c r="F367" s="168">
        <f t="shared" ca="1" si="55"/>
        <v>29.720433922403707</v>
      </c>
      <c r="G367" s="168">
        <f t="shared" ca="1" si="56"/>
        <v>27.924608703501598</v>
      </c>
      <c r="H367" s="184">
        <f t="shared" ca="1" si="57"/>
        <v>3.529147160375508</v>
      </c>
      <c r="I367" s="184">
        <f t="shared" ca="1" si="58"/>
        <v>2.5208863379173419E-4</v>
      </c>
      <c r="J367" s="223">
        <f t="shared" ca="1" si="59"/>
        <v>1</v>
      </c>
      <c r="K367" s="220" t="str" cm="1">
        <f t="array" aca="1" ref="K367" ca="1">_xlfn.IFS(G367&lt;$B$11,"Fail",G367&lt;25,"Marginal",G367&lt;35,"Solid",TRUE,"Blowout")</f>
        <v>Solid</v>
      </c>
      <c r="L367" s="226">
        <f ca="1">IF(AND(E367&lt;$B$10,C367&gt;=$B$11),1,0)</f>
        <v>0</v>
      </c>
      <c r="M367" s="217" t="str" cm="1">
        <f t="array" aca="1" ref="M367" ca="1">_xlfn.IFS(C367&lt;$B$11,"Fail",C367&lt;25,"Marginal",C367&lt;35,"Solid",TRUE,"Blowout")</f>
        <v>Fail</v>
      </c>
    </row>
    <row r="368" spans="1:13" x14ac:dyDescent="0.25">
      <c r="A368" s="169">
        <f t="shared" ca="1" si="50"/>
        <v>70.013589430690956</v>
      </c>
      <c r="B368" s="168">
        <f t="shared" ca="1" si="51"/>
        <v>2.6888804148345868</v>
      </c>
      <c r="C368" s="168">
        <f t="shared" ca="1" si="52"/>
        <v>67.324709015856371</v>
      </c>
      <c r="D368" s="184">
        <f t="shared" ca="1" si="53"/>
        <v>8.5085813795708898</v>
      </c>
      <c r="E368" s="230">
        <f t="shared" ca="1" si="54"/>
        <v>1.1807172682798177E-15</v>
      </c>
      <c r="F368" s="168">
        <f t="shared" ca="1" si="55"/>
        <v>60.03467202736703</v>
      </c>
      <c r="G368" s="168">
        <f t="shared" ca="1" si="56"/>
        <v>57.345791612532445</v>
      </c>
      <c r="H368" s="184">
        <f t="shared" ca="1" si="57"/>
        <v>7.247433250639495</v>
      </c>
      <c r="I368" s="184">
        <f t="shared" ca="1" si="58"/>
        <v>3.2597631581080656E-12</v>
      </c>
      <c r="J368" s="223">
        <f t="shared" ca="1" si="59"/>
        <v>1</v>
      </c>
      <c r="K368" s="220" t="str" cm="1">
        <f t="array" aca="1" ref="K368" ca="1">_xlfn.IFS(G368&lt;$B$11,"Fail",G368&lt;25,"Marginal",G368&lt;35,"Solid",TRUE,"Blowout")</f>
        <v>Blowout</v>
      </c>
      <c r="L368" s="226">
        <f ca="1">IF(AND(E368&lt;$B$10,C368&gt;=$B$11),1,0)</f>
        <v>1</v>
      </c>
      <c r="M368" s="217" t="str" cm="1">
        <f t="array" aca="1" ref="M368" ca="1">_xlfn.IFS(C368&lt;$B$11,"Fail",C368&lt;25,"Marginal",C368&lt;35,"Solid",TRUE,"Blowout")</f>
        <v>Blowout</v>
      </c>
    </row>
    <row r="369" spans="1:13" x14ac:dyDescent="0.25">
      <c r="A369" s="169">
        <f t="shared" ca="1" si="50"/>
        <v>29.236837005150939</v>
      </c>
      <c r="B369" s="168">
        <f t="shared" ca="1" si="51"/>
        <v>6.3353271996080371</v>
      </c>
      <c r="C369" s="168">
        <f t="shared" ca="1" si="52"/>
        <v>22.901509805542901</v>
      </c>
      <c r="D369" s="184">
        <f t="shared" ca="1" si="53"/>
        <v>2.894321605602618</v>
      </c>
      <c r="E369" s="230">
        <f t="shared" ca="1" si="54"/>
        <v>2.0842653489319932E-3</v>
      </c>
      <c r="F369" s="168">
        <f t="shared" ca="1" si="55"/>
        <v>35.149555886973616</v>
      </c>
      <c r="G369" s="168">
        <f t="shared" ca="1" si="56"/>
        <v>28.814228687365578</v>
      </c>
      <c r="H369" s="184">
        <f t="shared" ca="1" si="57"/>
        <v>3.6415784525451702</v>
      </c>
      <c r="I369" s="184">
        <f t="shared" ca="1" si="58"/>
        <v>1.6769052315312649E-4</v>
      </c>
      <c r="J369" s="223">
        <f t="shared" ca="1" si="59"/>
        <v>1</v>
      </c>
      <c r="K369" s="220" t="str" cm="1">
        <f t="array" aca="1" ref="K369" ca="1">_xlfn.IFS(G369&lt;$B$11,"Fail",G369&lt;25,"Marginal",G369&lt;35,"Solid",TRUE,"Blowout")</f>
        <v>Solid</v>
      </c>
      <c r="L369" s="226">
        <f ca="1">IF(AND(E369&lt;$B$10,C369&gt;=$B$11),1,0)</f>
        <v>1</v>
      </c>
      <c r="M369" s="217" t="str" cm="1">
        <f t="array" aca="1" ref="M369" ca="1">_xlfn.IFS(C369&lt;$B$11,"Fail",C369&lt;25,"Marginal",C369&lt;35,"Solid",TRUE,"Blowout")</f>
        <v>Marginal</v>
      </c>
    </row>
    <row r="370" spans="1:13" x14ac:dyDescent="0.25">
      <c r="A370" s="169">
        <f t="shared" ca="1" si="50"/>
        <v>46.823882252428255</v>
      </c>
      <c r="B370" s="168">
        <f t="shared" ca="1" si="51"/>
        <v>8.2533839698914822</v>
      </c>
      <c r="C370" s="168">
        <f t="shared" ca="1" si="52"/>
        <v>38.570498282536775</v>
      </c>
      <c r="D370" s="184">
        <f t="shared" ca="1" si="53"/>
        <v>4.874588071524677</v>
      </c>
      <c r="E370" s="230">
        <f t="shared" ca="1" si="54"/>
        <v>1.0215217157650037E-6</v>
      </c>
      <c r="F370" s="168">
        <f t="shared" ca="1" si="55"/>
        <v>39.140800245603636</v>
      </c>
      <c r="G370" s="168">
        <f t="shared" ca="1" si="56"/>
        <v>30.887416275712155</v>
      </c>
      <c r="H370" s="184">
        <f t="shared" ca="1" si="57"/>
        <v>3.9035905067882655</v>
      </c>
      <c r="I370" s="184">
        <f t="shared" ca="1" si="58"/>
        <v>6.2414896275910818E-5</v>
      </c>
      <c r="J370" s="223">
        <f t="shared" ca="1" si="59"/>
        <v>1</v>
      </c>
      <c r="K370" s="220" t="str" cm="1">
        <f t="array" aca="1" ref="K370" ca="1">_xlfn.IFS(G370&lt;$B$11,"Fail",G370&lt;25,"Marginal",G370&lt;35,"Solid",TRUE,"Blowout")</f>
        <v>Solid</v>
      </c>
      <c r="L370" s="226">
        <f ca="1">IF(AND(E370&lt;$B$10,C370&gt;=$B$11),1,0)</f>
        <v>1</v>
      </c>
      <c r="M370" s="217" t="str" cm="1">
        <f t="array" aca="1" ref="M370" ca="1">_xlfn.IFS(C370&lt;$B$11,"Fail",C370&lt;25,"Marginal",C370&lt;35,"Solid",TRUE,"Blowout")</f>
        <v>Blowout</v>
      </c>
    </row>
    <row r="371" spans="1:13" x14ac:dyDescent="0.25">
      <c r="A371" s="169">
        <f t="shared" ca="1" si="50"/>
        <v>71.620867836139993</v>
      </c>
      <c r="B371" s="168">
        <f t="shared" ca="1" si="51"/>
        <v>0.17127287780468414</v>
      </c>
      <c r="C371" s="168">
        <f t="shared" ca="1" si="52"/>
        <v>71.449594958335311</v>
      </c>
      <c r="D371" s="184">
        <f t="shared" ca="1" si="53"/>
        <v>9.0298896516165055</v>
      </c>
      <c r="E371" s="230">
        <f t="shared" ca="1" si="54"/>
        <v>3.7072044462300703E-17</v>
      </c>
      <c r="F371" s="168">
        <f t="shared" ca="1" si="55"/>
        <v>-5.0645213210350613E-2</v>
      </c>
      <c r="G371" s="168">
        <f t="shared" ca="1" si="56"/>
        <v>-0.22191809101503476</v>
      </c>
      <c r="H371" s="184">
        <f t="shared" ca="1" si="57"/>
        <v>-2.8046287382478406E-2</v>
      </c>
      <c r="I371" s="184">
        <f t="shared" ca="1" si="58"/>
        <v>0.51117511664187321</v>
      </c>
      <c r="J371" s="223">
        <f t="shared" ca="1" si="59"/>
        <v>0</v>
      </c>
      <c r="K371" s="220" t="str" cm="1">
        <f t="array" aca="1" ref="K371" ca="1">_xlfn.IFS(G371&lt;$B$11,"Fail",G371&lt;25,"Marginal",G371&lt;35,"Solid",TRUE,"Blowout")</f>
        <v>Fail</v>
      </c>
      <c r="L371" s="226">
        <f ca="1">IF(AND(E371&lt;$B$10,C371&gt;=$B$11),1,0)</f>
        <v>1</v>
      </c>
      <c r="M371" s="217" t="str" cm="1">
        <f t="array" aca="1" ref="M371" ca="1">_xlfn.IFS(C371&lt;$B$11,"Fail",C371&lt;25,"Marginal",C371&lt;35,"Solid",TRUE,"Blowout")</f>
        <v>Blowout</v>
      </c>
    </row>
    <row r="372" spans="1:13" x14ac:dyDescent="0.25">
      <c r="A372" s="169">
        <f t="shared" ca="1" si="50"/>
        <v>4.1356808509706653</v>
      </c>
      <c r="B372" s="168">
        <f t="shared" ca="1" si="51"/>
        <v>7.9431547456761846</v>
      </c>
      <c r="C372" s="168">
        <f t="shared" ca="1" si="52"/>
        <v>-3.8074738947055193</v>
      </c>
      <c r="D372" s="184">
        <f t="shared" ca="1" si="53"/>
        <v>-0.48119333833383005</v>
      </c>
      <c r="E372" s="230">
        <f t="shared" ca="1" si="54"/>
        <v>0.68457971660964367</v>
      </c>
      <c r="F372" s="168">
        <f t="shared" ca="1" si="55"/>
        <v>39.649566151768539</v>
      </c>
      <c r="G372" s="168">
        <f t="shared" ca="1" si="56"/>
        <v>31.706411406092354</v>
      </c>
      <c r="H372" s="184">
        <f t="shared" ca="1" si="57"/>
        <v>4.0070961411708952</v>
      </c>
      <c r="I372" s="184">
        <f t="shared" ca="1" si="58"/>
        <v>4.1628795226579494E-5</v>
      </c>
      <c r="J372" s="223">
        <f t="shared" ca="1" si="59"/>
        <v>1</v>
      </c>
      <c r="K372" s="220" t="str" cm="1">
        <f t="array" aca="1" ref="K372" ca="1">_xlfn.IFS(G372&lt;$B$11,"Fail",G372&lt;25,"Marginal",G372&lt;35,"Solid",TRUE,"Blowout")</f>
        <v>Solid</v>
      </c>
      <c r="L372" s="226">
        <f ca="1">IF(AND(E372&lt;$B$10,C372&gt;=$B$11),1,0)</f>
        <v>0</v>
      </c>
      <c r="M372" s="217" t="str" cm="1">
        <f t="array" aca="1" ref="M372" ca="1">_xlfn.IFS(C372&lt;$B$11,"Fail",C372&lt;25,"Marginal",C372&lt;35,"Solid",TRUE,"Blowout")</f>
        <v>Fail</v>
      </c>
    </row>
    <row r="373" spans="1:13" x14ac:dyDescent="0.25">
      <c r="A373" s="169">
        <f t="shared" ca="1" si="50"/>
        <v>71.990083883959997</v>
      </c>
      <c r="B373" s="168">
        <f t="shared" ca="1" si="51"/>
        <v>11.439357317380587</v>
      </c>
      <c r="C373" s="168">
        <f t="shared" ca="1" si="52"/>
        <v>60.550726566579414</v>
      </c>
      <c r="D373" s="184">
        <f t="shared" ca="1" si="53"/>
        <v>7.6524769600199152</v>
      </c>
      <c r="E373" s="230">
        <f t="shared" ca="1" si="54"/>
        <v>2.7614303426678238E-13</v>
      </c>
      <c r="F373" s="168">
        <f t="shared" ca="1" si="55"/>
        <v>33.897125230447166</v>
      </c>
      <c r="G373" s="168">
        <f t="shared" ca="1" si="56"/>
        <v>22.457767913066579</v>
      </c>
      <c r="H373" s="184">
        <f t="shared" ca="1" si="57"/>
        <v>2.8382409472700236</v>
      </c>
      <c r="I373" s="184">
        <f t="shared" ca="1" si="58"/>
        <v>2.4727283589859482E-3</v>
      </c>
      <c r="J373" s="223">
        <f t="shared" ca="1" si="59"/>
        <v>1</v>
      </c>
      <c r="K373" s="220" t="str" cm="1">
        <f t="array" aca="1" ref="K373" ca="1">_xlfn.IFS(G373&lt;$B$11,"Fail",G373&lt;25,"Marginal",G373&lt;35,"Solid",TRUE,"Blowout")</f>
        <v>Marginal</v>
      </c>
      <c r="L373" s="226">
        <f ca="1">IF(AND(E373&lt;$B$10,C373&gt;=$B$11),1,0)</f>
        <v>1</v>
      </c>
      <c r="M373" s="217" t="str" cm="1">
        <f t="array" aca="1" ref="M373" ca="1">_xlfn.IFS(C373&lt;$B$11,"Fail",C373&lt;25,"Marginal",C373&lt;35,"Solid",TRUE,"Blowout")</f>
        <v>Blowout</v>
      </c>
    </row>
    <row r="374" spans="1:13" x14ac:dyDescent="0.25">
      <c r="A374" s="169">
        <f t="shared" ca="1" si="50"/>
        <v>32.160549138184408</v>
      </c>
      <c r="B374" s="168">
        <f t="shared" ca="1" si="51"/>
        <v>-1.5951786647336608</v>
      </c>
      <c r="C374" s="168">
        <f t="shared" ca="1" si="52"/>
        <v>33.755727802918067</v>
      </c>
      <c r="D374" s="184">
        <f t="shared" ca="1" si="53"/>
        <v>4.2660913242139271</v>
      </c>
      <c r="E374" s="230">
        <f t="shared" ca="1" si="54"/>
        <v>1.4582077082828932E-5</v>
      </c>
      <c r="F374" s="168">
        <f t="shared" ca="1" si="55"/>
        <v>40.334005238511217</v>
      </c>
      <c r="G374" s="168">
        <f t="shared" ca="1" si="56"/>
        <v>41.929183903244876</v>
      </c>
      <c r="H374" s="184">
        <f t="shared" ca="1" si="57"/>
        <v>5.2990629834839522</v>
      </c>
      <c r="I374" s="184">
        <f t="shared" ca="1" si="58"/>
        <v>1.3709163822226894E-7</v>
      </c>
      <c r="J374" s="223">
        <f t="shared" ca="1" si="59"/>
        <v>1</v>
      </c>
      <c r="K374" s="220" t="str" cm="1">
        <f t="array" aca="1" ref="K374" ca="1">_xlfn.IFS(G374&lt;$B$11,"Fail",G374&lt;25,"Marginal",G374&lt;35,"Solid",TRUE,"Blowout")</f>
        <v>Blowout</v>
      </c>
      <c r="L374" s="226">
        <f ca="1">IF(AND(E374&lt;$B$10,C374&gt;=$B$11),1,0)</f>
        <v>1</v>
      </c>
      <c r="M374" s="217" t="str" cm="1">
        <f t="array" aca="1" ref="M374" ca="1">_xlfn.IFS(C374&lt;$B$11,"Fail",C374&lt;25,"Marginal",C374&lt;35,"Solid",TRUE,"Blowout")</f>
        <v>Solid</v>
      </c>
    </row>
    <row r="375" spans="1:13" x14ac:dyDescent="0.25">
      <c r="A375" s="169">
        <f t="shared" ca="1" si="50"/>
        <v>37.617210969874058</v>
      </c>
      <c r="B375" s="168">
        <f t="shared" ca="1" si="51"/>
        <v>-5.5471675742895883</v>
      </c>
      <c r="C375" s="168">
        <f t="shared" ca="1" si="52"/>
        <v>43.164378544163647</v>
      </c>
      <c r="D375" s="184">
        <f t="shared" ca="1" si="53"/>
        <v>5.4551684353380692</v>
      </c>
      <c r="E375" s="230">
        <f t="shared" ca="1" si="54"/>
        <v>6.3541048914626231E-8</v>
      </c>
      <c r="F375" s="168">
        <f t="shared" ca="1" si="55"/>
        <v>35.072707611900405</v>
      </c>
      <c r="G375" s="168">
        <f t="shared" ca="1" si="56"/>
        <v>40.619875186189994</v>
      </c>
      <c r="H375" s="184">
        <f t="shared" ca="1" si="57"/>
        <v>5.1335909014966505</v>
      </c>
      <c r="I375" s="184">
        <f t="shared" ca="1" si="58"/>
        <v>3.0433337657855854E-7</v>
      </c>
      <c r="J375" s="223">
        <f t="shared" ca="1" si="59"/>
        <v>1</v>
      </c>
      <c r="K375" s="220" t="str" cm="1">
        <f t="array" aca="1" ref="K375" ca="1">_xlfn.IFS(G375&lt;$B$11,"Fail",G375&lt;25,"Marginal",G375&lt;35,"Solid",TRUE,"Blowout")</f>
        <v>Blowout</v>
      </c>
      <c r="L375" s="226">
        <f ca="1">IF(AND(E375&lt;$B$10,C375&gt;=$B$11),1,0)</f>
        <v>1</v>
      </c>
      <c r="M375" s="217" t="str" cm="1">
        <f t="array" aca="1" ref="M375" ca="1">_xlfn.IFS(C375&lt;$B$11,"Fail",C375&lt;25,"Marginal",C375&lt;35,"Solid",TRUE,"Blowout")</f>
        <v>Blowout</v>
      </c>
    </row>
    <row r="376" spans="1:13" x14ac:dyDescent="0.25">
      <c r="A376" s="169">
        <f t="shared" ca="1" si="50"/>
        <v>41.331396521507941</v>
      </c>
      <c r="B376" s="168">
        <f t="shared" ca="1" si="51"/>
        <v>3.2461690524815685</v>
      </c>
      <c r="C376" s="168">
        <f t="shared" ca="1" si="52"/>
        <v>38.085227469026371</v>
      </c>
      <c r="D376" s="184">
        <f t="shared" ca="1" si="53"/>
        <v>4.8132589359332947</v>
      </c>
      <c r="E376" s="230">
        <f t="shared" ca="1" si="54"/>
        <v>1.3515206393945288E-6</v>
      </c>
      <c r="F376" s="168">
        <f t="shared" ca="1" si="55"/>
        <v>27.223151158414733</v>
      </c>
      <c r="G376" s="168">
        <f t="shared" ca="1" si="56"/>
        <v>23.976982105933164</v>
      </c>
      <c r="H376" s="184">
        <f t="shared" ca="1" si="57"/>
        <v>3.030241147225734</v>
      </c>
      <c r="I376" s="184">
        <f t="shared" ca="1" si="58"/>
        <v>1.3627959940154194E-3</v>
      </c>
      <c r="J376" s="223">
        <f t="shared" ca="1" si="59"/>
        <v>1</v>
      </c>
      <c r="K376" s="220" t="str" cm="1">
        <f t="array" aca="1" ref="K376" ca="1">_xlfn.IFS(G376&lt;$B$11,"Fail",G376&lt;25,"Marginal",G376&lt;35,"Solid",TRUE,"Blowout")</f>
        <v>Marginal</v>
      </c>
      <c r="L376" s="226">
        <f ca="1">IF(AND(E376&lt;$B$10,C376&gt;=$B$11),1,0)</f>
        <v>1</v>
      </c>
      <c r="M376" s="217" t="str" cm="1">
        <f t="array" aca="1" ref="M376" ca="1">_xlfn.IFS(C376&lt;$B$11,"Fail",C376&lt;25,"Marginal",C376&lt;35,"Solid",TRUE,"Blowout")</f>
        <v>Blowout</v>
      </c>
    </row>
    <row r="377" spans="1:13" x14ac:dyDescent="0.25">
      <c r="A377" s="169">
        <f t="shared" ca="1" si="50"/>
        <v>36.353467274604057</v>
      </c>
      <c r="B377" s="168">
        <f t="shared" ca="1" si="51"/>
        <v>5.3236580280779204</v>
      </c>
      <c r="C377" s="168">
        <f t="shared" ca="1" si="52"/>
        <v>31.029809246526135</v>
      </c>
      <c r="D377" s="184">
        <f t="shared" ca="1" si="53"/>
        <v>3.92158630948478</v>
      </c>
      <c r="E377" s="230">
        <f t="shared" ca="1" si="54"/>
        <v>5.8205284345446727E-5</v>
      </c>
      <c r="F377" s="168">
        <f t="shared" ca="1" si="55"/>
        <v>38.881407415378497</v>
      </c>
      <c r="G377" s="168">
        <f t="shared" ca="1" si="56"/>
        <v>33.557749387300575</v>
      </c>
      <c r="H377" s="184">
        <f t="shared" ca="1" si="57"/>
        <v>4.2410705631099583</v>
      </c>
      <c r="I377" s="184">
        <f t="shared" ca="1" si="58"/>
        <v>1.6172773985673635E-5</v>
      </c>
      <c r="J377" s="223">
        <f t="shared" ca="1" si="59"/>
        <v>1</v>
      </c>
      <c r="K377" s="220" t="str" cm="1">
        <f t="array" aca="1" ref="K377" ca="1">_xlfn.IFS(G377&lt;$B$11,"Fail",G377&lt;25,"Marginal",G377&lt;35,"Solid",TRUE,"Blowout")</f>
        <v>Solid</v>
      </c>
      <c r="L377" s="226">
        <f ca="1">IF(AND(E377&lt;$B$10,C377&gt;=$B$11),1,0)</f>
        <v>1</v>
      </c>
      <c r="M377" s="217" t="str" cm="1">
        <f t="array" aca="1" ref="M377" ca="1">_xlfn.IFS(C377&lt;$B$11,"Fail",C377&lt;25,"Marginal",C377&lt;35,"Solid",TRUE,"Blowout")</f>
        <v>Solid</v>
      </c>
    </row>
    <row r="378" spans="1:13" x14ac:dyDescent="0.25">
      <c r="A378" s="169">
        <f t="shared" ca="1" si="50"/>
        <v>46.603039321520775</v>
      </c>
      <c r="B378" s="168">
        <f t="shared" ca="1" si="51"/>
        <v>3.8918737922397133</v>
      </c>
      <c r="C378" s="168">
        <f t="shared" ca="1" si="52"/>
        <v>42.711165529281061</v>
      </c>
      <c r="D378" s="184">
        <f t="shared" ca="1" si="53"/>
        <v>5.3978908046467735</v>
      </c>
      <c r="E378" s="230">
        <f t="shared" ca="1" si="54"/>
        <v>8.4409970410015347E-8</v>
      </c>
      <c r="F378" s="168">
        <f t="shared" ca="1" si="55"/>
        <v>25.162784049151103</v>
      </c>
      <c r="G378" s="168">
        <f t="shared" ca="1" si="56"/>
        <v>21.270910256911389</v>
      </c>
      <c r="H378" s="184">
        <f t="shared" ca="1" si="57"/>
        <v>2.6882443843292942</v>
      </c>
      <c r="I378" s="184">
        <f t="shared" ca="1" si="58"/>
        <v>3.8564562174131546E-3</v>
      </c>
      <c r="J378" s="223">
        <f t="shared" ca="1" si="59"/>
        <v>1</v>
      </c>
      <c r="K378" s="220" t="str" cm="1">
        <f t="array" aca="1" ref="K378" ca="1">_xlfn.IFS(G378&lt;$B$11,"Fail",G378&lt;25,"Marginal",G378&lt;35,"Solid",TRUE,"Blowout")</f>
        <v>Marginal</v>
      </c>
      <c r="L378" s="226">
        <f ca="1">IF(AND(E378&lt;$B$10,C378&gt;=$B$11),1,0)</f>
        <v>1</v>
      </c>
      <c r="M378" s="217" t="str" cm="1">
        <f t="array" aca="1" ref="M378" ca="1">_xlfn.IFS(C378&lt;$B$11,"Fail",C378&lt;25,"Marginal",C378&lt;35,"Solid",TRUE,"Blowout")</f>
        <v>Blowout</v>
      </c>
    </row>
    <row r="379" spans="1:13" x14ac:dyDescent="0.25">
      <c r="A379" s="169">
        <f t="shared" ca="1" si="50"/>
        <v>-5.7035619905488346</v>
      </c>
      <c r="B379" s="168">
        <f t="shared" ca="1" si="51"/>
        <v>4.1712684543299092</v>
      </c>
      <c r="C379" s="168">
        <f t="shared" ca="1" si="52"/>
        <v>-9.874830444878743</v>
      </c>
      <c r="D379" s="184">
        <f t="shared" ca="1" si="53"/>
        <v>-1.2479934882440613</v>
      </c>
      <c r="E379" s="230">
        <f t="shared" ca="1" si="54"/>
        <v>0.89334321064457967</v>
      </c>
      <c r="F379" s="168">
        <f t="shared" ca="1" si="55"/>
        <v>7.5470575971365204</v>
      </c>
      <c r="G379" s="168">
        <f t="shared" ca="1" si="56"/>
        <v>3.3757891428066111</v>
      </c>
      <c r="H379" s="184">
        <f t="shared" ca="1" si="57"/>
        <v>0.42663647658806814</v>
      </c>
      <c r="I379" s="184">
        <f t="shared" ca="1" si="58"/>
        <v>0.33502333980575599</v>
      </c>
      <c r="J379" s="223">
        <f t="shared" ca="1" si="59"/>
        <v>0</v>
      </c>
      <c r="K379" s="220" t="str" cm="1">
        <f t="array" aca="1" ref="K379" ca="1">_xlfn.IFS(G379&lt;$B$11,"Fail",G379&lt;25,"Marginal",G379&lt;35,"Solid",TRUE,"Blowout")</f>
        <v>Fail</v>
      </c>
      <c r="L379" s="226">
        <f ca="1">IF(AND(E379&lt;$B$10,C379&gt;=$B$11),1,0)</f>
        <v>0</v>
      </c>
      <c r="M379" s="217" t="str" cm="1">
        <f t="array" aca="1" ref="M379" ca="1">_xlfn.IFS(C379&lt;$B$11,"Fail",C379&lt;25,"Marginal",C379&lt;35,"Solid",TRUE,"Blowout")</f>
        <v>Fail</v>
      </c>
    </row>
    <row r="380" spans="1:13" x14ac:dyDescent="0.25">
      <c r="A380" s="169">
        <f t="shared" ca="1" si="50"/>
        <v>35.08055288259731</v>
      </c>
      <c r="B380" s="168">
        <f t="shared" ca="1" si="51"/>
        <v>1.8293988727716783</v>
      </c>
      <c r="C380" s="168">
        <f t="shared" ca="1" si="52"/>
        <v>33.251154009825633</v>
      </c>
      <c r="D380" s="184">
        <f t="shared" ca="1" si="53"/>
        <v>4.2023226537913843</v>
      </c>
      <c r="E380" s="230">
        <f t="shared" ca="1" si="54"/>
        <v>1.896788382412062E-5</v>
      </c>
      <c r="F380" s="168">
        <f t="shared" ca="1" si="55"/>
        <v>44.248963596512709</v>
      </c>
      <c r="G380" s="168">
        <f t="shared" ca="1" si="56"/>
        <v>42.419564723741033</v>
      </c>
      <c r="H380" s="184">
        <f t="shared" ca="1" si="57"/>
        <v>5.3610379281835217</v>
      </c>
      <c r="I380" s="184">
        <f t="shared" ca="1" si="58"/>
        <v>1.0121831518622826E-7</v>
      </c>
      <c r="J380" s="223">
        <f t="shared" ca="1" si="59"/>
        <v>1</v>
      </c>
      <c r="K380" s="220" t="str" cm="1">
        <f t="array" aca="1" ref="K380" ca="1">_xlfn.IFS(G380&lt;$B$11,"Fail",G380&lt;25,"Marginal",G380&lt;35,"Solid",TRUE,"Blowout")</f>
        <v>Blowout</v>
      </c>
      <c r="L380" s="226">
        <f ca="1">IF(AND(E380&lt;$B$10,C380&gt;=$B$11),1,0)</f>
        <v>1</v>
      </c>
      <c r="M380" s="217" t="str" cm="1">
        <f t="array" aca="1" ref="M380" ca="1">_xlfn.IFS(C380&lt;$B$11,"Fail",C380&lt;25,"Marginal",C380&lt;35,"Solid",TRUE,"Blowout")</f>
        <v>Solid</v>
      </c>
    </row>
    <row r="381" spans="1:13" x14ac:dyDescent="0.25">
      <c r="A381" s="169">
        <f t="shared" ca="1" si="50"/>
        <v>7.6401978104689316</v>
      </c>
      <c r="B381" s="168">
        <f t="shared" ca="1" si="51"/>
        <v>2.0796356624016332</v>
      </c>
      <c r="C381" s="168">
        <f t="shared" ca="1" si="52"/>
        <v>5.560562148067298</v>
      </c>
      <c r="D381" s="184">
        <f t="shared" ca="1" si="53"/>
        <v>0.70275083612836764</v>
      </c>
      <c r="E381" s="230">
        <f t="shared" ca="1" si="54"/>
        <v>0.2414639657809447</v>
      </c>
      <c r="F381" s="168">
        <f t="shared" ca="1" si="55"/>
        <v>24.558115683541264</v>
      </c>
      <c r="G381" s="168">
        <f t="shared" ca="1" si="56"/>
        <v>22.478480021139632</v>
      </c>
      <c r="H381" s="184">
        <f t="shared" ca="1" si="57"/>
        <v>2.8408585695317186</v>
      </c>
      <c r="I381" s="184">
        <f t="shared" ca="1" si="58"/>
        <v>2.4532220294447541E-3</v>
      </c>
      <c r="J381" s="223">
        <f t="shared" ca="1" si="59"/>
        <v>1</v>
      </c>
      <c r="K381" s="220" t="str" cm="1">
        <f t="array" aca="1" ref="K381" ca="1">_xlfn.IFS(G381&lt;$B$11,"Fail",G381&lt;25,"Marginal",G381&lt;35,"Solid",TRUE,"Blowout")</f>
        <v>Marginal</v>
      </c>
      <c r="L381" s="226">
        <f ca="1">IF(AND(E381&lt;$B$10,C381&gt;=$B$11),1,0)</f>
        <v>0</v>
      </c>
      <c r="M381" s="217" t="str" cm="1">
        <f t="array" aca="1" ref="M381" ca="1">_xlfn.IFS(C381&lt;$B$11,"Fail",C381&lt;25,"Marginal",C381&lt;35,"Solid",TRUE,"Blowout")</f>
        <v>Fail</v>
      </c>
    </row>
    <row r="382" spans="1:13" x14ac:dyDescent="0.25">
      <c r="A382" s="169">
        <f t="shared" ca="1" si="50"/>
        <v>23.243853681825158</v>
      </c>
      <c r="B382" s="168">
        <f t="shared" ca="1" si="51"/>
        <v>6.6860493920229986</v>
      </c>
      <c r="C382" s="168">
        <f t="shared" ca="1" si="52"/>
        <v>16.55780428980216</v>
      </c>
      <c r="D382" s="184">
        <f t="shared" ca="1" si="53"/>
        <v>2.0925961259425372</v>
      </c>
      <c r="E382" s="230">
        <f t="shared" ca="1" si="54"/>
        <v>1.8745666151862798E-2</v>
      </c>
      <c r="F382" s="168">
        <f t="shared" ca="1" si="55"/>
        <v>48.372620943867346</v>
      </c>
      <c r="G382" s="168">
        <f t="shared" ca="1" si="56"/>
        <v>41.686571551844345</v>
      </c>
      <c r="H382" s="184">
        <f t="shared" ca="1" si="57"/>
        <v>5.2684013294529741</v>
      </c>
      <c r="I382" s="184">
        <f t="shared" ca="1" si="58"/>
        <v>1.5914253523093132E-7</v>
      </c>
      <c r="J382" s="223">
        <f t="shared" ca="1" si="59"/>
        <v>1</v>
      </c>
      <c r="K382" s="220" t="str" cm="1">
        <f t="array" aca="1" ref="K382" ca="1">_xlfn.IFS(G382&lt;$B$11,"Fail",G382&lt;25,"Marginal",G382&lt;35,"Solid",TRUE,"Blowout")</f>
        <v>Blowout</v>
      </c>
      <c r="L382" s="226">
        <f ca="1">IF(AND(E382&lt;$B$10,C382&gt;=$B$11),1,0)</f>
        <v>0</v>
      </c>
      <c r="M382" s="217" t="str" cm="1">
        <f t="array" aca="1" ref="M382" ca="1">_xlfn.IFS(C382&lt;$B$11,"Fail",C382&lt;25,"Marginal",C382&lt;35,"Solid",TRUE,"Blowout")</f>
        <v>Fail</v>
      </c>
    </row>
    <row r="383" spans="1:13" x14ac:dyDescent="0.25">
      <c r="A383" s="169">
        <f t="shared" ca="1" si="50"/>
        <v>0.64171842944472046</v>
      </c>
      <c r="B383" s="168">
        <f t="shared" ca="1" si="51"/>
        <v>0.58571977058984714</v>
      </c>
      <c r="C383" s="168">
        <f t="shared" ca="1" si="52"/>
        <v>5.5998658854873318E-2</v>
      </c>
      <c r="D383" s="184">
        <f t="shared" ca="1" si="53"/>
        <v>7.0771809188406474E-3</v>
      </c>
      <c r="E383" s="230">
        <f t="shared" ca="1" si="54"/>
        <v>0.49717973106377672</v>
      </c>
      <c r="F383" s="168">
        <f t="shared" ca="1" si="55"/>
        <v>25.75350915868264</v>
      </c>
      <c r="G383" s="168">
        <f t="shared" ca="1" si="56"/>
        <v>25.167789388092793</v>
      </c>
      <c r="H383" s="184">
        <f t="shared" ca="1" si="57"/>
        <v>3.1807368688671676</v>
      </c>
      <c r="I383" s="184">
        <f t="shared" ca="1" si="58"/>
        <v>8.3658603177152319E-4</v>
      </c>
      <c r="J383" s="223">
        <f t="shared" ca="1" si="59"/>
        <v>1</v>
      </c>
      <c r="K383" s="220" t="str" cm="1">
        <f t="array" aca="1" ref="K383" ca="1">_xlfn.IFS(G383&lt;$B$11,"Fail",G383&lt;25,"Marginal",G383&lt;35,"Solid",TRUE,"Blowout")</f>
        <v>Solid</v>
      </c>
      <c r="L383" s="226">
        <f ca="1">IF(AND(E383&lt;$B$10,C383&gt;=$B$11),1,0)</f>
        <v>0</v>
      </c>
      <c r="M383" s="217" t="str" cm="1">
        <f t="array" aca="1" ref="M383" ca="1">_xlfn.IFS(C383&lt;$B$11,"Fail",C383&lt;25,"Marginal",C383&lt;35,"Solid",TRUE,"Blowout")</f>
        <v>Fail</v>
      </c>
    </row>
    <row r="384" spans="1:13" x14ac:dyDescent="0.25">
      <c r="A384" s="169">
        <f t="shared" ca="1" si="50"/>
        <v>34.53919128156663</v>
      </c>
      <c r="B384" s="168">
        <f t="shared" ca="1" si="51"/>
        <v>0.19586294473124699</v>
      </c>
      <c r="C384" s="168">
        <f t="shared" ca="1" si="52"/>
        <v>34.343328336835384</v>
      </c>
      <c r="D384" s="184">
        <f t="shared" ca="1" si="53"/>
        <v>4.3403530185398136</v>
      </c>
      <c r="E384" s="230">
        <f t="shared" ca="1" si="54"/>
        <v>1.0694843319245382E-5</v>
      </c>
      <c r="F384" s="168">
        <f t="shared" ca="1" si="55"/>
        <v>50.530263951052603</v>
      </c>
      <c r="G384" s="168">
        <f t="shared" ca="1" si="56"/>
        <v>50.334401006321357</v>
      </c>
      <c r="H384" s="184">
        <f t="shared" ca="1" si="57"/>
        <v>6.3613248896979648</v>
      </c>
      <c r="I384" s="184">
        <f t="shared" ca="1" si="58"/>
        <v>5.4126953956021955E-10</v>
      </c>
      <c r="J384" s="223">
        <f t="shared" ca="1" si="59"/>
        <v>1</v>
      </c>
      <c r="K384" s="220" t="str" cm="1">
        <f t="array" aca="1" ref="K384" ca="1">_xlfn.IFS(G384&lt;$B$11,"Fail",G384&lt;25,"Marginal",G384&lt;35,"Solid",TRUE,"Blowout")</f>
        <v>Blowout</v>
      </c>
      <c r="L384" s="226">
        <f ca="1">IF(AND(E384&lt;$B$10,C384&gt;=$B$11),1,0)</f>
        <v>1</v>
      </c>
      <c r="M384" s="217" t="str" cm="1">
        <f t="array" aca="1" ref="M384" ca="1">_xlfn.IFS(C384&lt;$B$11,"Fail",C384&lt;25,"Marginal",C384&lt;35,"Solid",TRUE,"Blowout")</f>
        <v>Solid</v>
      </c>
    </row>
    <row r="385" spans="1:13" x14ac:dyDescent="0.25">
      <c r="A385" s="169">
        <f t="shared" ca="1" si="50"/>
        <v>24.87607012593303</v>
      </c>
      <c r="B385" s="168">
        <f t="shared" ca="1" si="51"/>
        <v>3.3751430035258569</v>
      </c>
      <c r="C385" s="168">
        <f t="shared" ca="1" si="52"/>
        <v>21.500927122407173</v>
      </c>
      <c r="D385" s="184">
        <f t="shared" ca="1" si="53"/>
        <v>2.7173142050140555</v>
      </c>
      <c r="E385" s="230">
        <f t="shared" ca="1" si="54"/>
        <v>3.5433170762591256E-3</v>
      </c>
      <c r="F385" s="168">
        <f t="shared" ca="1" si="55"/>
        <v>35.247892634781351</v>
      </c>
      <c r="G385" s="168">
        <f t="shared" ca="1" si="56"/>
        <v>31.872749631255495</v>
      </c>
      <c r="H385" s="184">
        <f t="shared" ca="1" si="57"/>
        <v>4.0281181752208406</v>
      </c>
      <c r="I385" s="184">
        <f t="shared" ca="1" si="58"/>
        <v>3.8303277830226784E-5</v>
      </c>
      <c r="J385" s="223">
        <f t="shared" ca="1" si="59"/>
        <v>1</v>
      </c>
      <c r="K385" s="220" t="str" cm="1">
        <f t="array" aca="1" ref="K385" ca="1">_xlfn.IFS(G385&lt;$B$11,"Fail",G385&lt;25,"Marginal",G385&lt;35,"Solid",TRUE,"Blowout")</f>
        <v>Solid</v>
      </c>
      <c r="L385" s="226">
        <f ca="1">IF(AND(E385&lt;$B$10,C385&gt;=$B$11),1,0)</f>
        <v>1</v>
      </c>
      <c r="M385" s="217" t="str" cm="1">
        <f t="array" aca="1" ref="M385" ca="1">_xlfn.IFS(C385&lt;$B$11,"Fail",C385&lt;25,"Marginal",C385&lt;35,"Solid",TRUE,"Blowout")</f>
        <v>Marginal</v>
      </c>
    </row>
    <row r="386" spans="1:13" x14ac:dyDescent="0.25">
      <c r="A386" s="169">
        <f t="shared" ca="1" si="50"/>
        <v>18.877172536003275</v>
      </c>
      <c r="B386" s="168">
        <f t="shared" ca="1" si="51"/>
        <v>9.936478293326708</v>
      </c>
      <c r="C386" s="168">
        <f t="shared" ca="1" si="52"/>
        <v>8.9406942426765674</v>
      </c>
      <c r="D386" s="184">
        <f t="shared" ca="1" si="53"/>
        <v>1.129936180426087</v>
      </c>
      <c r="E386" s="230">
        <f t="shared" ca="1" si="54"/>
        <v>0.12984521319823536</v>
      </c>
      <c r="F386" s="168">
        <f t="shared" ca="1" si="55"/>
        <v>46.775271851948077</v>
      </c>
      <c r="G386" s="168">
        <f t="shared" ca="1" si="56"/>
        <v>36.838793558621369</v>
      </c>
      <c r="H386" s="184">
        <f t="shared" ca="1" si="57"/>
        <v>4.655733051069241</v>
      </c>
      <c r="I386" s="184">
        <f t="shared" ca="1" si="58"/>
        <v>2.7404161329744823E-6</v>
      </c>
      <c r="J386" s="223">
        <f t="shared" ca="1" si="59"/>
        <v>1</v>
      </c>
      <c r="K386" s="220" t="str" cm="1">
        <f t="array" aca="1" ref="K386" ca="1">_xlfn.IFS(G386&lt;$B$11,"Fail",G386&lt;25,"Marginal",G386&lt;35,"Solid",TRUE,"Blowout")</f>
        <v>Blowout</v>
      </c>
      <c r="L386" s="226">
        <f ca="1">IF(AND(E386&lt;$B$10,C386&gt;=$B$11),1,0)</f>
        <v>0</v>
      </c>
      <c r="M386" s="217" t="str" cm="1">
        <f t="array" aca="1" ref="M386" ca="1">_xlfn.IFS(C386&lt;$B$11,"Fail",C386&lt;25,"Marginal",C386&lt;35,"Solid",TRUE,"Blowout")</f>
        <v>Fail</v>
      </c>
    </row>
    <row r="387" spans="1:13" x14ac:dyDescent="0.25">
      <c r="A387" s="169">
        <f t="shared" ca="1" si="50"/>
        <v>21.955872928400503</v>
      </c>
      <c r="B387" s="168">
        <f t="shared" ca="1" si="51"/>
        <v>8.3619353078147984</v>
      </c>
      <c r="C387" s="168">
        <f t="shared" ca="1" si="52"/>
        <v>13.593937620585704</v>
      </c>
      <c r="D387" s="184">
        <f t="shared" ca="1" si="53"/>
        <v>1.7180189295184651</v>
      </c>
      <c r="E387" s="230">
        <f t="shared" ca="1" si="54"/>
        <v>4.3575391777733445E-2</v>
      </c>
      <c r="F387" s="168">
        <f t="shared" ca="1" si="55"/>
        <v>16.211766564720627</v>
      </c>
      <c r="G387" s="168">
        <f t="shared" ca="1" si="56"/>
        <v>7.8498312569058282</v>
      </c>
      <c r="H387" s="184">
        <f t="shared" ca="1" si="57"/>
        <v>0.9920715446323255</v>
      </c>
      <c r="I387" s="184">
        <f t="shared" ca="1" si="58"/>
        <v>0.16110715248952845</v>
      </c>
      <c r="J387" s="223">
        <f t="shared" ca="1" si="59"/>
        <v>0</v>
      </c>
      <c r="K387" s="220" t="str" cm="1">
        <f t="array" aca="1" ref="K387" ca="1">_xlfn.IFS(G387&lt;$B$11,"Fail",G387&lt;25,"Marginal",G387&lt;35,"Solid",TRUE,"Blowout")</f>
        <v>Fail</v>
      </c>
      <c r="L387" s="226">
        <f ca="1">IF(AND(E387&lt;$B$10,C387&gt;=$B$11),1,0)</f>
        <v>0</v>
      </c>
      <c r="M387" s="217" t="str" cm="1">
        <f t="array" aca="1" ref="M387" ca="1">_xlfn.IFS(C387&lt;$B$11,"Fail",C387&lt;25,"Marginal",C387&lt;35,"Solid",TRUE,"Blowout")</f>
        <v>Fail</v>
      </c>
    </row>
    <row r="388" spans="1:13" x14ac:dyDescent="0.25">
      <c r="A388" s="169">
        <f t="shared" ca="1" si="50"/>
        <v>23.214185015743858</v>
      </c>
      <c r="B388" s="168">
        <f t="shared" ca="1" si="51"/>
        <v>3.9176687227654199</v>
      </c>
      <c r="C388" s="168">
        <f t="shared" ca="1" si="52"/>
        <v>19.296516292978438</v>
      </c>
      <c r="D388" s="184">
        <f t="shared" ca="1" si="53"/>
        <v>2.4387179925627813</v>
      </c>
      <c r="E388" s="230">
        <f t="shared" ca="1" si="54"/>
        <v>7.7520249133798879E-3</v>
      </c>
      <c r="F388" s="168">
        <f t="shared" ca="1" si="55"/>
        <v>42.49931614716634</v>
      </c>
      <c r="G388" s="168">
        <f t="shared" ca="1" si="56"/>
        <v>38.58164742440092</v>
      </c>
      <c r="H388" s="184">
        <f t="shared" ca="1" si="57"/>
        <v>4.8759971140924083</v>
      </c>
      <c r="I388" s="184">
        <f t="shared" ca="1" si="58"/>
        <v>1.0149414478047049E-6</v>
      </c>
      <c r="J388" s="223">
        <f t="shared" ca="1" si="59"/>
        <v>1</v>
      </c>
      <c r="K388" s="220" t="str" cm="1">
        <f t="array" aca="1" ref="K388" ca="1">_xlfn.IFS(G388&lt;$B$11,"Fail",G388&lt;25,"Marginal",G388&lt;35,"Solid",TRUE,"Blowout")</f>
        <v>Blowout</v>
      </c>
      <c r="L388" s="226">
        <f ca="1">IF(AND(E388&lt;$B$10,C388&gt;=$B$11),1,0)</f>
        <v>0</v>
      </c>
      <c r="M388" s="217" t="str" cm="1">
        <f t="array" aca="1" ref="M388" ca="1">_xlfn.IFS(C388&lt;$B$11,"Fail",C388&lt;25,"Marginal",C388&lt;35,"Solid",TRUE,"Blowout")</f>
        <v>Fail</v>
      </c>
    </row>
    <row r="389" spans="1:13" x14ac:dyDescent="0.25">
      <c r="A389" s="169">
        <f t="shared" ca="1" si="50"/>
        <v>32.997408863132293</v>
      </c>
      <c r="B389" s="168">
        <f t="shared" ca="1" si="51"/>
        <v>17.645725778081619</v>
      </c>
      <c r="C389" s="168">
        <f t="shared" ca="1" si="52"/>
        <v>15.351683085050674</v>
      </c>
      <c r="D389" s="184">
        <f t="shared" ca="1" si="53"/>
        <v>1.9401650115082052</v>
      </c>
      <c r="E389" s="230">
        <f t="shared" ca="1" si="54"/>
        <v>2.6796401445741181E-2</v>
      </c>
      <c r="F389" s="168">
        <f t="shared" ca="1" si="55"/>
        <v>51.285330938290436</v>
      </c>
      <c r="G389" s="168">
        <f t="shared" ca="1" si="56"/>
        <v>33.639605160208816</v>
      </c>
      <c r="H389" s="184">
        <f t="shared" ca="1" si="57"/>
        <v>4.2514155986156217</v>
      </c>
      <c r="I389" s="184">
        <f t="shared" ca="1" si="58"/>
        <v>1.5495937704530028E-5</v>
      </c>
      <c r="J389" s="223">
        <f t="shared" ca="1" si="59"/>
        <v>1</v>
      </c>
      <c r="K389" s="220" t="str" cm="1">
        <f t="array" aca="1" ref="K389" ca="1">_xlfn.IFS(G389&lt;$B$11,"Fail",G389&lt;25,"Marginal",G389&lt;35,"Solid",TRUE,"Blowout")</f>
        <v>Solid</v>
      </c>
      <c r="L389" s="226">
        <f ca="1">IF(AND(E389&lt;$B$10,C389&gt;=$B$11),1,0)</f>
        <v>0</v>
      </c>
      <c r="M389" s="217" t="str" cm="1">
        <f t="array" aca="1" ref="M389" ca="1">_xlfn.IFS(C389&lt;$B$11,"Fail",C389&lt;25,"Marginal",C389&lt;35,"Solid",TRUE,"Blowout")</f>
        <v>Fail</v>
      </c>
    </row>
    <row r="390" spans="1:13" x14ac:dyDescent="0.25">
      <c r="A390" s="169">
        <f t="shared" ca="1" si="50"/>
        <v>-1.3118309329442126</v>
      </c>
      <c r="B390" s="168">
        <f t="shared" ca="1" si="51"/>
        <v>4.1295844398903236</v>
      </c>
      <c r="C390" s="168">
        <f t="shared" ca="1" si="52"/>
        <v>-5.4414153728345358</v>
      </c>
      <c r="D390" s="184">
        <f t="shared" ca="1" si="53"/>
        <v>-0.68769291685919365</v>
      </c>
      <c r="E390" s="230">
        <f t="shared" ca="1" si="54"/>
        <v>0.75382741629839167</v>
      </c>
      <c r="F390" s="168">
        <f t="shared" ca="1" si="55"/>
        <v>-4.8718284374318674</v>
      </c>
      <c r="G390" s="168">
        <f t="shared" ca="1" si="56"/>
        <v>-9.001412877322192</v>
      </c>
      <c r="H390" s="184">
        <f t="shared" ca="1" si="57"/>
        <v>-1.1376098778202646</v>
      </c>
      <c r="I390" s="184">
        <f t="shared" ca="1" si="58"/>
        <v>0.87176125419506267</v>
      </c>
      <c r="J390" s="223">
        <f t="shared" ca="1" si="59"/>
        <v>0</v>
      </c>
      <c r="K390" s="220" t="str" cm="1">
        <f t="array" aca="1" ref="K390" ca="1">_xlfn.IFS(G390&lt;$B$11,"Fail",G390&lt;25,"Marginal",G390&lt;35,"Solid",TRUE,"Blowout")</f>
        <v>Fail</v>
      </c>
      <c r="L390" s="226">
        <f ca="1">IF(AND(E390&lt;$B$10,C390&gt;=$B$11),1,0)</f>
        <v>0</v>
      </c>
      <c r="M390" s="217" t="str" cm="1">
        <f t="array" aca="1" ref="M390" ca="1">_xlfn.IFS(C390&lt;$B$11,"Fail",C390&lt;25,"Marginal",C390&lt;35,"Solid",TRUE,"Blowout")</f>
        <v>Fail</v>
      </c>
    </row>
    <row r="391" spans="1:13" x14ac:dyDescent="0.25">
      <c r="A391" s="169">
        <f t="shared" ca="1" si="50"/>
        <v>4.3606141594302716</v>
      </c>
      <c r="B391" s="168">
        <f t="shared" ca="1" si="51"/>
        <v>-5.431377217429139</v>
      </c>
      <c r="C391" s="168">
        <f t="shared" ca="1" si="52"/>
        <v>9.7919913768594107</v>
      </c>
      <c r="D391" s="184">
        <f t="shared" ca="1" si="53"/>
        <v>1.2375241826658627</v>
      </c>
      <c r="E391" s="230">
        <f t="shared" ca="1" si="54"/>
        <v>0.10858273799313278</v>
      </c>
      <c r="F391" s="168">
        <f t="shared" ca="1" si="55"/>
        <v>20.83079407712966</v>
      </c>
      <c r="G391" s="168">
        <f t="shared" ca="1" si="56"/>
        <v>26.262171294558797</v>
      </c>
      <c r="H391" s="184">
        <f t="shared" ca="1" si="57"/>
        <v>3.3190462302830905</v>
      </c>
      <c r="I391" s="184">
        <f t="shared" ca="1" si="58"/>
        <v>5.2571376027116311E-4</v>
      </c>
      <c r="J391" s="223">
        <f t="shared" ca="1" si="59"/>
        <v>1</v>
      </c>
      <c r="K391" s="220" t="str" cm="1">
        <f t="array" aca="1" ref="K391" ca="1">_xlfn.IFS(G391&lt;$B$11,"Fail",G391&lt;25,"Marginal",G391&lt;35,"Solid",TRUE,"Blowout")</f>
        <v>Solid</v>
      </c>
      <c r="L391" s="226">
        <f ca="1">IF(AND(E391&lt;$B$10,C391&gt;=$B$11),1,0)</f>
        <v>0</v>
      </c>
      <c r="M391" s="217" t="str" cm="1">
        <f t="array" aca="1" ref="M391" ca="1">_xlfn.IFS(C391&lt;$B$11,"Fail",C391&lt;25,"Marginal",C391&lt;35,"Solid",TRUE,"Blowout")</f>
        <v>Fail</v>
      </c>
    </row>
    <row r="392" spans="1:13" x14ac:dyDescent="0.25">
      <c r="A392" s="169">
        <f t="shared" ca="1" si="50"/>
        <v>62.970794610020967</v>
      </c>
      <c r="B392" s="168">
        <f t="shared" ca="1" si="51"/>
        <v>13.483305862803277</v>
      </c>
      <c r="C392" s="168">
        <f t="shared" ca="1" si="52"/>
        <v>49.487488747217689</v>
      </c>
      <c r="D392" s="184">
        <f t="shared" ca="1" si="53"/>
        <v>6.2542910534842413</v>
      </c>
      <c r="E392" s="230">
        <f t="shared" ca="1" si="54"/>
        <v>9.7500004811101319E-10</v>
      </c>
      <c r="F392" s="168">
        <f t="shared" ca="1" si="55"/>
        <v>25.675585259160862</v>
      </c>
      <c r="G392" s="168">
        <f t="shared" ca="1" si="56"/>
        <v>12.192279396357584</v>
      </c>
      <c r="H392" s="184">
        <f t="shared" ca="1" si="57"/>
        <v>1.5408756006942599</v>
      </c>
      <c r="I392" s="184">
        <f t="shared" ca="1" si="58"/>
        <v>6.2366892079882004E-2</v>
      </c>
      <c r="J392" s="223">
        <f t="shared" ca="1" si="59"/>
        <v>0</v>
      </c>
      <c r="K392" s="220" t="str" cm="1">
        <f t="array" aca="1" ref="K392" ca="1">_xlfn.IFS(G392&lt;$B$11,"Fail",G392&lt;25,"Marginal",G392&lt;35,"Solid",TRUE,"Blowout")</f>
        <v>Fail</v>
      </c>
      <c r="L392" s="226">
        <f ca="1">IF(AND(E392&lt;$B$10,C392&gt;=$B$11),1,0)</f>
        <v>1</v>
      </c>
      <c r="M392" s="217" t="str" cm="1">
        <f t="array" aca="1" ref="M392" ca="1">_xlfn.IFS(C392&lt;$B$11,"Fail",C392&lt;25,"Marginal",C392&lt;35,"Solid",TRUE,"Blowout")</f>
        <v>Blowout</v>
      </c>
    </row>
    <row r="393" spans="1:13" x14ac:dyDescent="0.25">
      <c r="A393" s="169">
        <f t="shared" ca="1" si="50"/>
        <v>15.903746041689047</v>
      </c>
      <c r="B393" s="168">
        <f t="shared" ca="1" si="51"/>
        <v>-4.0432685218285691E-2</v>
      </c>
      <c r="C393" s="168">
        <f t="shared" ca="1" si="52"/>
        <v>15.944178726907332</v>
      </c>
      <c r="D393" s="184">
        <f t="shared" ca="1" si="53"/>
        <v>2.015045355730579</v>
      </c>
      <c r="E393" s="230">
        <f t="shared" ca="1" si="54"/>
        <v>2.2536947656395065E-2</v>
      </c>
      <c r="F393" s="168">
        <f t="shared" ca="1" si="55"/>
        <v>-0.14641844785354885</v>
      </c>
      <c r="G393" s="168">
        <f t="shared" ca="1" si="56"/>
        <v>-0.10598576263526316</v>
      </c>
      <c r="H393" s="184">
        <f t="shared" ca="1" si="57"/>
        <v>-1.3394613948433557E-2</v>
      </c>
      <c r="I393" s="184">
        <f t="shared" ca="1" si="58"/>
        <v>0.50533766145722192</v>
      </c>
      <c r="J393" s="223">
        <f t="shared" ca="1" si="59"/>
        <v>0</v>
      </c>
      <c r="K393" s="220" t="str" cm="1">
        <f t="array" aca="1" ref="K393" ca="1">_xlfn.IFS(G393&lt;$B$11,"Fail",G393&lt;25,"Marginal",G393&lt;35,"Solid",TRUE,"Blowout")</f>
        <v>Fail</v>
      </c>
      <c r="L393" s="226">
        <f ca="1">IF(AND(E393&lt;$B$10,C393&gt;=$B$11),1,0)</f>
        <v>0</v>
      </c>
      <c r="M393" s="217" t="str" cm="1">
        <f t="array" aca="1" ref="M393" ca="1">_xlfn.IFS(C393&lt;$B$11,"Fail",C393&lt;25,"Marginal",C393&lt;35,"Solid",TRUE,"Blowout")</f>
        <v>Fail</v>
      </c>
    </row>
    <row r="394" spans="1:13" x14ac:dyDescent="0.25">
      <c r="A394" s="169">
        <f t="shared" ca="1" si="50"/>
        <v>37.328675307624927</v>
      </c>
      <c r="B394" s="168">
        <f t="shared" ca="1" si="51"/>
        <v>0.34793307933629336</v>
      </c>
      <c r="C394" s="168">
        <f t="shared" ca="1" si="52"/>
        <v>36.980742228288634</v>
      </c>
      <c r="D394" s="184">
        <f t="shared" ca="1" si="53"/>
        <v>4.6736727024281688</v>
      </c>
      <c r="E394" s="230">
        <f t="shared" ca="1" si="54"/>
        <v>2.5307016281236797E-6</v>
      </c>
      <c r="F394" s="168">
        <f t="shared" ca="1" si="55"/>
        <v>40.02597539861619</v>
      </c>
      <c r="G394" s="168">
        <f t="shared" ca="1" si="56"/>
        <v>39.678042319279896</v>
      </c>
      <c r="H394" s="184">
        <f t="shared" ca="1" si="57"/>
        <v>5.0145608795150967</v>
      </c>
      <c r="I394" s="184">
        <f t="shared" ca="1" si="58"/>
        <v>5.3397456913050995E-7</v>
      </c>
      <c r="J394" s="223">
        <f t="shared" ca="1" si="59"/>
        <v>1</v>
      </c>
      <c r="K394" s="220" t="str" cm="1">
        <f t="array" aca="1" ref="K394" ca="1">_xlfn.IFS(G394&lt;$B$11,"Fail",G394&lt;25,"Marginal",G394&lt;35,"Solid",TRUE,"Blowout")</f>
        <v>Blowout</v>
      </c>
      <c r="L394" s="226">
        <f ca="1">IF(AND(E394&lt;$B$10,C394&gt;=$B$11),1,0)</f>
        <v>1</v>
      </c>
      <c r="M394" s="217" t="str" cm="1">
        <f t="array" aca="1" ref="M394" ca="1">_xlfn.IFS(C394&lt;$B$11,"Fail",C394&lt;25,"Marginal",C394&lt;35,"Solid",TRUE,"Blowout")</f>
        <v>Blowout</v>
      </c>
    </row>
    <row r="395" spans="1:13" x14ac:dyDescent="0.25">
      <c r="A395" s="169">
        <f t="shared" ca="1" si="50"/>
        <v>27.028527533121085</v>
      </c>
      <c r="B395" s="168">
        <f t="shared" ca="1" si="51"/>
        <v>4.4969232114591824</v>
      </c>
      <c r="C395" s="168">
        <f t="shared" ca="1" si="52"/>
        <v>22.531604321661902</v>
      </c>
      <c r="D395" s="184">
        <f t="shared" ca="1" si="53"/>
        <v>2.847572485430264</v>
      </c>
      <c r="E395" s="230">
        <f t="shared" ca="1" si="54"/>
        <v>2.40382928315072E-3</v>
      </c>
      <c r="F395" s="168">
        <f t="shared" ca="1" si="55"/>
        <v>43.687122328471986</v>
      </c>
      <c r="G395" s="168">
        <f t="shared" ca="1" si="56"/>
        <v>39.190199117012803</v>
      </c>
      <c r="H395" s="184">
        <f t="shared" ca="1" si="57"/>
        <v>4.9529066421981192</v>
      </c>
      <c r="I395" s="184">
        <f t="shared" ca="1" si="58"/>
        <v>7.1176843667026667E-7</v>
      </c>
      <c r="J395" s="223">
        <f t="shared" ca="1" si="59"/>
        <v>1</v>
      </c>
      <c r="K395" s="220" t="str" cm="1">
        <f t="array" aca="1" ref="K395" ca="1">_xlfn.IFS(G395&lt;$B$11,"Fail",G395&lt;25,"Marginal",G395&lt;35,"Solid",TRUE,"Blowout")</f>
        <v>Blowout</v>
      </c>
      <c r="L395" s="226">
        <f ca="1">IF(AND(E395&lt;$B$10,C395&gt;=$B$11),1,0)</f>
        <v>1</v>
      </c>
      <c r="M395" s="217" t="str" cm="1">
        <f t="array" aca="1" ref="M395" ca="1">_xlfn.IFS(C395&lt;$B$11,"Fail",C395&lt;25,"Marginal",C395&lt;35,"Solid",TRUE,"Blowout")</f>
        <v>Marginal</v>
      </c>
    </row>
    <row r="396" spans="1:13" x14ac:dyDescent="0.25">
      <c r="A396" s="169">
        <f t="shared" ca="1" si="50"/>
        <v>4.1986302276856957</v>
      </c>
      <c r="B396" s="168">
        <f t="shared" ca="1" si="51"/>
        <v>9.2944347751214877</v>
      </c>
      <c r="C396" s="168">
        <f t="shared" ca="1" si="52"/>
        <v>-5.095804547435792</v>
      </c>
      <c r="D396" s="184">
        <f t="shared" ca="1" si="53"/>
        <v>-0.64401418617395156</v>
      </c>
      <c r="E396" s="230">
        <f t="shared" ca="1" si="54"/>
        <v>0.73989322351825526</v>
      </c>
      <c r="F396" s="168">
        <f t="shared" ca="1" si="55"/>
        <v>8.9749598541107218</v>
      </c>
      <c r="G396" s="168">
        <f t="shared" ca="1" si="56"/>
        <v>-0.31947492101076591</v>
      </c>
      <c r="H396" s="184">
        <f t="shared" ca="1" si="57"/>
        <v>-4.0375642225380766E-2</v>
      </c>
      <c r="I396" s="184">
        <f t="shared" ca="1" si="58"/>
        <v>0.51608550903849326</v>
      </c>
      <c r="J396" s="223">
        <f t="shared" ca="1" si="59"/>
        <v>0</v>
      </c>
      <c r="K396" s="220" t="str" cm="1">
        <f t="array" aca="1" ref="K396" ca="1">_xlfn.IFS(G396&lt;$B$11,"Fail",G396&lt;25,"Marginal",G396&lt;35,"Solid",TRUE,"Blowout")</f>
        <v>Fail</v>
      </c>
      <c r="L396" s="226">
        <f ca="1">IF(AND(E396&lt;$B$10,C396&gt;=$B$11),1,0)</f>
        <v>0</v>
      </c>
      <c r="M396" s="217" t="str" cm="1">
        <f t="array" aca="1" ref="M396" ca="1">_xlfn.IFS(C396&lt;$B$11,"Fail",C396&lt;25,"Marginal",C396&lt;35,"Solid",TRUE,"Blowout")</f>
        <v>Fail</v>
      </c>
    </row>
    <row r="397" spans="1:13" x14ac:dyDescent="0.25">
      <c r="A397" s="169">
        <f t="shared" ca="1" si="50"/>
        <v>2.3321320664093252</v>
      </c>
      <c r="B397" s="168">
        <f t="shared" ca="1" si="51"/>
        <v>-5.5710808763699404</v>
      </c>
      <c r="C397" s="168">
        <f t="shared" ca="1" si="52"/>
        <v>7.9032129427792661</v>
      </c>
      <c r="D397" s="184">
        <f t="shared" ca="1" si="53"/>
        <v>0.99881798921518827</v>
      </c>
      <c r="E397" s="230">
        <f t="shared" ca="1" si="54"/>
        <v>0.1594708638175063</v>
      </c>
      <c r="F397" s="168">
        <f t="shared" ca="1" si="55"/>
        <v>2.5857275232882553</v>
      </c>
      <c r="G397" s="168">
        <f t="shared" ca="1" si="56"/>
        <v>8.1568083996581962</v>
      </c>
      <c r="H397" s="184">
        <f t="shared" ca="1" si="57"/>
        <v>1.0308677019266927</v>
      </c>
      <c r="I397" s="184">
        <f t="shared" ca="1" si="58"/>
        <v>0.15184757453928668</v>
      </c>
      <c r="J397" s="223">
        <f t="shared" ca="1" si="59"/>
        <v>0</v>
      </c>
      <c r="K397" s="220" t="str" cm="1">
        <f t="array" aca="1" ref="K397" ca="1">_xlfn.IFS(G397&lt;$B$11,"Fail",G397&lt;25,"Marginal",G397&lt;35,"Solid",TRUE,"Blowout")</f>
        <v>Fail</v>
      </c>
      <c r="L397" s="226">
        <f ca="1">IF(AND(E397&lt;$B$10,C397&gt;=$B$11),1,0)</f>
        <v>0</v>
      </c>
      <c r="M397" s="217" t="str" cm="1">
        <f t="array" aca="1" ref="M397" ca="1">_xlfn.IFS(C397&lt;$B$11,"Fail",C397&lt;25,"Marginal",C397&lt;35,"Solid",TRUE,"Blowout")</f>
        <v>Fail</v>
      </c>
    </row>
    <row r="398" spans="1:13" x14ac:dyDescent="0.25">
      <c r="A398" s="169">
        <f t="shared" ca="1" si="50"/>
        <v>17.919895483201614</v>
      </c>
      <c r="B398" s="168">
        <f t="shared" ca="1" si="51"/>
        <v>9.9115040407438144</v>
      </c>
      <c r="C398" s="168">
        <f t="shared" ca="1" si="52"/>
        <v>8.0083914424577998</v>
      </c>
      <c r="D398" s="184">
        <f t="shared" ca="1" si="53"/>
        <v>1.0121105802560972</v>
      </c>
      <c r="E398" s="230">
        <f t="shared" ca="1" si="54"/>
        <v>0.15627902250169967</v>
      </c>
      <c r="F398" s="168">
        <f t="shared" ca="1" si="55"/>
        <v>42.18047498822127</v>
      </c>
      <c r="G398" s="168">
        <f t="shared" ca="1" si="56"/>
        <v>32.268970947477456</v>
      </c>
      <c r="H398" s="184">
        <f t="shared" ca="1" si="57"/>
        <v>4.0781931233739952</v>
      </c>
      <c r="I398" s="184">
        <f t="shared" ca="1" si="58"/>
        <v>3.1370409344537216E-5</v>
      </c>
      <c r="J398" s="223">
        <f t="shared" ca="1" si="59"/>
        <v>1</v>
      </c>
      <c r="K398" s="220" t="str" cm="1">
        <f t="array" aca="1" ref="K398" ca="1">_xlfn.IFS(G398&lt;$B$11,"Fail",G398&lt;25,"Marginal",G398&lt;35,"Solid",TRUE,"Blowout")</f>
        <v>Solid</v>
      </c>
      <c r="L398" s="226">
        <f ca="1">IF(AND(E398&lt;$B$10,C398&gt;=$B$11),1,0)</f>
        <v>0</v>
      </c>
      <c r="M398" s="217" t="str" cm="1">
        <f t="array" aca="1" ref="M398" ca="1">_xlfn.IFS(C398&lt;$B$11,"Fail",C398&lt;25,"Marginal",C398&lt;35,"Solid",TRUE,"Blowout")</f>
        <v>Fail</v>
      </c>
    </row>
    <row r="399" spans="1:13" x14ac:dyDescent="0.25">
      <c r="A399" s="169">
        <f t="shared" ca="1" si="50"/>
        <v>11.565410545453714</v>
      </c>
      <c r="B399" s="168">
        <f t="shared" ca="1" si="51"/>
        <v>17.816089738698551</v>
      </c>
      <c r="C399" s="168">
        <f t="shared" ca="1" si="52"/>
        <v>-6.2506791932448369</v>
      </c>
      <c r="D399" s="184">
        <f t="shared" ca="1" si="53"/>
        <v>-0.78996869605167053</v>
      </c>
      <c r="E399" s="230">
        <f t="shared" ca="1" si="54"/>
        <v>0.78481656644467379</v>
      </c>
      <c r="F399" s="168">
        <f t="shared" ca="1" si="55"/>
        <v>2.3632597017201755</v>
      </c>
      <c r="G399" s="168">
        <f t="shared" ca="1" si="56"/>
        <v>-15.452830036978376</v>
      </c>
      <c r="H399" s="184">
        <f t="shared" ca="1" si="57"/>
        <v>-1.9529480904750927</v>
      </c>
      <c r="I399" s="184">
        <f t="shared" ca="1" si="58"/>
        <v>0.97397533969559524</v>
      </c>
      <c r="J399" s="223">
        <f t="shared" ca="1" si="59"/>
        <v>0</v>
      </c>
      <c r="K399" s="220" t="str" cm="1">
        <f t="array" aca="1" ref="K399" ca="1">_xlfn.IFS(G399&lt;$B$11,"Fail",G399&lt;25,"Marginal",G399&lt;35,"Solid",TRUE,"Blowout")</f>
        <v>Fail</v>
      </c>
      <c r="L399" s="226">
        <f ca="1">IF(AND(E399&lt;$B$10,C399&gt;=$B$11),1,0)</f>
        <v>0</v>
      </c>
      <c r="M399" s="217" t="str" cm="1">
        <f t="array" aca="1" ref="M399" ca="1">_xlfn.IFS(C399&lt;$B$11,"Fail",C399&lt;25,"Marginal",C399&lt;35,"Solid",TRUE,"Blowout")</f>
        <v>Fail</v>
      </c>
    </row>
    <row r="400" spans="1:13" x14ac:dyDescent="0.25">
      <c r="A400" s="169">
        <f t="shared" ca="1" si="50"/>
        <v>34.315967775647884</v>
      </c>
      <c r="B400" s="168">
        <f t="shared" ca="1" si="51"/>
        <v>3.404740354058462</v>
      </c>
      <c r="C400" s="168">
        <f t="shared" ca="1" si="52"/>
        <v>30.911227421589423</v>
      </c>
      <c r="D400" s="184">
        <f t="shared" ca="1" si="53"/>
        <v>3.9065997893443898</v>
      </c>
      <c r="E400" s="230">
        <f t="shared" ca="1" si="54"/>
        <v>6.1691402005771475E-5</v>
      </c>
      <c r="F400" s="168">
        <f t="shared" ca="1" si="55"/>
        <v>68.695382609660612</v>
      </c>
      <c r="G400" s="168">
        <f t="shared" ca="1" si="56"/>
        <v>65.290642255602151</v>
      </c>
      <c r="H400" s="184">
        <f t="shared" ca="1" si="57"/>
        <v>8.2515134647726693</v>
      </c>
      <c r="I400" s="184">
        <f t="shared" ca="1" si="58"/>
        <v>6.2693352496956238E-15</v>
      </c>
      <c r="J400" s="223">
        <f t="shared" ca="1" si="59"/>
        <v>1</v>
      </c>
      <c r="K400" s="220" t="str" cm="1">
        <f t="array" aca="1" ref="K400" ca="1">_xlfn.IFS(G400&lt;$B$11,"Fail",G400&lt;25,"Marginal",G400&lt;35,"Solid",TRUE,"Blowout")</f>
        <v>Blowout</v>
      </c>
      <c r="L400" s="226">
        <f ca="1">IF(AND(E400&lt;$B$10,C400&gt;=$B$11),1,0)</f>
        <v>1</v>
      </c>
      <c r="M400" s="217" t="str" cm="1">
        <f t="array" aca="1" ref="M400" ca="1">_xlfn.IFS(C400&lt;$B$11,"Fail",C400&lt;25,"Marginal",C400&lt;35,"Solid",TRUE,"Blowout")</f>
        <v>Solid</v>
      </c>
    </row>
    <row r="401" spans="1:13" x14ac:dyDescent="0.25">
      <c r="A401" s="169">
        <f t="shared" ref="A401:A464" ca="1" si="60">NORMINV(RAND(), MAX(0, NORMINV(RAND(), $B$6, $B$12)), $B$7/SQRT($B$9))</f>
        <v>19.738511667377551</v>
      </c>
      <c r="B401" s="168">
        <f t="shared" ref="B401:B464" ca="1" si="61">NORMINV(RAND(), $B$8, $B$7/SQRT($B$9))</f>
        <v>11.048614957972724</v>
      </c>
      <c r="C401" s="168">
        <f t="shared" ref="C401:C464" ca="1" si="62">A401-B401</f>
        <v>8.6898967094048274</v>
      </c>
      <c r="D401" s="184">
        <f t="shared" ref="D401:D464" ca="1" si="63">C401/($B$7*SQRT(2/$B$9))</f>
        <v>1.0982400728181707</v>
      </c>
      <c r="E401" s="230">
        <f t="shared" ref="E401:E464" ca="1" si="64">_xlfn.T.DIST.RT(D401, 2*$B$9-2)</f>
        <v>0.13662904253621269</v>
      </c>
      <c r="F401" s="168">
        <f t="shared" ref="F401:F464" ca="1" si="65">NORMINV(RAND(), MAX(0, NORMINV(RAND(), $N$7, $N$8)), $B$7/SQRT($B$9))</f>
        <v>19.983674667639491</v>
      </c>
      <c r="G401" s="168">
        <f t="shared" ref="G401:G464" ca="1" si="66">F401-B401</f>
        <v>8.935059709666767</v>
      </c>
      <c r="H401" s="184">
        <f t="shared" ref="H401:H464" ca="1" si="67">G401/($B$7*SQRT(2/$B$9))</f>
        <v>1.1292240810594418</v>
      </c>
      <c r="I401" s="184">
        <f t="shared" ref="I401:I464" ca="1" si="68">_xlfn.T.DIST.RT(H401, 2*$B$9-2)</f>
        <v>0.12999499730732336</v>
      </c>
      <c r="J401" s="223">
        <f t="shared" ref="J401:J464" ca="1" si="69">IF(AND(I401&lt;$B$10, G401&gt;=$B$11), 1, 0)</f>
        <v>0</v>
      </c>
      <c r="K401" s="220" t="str" cm="1">
        <f t="array" aca="1" ref="K401" ca="1">_xlfn.IFS(G401&lt;$B$11,"Fail",G401&lt;25,"Marginal",G401&lt;35,"Solid",TRUE,"Blowout")</f>
        <v>Fail</v>
      </c>
      <c r="L401" s="226">
        <f ca="1">IF(AND(E401&lt;$B$10,C401&gt;=$B$11),1,0)</f>
        <v>0</v>
      </c>
      <c r="M401" s="217" t="str" cm="1">
        <f t="array" aca="1" ref="M401" ca="1">_xlfn.IFS(C401&lt;$B$11,"Fail",C401&lt;25,"Marginal",C401&lt;35,"Solid",TRUE,"Blowout")</f>
        <v>Fail</v>
      </c>
    </row>
    <row r="402" spans="1:13" x14ac:dyDescent="0.25">
      <c r="A402" s="169">
        <f t="shared" ca="1" si="60"/>
        <v>22.772572580278265</v>
      </c>
      <c r="B402" s="168">
        <f t="shared" ca="1" si="61"/>
        <v>11.432442850116946</v>
      </c>
      <c r="C402" s="168">
        <f t="shared" ca="1" si="62"/>
        <v>11.340129730161319</v>
      </c>
      <c r="D402" s="184">
        <f t="shared" ca="1" si="63"/>
        <v>1.4331798543866534</v>
      </c>
      <c r="E402" s="230">
        <f t="shared" ca="1" si="64"/>
        <v>7.6588121244693844E-2</v>
      </c>
      <c r="F402" s="168">
        <f t="shared" ca="1" si="65"/>
        <v>23.44095838114675</v>
      </c>
      <c r="G402" s="168">
        <f t="shared" ca="1" si="66"/>
        <v>12.008515531029804</v>
      </c>
      <c r="H402" s="184">
        <f t="shared" ca="1" si="67"/>
        <v>1.5176512923292929</v>
      </c>
      <c r="I402" s="184">
        <f t="shared" ca="1" si="68"/>
        <v>6.5243825722844997E-2</v>
      </c>
      <c r="J402" s="223">
        <f t="shared" ca="1" si="69"/>
        <v>0</v>
      </c>
      <c r="K402" s="220" t="str" cm="1">
        <f t="array" aca="1" ref="K402" ca="1">_xlfn.IFS(G402&lt;$B$11,"Fail",G402&lt;25,"Marginal",G402&lt;35,"Solid",TRUE,"Blowout")</f>
        <v>Fail</v>
      </c>
      <c r="L402" s="226">
        <f ca="1">IF(AND(E402&lt;$B$10,C402&gt;=$B$11),1,0)</f>
        <v>0</v>
      </c>
      <c r="M402" s="217" t="str" cm="1">
        <f t="array" aca="1" ref="M402" ca="1">_xlfn.IFS(C402&lt;$B$11,"Fail",C402&lt;25,"Marginal",C402&lt;35,"Solid",TRUE,"Blowout")</f>
        <v>Fail</v>
      </c>
    </row>
    <row r="403" spans="1:13" x14ac:dyDescent="0.25">
      <c r="A403" s="169">
        <f t="shared" ca="1" si="60"/>
        <v>49.451076465109473</v>
      </c>
      <c r="B403" s="168">
        <f t="shared" ca="1" si="61"/>
        <v>-4.5913598892216854</v>
      </c>
      <c r="C403" s="168">
        <f t="shared" ca="1" si="62"/>
        <v>54.042436354331159</v>
      </c>
      <c r="D403" s="184">
        <f t="shared" ca="1" si="63"/>
        <v>6.8299510594662767</v>
      </c>
      <c r="E403" s="230">
        <f t="shared" ca="1" si="64"/>
        <v>3.8165096524662841E-11</v>
      </c>
      <c r="F403" s="168">
        <f t="shared" ca="1" si="65"/>
        <v>34.058672840084853</v>
      </c>
      <c r="G403" s="168">
        <f t="shared" ca="1" si="66"/>
        <v>38.650032729306538</v>
      </c>
      <c r="H403" s="184">
        <f t="shared" ca="1" si="67"/>
        <v>4.8846397349141215</v>
      </c>
      <c r="I403" s="184">
        <f t="shared" ca="1" si="68"/>
        <v>9.7546783273974967E-7</v>
      </c>
      <c r="J403" s="223">
        <f t="shared" ca="1" si="69"/>
        <v>1</v>
      </c>
      <c r="K403" s="220" t="str" cm="1">
        <f t="array" aca="1" ref="K403" ca="1">_xlfn.IFS(G403&lt;$B$11,"Fail",G403&lt;25,"Marginal",G403&lt;35,"Solid",TRUE,"Blowout")</f>
        <v>Blowout</v>
      </c>
      <c r="L403" s="226">
        <f ca="1">IF(AND(E403&lt;$B$10,C403&gt;=$B$11),1,0)</f>
        <v>1</v>
      </c>
      <c r="M403" s="217" t="str" cm="1">
        <f t="array" aca="1" ref="M403" ca="1">_xlfn.IFS(C403&lt;$B$11,"Fail",C403&lt;25,"Marginal",C403&lt;35,"Solid",TRUE,"Blowout")</f>
        <v>Blowout</v>
      </c>
    </row>
    <row r="404" spans="1:13" x14ac:dyDescent="0.25">
      <c r="A404" s="169">
        <f t="shared" ca="1" si="60"/>
        <v>33.010119685790677</v>
      </c>
      <c r="B404" s="168">
        <f t="shared" ca="1" si="61"/>
        <v>8.7811554412981714</v>
      </c>
      <c r="C404" s="168">
        <f t="shared" ca="1" si="62"/>
        <v>24.228964244492506</v>
      </c>
      <c r="D404" s="184">
        <f t="shared" ca="1" si="63"/>
        <v>3.0620869667394213</v>
      </c>
      <c r="E404" s="230">
        <f t="shared" ca="1" si="64"/>
        <v>1.2309842477117316E-3</v>
      </c>
      <c r="F404" s="168">
        <f t="shared" ca="1" si="65"/>
        <v>54.275769181463382</v>
      </c>
      <c r="G404" s="168">
        <f t="shared" ca="1" si="66"/>
        <v>45.494613740165207</v>
      </c>
      <c r="H404" s="184">
        <f t="shared" ca="1" si="67"/>
        <v>5.7496664894484839</v>
      </c>
      <c r="I404" s="184">
        <f t="shared" ca="1" si="68"/>
        <v>1.4270756061279845E-8</v>
      </c>
      <c r="J404" s="223">
        <f t="shared" ca="1" si="69"/>
        <v>1</v>
      </c>
      <c r="K404" s="220" t="str" cm="1">
        <f t="array" aca="1" ref="K404" ca="1">_xlfn.IFS(G404&lt;$B$11,"Fail",G404&lt;25,"Marginal",G404&lt;35,"Solid",TRUE,"Blowout")</f>
        <v>Blowout</v>
      </c>
      <c r="L404" s="226">
        <f ca="1">IF(AND(E404&lt;$B$10,C404&gt;=$B$11),1,0)</f>
        <v>1</v>
      </c>
      <c r="M404" s="217" t="str" cm="1">
        <f t="array" aca="1" ref="M404" ca="1">_xlfn.IFS(C404&lt;$B$11,"Fail",C404&lt;25,"Marginal",C404&lt;35,"Solid",TRUE,"Blowout")</f>
        <v>Marginal</v>
      </c>
    </row>
    <row r="405" spans="1:13" x14ac:dyDescent="0.25">
      <c r="A405" s="169">
        <f t="shared" ca="1" si="60"/>
        <v>29.845896444236686</v>
      </c>
      <c r="B405" s="168">
        <f t="shared" ca="1" si="61"/>
        <v>3.1968362250370923</v>
      </c>
      <c r="C405" s="168">
        <f t="shared" ca="1" si="62"/>
        <v>26.649060219199594</v>
      </c>
      <c r="D405" s="184">
        <f t="shared" ca="1" si="63"/>
        <v>3.367941739053661</v>
      </c>
      <c r="E405" s="230">
        <f t="shared" ca="1" si="64"/>
        <v>4.444550883164471E-4</v>
      </c>
      <c r="F405" s="168">
        <f t="shared" ca="1" si="65"/>
        <v>32.882040597644661</v>
      </c>
      <c r="G405" s="168">
        <f t="shared" ca="1" si="66"/>
        <v>29.685204372607569</v>
      </c>
      <c r="H405" s="184">
        <f t="shared" ca="1" si="67"/>
        <v>3.7516534548116276</v>
      </c>
      <c r="I405" s="184">
        <f t="shared" ca="1" si="68"/>
        <v>1.1143107266994765E-4</v>
      </c>
      <c r="J405" s="223">
        <f t="shared" ca="1" si="69"/>
        <v>1</v>
      </c>
      <c r="K405" s="220" t="str" cm="1">
        <f t="array" aca="1" ref="K405" ca="1">_xlfn.IFS(G405&lt;$B$11,"Fail",G405&lt;25,"Marginal",G405&lt;35,"Solid",TRUE,"Blowout")</f>
        <v>Solid</v>
      </c>
      <c r="L405" s="226">
        <f ca="1">IF(AND(E405&lt;$B$10,C405&gt;=$B$11),1,0)</f>
        <v>1</v>
      </c>
      <c r="M405" s="217" t="str" cm="1">
        <f t="array" aca="1" ref="M405" ca="1">_xlfn.IFS(C405&lt;$B$11,"Fail",C405&lt;25,"Marginal",C405&lt;35,"Solid",TRUE,"Blowout")</f>
        <v>Solid</v>
      </c>
    </row>
    <row r="406" spans="1:13" x14ac:dyDescent="0.25">
      <c r="A406" s="169">
        <f t="shared" ca="1" si="60"/>
        <v>32.560977551932005</v>
      </c>
      <c r="B406" s="168">
        <f t="shared" ca="1" si="61"/>
        <v>5.1658728284672906</v>
      </c>
      <c r="C406" s="168">
        <f t="shared" ca="1" si="62"/>
        <v>27.395104723464716</v>
      </c>
      <c r="D406" s="184">
        <f t="shared" ca="1" si="63"/>
        <v>3.4622277815796876</v>
      </c>
      <c r="E406" s="230">
        <f t="shared" ca="1" si="64"/>
        <v>3.1979689432494793E-4</v>
      </c>
      <c r="F406" s="168">
        <f t="shared" ca="1" si="65"/>
        <v>27.540727474050119</v>
      </c>
      <c r="G406" s="168">
        <f t="shared" ca="1" si="66"/>
        <v>22.374854645582829</v>
      </c>
      <c r="H406" s="184">
        <f t="shared" ca="1" si="67"/>
        <v>2.8277622642702136</v>
      </c>
      <c r="I406" s="184">
        <f t="shared" ca="1" si="68"/>
        <v>2.5522367252080922E-3</v>
      </c>
      <c r="J406" s="223">
        <f t="shared" ca="1" si="69"/>
        <v>1</v>
      </c>
      <c r="K406" s="220" t="str" cm="1">
        <f t="array" aca="1" ref="K406" ca="1">_xlfn.IFS(G406&lt;$B$11,"Fail",G406&lt;25,"Marginal",G406&lt;35,"Solid",TRUE,"Blowout")</f>
        <v>Marginal</v>
      </c>
      <c r="L406" s="226">
        <f ca="1">IF(AND(E406&lt;$B$10,C406&gt;=$B$11),1,0)</f>
        <v>1</v>
      </c>
      <c r="M406" s="217" t="str" cm="1">
        <f t="array" aca="1" ref="M406" ca="1">_xlfn.IFS(C406&lt;$B$11,"Fail",C406&lt;25,"Marginal",C406&lt;35,"Solid",TRUE,"Blowout")</f>
        <v>Solid</v>
      </c>
    </row>
    <row r="407" spans="1:13" x14ac:dyDescent="0.25">
      <c r="A407" s="169">
        <f t="shared" ca="1" si="60"/>
        <v>30.254291686113163</v>
      </c>
      <c r="B407" s="168">
        <f t="shared" ca="1" si="61"/>
        <v>2.1487029964980153</v>
      </c>
      <c r="C407" s="168">
        <f t="shared" ca="1" si="62"/>
        <v>28.105588689615146</v>
      </c>
      <c r="D407" s="184">
        <f t="shared" ca="1" si="63"/>
        <v>3.5520196385849285</v>
      </c>
      <c r="E407" s="230">
        <f t="shared" ca="1" si="64"/>
        <v>2.3221292982269812E-4</v>
      </c>
      <c r="F407" s="168">
        <f t="shared" ca="1" si="65"/>
        <v>30.585316719695861</v>
      </c>
      <c r="G407" s="168">
        <f t="shared" ca="1" si="66"/>
        <v>28.436613723197844</v>
      </c>
      <c r="H407" s="184">
        <f t="shared" ca="1" si="67"/>
        <v>3.5938549985602717</v>
      </c>
      <c r="I407" s="184">
        <f t="shared" ca="1" si="68"/>
        <v>1.9961161455253105E-4</v>
      </c>
      <c r="J407" s="223">
        <f t="shared" ca="1" si="69"/>
        <v>1</v>
      </c>
      <c r="K407" s="220" t="str" cm="1">
        <f t="array" aca="1" ref="K407" ca="1">_xlfn.IFS(G407&lt;$B$11,"Fail",G407&lt;25,"Marginal",G407&lt;35,"Solid",TRUE,"Blowout")</f>
        <v>Solid</v>
      </c>
      <c r="L407" s="226">
        <f ca="1">IF(AND(E407&lt;$B$10,C407&gt;=$B$11),1,0)</f>
        <v>1</v>
      </c>
      <c r="M407" s="217" t="str" cm="1">
        <f t="array" aca="1" ref="M407" ca="1">_xlfn.IFS(C407&lt;$B$11,"Fail",C407&lt;25,"Marginal",C407&lt;35,"Solid",TRUE,"Blowout")</f>
        <v>Solid</v>
      </c>
    </row>
    <row r="408" spans="1:13" x14ac:dyDescent="0.25">
      <c r="A408" s="169">
        <f t="shared" ca="1" si="60"/>
        <v>78.312045034317634</v>
      </c>
      <c r="B408" s="168">
        <f t="shared" ca="1" si="61"/>
        <v>9.5867202967998359</v>
      </c>
      <c r="C408" s="168">
        <f t="shared" ca="1" si="62"/>
        <v>68.725324737517795</v>
      </c>
      <c r="D408" s="184">
        <f t="shared" ca="1" si="63"/>
        <v>8.6855929556098719</v>
      </c>
      <c r="E408" s="230">
        <f t="shared" ca="1" si="64"/>
        <v>3.6856868055744213E-16</v>
      </c>
      <c r="F408" s="168">
        <f t="shared" ca="1" si="65"/>
        <v>7.2670745486544419</v>
      </c>
      <c r="G408" s="168">
        <f t="shared" ca="1" si="66"/>
        <v>-2.319645748145394</v>
      </c>
      <c r="H408" s="184">
        <f t="shared" ca="1" si="67"/>
        <v>-0.29315974637517161</v>
      </c>
      <c r="I408" s="184">
        <f t="shared" ca="1" si="68"/>
        <v>0.61516665053126973</v>
      </c>
      <c r="J408" s="223">
        <f t="shared" ca="1" si="69"/>
        <v>0</v>
      </c>
      <c r="K408" s="220" t="str" cm="1">
        <f t="array" aca="1" ref="K408" ca="1">_xlfn.IFS(G408&lt;$B$11,"Fail",G408&lt;25,"Marginal",G408&lt;35,"Solid",TRUE,"Blowout")</f>
        <v>Fail</v>
      </c>
      <c r="L408" s="226">
        <f ca="1">IF(AND(E408&lt;$B$10,C408&gt;=$B$11),1,0)</f>
        <v>1</v>
      </c>
      <c r="M408" s="217" t="str" cm="1">
        <f t="array" aca="1" ref="M408" ca="1">_xlfn.IFS(C408&lt;$B$11,"Fail",C408&lt;25,"Marginal",C408&lt;35,"Solid",TRUE,"Blowout")</f>
        <v>Blowout</v>
      </c>
    </row>
    <row r="409" spans="1:13" x14ac:dyDescent="0.25">
      <c r="A409" s="169">
        <f t="shared" ca="1" si="60"/>
        <v>46.128016734276912</v>
      </c>
      <c r="B409" s="168">
        <f t="shared" ca="1" si="61"/>
        <v>4.3684573439400509</v>
      </c>
      <c r="C409" s="168">
        <f t="shared" ca="1" si="62"/>
        <v>41.759559390336861</v>
      </c>
      <c r="D409" s="184">
        <f t="shared" ca="1" si="63"/>
        <v>5.2776256242566291</v>
      </c>
      <c r="E409" s="230">
        <f t="shared" ca="1" si="64"/>
        <v>1.5216952403446067E-7</v>
      </c>
      <c r="F409" s="168">
        <f t="shared" ca="1" si="65"/>
        <v>24.194146657608886</v>
      </c>
      <c r="G409" s="168">
        <f t="shared" ca="1" si="66"/>
        <v>19.825689313668835</v>
      </c>
      <c r="H409" s="184">
        <f t="shared" ca="1" si="67"/>
        <v>2.5055955443002444</v>
      </c>
      <c r="I409" s="184">
        <f t="shared" ca="1" si="68"/>
        <v>6.4615928724248081E-3</v>
      </c>
      <c r="J409" s="223">
        <f t="shared" ca="1" si="69"/>
        <v>0</v>
      </c>
      <c r="K409" s="220" t="str" cm="1">
        <f t="array" aca="1" ref="K409" ca="1">_xlfn.IFS(G409&lt;$B$11,"Fail",G409&lt;25,"Marginal",G409&lt;35,"Solid",TRUE,"Blowout")</f>
        <v>Fail</v>
      </c>
      <c r="L409" s="226">
        <f ca="1">IF(AND(E409&lt;$B$10,C409&gt;=$B$11),1,0)</f>
        <v>1</v>
      </c>
      <c r="M409" s="217" t="str" cm="1">
        <f t="array" aca="1" ref="M409" ca="1">_xlfn.IFS(C409&lt;$B$11,"Fail",C409&lt;25,"Marginal",C409&lt;35,"Solid",TRUE,"Blowout")</f>
        <v>Blowout</v>
      </c>
    </row>
    <row r="410" spans="1:13" x14ac:dyDescent="0.25">
      <c r="A410" s="169">
        <f t="shared" ca="1" si="60"/>
        <v>30.571289143925739</v>
      </c>
      <c r="B410" s="168">
        <f t="shared" ca="1" si="61"/>
        <v>18.062655865266724</v>
      </c>
      <c r="C410" s="168">
        <f t="shared" ca="1" si="62"/>
        <v>12.508633278659016</v>
      </c>
      <c r="D410" s="184">
        <f t="shared" ca="1" si="63"/>
        <v>1.5808568021231582</v>
      </c>
      <c r="E410" s="230">
        <f t="shared" ca="1" si="64"/>
        <v>5.7648509619952666E-2</v>
      </c>
      <c r="F410" s="168">
        <f t="shared" ca="1" si="65"/>
        <v>44.798310083438082</v>
      </c>
      <c r="G410" s="168">
        <f t="shared" ca="1" si="66"/>
        <v>26.735654218171359</v>
      </c>
      <c r="H410" s="184">
        <f t="shared" ca="1" si="67"/>
        <v>3.3788855975270811</v>
      </c>
      <c r="I410" s="184">
        <f t="shared" ca="1" si="68"/>
        <v>4.2794986505008983E-4</v>
      </c>
      <c r="J410" s="223">
        <f t="shared" ca="1" si="69"/>
        <v>1</v>
      </c>
      <c r="K410" s="220" t="str" cm="1">
        <f t="array" aca="1" ref="K410" ca="1">_xlfn.IFS(G410&lt;$B$11,"Fail",G410&lt;25,"Marginal",G410&lt;35,"Solid",TRUE,"Blowout")</f>
        <v>Solid</v>
      </c>
      <c r="L410" s="226">
        <f ca="1">IF(AND(E410&lt;$B$10,C410&gt;=$B$11),1,0)</f>
        <v>0</v>
      </c>
      <c r="M410" s="217" t="str" cm="1">
        <f t="array" aca="1" ref="M410" ca="1">_xlfn.IFS(C410&lt;$B$11,"Fail",C410&lt;25,"Marginal",C410&lt;35,"Solid",TRUE,"Blowout")</f>
        <v>Fail</v>
      </c>
    </row>
    <row r="411" spans="1:13" x14ac:dyDescent="0.25">
      <c r="A411" s="169">
        <f t="shared" ca="1" si="60"/>
        <v>18.652971429477475</v>
      </c>
      <c r="B411" s="168">
        <f t="shared" ca="1" si="61"/>
        <v>-3.6955632971380012</v>
      </c>
      <c r="C411" s="168">
        <f t="shared" ca="1" si="62"/>
        <v>22.348534726615476</v>
      </c>
      <c r="D411" s="184">
        <f t="shared" ca="1" si="63"/>
        <v>2.8244359198164308</v>
      </c>
      <c r="E411" s="230">
        <f t="shared" ca="1" si="64"/>
        <v>2.5779579623595632E-3</v>
      </c>
      <c r="F411" s="168">
        <f t="shared" ca="1" si="65"/>
        <v>11.270906119144163</v>
      </c>
      <c r="G411" s="168">
        <f t="shared" ca="1" si="66"/>
        <v>14.966469416282164</v>
      </c>
      <c r="H411" s="184">
        <f t="shared" ca="1" si="67"/>
        <v>1.8914812236812431</v>
      </c>
      <c r="I411" s="184">
        <f t="shared" ca="1" si="68"/>
        <v>2.9913839389199306E-2</v>
      </c>
      <c r="J411" s="223">
        <f t="shared" ca="1" si="69"/>
        <v>0</v>
      </c>
      <c r="K411" s="220" t="str" cm="1">
        <f t="array" aca="1" ref="K411" ca="1">_xlfn.IFS(G411&lt;$B$11,"Fail",G411&lt;25,"Marginal",G411&lt;35,"Solid",TRUE,"Blowout")</f>
        <v>Fail</v>
      </c>
      <c r="L411" s="226">
        <f ca="1">IF(AND(E411&lt;$B$10,C411&gt;=$B$11),1,0)</f>
        <v>1</v>
      </c>
      <c r="M411" s="217" t="str" cm="1">
        <f t="array" aca="1" ref="M411" ca="1">_xlfn.IFS(C411&lt;$B$11,"Fail",C411&lt;25,"Marginal",C411&lt;35,"Solid",TRUE,"Blowout")</f>
        <v>Marginal</v>
      </c>
    </row>
    <row r="412" spans="1:13" x14ac:dyDescent="0.25">
      <c r="A412" s="169">
        <f t="shared" ca="1" si="60"/>
        <v>30.649147610115779</v>
      </c>
      <c r="B412" s="168">
        <f t="shared" ca="1" si="61"/>
        <v>2.9948708415040048</v>
      </c>
      <c r="C412" s="168">
        <f t="shared" ca="1" si="62"/>
        <v>27.654276768611773</v>
      </c>
      <c r="D412" s="184">
        <f t="shared" ca="1" si="63"/>
        <v>3.4949822705285247</v>
      </c>
      <c r="E412" s="230">
        <f t="shared" ca="1" si="64"/>
        <v>2.8477046522095204E-4</v>
      </c>
      <c r="F412" s="168">
        <f t="shared" ca="1" si="65"/>
        <v>12.834817167493924</v>
      </c>
      <c r="G412" s="168">
        <f t="shared" ca="1" si="66"/>
        <v>9.8399463259899189</v>
      </c>
      <c r="H412" s="184">
        <f t="shared" ca="1" si="67"/>
        <v>1.2435847894355707</v>
      </c>
      <c r="I412" s="184">
        <f t="shared" ca="1" si="68"/>
        <v>0.10746477332892634</v>
      </c>
      <c r="J412" s="223">
        <f t="shared" ca="1" si="69"/>
        <v>0</v>
      </c>
      <c r="K412" s="220" t="str" cm="1">
        <f t="array" aca="1" ref="K412" ca="1">_xlfn.IFS(G412&lt;$B$11,"Fail",G412&lt;25,"Marginal",G412&lt;35,"Solid",TRUE,"Blowout")</f>
        <v>Fail</v>
      </c>
      <c r="L412" s="226">
        <f ca="1">IF(AND(E412&lt;$B$10,C412&gt;=$B$11),1,0)</f>
        <v>1</v>
      </c>
      <c r="M412" s="217" t="str" cm="1">
        <f t="array" aca="1" ref="M412" ca="1">_xlfn.IFS(C412&lt;$B$11,"Fail",C412&lt;25,"Marginal",C412&lt;35,"Solid",TRUE,"Blowout")</f>
        <v>Solid</v>
      </c>
    </row>
    <row r="413" spans="1:13" x14ac:dyDescent="0.25">
      <c r="A413" s="169">
        <f t="shared" ca="1" si="60"/>
        <v>15.089328769319639</v>
      </c>
      <c r="B413" s="168">
        <f t="shared" ca="1" si="61"/>
        <v>13.10566395987132</v>
      </c>
      <c r="C413" s="168">
        <f t="shared" ca="1" si="62"/>
        <v>1.9836648094483191</v>
      </c>
      <c r="D413" s="184">
        <f t="shared" ca="1" si="63"/>
        <v>0.25069805287991431</v>
      </c>
      <c r="E413" s="230">
        <f t="shared" ca="1" si="64"/>
        <v>0.40113666896068112</v>
      </c>
      <c r="F413" s="168">
        <f t="shared" ca="1" si="65"/>
        <v>5.1913299491951106</v>
      </c>
      <c r="G413" s="168">
        <f t="shared" ca="1" si="66"/>
        <v>-7.9143340106762095</v>
      </c>
      <c r="H413" s="184">
        <f t="shared" ca="1" si="67"/>
        <v>-1.0002234837596442</v>
      </c>
      <c r="I413" s="184">
        <f t="shared" ca="1" si="68"/>
        <v>0.84086864290448571</v>
      </c>
      <c r="J413" s="223">
        <f t="shared" ca="1" si="69"/>
        <v>0</v>
      </c>
      <c r="K413" s="220" t="str" cm="1">
        <f t="array" aca="1" ref="K413" ca="1">_xlfn.IFS(G413&lt;$B$11,"Fail",G413&lt;25,"Marginal",G413&lt;35,"Solid",TRUE,"Blowout")</f>
        <v>Fail</v>
      </c>
      <c r="L413" s="226">
        <f ca="1">IF(AND(E413&lt;$B$10,C413&gt;=$B$11),1,0)</f>
        <v>0</v>
      </c>
      <c r="M413" s="217" t="str" cm="1">
        <f t="array" aca="1" ref="M413" ca="1">_xlfn.IFS(C413&lt;$B$11,"Fail",C413&lt;25,"Marginal",C413&lt;35,"Solid",TRUE,"Blowout")</f>
        <v>Fail</v>
      </c>
    </row>
    <row r="414" spans="1:13" x14ac:dyDescent="0.25">
      <c r="A414" s="169">
        <f t="shared" ca="1" si="60"/>
        <v>35.770845548155997</v>
      </c>
      <c r="B414" s="168">
        <f t="shared" ca="1" si="61"/>
        <v>-2.1893827624706343</v>
      </c>
      <c r="C414" s="168">
        <f t="shared" ca="1" si="62"/>
        <v>37.960228310626633</v>
      </c>
      <c r="D414" s="184">
        <f t="shared" ca="1" si="63"/>
        <v>4.7974613851206866</v>
      </c>
      <c r="E414" s="230">
        <f t="shared" ca="1" si="64"/>
        <v>1.4519554873465318E-6</v>
      </c>
      <c r="F414" s="168">
        <f t="shared" ca="1" si="65"/>
        <v>24.526771245802721</v>
      </c>
      <c r="G414" s="168">
        <f t="shared" ca="1" si="66"/>
        <v>26.716154008273357</v>
      </c>
      <c r="H414" s="184">
        <f t="shared" ca="1" si="67"/>
        <v>3.3764211364805909</v>
      </c>
      <c r="I414" s="184">
        <f t="shared" ca="1" si="68"/>
        <v>4.3161599468349794E-4</v>
      </c>
      <c r="J414" s="223">
        <f t="shared" ca="1" si="69"/>
        <v>1</v>
      </c>
      <c r="K414" s="220" t="str" cm="1">
        <f t="array" aca="1" ref="K414" ca="1">_xlfn.IFS(G414&lt;$B$11,"Fail",G414&lt;25,"Marginal",G414&lt;35,"Solid",TRUE,"Blowout")</f>
        <v>Solid</v>
      </c>
      <c r="L414" s="226">
        <f ca="1">IF(AND(E414&lt;$B$10,C414&gt;=$B$11),1,0)</f>
        <v>1</v>
      </c>
      <c r="M414" s="217" t="str" cm="1">
        <f t="array" aca="1" ref="M414" ca="1">_xlfn.IFS(C414&lt;$B$11,"Fail",C414&lt;25,"Marginal",C414&lt;35,"Solid",TRUE,"Blowout")</f>
        <v>Blowout</v>
      </c>
    </row>
    <row r="415" spans="1:13" x14ac:dyDescent="0.25">
      <c r="A415" s="169">
        <f t="shared" ca="1" si="60"/>
        <v>79.150035438022542</v>
      </c>
      <c r="B415" s="168">
        <f t="shared" ca="1" si="61"/>
        <v>11.704618629533325</v>
      </c>
      <c r="C415" s="168">
        <f t="shared" ca="1" si="62"/>
        <v>67.445416808489213</v>
      </c>
      <c r="D415" s="184">
        <f t="shared" ca="1" si="63"/>
        <v>8.5238365821819109</v>
      </c>
      <c r="E415" s="230">
        <f t="shared" ca="1" si="64"/>
        <v>1.068488756002417E-15</v>
      </c>
      <c r="F415" s="168">
        <f t="shared" ca="1" si="65"/>
        <v>46.410188098419638</v>
      </c>
      <c r="G415" s="168">
        <f t="shared" ca="1" si="66"/>
        <v>34.70556946888631</v>
      </c>
      <c r="H415" s="184">
        <f t="shared" ca="1" si="67"/>
        <v>4.3861335082907207</v>
      </c>
      <c r="I415" s="184">
        <f t="shared" ca="1" si="68"/>
        <v>8.8163237243856412E-6</v>
      </c>
      <c r="J415" s="223">
        <f t="shared" ca="1" si="69"/>
        <v>1</v>
      </c>
      <c r="K415" s="220" t="str" cm="1">
        <f t="array" aca="1" ref="K415" ca="1">_xlfn.IFS(G415&lt;$B$11,"Fail",G415&lt;25,"Marginal",G415&lt;35,"Solid",TRUE,"Blowout")</f>
        <v>Solid</v>
      </c>
      <c r="L415" s="226">
        <f ca="1">IF(AND(E415&lt;$B$10,C415&gt;=$B$11),1,0)</f>
        <v>1</v>
      </c>
      <c r="M415" s="217" t="str" cm="1">
        <f t="array" aca="1" ref="M415" ca="1">_xlfn.IFS(C415&lt;$B$11,"Fail",C415&lt;25,"Marginal",C415&lt;35,"Solid",TRUE,"Blowout")</f>
        <v>Blowout</v>
      </c>
    </row>
    <row r="416" spans="1:13" x14ac:dyDescent="0.25">
      <c r="A416" s="169">
        <f t="shared" ca="1" si="60"/>
        <v>54.770072250644333</v>
      </c>
      <c r="B416" s="168">
        <f t="shared" ca="1" si="61"/>
        <v>9.6665580036672552</v>
      </c>
      <c r="C416" s="168">
        <f t="shared" ca="1" si="62"/>
        <v>45.103514246977078</v>
      </c>
      <c r="D416" s="184">
        <f t="shared" ca="1" si="63"/>
        <v>5.7002388437305296</v>
      </c>
      <c r="E416" s="230">
        <f t="shared" ca="1" si="64"/>
        <v>1.8406597354970248E-8</v>
      </c>
      <c r="F416" s="168">
        <f t="shared" ca="1" si="65"/>
        <v>58.961177958864198</v>
      </c>
      <c r="G416" s="168">
        <f t="shared" ca="1" si="66"/>
        <v>49.294619955196943</v>
      </c>
      <c r="H416" s="184">
        <f t="shared" ca="1" si="67"/>
        <v>6.2299160530352742</v>
      </c>
      <c r="I416" s="184">
        <f t="shared" ca="1" si="68"/>
        <v>1.1138074339364829E-9</v>
      </c>
      <c r="J416" s="223">
        <f t="shared" ca="1" si="69"/>
        <v>1</v>
      </c>
      <c r="K416" s="220" t="str" cm="1">
        <f t="array" aca="1" ref="K416" ca="1">_xlfn.IFS(G416&lt;$B$11,"Fail",G416&lt;25,"Marginal",G416&lt;35,"Solid",TRUE,"Blowout")</f>
        <v>Blowout</v>
      </c>
      <c r="L416" s="226">
        <f ca="1">IF(AND(E416&lt;$B$10,C416&gt;=$B$11),1,0)</f>
        <v>1</v>
      </c>
      <c r="M416" s="217" t="str" cm="1">
        <f t="array" aca="1" ref="M416" ca="1">_xlfn.IFS(C416&lt;$B$11,"Fail",C416&lt;25,"Marginal",C416&lt;35,"Solid",TRUE,"Blowout")</f>
        <v>Blowout</v>
      </c>
    </row>
    <row r="417" spans="1:13" x14ac:dyDescent="0.25">
      <c r="A417" s="169">
        <f t="shared" ca="1" si="60"/>
        <v>20.840377166536648</v>
      </c>
      <c r="B417" s="168">
        <f t="shared" ca="1" si="61"/>
        <v>10.097911264880786</v>
      </c>
      <c r="C417" s="168">
        <f t="shared" ca="1" si="62"/>
        <v>10.742465901655862</v>
      </c>
      <c r="D417" s="184">
        <f t="shared" ca="1" si="63"/>
        <v>1.3576463482371224</v>
      </c>
      <c r="E417" s="230">
        <f t="shared" ca="1" si="64"/>
        <v>8.7959056223518503E-2</v>
      </c>
      <c r="F417" s="168">
        <f t="shared" ca="1" si="65"/>
        <v>7.7081920700654054</v>
      </c>
      <c r="G417" s="168">
        <f t="shared" ca="1" si="66"/>
        <v>-2.3897191948153802</v>
      </c>
      <c r="H417" s="184">
        <f t="shared" ca="1" si="67"/>
        <v>-0.30201571667573651</v>
      </c>
      <c r="I417" s="184">
        <f t="shared" ca="1" si="68"/>
        <v>0.61854230436121627</v>
      </c>
      <c r="J417" s="223">
        <f t="shared" ca="1" si="69"/>
        <v>0</v>
      </c>
      <c r="K417" s="220" t="str" cm="1">
        <f t="array" aca="1" ref="K417" ca="1">_xlfn.IFS(G417&lt;$B$11,"Fail",G417&lt;25,"Marginal",G417&lt;35,"Solid",TRUE,"Blowout")</f>
        <v>Fail</v>
      </c>
      <c r="L417" s="226">
        <f ca="1">IF(AND(E417&lt;$B$10,C417&gt;=$B$11),1,0)</f>
        <v>0</v>
      </c>
      <c r="M417" s="217" t="str" cm="1">
        <f t="array" aca="1" ref="M417" ca="1">_xlfn.IFS(C417&lt;$B$11,"Fail",C417&lt;25,"Marginal",C417&lt;35,"Solid",TRUE,"Blowout")</f>
        <v>Fail</v>
      </c>
    </row>
    <row r="418" spans="1:13" x14ac:dyDescent="0.25">
      <c r="A418" s="169">
        <f t="shared" ca="1" si="60"/>
        <v>12.338507425171741</v>
      </c>
      <c r="B418" s="168">
        <f t="shared" ca="1" si="61"/>
        <v>3.4498308925310299</v>
      </c>
      <c r="C418" s="168">
        <f t="shared" ca="1" si="62"/>
        <v>8.8886765326407122</v>
      </c>
      <c r="D418" s="184">
        <f t="shared" ca="1" si="63"/>
        <v>1.1233621168246424</v>
      </c>
      <c r="E418" s="230">
        <f t="shared" ca="1" si="64"/>
        <v>0.13123258715484373</v>
      </c>
      <c r="F418" s="168">
        <f t="shared" ca="1" si="65"/>
        <v>25.074833119026206</v>
      </c>
      <c r="G418" s="168">
        <f t="shared" ca="1" si="66"/>
        <v>21.625002226495177</v>
      </c>
      <c r="H418" s="184">
        <f t="shared" ca="1" si="67"/>
        <v>2.73299497268084</v>
      </c>
      <c r="I418" s="184">
        <f t="shared" ca="1" si="68"/>
        <v>3.3841188961216411E-3</v>
      </c>
      <c r="J418" s="223">
        <f t="shared" ca="1" si="69"/>
        <v>1</v>
      </c>
      <c r="K418" s="220" t="str" cm="1">
        <f t="array" aca="1" ref="K418" ca="1">_xlfn.IFS(G418&lt;$B$11,"Fail",G418&lt;25,"Marginal",G418&lt;35,"Solid",TRUE,"Blowout")</f>
        <v>Marginal</v>
      </c>
      <c r="L418" s="226">
        <f ca="1">IF(AND(E418&lt;$B$10,C418&gt;=$B$11),1,0)</f>
        <v>0</v>
      </c>
      <c r="M418" s="217" t="str" cm="1">
        <f t="array" aca="1" ref="M418" ca="1">_xlfn.IFS(C418&lt;$B$11,"Fail",C418&lt;25,"Marginal",C418&lt;35,"Solid",TRUE,"Blowout")</f>
        <v>Fail</v>
      </c>
    </row>
    <row r="419" spans="1:13" x14ac:dyDescent="0.25">
      <c r="A419" s="169">
        <f t="shared" ca="1" si="60"/>
        <v>2.5119151398548056</v>
      </c>
      <c r="B419" s="168">
        <f t="shared" ca="1" si="61"/>
        <v>16.038655215358077</v>
      </c>
      <c r="C419" s="168">
        <f t="shared" ca="1" si="62"/>
        <v>-13.526740075503271</v>
      </c>
      <c r="D419" s="184">
        <f t="shared" ca="1" si="63"/>
        <v>-1.7095264192766964</v>
      </c>
      <c r="E419" s="230">
        <f t="shared" ca="1" si="64"/>
        <v>0.95564297896504746</v>
      </c>
      <c r="F419" s="168">
        <f t="shared" ca="1" si="65"/>
        <v>19.219498641601731</v>
      </c>
      <c r="G419" s="168">
        <f t="shared" ca="1" si="66"/>
        <v>3.1808434262436549</v>
      </c>
      <c r="H419" s="184">
        <f t="shared" ca="1" si="67"/>
        <v>0.40199899180393023</v>
      </c>
      <c r="I419" s="184">
        <f t="shared" ca="1" si="68"/>
        <v>0.34403067673297855</v>
      </c>
      <c r="J419" s="223">
        <f t="shared" ca="1" si="69"/>
        <v>0</v>
      </c>
      <c r="K419" s="220" t="str" cm="1">
        <f t="array" aca="1" ref="K419" ca="1">_xlfn.IFS(G419&lt;$B$11,"Fail",G419&lt;25,"Marginal",G419&lt;35,"Solid",TRUE,"Blowout")</f>
        <v>Fail</v>
      </c>
      <c r="L419" s="226">
        <f ca="1">IF(AND(E419&lt;$B$10,C419&gt;=$B$11),1,0)</f>
        <v>0</v>
      </c>
      <c r="M419" s="217" t="str" cm="1">
        <f t="array" aca="1" ref="M419" ca="1">_xlfn.IFS(C419&lt;$B$11,"Fail",C419&lt;25,"Marginal",C419&lt;35,"Solid",TRUE,"Blowout")</f>
        <v>Fail</v>
      </c>
    </row>
    <row r="420" spans="1:13" x14ac:dyDescent="0.25">
      <c r="A420" s="169">
        <f t="shared" ca="1" si="60"/>
        <v>44.308306949426985</v>
      </c>
      <c r="B420" s="168">
        <f t="shared" ca="1" si="61"/>
        <v>5.938753517071385</v>
      </c>
      <c r="C420" s="168">
        <f t="shared" ca="1" si="62"/>
        <v>38.369553432355602</v>
      </c>
      <c r="D420" s="184">
        <f t="shared" ca="1" si="63"/>
        <v>4.8491924086905538</v>
      </c>
      <c r="E420" s="230">
        <f t="shared" ca="1" si="64"/>
        <v>1.1474374722290735E-6</v>
      </c>
      <c r="F420" s="168">
        <f t="shared" ca="1" si="65"/>
        <v>-8.7544144849008241</v>
      </c>
      <c r="G420" s="168">
        <f t="shared" ca="1" si="66"/>
        <v>-14.693168001972209</v>
      </c>
      <c r="H420" s="184">
        <f t="shared" ca="1" si="67"/>
        <v>-1.8569410472913177</v>
      </c>
      <c r="I420" s="184">
        <f t="shared" ca="1" si="68"/>
        <v>0.96769536742454176</v>
      </c>
      <c r="J420" s="223">
        <f t="shared" ca="1" si="69"/>
        <v>0</v>
      </c>
      <c r="K420" s="220" t="str" cm="1">
        <f t="array" aca="1" ref="K420" ca="1">_xlfn.IFS(G420&lt;$B$11,"Fail",G420&lt;25,"Marginal",G420&lt;35,"Solid",TRUE,"Blowout")</f>
        <v>Fail</v>
      </c>
      <c r="L420" s="226">
        <f ca="1">IF(AND(E420&lt;$B$10,C420&gt;=$B$11),1,0)</f>
        <v>1</v>
      </c>
      <c r="M420" s="217" t="str" cm="1">
        <f t="array" aca="1" ref="M420" ca="1">_xlfn.IFS(C420&lt;$B$11,"Fail",C420&lt;25,"Marginal",C420&lt;35,"Solid",TRUE,"Blowout")</f>
        <v>Blowout</v>
      </c>
    </row>
    <row r="421" spans="1:13" x14ac:dyDescent="0.25">
      <c r="A421" s="169">
        <f t="shared" ca="1" si="60"/>
        <v>46.73497840871741</v>
      </c>
      <c r="B421" s="168">
        <f t="shared" ca="1" si="61"/>
        <v>-2.0957644202307728</v>
      </c>
      <c r="C421" s="168">
        <f t="shared" ca="1" si="62"/>
        <v>48.830742828948182</v>
      </c>
      <c r="D421" s="184">
        <f t="shared" ca="1" si="63"/>
        <v>6.1712906785404593</v>
      </c>
      <c r="E421" s="230">
        <f t="shared" ca="1" si="64"/>
        <v>1.5318838002419475E-9</v>
      </c>
      <c r="F421" s="168">
        <f t="shared" ca="1" si="65"/>
        <v>27.840496023542123</v>
      </c>
      <c r="G421" s="168">
        <f t="shared" ca="1" si="66"/>
        <v>29.936260443772895</v>
      </c>
      <c r="H421" s="184">
        <f t="shared" ca="1" si="67"/>
        <v>3.7833822367636212</v>
      </c>
      <c r="I421" s="184">
        <f t="shared" ca="1" si="68"/>
        <v>9.8873750887951996E-5</v>
      </c>
      <c r="J421" s="223">
        <f t="shared" ca="1" si="69"/>
        <v>1</v>
      </c>
      <c r="K421" s="220" t="str" cm="1">
        <f t="array" aca="1" ref="K421" ca="1">_xlfn.IFS(G421&lt;$B$11,"Fail",G421&lt;25,"Marginal",G421&lt;35,"Solid",TRUE,"Blowout")</f>
        <v>Solid</v>
      </c>
      <c r="L421" s="226">
        <f ca="1">IF(AND(E421&lt;$B$10,C421&gt;=$B$11),1,0)</f>
        <v>1</v>
      </c>
      <c r="M421" s="217" t="str" cm="1">
        <f t="array" aca="1" ref="M421" ca="1">_xlfn.IFS(C421&lt;$B$11,"Fail",C421&lt;25,"Marginal",C421&lt;35,"Solid",TRUE,"Blowout")</f>
        <v>Blowout</v>
      </c>
    </row>
    <row r="422" spans="1:13" x14ac:dyDescent="0.25">
      <c r="A422" s="169">
        <f t="shared" ca="1" si="60"/>
        <v>8.3481259091904629</v>
      </c>
      <c r="B422" s="168">
        <f t="shared" ca="1" si="61"/>
        <v>10.216379841653733</v>
      </c>
      <c r="C422" s="168">
        <f t="shared" ca="1" si="62"/>
        <v>-1.8682539324632703</v>
      </c>
      <c r="D422" s="184">
        <f t="shared" ca="1" si="63"/>
        <v>-0.23611228112880797</v>
      </c>
      <c r="E422" s="230">
        <f t="shared" ca="1" si="64"/>
        <v>0.5932212440535034</v>
      </c>
      <c r="F422" s="168">
        <f t="shared" ca="1" si="65"/>
        <v>51.401694889912733</v>
      </c>
      <c r="G422" s="168">
        <f t="shared" ca="1" si="66"/>
        <v>41.185315048259</v>
      </c>
      <c r="H422" s="184">
        <f t="shared" ca="1" si="67"/>
        <v>5.2050519022495001</v>
      </c>
      <c r="I422" s="184">
        <f t="shared" ca="1" si="68"/>
        <v>2.1615045243874534E-7</v>
      </c>
      <c r="J422" s="223">
        <f t="shared" ca="1" si="69"/>
        <v>1</v>
      </c>
      <c r="K422" s="220" t="str" cm="1">
        <f t="array" aca="1" ref="K422" ca="1">_xlfn.IFS(G422&lt;$B$11,"Fail",G422&lt;25,"Marginal",G422&lt;35,"Solid",TRUE,"Blowout")</f>
        <v>Blowout</v>
      </c>
      <c r="L422" s="226">
        <f ca="1">IF(AND(E422&lt;$B$10,C422&gt;=$B$11),1,0)</f>
        <v>0</v>
      </c>
      <c r="M422" s="217" t="str" cm="1">
        <f t="array" aca="1" ref="M422" ca="1">_xlfn.IFS(C422&lt;$B$11,"Fail",C422&lt;25,"Marginal",C422&lt;35,"Solid",TRUE,"Blowout")</f>
        <v>Fail</v>
      </c>
    </row>
    <row r="423" spans="1:13" x14ac:dyDescent="0.25">
      <c r="A423" s="169">
        <f t="shared" ca="1" si="60"/>
        <v>36.846014944119204</v>
      </c>
      <c r="B423" s="168">
        <f t="shared" ca="1" si="61"/>
        <v>2.8501839255428925</v>
      </c>
      <c r="C423" s="168">
        <f t="shared" ca="1" si="62"/>
        <v>33.995831018576311</v>
      </c>
      <c r="D423" s="184">
        <f t="shared" ca="1" si="63"/>
        <v>4.2964358705148058</v>
      </c>
      <c r="E423" s="230">
        <f t="shared" ca="1" si="64"/>
        <v>1.2853330033599381E-5</v>
      </c>
      <c r="F423" s="168">
        <f t="shared" ca="1" si="65"/>
        <v>34.387807587420312</v>
      </c>
      <c r="G423" s="168">
        <f t="shared" ca="1" si="66"/>
        <v>31.537623661877419</v>
      </c>
      <c r="H423" s="184">
        <f t="shared" ca="1" si="67"/>
        <v>3.9857645338231573</v>
      </c>
      <c r="I423" s="184">
        <f t="shared" ca="1" si="68"/>
        <v>4.5282968363507773E-5</v>
      </c>
      <c r="J423" s="223">
        <f t="shared" ca="1" si="69"/>
        <v>1</v>
      </c>
      <c r="K423" s="220" t="str" cm="1">
        <f t="array" aca="1" ref="K423" ca="1">_xlfn.IFS(G423&lt;$B$11,"Fail",G423&lt;25,"Marginal",G423&lt;35,"Solid",TRUE,"Blowout")</f>
        <v>Solid</v>
      </c>
      <c r="L423" s="226">
        <f ca="1">IF(AND(E423&lt;$B$10,C423&gt;=$B$11),1,0)</f>
        <v>1</v>
      </c>
      <c r="M423" s="217" t="str" cm="1">
        <f t="array" aca="1" ref="M423" ca="1">_xlfn.IFS(C423&lt;$B$11,"Fail",C423&lt;25,"Marginal",C423&lt;35,"Solid",TRUE,"Blowout")</f>
        <v>Solid</v>
      </c>
    </row>
    <row r="424" spans="1:13" x14ac:dyDescent="0.25">
      <c r="A424" s="169">
        <f t="shared" ca="1" si="60"/>
        <v>29.05308713853589</v>
      </c>
      <c r="B424" s="168">
        <f t="shared" ca="1" si="61"/>
        <v>5.0965506565819192</v>
      </c>
      <c r="C424" s="168">
        <f t="shared" ca="1" si="62"/>
        <v>23.956536481953972</v>
      </c>
      <c r="D424" s="184">
        <f t="shared" ca="1" si="63"/>
        <v>3.0276572035588987</v>
      </c>
      <c r="E424" s="230">
        <f t="shared" ca="1" si="64"/>
        <v>1.3740411529107408E-3</v>
      </c>
      <c r="F424" s="168">
        <f t="shared" ca="1" si="65"/>
        <v>-2.0578936389151465</v>
      </c>
      <c r="G424" s="168">
        <f t="shared" ca="1" si="66"/>
        <v>-7.1544442954970657</v>
      </c>
      <c r="H424" s="184">
        <f t="shared" ca="1" si="67"/>
        <v>-0.90418766606932333</v>
      </c>
      <c r="I424" s="184">
        <f t="shared" ca="1" si="68"/>
        <v>0.81657486339765473</v>
      </c>
      <c r="J424" s="223">
        <f t="shared" ca="1" si="69"/>
        <v>0</v>
      </c>
      <c r="K424" s="220" t="str" cm="1">
        <f t="array" aca="1" ref="K424" ca="1">_xlfn.IFS(G424&lt;$B$11,"Fail",G424&lt;25,"Marginal",G424&lt;35,"Solid",TRUE,"Blowout")</f>
        <v>Fail</v>
      </c>
      <c r="L424" s="226">
        <f ca="1">IF(AND(E424&lt;$B$10,C424&gt;=$B$11),1,0)</f>
        <v>1</v>
      </c>
      <c r="M424" s="217" t="str" cm="1">
        <f t="array" aca="1" ref="M424" ca="1">_xlfn.IFS(C424&lt;$B$11,"Fail",C424&lt;25,"Marginal",C424&lt;35,"Solid",TRUE,"Blowout")</f>
        <v>Marginal</v>
      </c>
    </row>
    <row r="425" spans="1:13" x14ac:dyDescent="0.25">
      <c r="A425" s="169">
        <f t="shared" ca="1" si="60"/>
        <v>35.761446860883815</v>
      </c>
      <c r="B425" s="168">
        <f t="shared" ca="1" si="61"/>
        <v>3.548931432699721</v>
      </c>
      <c r="C425" s="168">
        <f t="shared" ca="1" si="62"/>
        <v>32.212515428184091</v>
      </c>
      <c r="D425" s="184">
        <f t="shared" ca="1" si="63"/>
        <v>4.0710582038584811</v>
      </c>
      <c r="E425" s="230">
        <f t="shared" ca="1" si="64"/>
        <v>3.2279460672606067E-5</v>
      </c>
      <c r="F425" s="168">
        <f t="shared" ca="1" si="65"/>
        <v>13.424950523942901</v>
      </c>
      <c r="G425" s="168">
        <f t="shared" ca="1" si="66"/>
        <v>9.8760190912431796</v>
      </c>
      <c r="H425" s="184">
        <f t="shared" ca="1" si="67"/>
        <v>1.2481437108662037</v>
      </c>
      <c r="I425" s="184">
        <f t="shared" ca="1" si="68"/>
        <v>0.10662933596189395</v>
      </c>
      <c r="J425" s="223">
        <f t="shared" ca="1" si="69"/>
        <v>0</v>
      </c>
      <c r="K425" s="220" t="str" cm="1">
        <f t="array" aca="1" ref="K425" ca="1">_xlfn.IFS(G425&lt;$B$11,"Fail",G425&lt;25,"Marginal",G425&lt;35,"Solid",TRUE,"Blowout")</f>
        <v>Fail</v>
      </c>
      <c r="L425" s="226">
        <f ca="1">IF(AND(E425&lt;$B$10,C425&gt;=$B$11),1,0)</f>
        <v>1</v>
      </c>
      <c r="M425" s="217" t="str" cm="1">
        <f t="array" aca="1" ref="M425" ca="1">_xlfn.IFS(C425&lt;$B$11,"Fail",C425&lt;25,"Marginal",C425&lt;35,"Solid",TRUE,"Blowout")</f>
        <v>Solid</v>
      </c>
    </row>
    <row r="426" spans="1:13" x14ac:dyDescent="0.25">
      <c r="A426" s="169">
        <f t="shared" ca="1" si="60"/>
        <v>6.4276214611016425</v>
      </c>
      <c r="B426" s="168">
        <f t="shared" ca="1" si="61"/>
        <v>2.6975174278058298</v>
      </c>
      <c r="C426" s="168">
        <f t="shared" ca="1" si="62"/>
        <v>3.7301040332958126</v>
      </c>
      <c r="D426" s="184">
        <f t="shared" ca="1" si="63"/>
        <v>0.47141523796394114</v>
      </c>
      <c r="E426" s="230">
        <f t="shared" ca="1" si="64"/>
        <v>0.31889750425547481</v>
      </c>
      <c r="F426" s="168">
        <f t="shared" ca="1" si="65"/>
        <v>38.835499289439412</v>
      </c>
      <c r="G426" s="168">
        <f t="shared" ca="1" si="66"/>
        <v>36.137981861633584</v>
      </c>
      <c r="H426" s="184">
        <f t="shared" ca="1" si="67"/>
        <v>4.5671635876026944</v>
      </c>
      <c r="I426" s="184">
        <f t="shared" ca="1" si="68"/>
        <v>4.0462381531429505E-6</v>
      </c>
      <c r="J426" s="223">
        <f t="shared" ca="1" si="69"/>
        <v>1</v>
      </c>
      <c r="K426" s="220" t="str" cm="1">
        <f t="array" aca="1" ref="K426" ca="1">_xlfn.IFS(G426&lt;$B$11,"Fail",G426&lt;25,"Marginal",G426&lt;35,"Solid",TRUE,"Blowout")</f>
        <v>Blowout</v>
      </c>
      <c r="L426" s="226">
        <f ca="1">IF(AND(E426&lt;$B$10,C426&gt;=$B$11),1,0)</f>
        <v>0</v>
      </c>
      <c r="M426" s="217" t="str" cm="1">
        <f t="array" aca="1" ref="M426" ca="1">_xlfn.IFS(C426&lt;$B$11,"Fail",C426&lt;25,"Marginal",C426&lt;35,"Solid",TRUE,"Blowout")</f>
        <v>Fail</v>
      </c>
    </row>
    <row r="427" spans="1:13" x14ac:dyDescent="0.25">
      <c r="A427" s="169">
        <f t="shared" ca="1" si="60"/>
        <v>19.776033359927805</v>
      </c>
      <c r="B427" s="168">
        <f t="shared" ca="1" si="61"/>
        <v>10.857689804968832</v>
      </c>
      <c r="C427" s="168">
        <f t="shared" ca="1" si="62"/>
        <v>8.9183435549589731</v>
      </c>
      <c r="D427" s="184">
        <f t="shared" ca="1" si="63"/>
        <v>1.1271114724085636</v>
      </c>
      <c r="E427" s="230">
        <f t="shared" ca="1" si="64"/>
        <v>0.13044007498410995</v>
      </c>
      <c r="F427" s="168">
        <f t="shared" ca="1" si="65"/>
        <v>22.179461490308306</v>
      </c>
      <c r="G427" s="168">
        <f t="shared" ca="1" si="66"/>
        <v>11.321771685339474</v>
      </c>
      <c r="H427" s="184">
        <f t="shared" ca="1" si="67"/>
        <v>1.4308597415986475</v>
      </c>
      <c r="I427" s="184">
        <f t="shared" ca="1" si="68"/>
        <v>7.6919778655830925E-2</v>
      </c>
      <c r="J427" s="223">
        <f t="shared" ca="1" si="69"/>
        <v>0</v>
      </c>
      <c r="K427" s="220" t="str" cm="1">
        <f t="array" aca="1" ref="K427" ca="1">_xlfn.IFS(G427&lt;$B$11,"Fail",G427&lt;25,"Marginal",G427&lt;35,"Solid",TRUE,"Blowout")</f>
        <v>Fail</v>
      </c>
      <c r="L427" s="226">
        <f ca="1">IF(AND(E427&lt;$B$10,C427&gt;=$B$11),1,0)</f>
        <v>0</v>
      </c>
      <c r="M427" s="217" t="str" cm="1">
        <f t="array" aca="1" ref="M427" ca="1">_xlfn.IFS(C427&lt;$B$11,"Fail",C427&lt;25,"Marginal",C427&lt;35,"Solid",TRUE,"Blowout")</f>
        <v>Fail</v>
      </c>
    </row>
    <row r="428" spans="1:13" x14ac:dyDescent="0.25">
      <c r="A428" s="169">
        <f t="shared" ca="1" si="60"/>
        <v>45.466775091194606</v>
      </c>
      <c r="B428" s="168">
        <f t="shared" ca="1" si="61"/>
        <v>9.7819574637034723</v>
      </c>
      <c r="C428" s="168">
        <f t="shared" ca="1" si="62"/>
        <v>35.684817627491135</v>
      </c>
      <c r="D428" s="184">
        <f t="shared" ca="1" si="63"/>
        <v>4.5098921218826744</v>
      </c>
      <c r="E428" s="230">
        <f t="shared" ca="1" si="64"/>
        <v>5.1901107780818839E-6</v>
      </c>
      <c r="F428" s="168">
        <f t="shared" ca="1" si="65"/>
        <v>40.890870689501817</v>
      </c>
      <c r="G428" s="168">
        <f t="shared" ca="1" si="66"/>
        <v>31.108913225798347</v>
      </c>
      <c r="H428" s="184">
        <f t="shared" ca="1" si="67"/>
        <v>3.9315835698506136</v>
      </c>
      <c r="I428" s="184">
        <f t="shared" ca="1" si="68"/>
        <v>5.5984630286968923E-5</v>
      </c>
      <c r="J428" s="223">
        <f t="shared" ca="1" si="69"/>
        <v>1</v>
      </c>
      <c r="K428" s="220" t="str" cm="1">
        <f t="array" aca="1" ref="K428" ca="1">_xlfn.IFS(G428&lt;$B$11,"Fail",G428&lt;25,"Marginal",G428&lt;35,"Solid",TRUE,"Blowout")</f>
        <v>Solid</v>
      </c>
      <c r="L428" s="226">
        <f ca="1">IF(AND(E428&lt;$B$10,C428&gt;=$B$11),1,0)</f>
        <v>1</v>
      </c>
      <c r="M428" s="217" t="str" cm="1">
        <f t="array" aca="1" ref="M428" ca="1">_xlfn.IFS(C428&lt;$B$11,"Fail",C428&lt;25,"Marginal",C428&lt;35,"Solid",TRUE,"Blowout")</f>
        <v>Blowout</v>
      </c>
    </row>
    <row r="429" spans="1:13" x14ac:dyDescent="0.25">
      <c r="A429" s="169">
        <f t="shared" ca="1" si="60"/>
        <v>63.721300623063343</v>
      </c>
      <c r="B429" s="168">
        <f t="shared" ca="1" si="61"/>
        <v>5.9263087746541547</v>
      </c>
      <c r="C429" s="168">
        <f t="shared" ca="1" si="62"/>
        <v>57.79499184840919</v>
      </c>
      <c r="D429" s="184">
        <f t="shared" ca="1" si="63"/>
        <v>7.3042037412743603</v>
      </c>
      <c r="E429" s="230">
        <f t="shared" ca="1" si="64"/>
        <v>2.3172274761409543E-12</v>
      </c>
      <c r="F429" s="168">
        <f t="shared" ca="1" si="65"/>
        <v>58.007475092399531</v>
      </c>
      <c r="G429" s="168">
        <f t="shared" ca="1" si="66"/>
        <v>52.081166317745378</v>
      </c>
      <c r="H429" s="184">
        <f t="shared" ca="1" si="67"/>
        <v>6.5820832861399365</v>
      </c>
      <c r="I429" s="184">
        <f t="shared" ca="1" si="68"/>
        <v>1.5753158412709659E-10</v>
      </c>
      <c r="J429" s="223">
        <f t="shared" ca="1" si="69"/>
        <v>1</v>
      </c>
      <c r="K429" s="220" t="str" cm="1">
        <f t="array" aca="1" ref="K429" ca="1">_xlfn.IFS(G429&lt;$B$11,"Fail",G429&lt;25,"Marginal",G429&lt;35,"Solid",TRUE,"Blowout")</f>
        <v>Blowout</v>
      </c>
      <c r="L429" s="226">
        <f ca="1">IF(AND(E429&lt;$B$10,C429&gt;=$B$11),1,0)</f>
        <v>1</v>
      </c>
      <c r="M429" s="217" t="str" cm="1">
        <f t="array" aca="1" ref="M429" ca="1">_xlfn.IFS(C429&lt;$B$11,"Fail",C429&lt;25,"Marginal",C429&lt;35,"Solid",TRUE,"Blowout")</f>
        <v>Blowout</v>
      </c>
    </row>
    <row r="430" spans="1:13" x14ac:dyDescent="0.25">
      <c r="A430" s="169">
        <f t="shared" ca="1" si="60"/>
        <v>5.107329645821439</v>
      </c>
      <c r="B430" s="168">
        <f t="shared" ca="1" si="61"/>
        <v>12.130978428014089</v>
      </c>
      <c r="C430" s="168">
        <f t="shared" ca="1" si="62"/>
        <v>-7.0236487821926499</v>
      </c>
      <c r="D430" s="184">
        <f t="shared" ca="1" si="63"/>
        <v>-0.88765756463552048</v>
      </c>
      <c r="E430" s="230">
        <f t="shared" ca="1" si="64"/>
        <v>0.81216979917067511</v>
      </c>
      <c r="F430" s="168">
        <f t="shared" ca="1" si="65"/>
        <v>16.368468056045735</v>
      </c>
      <c r="G430" s="168">
        <f t="shared" ca="1" si="66"/>
        <v>4.2374896280316463</v>
      </c>
      <c r="H430" s="184">
        <f t="shared" ca="1" si="67"/>
        <v>0.53553926741373858</v>
      </c>
      <c r="I430" s="184">
        <f t="shared" ca="1" si="68"/>
        <v>0.2963995022888139</v>
      </c>
      <c r="J430" s="223">
        <f t="shared" ca="1" si="69"/>
        <v>0</v>
      </c>
      <c r="K430" s="220" t="str" cm="1">
        <f t="array" aca="1" ref="K430" ca="1">_xlfn.IFS(G430&lt;$B$11,"Fail",G430&lt;25,"Marginal",G430&lt;35,"Solid",TRUE,"Blowout")</f>
        <v>Fail</v>
      </c>
      <c r="L430" s="226">
        <f ca="1">IF(AND(E430&lt;$B$10,C430&gt;=$B$11),1,0)</f>
        <v>0</v>
      </c>
      <c r="M430" s="217" t="str" cm="1">
        <f t="array" aca="1" ref="M430" ca="1">_xlfn.IFS(C430&lt;$B$11,"Fail",C430&lt;25,"Marginal",C430&lt;35,"Solid",TRUE,"Blowout")</f>
        <v>Fail</v>
      </c>
    </row>
    <row r="431" spans="1:13" x14ac:dyDescent="0.25">
      <c r="A431" s="169">
        <f t="shared" ca="1" si="60"/>
        <v>4.8821119553051089</v>
      </c>
      <c r="B431" s="168">
        <f t="shared" ca="1" si="61"/>
        <v>14.21195525122357</v>
      </c>
      <c r="C431" s="168">
        <f t="shared" ca="1" si="62"/>
        <v>-9.3298432959184616</v>
      </c>
      <c r="D431" s="184">
        <f t="shared" ca="1" si="63"/>
        <v>-1.1791173270911515</v>
      </c>
      <c r="E431" s="230">
        <f t="shared" ca="1" si="64"/>
        <v>0.88020978443521725</v>
      </c>
      <c r="F431" s="168">
        <f t="shared" ca="1" si="65"/>
        <v>32.790266412523991</v>
      </c>
      <c r="G431" s="168">
        <f t="shared" ca="1" si="66"/>
        <v>18.578311161300419</v>
      </c>
      <c r="H431" s="184">
        <f t="shared" ca="1" si="67"/>
        <v>2.3479503249495637</v>
      </c>
      <c r="I431" s="184">
        <f t="shared" ca="1" si="68"/>
        <v>9.8664632389164671E-3</v>
      </c>
      <c r="J431" s="223">
        <f t="shared" ca="1" si="69"/>
        <v>0</v>
      </c>
      <c r="K431" s="220" t="str" cm="1">
        <f t="array" aca="1" ref="K431" ca="1">_xlfn.IFS(G431&lt;$B$11,"Fail",G431&lt;25,"Marginal",G431&lt;35,"Solid",TRUE,"Blowout")</f>
        <v>Fail</v>
      </c>
      <c r="L431" s="226">
        <f ca="1">IF(AND(E431&lt;$B$10,C431&gt;=$B$11),1,0)</f>
        <v>0</v>
      </c>
      <c r="M431" s="217" t="str" cm="1">
        <f t="array" aca="1" ref="M431" ca="1">_xlfn.IFS(C431&lt;$B$11,"Fail",C431&lt;25,"Marginal",C431&lt;35,"Solid",TRUE,"Blowout")</f>
        <v>Fail</v>
      </c>
    </row>
    <row r="432" spans="1:13" x14ac:dyDescent="0.25">
      <c r="A432" s="169">
        <f t="shared" ca="1" si="60"/>
        <v>29.228027750101898</v>
      </c>
      <c r="B432" s="168">
        <f t="shared" ca="1" si="61"/>
        <v>17.119482665107149</v>
      </c>
      <c r="C432" s="168">
        <f t="shared" ca="1" si="62"/>
        <v>12.108545084994748</v>
      </c>
      <c r="D432" s="184">
        <f t="shared" ca="1" si="63"/>
        <v>1.5302931531366297</v>
      </c>
      <c r="E432" s="230">
        <f t="shared" ca="1" si="64"/>
        <v>6.3665209168022693E-2</v>
      </c>
      <c r="F432" s="168">
        <f t="shared" ca="1" si="65"/>
        <v>29.846188399929659</v>
      </c>
      <c r="G432" s="168">
        <f t="shared" ca="1" si="66"/>
        <v>12.726705734822509</v>
      </c>
      <c r="H432" s="184">
        <f t="shared" ca="1" si="67"/>
        <v>1.6084170733375944</v>
      </c>
      <c r="I432" s="184">
        <f t="shared" ca="1" si="68"/>
        <v>5.4563830405944279E-2</v>
      </c>
      <c r="J432" s="223">
        <f t="shared" ca="1" si="69"/>
        <v>0</v>
      </c>
      <c r="K432" s="220" t="str" cm="1">
        <f t="array" aca="1" ref="K432" ca="1">_xlfn.IFS(G432&lt;$B$11,"Fail",G432&lt;25,"Marginal",G432&lt;35,"Solid",TRUE,"Blowout")</f>
        <v>Fail</v>
      </c>
      <c r="L432" s="226">
        <f ca="1">IF(AND(E432&lt;$B$10,C432&gt;=$B$11),1,0)</f>
        <v>0</v>
      </c>
      <c r="M432" s="217" t="str" cm="1">
        <f t="array" aca="1" ref="M432" ca="1">_xlfn.IFS(C432&lt;$B$11,"Fail",C432&lt;25,"Marginal",C432&lt;35,"Solid",TRUE,"Blowout")</f>
        <v>Fail</v>
      </c>
    </row>
    <row r="433" spans="1:13" x14ac:dyDescent="0.25">
      <c r="A433" s="169">
        <f t="shared" ca="1" si="60"/>
        <v>-1.7392514982858747</v>
      </c>
      <c r="B433" s="168">
        <f t="shared" ca="1" si="61"/>
        <v>-5.8953733003424116</v>
      </c>
      <c r="C433" s="168">
        <f t="shared" ca="1" si="62"/>
        <v>4.1561218020565374</v>
      </c>
      <c r="D433" s="184">
        <f t="shared" ca="1" si="63"/>
        <v>0.52525589925503002</v>
      </c>
      <c r="E433" s="230">
        <f t="shared" ca="1" si="64"/>
        <v>0.29995785964424088</v>
      </c>
      <c r="F433" s="168">
        <f t="shared" ca="1" si="65"/>
        <v>15.15542444622754</v>
      </c>
      <c r="G433" s="168">
        <f t="shared" ca="1" si="66"/>
        <v>21.050797746569952</v>
      </c>
      <c r="H433" s="184">
        <f t="shared" ca="1" si="67"/>
        <v>2.6604262885026837</v>
      </c>
      <c r="I433" s="184">
        <f t="shared" ca="1" si="68"/>
        <v>4.1792649106475333E-3</v>
      </c>
      <c r="J433" s="223">
        <f t="shared" ca="1" si="69"/>
        <v>1</v>
      </c>
      <c r="K433" s="220" t="str" cm="1">
        <f t="array" aca="1" ref="K433" ca="1">_xlfn.IFS(G433&lt;$B$11,"Fail",G433&lt;25,"Marginal",G433&lt;35,"Solid",TRUE,"Blowout")</f>
        <v>Marginal</v>
      </c>
      <c r="L433" s="226">
        <f ca="1">IF(AND(E433&lt;$B$10,C433&gt;=$B$11),1,0)</f>
        <v>0</v>
      </c>
      <c r="M433" s="217" t="str" cm="1">
        <f t="array" aca="1" ref="M433" ca="1">_xlfn.IFS(C433&lt;$B$11,"Fail",C433&lt;25,"Marginal",C433&lt;35,"Solid",TRUE,"Blowout")</f>
        <v>Fail</v>
      </c>
    </row>
    <row r="434" spans="1:13" x14ac:dyDescent="0.25">
      <c r="A434" s="169">
        <f t="shared" ca="1" si="60"/>
        <v>49.323870866105437</v>
      </c>
      <c r="B434" s="168">
        <f t="shared" ca="1" si="61"/>
        <v>-0.66673493254059135</v>
      </c>
      <c r="C434" s="168">
        <f t="shared" ca="1" si="62"/>
        <v>49.99060579864603</v>
      </c>
      <c r="D434" s="184">
        <f t="shared" ca="1" si="63"/>
        <v>6.3178756190635674</v>
      </c>
      <c r="E434" s="230">
        <f t="shared" ca="1" si="64"/>
        <v>6.8787916029383615E-10</v>
      </c>
      <c r="F434" s="168">
        <f t="shared" ca="1" si="65"/>
        <v>23.557517230370333</v>
      </c>
      <c r="G434" s="168">
        <f t="shared" ca="1" si="66"/>
        <v>24.224252162910926</v>
      </c>
      <c r="H434" s="184">
        <f t="shared" ca="1" si="67"/>
        <v>3.0614914479441655</v>
      </c>
      <c r="I434" s="184">
        <f t="shared" ca="1" si="68"/>
        <v>1.2333374433188171E-3</v>
      </c>
      <c r="J434" s="223">
        <f t="shared" ca="1" si="69"/>
        <v>1</v>
      </c>
      <c r="K434" s="220" t="str" cm="1">
        <f t="array" aca="1" ref="K434" ca="1">_xlfn.IFS(G434&lt;$B$11,"Fail",G434&lt;25,"Marginal",G434&lt;35,"Solid",TRUE,"Blowout")</f>
        <v>Marginal</v>
      </c>
      <c r="L434" s="226">
        <f ca="1">IF(AND(E434&lt;$B$10,C434&gt;=$B$11),1,0)</f>
        <v>1</v>
      </c>
      <c r="M434" s="217" t="str" cm="1">
        <f t="array" aca="1" ref="M434" ca="1">_xlfn.IFS(C434&lt;$B$11,"Fail",C434&lt;25,"Marginal",C434&lt;35,"Solid",TRUE,"Blowout")</f>
        <v>Blowout</v>
      </c>
    </row>
    <row r="435" spans="1:13" x14ac:dyDescent="0.25">
      <c r="A435" s="169">
        <f t="shared" ca="1" si="60"/>
        <v>56.337625731352325</v>
      </c>
      <c r="B435" s="168">
        <f t="shared" ca="1" si="61"/>
        <v>-0.54371823892324667</v>
      </c>
      <c r="C435" s="168">
        <f t="shared" ca="1" si="62"/>
        <v>56.881343970275573</v>
      </c>
      <c r="D435" s="184">
        <f t="shared" ca="1" si="63"/>
        <v>7.1887357736142068</v>
      </c>
      <c r="E435" s="230">
        <f t="shared" ca="1" si="64"/>
        <v>4.6314251923771993E-12</v>
      </c>
      <c r="F435" s="168">
        <f t="shared" ca="1" si="65"/>
        <v>7.6602110457773733</v>
      </c>
      <c r="G435" s="168">
        <f t="shared" ca="1" si="66"/>
        <v>8.2039292847006209</v>
      </c>
      <c r="H435" s="184">
        <f t="shared" ca="1" si="67"/>
        <v>1.0368228986281958</v>
      </c>
      <c r="I435" s="184">
        <f t="shared" ca="1" si="68"/>
        <v>0.15045838355024507</v>
      </c>
      <c r="J435" s="223">
        <f t="shared" ca="1" si="69"/>
        <v>0</v>
      </c>
      <c r="K435" s="220" t="str" cm="1">
        <f t="array" aca="1" ref="K435" ca="1">_xlfn.IFS(G435&lt;$B$11,"Fail",G435&lt;25,"Marginal",G435&lt;35,"Solid",TRUE,"Blowout")</f>
        <v>Fail</v>
      </c>
      <c r="L435" s="226">
        <f ca="1">IF(AND(E435&lt;$B$10,C435&gt;=$B$11),1,0)</f>
        <v>1</v>
      </c>
      <c r="M435" s="217" t="str" cm="1">
        <f t="array" aca="1" ref="M435" ca="1">_xlfn.IFS(C435&lt;$B$11,"Fail",C435&lt;25,"Marginal",C435&lt;35,"Solid",TRUE,"Blowout")</f>
        <v>Blowout</v>
      </c>
    </row>
    <row r="436" spans="1:13" x14ac:dyDescent="0.25">
      <c r="A436" s="169">
        <f t="shared" ca="1" si="60"/>
        <v>16.072906952015689</v>
      </c>
      <c r="B436" s="168">
        <f t="shared" ca="1" si="61"/>
        <v>5.3771796414448412</v>
      </c>
      <c r="C436" s="168">
        <f t="shared" ca="1" si="62"/>
        <v>10.695727310570849</v>
      </c>
      <c r="D436" s="184">
        <f t="shared" ca="1" si="63"/>
        <v>1.3517394663266538</v>
      </c>
      <c r="E436" s="230">
        <f t="shared" ca="1" si="64"/>
        <v>8.8899082583709169E-2</v>
      </c>
      <c r="F436" s="168">
        <f t="shared" ca="1" si="65"/>
        <v>6.0081364347895176</v>
      </c>
      <c r="G436" s="168">
        <f t="shared" ca="1" si="66"/>
        <v>0.63095679334467647</v>
      </c>
      <c r="H436" s="184">
        <f t="shared" ca="1" si="67"/>
        <v>7.9741112908514281E-2</v>
      </c>
      <c r="I436" s="184">
        <f t="shared" ca="1" si="68"/>
        <v>0.46825655277762279</v>
      </c>
      <c r="J436" s="223">
        <f t="shared" ca="1" si="69"/>
        <v>0</v>
      </c>
      <c r="K436" s="220" t="str" cm="1">
        <f t="array" aca="1" ref="K436" ca="1">_xlfn.IFS(G436&lt;$B$11,"Fail",G436&lt;25,"Marginal",G436&lt;35,"Solid",TRUE,"Blowout")</f>
        <v>Fail</v>
      </c>
      <c r="L436" s="226">
        <f ca="1">IF(AND(E436&lt;$B$10,C436&gt;=$B$11),1,0)</f>
        <v>0</v>
      </c>
      <c r="M436" s="217" t="str" cm="1">
        <f t="array" aca="1" ref="M436" ca="1">_xlfn.IFS(C436&lt;$B$11,"Fail",C436&lt;25,"Marginal",C436&lt;35,"Solid",TRUE,"Blowout")</f>
        <v>Fail</v>
      </c>
    </row>
    <row r="437" spans="1:13" x14ac:dyDescent="0.25">
      <c r="A437" s="169">
        <f t="shared" ca="1" si="60"/>
        <v>4.138129739519834</v>
      </c>
      <c r="B437" s="168">
        <f t="shared" ca="1" si="61"/>
        <v>5.3057700946183903</v>
      </c>
      <c r="C437" s="168">
        <f t="shared" ca="1" si="62"/>
        <v>-1.1676403550985563</v>
      </c>
      <c r="D437" s="184">
        <f t="shared" ca="1" si="63"/>
        <v>-0.14756785626934127</v>
      </c>
      <c r="E437" s="230">
        <f t="shared" ca="1" si="64"/>
        <v>0.55859288132698492</v>
      </c>
      <c r="F437" s="168">
        <f t="shared" ca="1" si="65"/>
        <v>31.568070373388167</v>
      </c>
      <c r="G437" s="168">
        <f t="shared" ca="1" si="66"/>
        <v>26.262300278769779</v>
      </c>
      <c r="H437" s="184">
        <f t="shared" ca="1" si="67"/>
        <v>3.3190625314698594</v>
      </c>
      <c r="I437" s="184">
        <f t="shared" ca="1" si="68"/>
        <v>5.2568449994509455E-4</v>
      </c>
      <c r="J437" s="223">
        <f t="shared" ca="1" si="69"/>
        <v>1</v>
      </c>
      <c r="K437" s="220" t="str" cm="1">
        <f t="array" aca="1" ref="K437" ca="1">_xlfn.IFS(G437&lt;$B$11,"Fail",G437&lt;25,"Marginal",G437&lt;35,"Solid",TRUE,"Blowout")</f>
        <v>Solid</v>
      </c>
      <c r="L437" s="226">
        <f ca="1">IF(AND(E437&lt;$B$10,C437&gt;=$B$11),1,0)</f>
        <v>0</v>
      </c>
      <c r="M437" s="217" t="str" cm="1">
        <f t="array" aca="1" ref="M437" ca="1">_xlfn.IFS(C437&lt;$B$11,"Fail",C437&lt;25,"Marginal",C437&lt;35,"Solid",TRUE,"Blowout")</f>
        <v>Fail</v>
      </c>
    </row>
    <row r="438" spans="1:13" x14ac:dyDescent="0.25">
      <c r="A438" s="169">
        <f t="shared" ca="1" si="60"/>
        <v>36.687760160253987</v>
      </c>
      <c r="B438" s="168">
        <f t="shared" ca="1" si="61"/>
        <v>2.1494938490206414</v>
      </c>
      <c r="C438" s="168">
        <f t="shared" ca="1" si="62"/>
        <v>34.538266311233343</v>
      </c>
      <c r="D438" s="184">
        <f t="shared" ca="1" si="63"/>
        <v>4.3649895248594044</v>
      </c>
      <c r="E438" s="230">
        <f t="shared" ca="1" si="64"/>
        <v>9.6408311005092826E-6</v>
      </c>
      <c r="F438" s="168">
        <f t="shared" ca="1" si="65"/>
        <v>14.320700344336396</v>
      </c>
      <c r="G438" s="168">
        <f t="shared" ca="1" si="66"/>
        <v>12.171206495315754</v>
      </c>
      <c r="H438" s="184">
        <f t="shared" ca="1" si="67"/>
        <v>1.5382123809635095</v>
      </c>
      <c r="I438" s="184">
        <f t="shared" ca="1" si="68"/>
        <v>6.2691658170030404E-2</v>
      </c>
      <c r="J438" s="223">
        <f t="shared" ca="1" si="69"/>
        <v>0</v>
      </c>
      <c r="K438" s="220" t="str" cm="1">
        <f t="array" aca="1" ref="K438" ca="1">_xlfn.IFS(G438&lt;$B$11,"Fail",G438&lt;25,"Marginal",G438&lt;35,"Solid",TRUE,"Blowout")</f>
        <v>Fail</v>
      </c>
      <c r="L438" s="226">
        <f ca="1">IF(AND(E438&lt;$B$10,C438&gt;=$B$11),1,0)</f>
        <v>1</v>
      </c>
      <c r="M438" s="217" t="str" cm="1">
        <f t="array" aca="1" ref="M438" ca="1">_xlfn.IFS(C438&lt;$B$11,"Fail",C438&lt;25,"Marginal",C438&lt;35,"Solid",TRUE,"Blowout")</f>
        <v>Solid</v>
      </c>
    </row>
    <row r="439" spans="1:13" x14ac:dyDescent="0.25">
      <c r="A439" s="169">
        <f t="shared" ca="1" si="60"/>
        <v>20.794483146214279</v>
      </c>
      <c r="B439" s="168">
        <f t="shared" ca="1" si="61"/>
        <v>3.1487079436954555</v>
      </c>
      <c r="C439" s="168">
        <f t="shared" ca="1" si="62"/>
        <v>17.645775202518823</v>
      </c>
      <c r="D439" s="184">
        <f t="shared" ca="1" si="63"/>
        <v>2.2300952579072297</v>
      </c>
      <c r="E439" s="230">
        <f t="shared" ca="1" si="64"/>
        <v>1.3357764264002798E-2</v>
      </c>
      <c r="F439" s="168">
        <f t="shared" ca="1" si="65"/>
        <v>1.7187204411776893</v>
      </c>
      <c r="G439" s="168">
        <f t="shared" ca="1" si="66"/>
        <v>-1.4299875025177662</v>
      </c>
      <c r="H439" s="184">
        <f t="shared" ca="1" si="67"/>
        <v>-0.18072361863570957</v>
      </c>
      <c r="I439" s="184">
        <f t="shared" ca="1" si="68"/>
        <v>0.57162747095755251</v>
      </c>
      <c r="J439" s="223">
        <f t="shared" ca="1" si="69"/>
        <v>0</v>
      </c>
      <c r="K439" s="220" t="str" cm="1">
        <f t="array" aca="1" ref="K439" ca="1">_xlfn.IFS(G439&lt;$B$11,"Fail",G439&lt;25,"Marginal",G439&lt;35,"Solid",TRUE,"Blowout")</f>
        <v>Fail</v>
      </c>
      <c r="L439" s="226">
        <f ca="1">IF(AND(E439&lt;$B$10,C439&gt;=$B$11),1,0)</f>
        <v>0</v>
      </c>
      <c r="M439" s="217" t="str" cm="1">
        <f t="array" aca="1" ref="M439" ca="1">_xlfn.IFS(C439&lt;$B$11,"Fail",C439&lt;25,"Marginal",C439&lt;35,"Solid",TRUE,"Blowout")</f>
        <v>Fail</v>
      </c>
    </row>
    <row r="440" spans="1:13" x14ac:dyDescent="0.25">
      <c r="A440" s="169">
        <f t="shared" ca="1" si="60"/>
        <v>38.577829291702564</v>
      </c>
      <c r="B440" s="168">
        <f t="shared" ca="1" si="61"/>
        <v>6.776812383131591</v>
      </c>
      <c r="C440" s="168">
        <f t="shared" ca="1" si="62"/>
        <v>31.801016908570972</v>
      </c>
      <c r="D440" s="184">
        <f t="shared" ca="1" si="63"/>
        <v>4.0190525035311833</v>
      </c>
      <c r="E440" s="230">
        <f t="shared" ca="1" si="64"/>
        <v>3.9705145763134439E-5</v>
      </c>
      <c r="F440" s="168">
        <f t="shared" ca="1" si="65"/>
        <v>29.36577867091383</v>
      </c>
      <c r="G440" s="168">
        <f t="shared" ca="1" si="66"/>
        <v>22.588966287782238</v>
      </c>
      <c r="H440" s="184">
        <f t="shared" ca="1" si="67"/>
        <v>2.8548219628355378</v>
      </c>
      <c r="I440" s="184">
        <f t="shared" ca="1" si="68"/>
        <v>2.3515149917428401E-3</v>
      </c>
      <c r="J440" s="223">
        <f t="shared" ca="1" si="69"/>
        <v>1</v>
      </c>
      <c r="K440" s="220" t="str" cm="1">
        <f t="array" aca="1" ref="K440" ca="1">_xlfn.IFS(G440&lt;$B$11,"Fail",G440&lt;25,"Marginal",G440&lt;35,"Solid",TRUE,"Blowout")</f>
        <v>Marginal</v>
      </c>
      <c r="L440" s="226">
        <f ca="1">IF(AND(E440&lt;$B$10,C440&gt;=$B$11),1,0)</f>
        <v>1</v>
      </c>
      <c r="M440" s="217" t="str" cm="1">
        <f t="array" aca="1" ref="M440" ca="1">_xlfn.IFS(C440&lt;$B$11,"Fail",C440&lt;25,"Marginal",C440&lt;35,"Solid",TRUE,"Blowout")</f>
        <v>Solid</v>
      </c>
    </row>
    <row r="441" spans="1:13" x14ac:dyDescent="0.25">
      <c r="A441" s="169">
        <f t="shared" ca="1" si="60"/>
        <v>29.156285048492769</v>
      </c>
      <c r="B441" s="168">
        <f t="shared" ca="1" si="61"/>
        <v>6.4345766185964992</v>
      </c>
      <c r="C441" s="168">
        <f t="shared" ca="1" si="62"/>
        <v>22.721708429896271</v>
      </c>
      <c r="D441" s="184">
        <f t="shared" ca="1" si="63"/>
        <v>2.8715980816659927</v>
      </c>
      <c r="E441" s="230">
        <f t="shared" ca="1" si="64"/>
        <v>2.2344089663116459E-3</v>
      </c>
      <c r="F441" s="168">
        <f t="shared" ca="1" si="65"/>
        <v>38.629980364019389</v>
      </c>
      <c r="G441" s="168">
        <f t="shared" ca="1" si="66"/>
        <v>32.195403745422887</v>
      </c>
      <c r="H441" s="184">
        <f t="shared" ca="1" si="67"/>
        <v>4.0688956078748761</v>
      </c>
      <c r="I441" s="184">
        <f t="shared" ca="1" si="68"/>
        <v>3.2559914302686077E-5</v>
      </c>
      <c r="J441" s="223">
        <f t="shared" ca="1" si="69"/>
        <v>1</v>
      </c>
      <c r="K441" s="220" t="str" cm="1">
        <f t="array" aca="1" ref="K441" ca="1">_xlfn.IFS(G441&lt;$B$11,"Fail",G441&lt;25,"Marginal",G441&lt;35,"Solid",TRUE,"Blowout")</f>
        <v>Solid</v>
      </c>
      <c r="L441" s="226">
        <f ca="1">IF(AND(E441&lt;$B$10,C441&gt;=$B$11),1,0)</f>
        <v>1</v>
      </c>
      <c r="M441" s="217" t="str" cm="1">
        <f t="array" aca="1" ref="M441" ca="1">_xlfn.IFS(C441&lt;$B$11,"Fail",C441&lt;25,"Marginal",C441&lt;35,"Solid",TRUE,"Blowout")</f>
        <v>Marginal</v>
      </c>
    </row>
    <row r="442" spans="1:13" x14ac:dyDescent="0.25">
      <c r="A442" s="169">
        <f t="shared" ca="1" si="60"/>
        <v>17.654303029784398</v>
      </c>
      <c r="B442" s="168">
        <f t="shared" ca="1" si="61"/>
        <v>0.92709239724079495</v>
      </c>
      <c r="C442" s="168">
        <f t="shared" ca="1" si="62"/>
        <v>16.727210632543603</v>
      </c>
      <c r="D442" s="184">
        <f t="shared" ca="1" si="63"/>
        <v>2.1140059125498816</v>
      </c>
      <c r="E442" s="230">
        <f t="shared" ca="1" si="64"/>
        <v>1.7800584216376654E-2</v>
      </c>
      <c r="F442" s="168">
        <f t="shared" ca="1" si="65"/>
        <v>16.201141927255826</v>
      </c>
      <c r="G442" s="168">
        <f t="shared" ca="1" si="66"/>
        <v>15.274049530015031</v>
      </c>
      <c r="H442" s="184">
        <f t="shared" ca="1" si="67"/>
        <v>1.9303535852063018</v>
      </c>
      <c r="I442" s="184">
        <f t="shared" ca="1" si="68"/>
        <v>2.7401706039186666E-2</v>
      </c>
      <c r="J442" s="223">
        <f t="shared" ca="1" si="69"/>
        <v>0</v>
      </c>
      <c r="K442" s="220" t="str" cm="1">
        <f t="array" aca="1" ref="K442" ca="1">_xlfn.IFS(G442&lt;$B$11,"Fail",G442&lt;25,"Marginal",G442&lt;35,"Solid",TRUE,"Blowout")</f>
        <v>Fail</v>
      </c>
      <c r="L442" s="226">
        <f ca="1">IF(AND(E442&lt;$B$10,C442&gt;=$B$11),1,0)</f>
        <v>0</v>
      </c>
      <c r="M442" s="217" t="str" cm="1">
        <f t="array" aca="1" ref="M442" ca="1">_xlfn.IFS(C442&lt;$B$11,"Fail",C442&lt;25,"Marginal",C442&lt;35,"Solid",TRUE,"Blowout")</f>
        <v>Fail</v>
      </c>
    </row>
    <row r="443" spans="1:13" x14ac:dyDescent="0.25">
      <c r="A443" s="169">
        <f t="shared" ca="1" si="60"/>
        <v>64.971676020595226</v>
      </c>
      <c r="B443" s="168">
        <f t="shared" ca="1" si="61"/>
        <v>12.739324461833256</v>
      </c>
      <c r="C443" s="168">
        <f t="shared" ca="1" si="62"/>
        <v>52.23235155876197</v>
      </c>
      <c r="D443" s="184">
        <f t="shared" ca="1" si="63"/>
        <v>6.6011902670000655</v>
      </c>
      <c r="E443" s="230">
        <f t="shared" ca="1" si="64"/>
        <v>1.4139028481885979E-10</v>
      </c>
      <c r="F443" s="168">
        <f t="shared" ca="1" si="65"/>
        <v>19.759912921961998</v>
      </c>
      <c r="G443" s="168">
        <f t="shared" ca="1" si="66"/>
        <v>7.0205884601287423</v>
      </c>
      <c r="H443" s="184">
        <f t="shared" ca="1" si="67"/>
        <v>0.88727079728503222</v>
      </c>
      <c r="I443" s="184">
        <f t="shared" ca="1" si="68"/>
        <v>0.18793405070833963</v>
      </c>
      <c r="J443" s="223">
        <f t="shared" ca="1" si="69"/>
        <v>0</v>
      </c>
      <c r="K443" s="220" t="str" cm="1">
        <f t="array" aca="1" ref="K443" ca="1">_xlfn.IFS(G443&lt;$B$11,"Fail",G443&lt;25,"Marginal",G443&lt;35,"Solid",TRUE,"Blowout")</f>
        <v>Fail</v>
      </c>
      <c r="L443" s="226">
        <f ca="1">IF(AND(E443&lt;$B$10,C443&gt;=$B$11),1,0)</f>
        <v>1</v>
      </c>
      <c r="M443" s="217" t="str" cm="1">
        <f t="array" aca="1" ref="M443" ca="1">_xlfn.IFS(C443&lt;$B$11,"Fail",C443&lt;25,"Marginal",C443&lt;35,"Solid",TRUE,"Blowout")</f>
        <v>Blowout</v>
      </c>
    </row>
    <row r="444" spans="1:13" x14ac:dyDescent="0.25">
      <c r="A444" s="169">
        <f t="shared" ca="1" si="60"/>
        <v>38.328247130341978</v>
      </c>
      <c r="B444" s="168">
        <f t="shared" ca="1" si="61"/>
        <v>4.1396487552645738</v>
      </c>
      <c r="C444" s="168">
        <f t="shared" ca="1" si="62"/>
        <v>34.188598375077405</v>
      </c>
      <c r="D444" s="184">
        <f t="shared" ca="1" si="63"/>
        <v>4.3207980514152533</v>
      </c>
      <c r="E444" s="230">
        <f t="shared" ca="1" si="64"/>
        <v>1.1609186993509598E-5</v>
      </c>
      <c r="F444" s="168">
        <f t="shared" ca="1" si="65"/>
        <v>3.5339537468778204</v>
      </c>
      <c r="G444" s="168">
        <f t="shared" ca="1" si="66"/>
        <v>-0.60569500838675339</v>
      </c>
      <c r="H444" s="184">
        <f t="shared" ca="1" si="67"/>
        <v>-7.6548496761341844E-2</v>
      </c>
      <c r="I444" s="184">
        <f t="shared" ca="1" si="68"/>
        <v>0.53047506964098723</v>
      </c>
      <c r="J444" s="223">
        <f t="shared" ca="1" si="69"/>
        <v>0</v>
      </c>
      <c r="K444" s="220" t="str" cm="1">
        <f t="array" aca="1" ref="K444" ca="1">_xlfn.IFS(G444&lt;$B$11,"Fail",G444&lt;25,"Marginal",G444&lt;35,"Solid",TRUE,"Blowout")</f>
        <v>Fail</v>
      </c>
      <c r="L444" s="226">
        <f ca="1">IF(AND(E444&lt;$B$10,C444&gt;=$B$11),1,0)</f>
        <v>1</v>
      </c>
      <c r="M444" s="217" t="str" cm="1">
        <f t="array" aca="1" ref="M444" ca="1">_xlfn.IFS(C444&lt;$B$11,"Fail",C444&lt;25,"Marginal",C444&lt;35,"Solid",TRUE,"Blowout")</f>
        <v>Solid</v>
      </c>
    </row>
    <row r="445" spans="1:13" x14ac:dyDescent="0.25">
      <c r="A445" s="169">
        <f t="shared" ca="1" si="60"/>
        <v>2.3761237992765261</v>
      </c>
      <c r="B445" s="168">
        <f t="shared" ca="1" si="61"/>
        <v>4.1753818325063756</v>
      </c>
      <c r="C445" s="168">
        <f t="shared" ca="1" si="62"/>
        <v>-1.7992580332298496</v>
      </c>
      <c r="D445" s="184">
        <f t="shared" ca="1" si="63"/>
        <v>-0.22739249262818528</v>
      </c>
      <c r="E445" s="230">
        <f t="shared" ca="1" si="64"/>
        <v>0.58983883645651392</v>
      </c>
      <c r="F445" s="168">
        <f t="shared" ca="1" si="65"/>
        <v>44.142516524660749</v>
      </c>
      <c r="G445" s="168">
        <f t="shared" ca="1" si="66"/>
        <v>39.967134692154374</v>
      </c>
      <c r="H445" s="184">
        <f t="shared" ca="1" si="67"/>
        <v>5.051096737103971</v>
      </c>
      <c r="I445" s="184">
        <f t="shared" ca="1" si="68"/>
        <v>4.4979985438321069E-7</v>
      </c>
      <c r="J445" s="223">
        <f t="shared" ca="1" si="69"/>
        <v>1</v>
      </c>
      <c r="K445" s="220" t="str" cm="1">
        <f t="array" aca="1" ref="K445" ca="1">_xlfn.IFS(G445&lt;$B$11,"Fail",G445&lt;25,"Marginal",G445&lt;35,"Solid",TRUE,"Blowout")</f>
        <v>Blowout</v>
      </c>
      <c r="L445" s="226">
        <f ca="1">IF(AND(E445&lt;$B$10,C445&gt;=$B$11),1,0)</f>
        <v>0</v>
      </c>
      <c r="M445" s="217" t="str" cm="1">
        <f t="array" aca="1" ref="M445" ca="1">_xlfn.IFS(C445&lt;$B$11,"Fail",C445&lt;25,"Marginal",C445&lt;35,"Solid",TRUE,"Blowout")</f>
        <v>Fail</v>
      </c>
    </row>
    <row r="446" spans="1:13" x14ac:dyDescent="0.25">
      <c r="A446" s="169">
        <f t="shared" ca="1" si="60"/>
        <v>71.199364319169902</v>
      </c>
      <c r="B446" s="168">
        <f t="shared" ca="1" si="61"/>
        <v>6.1071583970836034</v>
      </c>
      <c r="C446" s="168">
        <f t="shared" ca="1" si="62"/>
        <v>65.092205922086293</v>
      </c>
      <c r="D446" s="184">
        <f t="shared" ca="1" si="63"/>
        <v>8.226434831428918</v>
      </c>
      <c r="E446" s="230">
        <f t="shared" ca="1" si="64"/>
        <v>7.368041157923802E-15</v>
      </c>
      <c r="F446" s="168">
        <f t="shared" ca="1" si="65"/>
        <v>25.483997169511724</v>
      </c>
      <c r="G446" s="168">
        <f t="shared" ca="1" si="66"/>
        <v>19.376838772428123</v>
      </c>
      <c r="H446" s="184">
        <f t="shared" ca="1" si="67"/>
        <v>2.4488692485131871</v>
      </c>
      <c r="I446" s="184">
        <f t="shared" ca="1" si="68"/>
        <v>7.5425121889999081E-3</v>
      </c>
      <c r="J446" s="223">
        <f t="shared" ca="1" si="69"/>
        <v>0</v>
      </c>
      <c r="K446" s="220" t="str" cm="1">
        <f t="array" aca="1" ref="K446" ca="1">_xlfn.IFS(G446&lt;$B$11,"Fail",G446&lt;25,"Marginal",G446&lt;35,"Solid",TRUE,"Blowout")</f>
        <v>Fail</v>
      </c>
      <c r="L446" s="226">
        <f ca="1">IF(AND(E446&lt;$B$10,C446&gt;=$B$11),1,0)</f>
        <v>1</v>
      </c>
      <c r="M446" s="217" t="str" cm="1">
        <f t="array" aca="1" ref="M446" ca="1">_xlfn.IFS(C446&lt;$B$11,"Fail",C446&lt;25,"Marginal",C446&lt;35,"Solid",TRUE,"Blowout")</f>
        <v>Blowout</v>
      </c>
    </row>
    <row r="447" spans="1:13" x14ac:dyDescent="0.25">
      <c r="A447" s="169">
        <f t="shared" ca="1" si="60"/>
        <v>14.07172486134127</v>
      </c>
      <c r="B447" s="168">
        <f t="shared" ca="1" si="61"/>
        <v>0.76029955886834966</v>
      </c>
      <c r="C447" s="168">
        <f t="shared" ca="1" si="62"/>
        <v>13.311425302472919</v>
      </c>
      <c r="D447" s="184">
        <f t="shared" ca="1" si="63"/>
        <v>1.6823146675241398</v>
      </c>
      <c r="E447" s="230">
        <f t="shared" ca="1" si="64"/>
        <v>4.6938403474148113E-2</v>
      </c>
      <c r="F447" s="168">
        <f t="shared" ca="1" si="65"/>
        <v>25.352484281888085</v>
      </c>
      <c r="G447" s="168">
        <f t="shared" ca="1" si="66"/>
        <v>24.592184723019734</v>
      </c>
      <c r="H447" s="184">
        <f t="shared" ca="1" si="67"/>
        <v>3.1079912275294341</v>
      </c>
      <c r="I447" s="184">
        <f t="shared" ca="1" si="68"/>
        <v>1.0615545100045856E-3</v>
      </c>
      <c r="J447" s="223">
        <f t="shared" ca="1" si="69"/>
        <v>1</v>
      </c>
      <c r="K447" s="220" t="str" cm="1">
        <f t="array" aca="1" ref="K447" ca="1">_xlfn.IFS(G447&lt;$B$11,"Fail",G447&lt;25,"Marginal",G447&lt;35,"Solid",TRUE,"Blowout")</f>
        <v>Marginal</v>
      </c>
      <c r="L447" s="226">
        <f ca="1">IF(AND(E447&lt;$B$10,C447&gt;=$B$11),1,0)</f>
        <v>0</v>
      </c>
      <c r="M447" s="217" t="str" cm="1">
        <f t="array" aca="1" ref="M447" ca="1">_xlfn.IFS(C447&lt;$B$11,"Fail",C447&lt;25,"Marginal",C447&lt;35,"Solid",TRUE,"Blowout")</f>
        <v>Fail</v>
      </c>
    </row>
    <row r="448" spans="1:13" x14ac:dyDescent="0.25">
      <c r="A448" s="169">
        <f t="shared" ca="1" si="60"/>
        <v>-0.85840948186131172</v>
      </c>
      <c r="B448" s="168">
        <f t="shared" ca="1" si="61"/>
        <v>13.06206345777929</v>
      </c>
      <c r="C448" s="168">
        <f t="shared" ca="1" si="62"/>
        <v>-13.920472939640602</v>
      </c>
      <c r="D448" s="184">
        <f t="shared" ca="1" si="63"/>
        <v>-1.7592868737264138</v>
      </c>
      <c r="E448" s="230">
        <f t="shared" ca="1" si="64"/>
        <v>0.96006496873859282</v>
      </c>
      <c r="F448" s="168">
        <f t="shared" ca="1" si="65"/>
        <v>18.93236057330142</v>
      </c>
      <c r="G448" s="168">
        <f t="shared" ca="1" si="66"/>
        <v>5.8702971155221295</v>
      </c>
      <c r="H448" s="184">
        <f t="shared" ca="1" si="67"/>
        <v>0.74189553077632342</v>
      </c>
      <c r="I448" s="184">
        <f t="shared" ca="1" si="68"/>
        <v>0.22945709075005916</v>
      </c>
      <c r="J448" s="223">
        <f t="shared" ca="1" si="69"/>
        <v>0</v>
      </c>
      <c r="K448" s="220" t="str" cm="1">
        <f t="array" aca="1" ref="K448" ca="1">_xlfn.IFS(G448&lt;$B$11,"Fail",G448&lt;25,"Marginal",G448&lt;35,"Solid",TRUE,"Blowout")</f>
        <v>Fail</v>
      </c>
      <c r="L448" s="226">
        <f ca="1">IF(AND(E448&lt;$B$10,C448&gt;=$B$11),1,0)</f>
        <v>0</v>
      </c>
      <c r="M448" s="217" t="str" cm="1">
        <f t="array" aca="1" ref="M448" ca="1">_xlfn.IFS(C448&lt;$B$11,"Fail",C448&lt;25,"Marginal",C448&lt;35,"Solid",TRUE,"Blowout")</f>
        <v>Fail</v>
      </c>
    </row>
    <row r="449" spans="1:13" x14ac:dyDescent="0.25">
      <c r="A449" s="169">
        <f t="shared" ca="1" si="60"/>
        <v>44.428343193209137</v>
      </c>
      <c r="B449" s="168">
        <f t="shared" ca="1" si="61"/>
        <v>4.8761113761363424</v>
      </c>
      <c r="C449" s="168">
        <f t="shared" ca="1" si="62"/>
        <v>39.552231817072794</v>
      </c>
      <c r="D449" s="184">
        <f t="shared" ca="1" si="63"/>
        <v>4.9986607900519289</v>
      </c>
      <c r="E449" s="230">
        <f t="shared" ca="1" si="64"/>
        <v>5.751998804516295E-7</v>
      </c>
      <c r="F449" s="168">
        <f t="shared" ca="1" si="65"/>
        <v>34.765314079338289</v>
      </c>
      <c r="G449" s="168">
        <f t="shared" ca="1" si="66"/>
        <v>29.889202703201946</v>
      </c>
      <c r="H449" s="184">
        <f t="shared" ca="1" si="67"/>
        <v>3.7774350203398215</v>
      </c>
      <c r="I449" s="184">
        <f t="shared" ca="1" si="68"/>
        <v>1.0112061058375162E-4</v>
      </c>
      <c r="J449" s="223">
        <f t="shared" ca="1" si="69"/>
        <v>1</v>
      </c>
      <c r="K449" s="220" t="str" cm="1">
        <f t="array" aca="1" ref="K449" ca="1">_xlfn.IFS(G449&lt;$B$11,"Fail",G449&lt;25,"Marginal",G449&lt;35,"Solid",TRUE,"Blowout")</f>
        <v>Solid</v>
      </c>
      <c r="L449" s="226">
        <f ca="1">IF(AND(E449&lt;$B$10,C449&gt;=$B$11),1,0)</f>
        <v>1</v>
      </c>
      <c r="M449" s="217" t="str" cm="1">
        <f t="array" aca="1" ref="M449" ca="1">_xlfn.IFS(C449&lt;$B$11,"Fail",C449&lt;25,"Marginal",C449&lt;35,"Solid",TRUE,"Blowout")</f>
        <v>Blowout</v>
      </c>
    </row>
    <row r="450" spans="1:13" x14ac:dyDescent="0.25">
      <c r="A450" s="169">
        <f t="shared" ca="1" si="60"/>
        <v>4.172316008461662</v>
      </c>
      <c r="B450" s="168">
        <f t="shared" ca="1" si="61"/>
        <v>0.9020410592553203</v>
      </c>
      <c r="C450" s="168">
        <f t="shared" ca="1" si="62"/>
        <v>3.2702749492063417</v>
      </c>
      <c r="D450" s="184">
        <f t="shared" ca="1" si="63"/>
        <v>0.41330146012722835</v>
      </c>
      <c r="E450" s="230">
        <f t="shared" ca="1" si="64"/>
        <v>0.33988710442986125</v>
      </c>
      <c r="F450" s="168">
        <f t="shared" ca="1" si="65"/>
        <v>2.9383488992213271</v>
      </c>
      <c r="G450" s="168">
        <f t="shared" ca="1" si="66"/>
        <v>2.0363078399660068</v>
      </c>
      <c r="H450" s="184">
        <f t="shared" ca="1" si="67"/>
        <v>0.25735114527013148</v>
      </c>
      <c r="I450" s="184">
        <f t="shared" ca="1" si="68"/>
        <v>0.39856991039992601</v>
      </c>
      <c r="J450" s="223">
        <f t="shared" ca="1" si="69"/>
        <v>0</v>
      </c>
      <c r="K450" s="220" t="str" cm="1">
        <f t="array" aca="1" ref="K450" ca="1">_xlfn.IFS(G450&lt;$B$11,"Fail",G450&lt;25,"Marginal",G450&lt;35,"Solid",TRUE,"Blowout")</f>
        <v>Fail</v>
      </c>
      <c r="L450" s="226">
        <f ca="1">IF(AND(E450&lt;$B$10,C450&gt;=$B$11),1,0)</f>
        <v>0</v>
      </c>
      <c r="M450" s="217" t="str" cm="1">
        <f t="array" aca="1" ref="M450" ca="1">_xlfn.IFS(C450&lt;$B$11,"Fail",C450&lt;25,"Marginal",C450&lt;35,"Solid",TRUE,"Blowout")</f>
        <v>Fail</v>
      </c>
    </row>
    <row r="451" spans="1:13" x14ac:dyDescent="0.25">
      <c r="A451" s="169">
        <f t="shared" ca="1" si="60"/>
        <v>56.989071447288786</v>
      </c>
      <c r="B451" s="168">
        <f t="shared" ca="1" si="61"/>
        <v>-2.0148539896534761</v>
      </c>
      <c r="C451" s="168">
        <f t="shared" ca="1" si="62"/>
        <v>59.003925436942261</v>
      </c>
      <c r="D451" s="184">
        <f t="shared" ca="1" si="63"/>
        <v>7.4569902883073027</v>
      </c>
      <c r="E451" s="230">
        <f t="shared" ca="1" si="64"/>
        <v>9.1775438618921247E-13</v>
      </c>
      <c r="F451" s="168">
        <f t="shared" ca="1" si="65"/>
        <v>41.526359704238828</v>
      </c>
      <c r="G451" s="168">
        <f t="shared" ca="1" si="66"/>
        <v>43.541213693892303</v>
      </c>
      <c r="H451" s="184">
        <f t="shared" ca="1" si="67"/>
        <v>5.5027933353936183</v>
      </c>
      <c r="I451" s="184">
        <f t="shared" ca="1" si="68"/>
        <v>5.0095233331176824E-8</v>
      </c>
      <c r="J451" s="223">
        <f t="shared" ca="1" si="69"/>
        <v>1</v>
      </c>
      <c r="K451" s="220" t="str" cm="1">
        <f t="array" aca="1" ref="K451" ca="1">_xlfn.IFS(G451&lt;$B$11,"Fail",G451&lt;25,"Marginal",G451&lt;35,"Solid",TRUE,"Blowout")</f>
        <v>Blowout</v>
      </c>
      <c r="L451" s="226">
        <f ca="1">IF(AND(E451&lt;$B$10,C451&gt;=$B$11),1,0)</f>
        <v>1</v>
      </c>
      <c r="M451" s="217" t="str" cm="1">
        <f t="array" aca="1" ref="M451" ca="1">_xlfn.IFS(C451&lt;$B$11,"Fail",C451&lt;25,"Marginal",C451&lt;35,"Solid",TRUE,"Blowout")</f>
        <v>Blowout</v>
      </c>
    </row>
    <row r="452" spans="1:13" x14ac:dyDescent="0.25">
      <c r="A452" s="169">
        <f t="shared" ca="1" si="60"/>
        <v>21.151598314423339</v>
      </c>
      <c r="B452" s="168">
        <f t="shared" ca="1" si="61"/>
        <v>2.8172671517377297</v>
      </c>
      <c r="C452" s="168">
        <f t="shared" ca="1" si="62"/>
        <v>18.334331162685608</v>
      </c>
      <c r="D452" s="184">
        <f t="shared" ca="1" si="63"/>
        <v>2.3171158259439637</v>
      </c>
      <c r="E452" s="230">
        <f t="shared" ca="1" si="64"/>
        <v>1.0692243375413347E-2</v>
      </c>
      <c r="F452" s="168">
        <f t="shared" ca="1" si="65"/>
        <v>44.989574862214667</v>
      </c>
      <c r="G452" s="168">
        <f t="shared" ca="1" si="66"/>
        <v>42.172307710476936</v>
      </c>
      <c r="H452" s="184">
        <f t="shared" ca="1" si="67"/>
        <v>5.3297892759460241</v>
      </c>
      <c r="I452" s="184">
        <f t="shared" ca="1" si="68"/>
        <v>1.1798527864251934E-7</v>
      </c>
      <c r="J452" s="223">
        <f t="shared" ca="1" si="69"/>
        <v>1</v>
      </c>
      <c r="K452" s="220" t="str" cm="1">
        <f t="array" aca="1" ref="K452" ca="1">_xlfn.IFS(G452&lt;$B$11,"Fail",G452&lt;25,"Marginal",G452&lt;35,"Solid",TRUE,"Blowout")</f>
        <v>Blowout</v>
      </c>
      <c r="L452" s="226">
        <f ca="1">IF(AND(E452&lt;$B$10,C452&gt;=$B$11),1,0)</f>
        <v>0</v>
      </c>
      <c r="M452" s="217" t="str" cm="1">
        <f t="array" aca="1" ref="M452" ca="1">_xlfn.IFS(C452&lt;$B$11,"Fail",C452&lt;25,"Marginal",C452&lt;35,"Solid",TRUE,"Blowout")</f>
        <v>Fail</v>
      </c>
    </row>
    <row r="453" spans="1:13" x14ac:dyDescent="0.25">
      <c r="A453" s="169">
        <f t="shared" ca="1" si="60"/>
        <v>39.280007948529956</v>
      </c>
      <c r="B453" s="168">
        <f t="shared" ca="1" si="61"/>
        <v>11.76161566624523</v>
      </c>
      <c r="C453" s="168">
        <f t="shared" ca="1" si="62"/>
        <v>27.518392282284726</v>
      </c>
      <c r="D453" s="184">
        <f t="shared" ca="1" si="63"/>
        <v>3.4778090182852428</v>
      </c>
      <c r="E453" s="230">
        <f t="shared" ca="1" si="64"/>
        <v>3.0265996613154021E-4</v>
      </c>
      <c r="F453" s="168">
        <f t="shared" ca="1" si="65"/>
        <v>48.919498398599004</v>
      </c>
      <c r="G453" s="168">
        <f t="shared" ca="1" si="66"/>
        <v>37.157882732353769</v>
      </c>
      <c r="H453" s="184">
        <f t="shared" ca="1" si="67"/>
        <v>4.6960599420685423</v>
      </c>
      <c r="I453" s="184">
        <f t="shared" ca="1" si="68"/>
        <v>2.290623090020684E-6</v>
      </c>
      <c r="J453" s="223">
        <f t="shared" ca="1" si="69"/>
        <v>1</v>
      </c>
      <c r="K453" s="220" t="str" cm="1">
        <f t="array" aca="1" ref="K453" ca="1">_xlfn.IFS(G453&lt;$B$11,"Fail",G453&lt;25,"Marginal",G453&lt;35,"Solid",TRUE,"Blowout")</f>
        <v>Blowout</v>
      </c>
      <c r="L453" s="226">
        <f ca="1">IF(AND(E453&lt;$B$10,C453&gt;=$B$11),1,0)</f>
        <v>1</v>
      </c>
      <c r="M453" s="217" t="str" cm="1">
        <f t="array" aca="1" ref="M453" ca="1">_xlfn.IFS(C453&lt;$B$11,"Fail",C453&lt;25,"Marginal",C453&lt;35,"Solid",TRUE,"Blowout")</f>
        <v>Solid</v>
      </c>
    </row>
    <row r="454" spans="1:13" x14ac:dyDescent="0.25">
      <c r="A454" s="169">
        <f t="shared" ca="1" si="60"/>
        <v>51.62390692735719</v>
      </c>
      <c r="B454" s="168">
        <f t="shared" ca="1" si="61"/>
        <v>3.5014447374597388</v>
      </c>
      <c r="C454" s="168">
        <f t="shared" ca="1" si="62"/>
        <v>48.122462189897448</v>
      </c>
      <c r="D454" s="184">
        <f t="shared" ca="1" si="63"/>
        <v>6.0817772807845429</v>
      </c>
      <c r="E454" s="230">
        <f t="shared" ca="1" si="64"/>
        <v>2.482439410566912E-9</v>
      </c>
      <c r="F454" s="168">
        <f t="shared" ca="1" si="65"/>
        <v>25.240110621559218</v>
      </c>
      <c r="G454" s="168">
        <f t="shared" ca="1" si="66"/>
        <v>21.738665884099479</v>
      </c>
      <c r="H454" s="184">
        <f t="shared" ca="1" si="67"/>
        <v>2.7473599286496526</v>
      </c>
      <c r="I454" s="184">
        <f t="shared" ca="1" si="68"/>
        <v>3.2439886709566788E-3</v>
      </c>
      <c r="J454" s="223">
        <f t="shared" ca="1" si="69"/>
        <v>1</v>
      </c>
      <c r="K454" s="220" t="str" cm="1">
        <f t="array" aca="1" ref="K454" ca="1">_xlfn.IFS(G454&lt;$B$11,"Fail",G454&lt;25,"Marginal",G454&lt;35,"Solid",TRUE,"Blowout")</f>
        <v>Marginal</v>
      </c>
      <c r="L454" s="226">
        <f ca="1">IF(AND(E454&lt;$B$10,C454&gt;=$B$11),1,0)</f>
        <v>1</v>
      </c>
      <c r="M454" s="217" t="str" cm="1">
        <f t="array" aca="1" ref="M454" ca="1">_xlfn.IFS(C454&lt;$B$11,"Fail",C454&lt;25,"Marginal",C454&lt;35,"Solid",TRUE,"Blowout")</f>
        <v>Blowout</v>
      </c>
    </row>
    <row r="455" spans="1:13" x14ac:dyDescent="0.25">
      <c r="A455" s="169">
        <f t="shared" ca="1" si="60"/>
        <v>18.835225406538754</v>
      </c>
      <c r="B455" s="168">
        <f t="shared" ca="1" si="61"/>
        <v>9.795427788305215</v>
      </c>
      <c r="C455" s="168">
        <f t="shared" ca="1" si="62"/>
        <v>9.0397976182335391</v>
      </c>
      <c r="D455" s="184">
        <f t="shared" ca="1" si="63"/>
        <v>1.1424609896416467</v>
      </c>
      <c r="E455" s="230">
        <f t="shared" ca="1" si="64"/>
        <v>0.12723037509052326</v>
      </c>
      <c r="F455" s="168">
        <f t="shared" ca="1" si="65"/>
        <v>13.75693586269697</v>
      </c>
      <c r="G455" s="168">
        <f t="shared" ca="1" si="66"/>
        <v>3.9615080743917552</v>
      </c>
      <c r="H455" s="184">
        <f t="shared" ca="1" si="67"/>
        <v>0.50066037164528643</v>
      </c>
      <c r="I455" s="184">
        <f t="shared" ca="1" si="68"/>
        <v>0.30854655789850916</v>
      </c>
      <c r="J455" s="223">
        <f t="shared" ca="1" si="69"/>
        <v>0</v>
      </c>
      <c r="K455" s="220" t="str" cm="1">
        <f t="array" aca="1" ref="K455" ca="1">_xlfn.IFS(G455&lt;$B$11,"Fail",G455&lt;25,"Marginal",G455&lt;35,"Solid",TRUE,"Blowout")</f>
        <v>Fail</v>
      </c>
      <c r="L455" s="226">
        <f ca="1">IF(AND(E455&lt;$B$10,C455&gt;=$B$11),1,0)</f>
        <v>0</v>
      </c>
      <c r="M455" s="217" t="str" cm="1">
        <f t="array" aca="1" ref="M455" ca="1">_xlfn.IFS(C455&lt;$B$11,"Fail",C455&lt;25,"Marginal",C455&lt;35,"Solid",TRUE,"Blowout")</f>
        <v>Fail</v>
      </c>
    </row>
    <row r="456" spans="1:13" x14ac:dyDescent="0.25">
      <c r="A456" s="169">
        <f t="shared" ca="1" si="60"/>
        <v>14.67332531536935</v>
      </c>
      <c r="B456" s="168">
        <f t="shared" ca="1" si="61"/>
        <v>3.5367341299481629</v>
      </c>
      <c r="C456" s="168">
        <f t="shared" ca="1" si="62"/>
        <v>11.136591185421187</v>
      </c>
      <c r="D456" s="184">
        <f t="shared" ca="1" si="63"/>
        <v>1.4074563971728546</v>
      </c>
      <c r="E456" s="230">
        <f t="shared" ca="1" si="64"/>
        <v>8.0326964375763685E-2</v>
      </c>
      <c r="F456" s="168">
        <f t="shared" ca="1" si="65"/>
        <v>33.434039875405347</v>
      </c>
      <c r="G456" s="168">
        <f t="shared" ca="1" si="66"/>
        <v>29.897305745457185</v>
      </c>
      <c r="H456" s="184">
        <f t="shared" ca="1" si="67"/>
        <v>3.7784590930088107</v>
      </c>
      <c r="I456" s="184">
        <f t="shared" ca="1" si="68"/>
        <v>1.0073030549791286E-4</v>
      </c>
      <c r="J456" s="223">
        <f t="shared" ca="1" si="69"/>
        <v>1</v>
      </c>
      <c r="K456" s="220" t="str" cm="1">
        <f t="array" aca="1" ref="K456" ca="1">_xlfn.IFS(G456&lt;$B$11,"Fail",G456&lt;25,"Marginal",G456&lt;35,"Solid",TRUE,"Blowout")</f>
        <v>Solid</v>
      </c>
      <c r="L456" s="226">
        <f ca="1">IF(AND(E456&lt;$B$10,C456&gt;=$B$11),1,0)</f>
        <v>0</v>
      </c>
      <c r="M456" s="217" t="str" cm="1">
        <f t="array" aca="1" ref="M456" ca="1">_xlfn.IFS(C456&lt;$B$11,"Fail",C456&lt;25,"Marginal",C456&lt;35,"Solid",TRUE,"Blowout")</f>
        <v>Fail</v>
      </c>
    </row>
    <row r="457" spans="1:13" x14ac:dyDescent="0.25">
      <c r="A457" s="169">
        <f t="shared" ca="1" si="60"/>
        <v>9.9085372913318484</v>
      </c>
      <c r="B457" s="168">
        <f t="shared" ca="1" si="61"/>
        <v>5.1837035457630467</v>
      </c>
      <c r="C457" s="168">
        <f t="shared" ca="1" si="62"/>
        <v>4.7248337455688016</v>
      </c>
      <c r="D457" s="184">
        <f t="shared" ca="1" si="63"/>
        <v>0.59713042977499631</v>
      </c>
      <c r="E457" s="230">
        <f t="shared" ca="1" si="64"/>
        <v>0.27550641140197951</v>
      </c>
      <c r="F457" s="168">
        <f t="shared" ca="1" si="65"/>
        <v>42.303868179585535</v>
      </c>
      <c r="G457" s="168">
        <f t="shared" ca="1" si="66"/>
        <v>37.12016463382249</v>
      </c>
      <c r="H457" s="184">
        <f t="shared" ca="1" si="67"/>
        <v>4.6912930813493903</v>
      </c>
      <c r="I457" s="184">
        <f t="shared" ca="1" si="68"/>
        <v>2.3398266571439669E-6</v>
      </c>
      <c r="J457" s="223">
        <f t="shared" ca="1" si="69"/>
        <v>1</v>
      </c>
      <c r="K457" s="220" t="str" cm="1">
        <f t="array" aca="1" ref="K457" ca="1">_xlfn.IFS(G457&lt;$B$11,"Fail",G457&lt;25,"Marginal",G457&lt;35,"Solid",TRUE,"Blowout")</f>
        <v>Blowout</v>
      </c>
      <c r="L457" s="226">
        <f ca="1">IF(AND(E457&lt;$B$10,C457&gt;=$B$11),1,0)</f>
        <v>0</v>
      </c>
      <c r="M457" s="217" t="str" cm="1">
        <f t="array" aca="1" ref="M457" ca="1">_xlfn.IFS(C457&lt;$B$11,"Fail",C457&lt;25,"Marginal",C457&lt;35,"Solid",TRUE,"Blowout")</f>
        <v>Fail</v>
      </c>
    </row>
    <row r="458" spans="1:13" x14ac:dyDescent="0.25">
      <c r="A458" s="169">
        <f t="shared" ca="1" si="60"/>
        <v>14.714639509034141</v>
      </c>
      <c r="B458" s="168">
        <f t="shared" ca="1" si="61"/>
        <v>2.7079280168567528</v>
      </c>
      <c r="C458" s="168">
        <f t="shared" ca="1" si="62"/>
        <v>12.006711492177388</v>
      </c>
      <c r="D458" s="184">
        <f t="shared" ca="1" si="63"/>
        <v>1.5174232956307245</v>
      </c>
      <c r="E458" s="230">
        <f t="shared" ca="1" si="64"/>
        <v>6.5272574286154086E-2</v>
      </c>
      <c r="F458" s="168">
        <f t="shared" ca="1" si="65"/>
        <v>13.247964467291464</v>
      </c>
      <c r="G458" s="168">
        <f t="shared" ca="1" si="66"/>
        <v>10.540036450434711</v>
      </c>
      <c r="H458" s="184">
        <f t="shared" ca="1" si="67"/>
        <v>1.3320630596568275</v>
      </c>
      <c r="I458" s="184">
        <f t="shared" ca="1" si="68"/>
        <v>9.2084719303667878E-2</v>
      </c>
      <c r="J458" s="223">
        <f t="shared" ca="1" si="69"/>
        <v>0</v>
      </c>
      <c r="K458" s="220" t="str" cm="1">
        <f t="array" aca="1" ref="K458" ca="1">_xlfn.IFS(G458&lt;$B$11,"Fail",G458&lt;25,"Marginal",G458&lt;35,"Solid",TRUE,"Blowout")</f>
        <v>Fail</v>
      </c>
      <c r="L458" s="226">
        <f ca="1">IF(AND(E458&lt;$B$10,C458&gt;=$B$11),1,0)</f>
        <v>0</v>
      </c>
      <c r="M458" s="217" t="str" cm="1">
        <f t="array" aca="1" ref="M458" ca="1">_xlfn.IFS(C458&lt;$B$11,"Fail",C458&lt;25,"Marginal",C458&lt;35,"Solid",TRUE,"Blowout")</f>
        <v>Fail</v>
      </c>
    </row>
    <row r="459" spans="1:13" x14ac:dyDescent="0.25">
      <c r="A459" s="169">
        <f t="shared" ca="1" si="60"/>
        <v>56.459831060759349</v>
      </c>
      <c r="B459" s="168">
        <f t="shared" ca="1" si="61"/>
        <v>7.9214054311473472</v>
      </c>
      <c r="C459" s="168">
        <f t="shared" ca="1" si="62"/>
        <v>48.538425629612</v>
      </c>
      <c r="D459" s="184">
        <f t="shared" ca="1" si="63"/>
        <v>6.134347263328455</v>
      </c>
      <c r="E459" s="230">
        <f t="shared" ca="1" si="64"/>
        <v>1.8706872314119056E-9</v>
      </c>
      <c r="F459" s="168">
        <f t="shared" ca="1" si="65"/>
        <v>50.92549881833974</v>
      </c>
      <c r="G459" s="168">
        <f t="shared" ca="1" si="66"/>
        <v>43.004093387192391</v>
      </c>
      <c r="H459" s="184">
        <f t="shared" ca="1" si="67"/>
        <v>5.4349113956573483</v>
      </c>
      <c r="I459" s="184">
        <f t="shared" ca="1" si="68"/>
        <v>7.0271809211134428E-8</v>
      </c>
      <c r="J459" s="223">
        <f t="shared" ca="1" si="69"/>
        <v>1</v>
      </c>
      <c r="K459" s="220" t="str" cm="1">
        <f t="array" aca="1" ref="K459" ca="1">_xlfn.IFS(G459&lt;$B$11,"Fail",G459&lt;25,"Marginal",G459&lt;35,"Solid",TRUE,"Blowout")</f>
        <v>Blowout</v>
      </c>
      <c r="L459" s="226">
        <f ca="1">IF(AND(E459&lt;$B$10,C459&gt;=$B$11),1,0)</f>
        <v>1</v>
      </c>
      <c r="M459" s="217" t="str" cm="1">
        <f t="array" aca="1" ref="M459" ca="1">_xlfn.IFS(C459&lt;$B$11,"Fail",C459&lt;25,"Marginal",C459&lt;35,"Solid",TRUE,"Blowout")</f>
        <v>Blowout</v>
      </c>
    </row>
    <row r="460" spans="1:13" x14ac:dyDescent="0.25">
      <c r="A460" s="169">
        <f t="shared" ca="1" si="60"/>
        <v>8.0452492978092351</v>
      </c>
      <c r="B460" s="168">
        <f t="shared" ca="1" si="61"/>
        <v>1.5436858708034338</v>
      </c>
      <c r="C460" s="168">
        <f t="shared" ca="1" si="62"/>
        <v>6.5015634270058014</v>
      </c>
      <c r="D460" s="184">
        <f t="shared" ca="1" si="63"/>
        <v>0.82167576097643236</v>
      </c>
      <c r="E460" s="230">
        <f t="shared" ca="1" si="64"/>
        <v>0.20605992156248187</v>
      </c>
      <c r="F460" s="168">
        <f t="shared" ca="1" si="65"/>
        <v>53.937279446077525</v>
      </c>
      <c r="G460" s="168">
        <f t="shared" ca="1" si="66"/>
        <v>52.393593575274089</v>
      </c>
      <c r="H460" s="184">
        <f t="shared" ca="1" si="67"/>
        <v>6.6215682357927168</v>
      </c>
      <c r="I460" s="184">
        <f t="shared" ca="1" si="68"/>
        <v>1.259658755947689E-10</v>
      </c>
      <c r="J460" s="223">
        <f t="shared" ca="1" si="69"/>
        <v>1</v>
      </c>
      <c r="K460" s="220" t="str" cm="1">
        <f t="array" aca="1" ref="K460" ca="1">_xlfn.IFS(G460&lt;$B$11,"Fail",G460&lt;25,"Marginal",G460&lt;35,"Solid",TRUE,"Blowout")</f>
        <v>Blowout</v>
      </c>
      <c r="L460" s="226">
        <f ca="1">IF(AND(E460&lt;$B$10,C460&gt;=$B$11),1,0)</f>
        <v>0</v>
      </c>
      <c r="M460" s="217" t="str" cm="1">
        <f t="array" aca="1" ref="M460" ca="1">_xlfn.IFS(C460&lt;$B$11,"Fail",C460&lt;25,"Marginal",C460&lt;35,"Solid",TRUE,"Blowout")</f>
        <v>Fail</v>
      </c>
    </row>
    <row r="461" spans="1:13" x14ac:dyDescent="0.25">
      <c r="A461" s="169">
        <f t="shared" ca="1" si="60"/>
        <v>26.803607969259794</v>
      </c>
      <c r="B461" s="168">
        <f t="shared" ca="1" si="61"/>
        <v>-4.85212590040606</v>
      </c>
      <c r="C461" s="168">
        <f t="shared" ca="1" si="62"/>
        <v>31.655733869665852</v>
      </c>
      <c r="D461" s="184">
        <f t="shared" ca="1" si="63"/>
        <v>4.0006914503953359</v>
      </c>
      <c r="E461" s="230">
        <f t="shared" ca="1" si="64"/>
        <v>4.2695380801596748E-5</v>
      </c>
      <c r="F461" s="168">
        <f t="shared" ca="1" si="65"/>
        <v>12.051319286599171</v>
      </c>
      <c r="G461" s="168">
        <f t="shared" ca="1" si="66"/>
        <v>16.903445187005232</v>
      </c>
      <c r="H461" s="184">
        <f t="shared" ca="1" si="67"/>
        <v>2.1362786571402226</v>
      </c>
      <c r="I461" s="184">
        <f t="shared" ca="1" si="68"/>
        <v>1.6861123246995579E-2</v>
      </c>
      <c r="J461" s="223">
        <f t="shared" ca="1" si="69"/>
        <v>0</v>
      </c>
      <c r="K461" s="220" t="str" cm="1">
        <f t="array" aca="1" ref="K461" ca="1">_xlfn.IFS(G461&lt;$B$11,"Fail",G461&lt;25,"Marginal",G461&lt;35,"Solid",TRUE,"Blowout")</f>
        <v>Fail</v>
      </c>
      <c r="L461" s="226">
        <f ca="1">IF(AND(E461&lt;$B$10,C461&gt;=$B$11),1,0)</f>
        <v>1</v>
      </c>
      <c r="M461" s="217" t="str" cm="1">
        <f t="array" aca="1" ref="M461" ca="1">_xlfn.IFS(C461&lt;$B$11,"Fail",C461&lt;25,"Marginal",C461&lt;35,"Solid",TRUE,"Blowout")</f>
        <v>Solid</v>
      </c>
    </row>
    <row r="462" spans="1:13" x14ac:dyDescent="0.25">
      <c r="A462" s="169">
        <f t="shared" ca="1" si="60"/>
        <v>38.12786532327992</v>
      </c>
      <c r="B462" s="168">
        <f t="shared" ca="1" si="61"/>
        <v>11.497614791086297</v>
      </c>
      <c r="C462" s="168">
        <f t="shared" ca="1" si="62"/>
        <v>26.630250532193621</v>
      </c>
      <c r="D462" s="184">
        <f t="shared" ca="1" si="63"/>
        <v>3.3655645471585292</v>
      </c>
      <c r="E462" s="230">
        <f t="shared" ca="1" si="64"/>
        <v>4.4811796268996002E-4</v>
      </c>
      <c r="F462" s="168">
        <f t="shared" ca="1" si="65"/>
        <v>18.723271131880516</v>
      </c>
      <c r="G462" s="168">
        <f t="shared" ca="1" si="66"/>
        <v>7.2256563407942185</v>
      </c>
      <c r="H462" s="184">
        <f t="shared" ca="1" si="67"/>
        <v>0.91318753389606444</v>
      </c>
      <c r="I462" s="184">
        <f t="shared" ca="1" si="68"/>
        <v>0.18105426887532111</v>
      </c>
      <c r="J462" s="223">
        <f t="shared" ca="1" si="69"/>
        <v>0</v>
      </c>
      <c r="K462" s="220" t="str" cm="1">
        <f t="array" aca="1" ref="K462" ca="1">_xlfn.IFS(G462&lt;$B$11,"Fail",G462&lt;25,"Marginal",G462&lt;35,"Solid",TRUE,"Blowout")</f>
        <v>Fail</v>
      </c>
      <c r="L462" s="226">
        <f ca="1">IF(AND(E462&lt;$B$10,C462&gt;=$B$11),1,0)</f>
        <v>1</v>
      </c>
      <c r="M462" s="217" t="str" cm="1">
        <f t="array" aca="1" ref="M462" ca="1">_xlfn.IFS(C462&lt;$B$11,"Fail",C462&lt;25,"Marginal",C462&lt;35,"Solid",TRUE,"Blowout")</f>
        <v>Solid</v>
      </c>
    </row>
    <row r="463" spans="1:13" x14ac:dyDescent="0.25">
      <c r="A463" s="169">
        <f t="shared" ca="1" si="60"/>
        <v>12.316141562753849</v>
      </c>
      <c r="B463" s="168">
        <f t="shared" ca="1" si="61"/>
        <v>13.049160357253324</v>
      </c>
      <c r="C463" s="168">
        <f t="shared" ca="1" si="62"/>
        <v>-0.73301879449947549</v>
      </c>
      <c r="D463" s="184">
        <f t="shared" ca="1" si="63"/>
        <v>-9.2639836947305723E-2</v>
      </c>
      <c r="E463" s="230">
        <f t="shared" ca="1" si="64"/>
        <v>0.53686447846973728</v>
      </c>
      <c r="F463" s="168">
        <f t="shared" ca="1" si="65"/>
        <v>4.0568790458233872</v>
      </c>
      <c r="G463" s="168">
        <f t="shared" ca="1" si="66"/>
        <v>-8.992281311429938</v>
      </c>
      <c r="H463" s="184">
        <f t="shared" ca="1" si="67"/>
        <v>-1.1364558190407625</v>
      </c>
      <c r="I463" s="184">
        <f t="shared" ca="1" si="68"/>
        <v>0.87152054677337254</v>
      </c>
      <c r="J463" s="223">
        <f t="shared" ca="1" si="69"/>
        <v>0</v>
      </c>
      <c r="K463" s="220" t="str" cm="1">
        <f t="array" aca="1" ref="K463" ca="1">_xlfn.IFS(G463&lt;$B$11,"Fail",G463&lt;25,"Marginal",G463&lt;35,"Solid",TRUE,"Blowout")</f>
        <v>Fail</v>
      </c>
      <c r="L463" s="226">
        <f ca="1">IF(AND(E463&lt;$B$10,C463&gt;=$B$11),1,0)</f>
        <v>0</v>
      </c>
      <c r="M463" s="217" t="str" cm="1">
        <f t="array" aca="1" ref="M463" ca="1">_xlfn.IFS(C463&lt;$B$11,"Fail",C463&lt;25,"Marginal",C463&lt;35,"Solid",TRUE,"Blowout")</f>
        <v>Fail</v>
      </c>
    </row>
    <row r="464" spans="1:13" x14ac:dyDescent="0.25">
      <c r="A464" s="169">
        <f t="shared" ca="1" si="60"/>
        <v>39.246479835590826</v>
      </c>
      <c r="B464" s="168">
        <f t="shared" ca="1" si="61"/>
        <v>7.3715813210297707</v>
      </c>
      <c r="C464" s="168">
        <f t="shared" ca="1" si="62"/>
        <v>31.874898514561053</v>
      </c>
      <c r="D464" s="184">
        <f t="shared" ca="1" si="63"/>
        <v>4.0283897537950049</v>
      </c>
      <c r="E464" s="230">
        <f t="shared" ca="1" si="64"/>
        <v>3.8262017925368466E-5</v>
      </c>
      <c r="F464" s="168">
        <f t="shared" ca="1" si="65"/>
        <v>75.3264904312271</v>
      </c>
      <c r="G464" s="168">
        <f t="shared" ca="1" si="66"/>
        <v>67.954909110197335</v>
      </c>
      <c r="H464" s="184">
        <f t="shared" ca="1" si="67"/>
        <v>8.5882268599078397</v>
      </c>
      <c r="I464" s="184">
        <f t="shared" ca="1" si="68"/>
        <v>7.0027211666760931E-16</v>
      </c>
      <c r="J464" s="223">
        <f t="shared" ca="1" si="69"/>
        <v>1</v>
      </c>
      <c r="K464" s="220" t="str" cm="1">
        <f t="array" aca="1" ref="K464" ca="1">_xlfn.IFS(G464&lt;$B$11,"Fail",G464&lt;25,"Marginal",G464&lt;35,"Solid",TRUE,"Blowout")</f>
        <v>Blowout</v>
      </c>
      <c r="L464" s="226">
        <f ca="1">IF(AND(E464&lt;$B$10,C464&gt;=$B$11),1,0)</f>
        <v>1</v>
      </c>
      <c r="M464" s="217" t="str" cm="1">
        <f t="array" aca="1" ref="M464" ca="1">_xlfn.IFS(C464&lt;$B$11,"Fail",C464&lt;25,"Marginal",C464&lt;35,"Solid",TRUE,"Blowout")</f>
        <v>Solid</v>
      </c>
    </row>
    <row r="465" spans="1:13" x14ac:dyDescent="0.25">
      <c r="A465" s="169">
        <f t="shared" ref="A465:A528" ca="1" si="70">NORMINV(RAND(), MAX(0, NORMINV(RAND(), $B$6, $B$12)), $B$7/SQRT($B$9))</f>
        <v>53.588256835398951</v>
      </c>
      <c r="B465" s="168">
        <f t="shared" ref="B465:B528" ca="1" si="71">NORMINV(RAND(), $B$8, $B$7/SQRT($B$9))</f>
        <v>-6.2484224534621191</v>
      </c>
      <c r="C465" s="168">
        <f t="shared" ref="C465:C528" ca="1" si="72">A465-B465</f>
        <v>59.83667928886107</v>
      </c>
      <c r="D465" s="184">
        <f t="shared" ref="D465:D528" ca="1" si="73">C465/($B$7*SQRT(2/$B$9))</f>
        <v>7.5622347672182109</v>
      </c>
      <c r="E465" s="230">
        <f t="shared" ref="E465:E528" ca="1" si="74">_xlfn.T.DIST.RT(D465, 2*$B$9-2)</f>
        <v>4.8180055581897301E-13</v>
      </c>
      <c r="F465" s="168">
        <f t="shared" ref="F465:F528" ca="1" si="75">NORMINV(RAND(), MAX(0, NORMINV(RAND(), $N$7, $N$8)), $B$7/SQRT($B$9))</f>
        <v>56.039641500500473</v>
      </c>
      <c r="G465" s="168">
        <f t="shared" ref="G465:G528" ca="1" si="76">F465-B465</f>
        <v>62.288063953962592</v>
      </c>
      <c r="H465" s="184">
        <f t="shared" ref="H465:H528" ca="1" si="77">G465/($B$7*SQRT(2/$B$9))</f>
        <v>7.8720438435669253</v>
      </c>
      <c r="I465" s="184">
        <f t="shared" ref="I465:I528" ca="1" si="78">_xlfn.T.DIST.RT(H465, 2*$B$9-2)</f>
        <v>7.0201118350399021E-14</v>
      </c>
      <c r="J465" s="223">
        <f t="shared" ref="J465:J528" ca="1" si="79">IF(AND(I465&lt;$B$10, G465&gt;=$B$11), 1, 0)</f>
        <v>1</v>
      </c>
      <c r="K465" s="220" t="str" cm="1">
        <f t="array" aca="1" ref="K465" ca="1">_xlfn.IFS(G465&lt;$B$11,"Fail",G465&lt;25,"Marginal",G465&lt;35,"Solid",TRUE,"Blowout")</f>
        <v>Blowout</v>
      </c>
      <c r="L465" s="226">
        <f ca="1">IF(AND(E465&lt;$B$10,C465&gt;=$B$11),1,0)</f>
        <v>1</v>
      </c>
      <c r="M465" s="217" t="str" cm="1">
        <f t="array" aca="1" ref="M465" ca="1">_xlfn.IFS(C465&lt;$B$11,"Fail",C465&lt;25,"Marginal",C465&lt;35,"Solid",TRUE,"Blowout")</f>
        <v>Blowout</v>
      </c>
    </row>
    <row r="466" spans="1:13" x14ac:dyDescent="0.25">
      <c r="A466" s="169">
        <f t="shared" ca="1" si="70"/>
        <v>68.891261770069306</v>
      </c>
      <c r="B466" s="168">
        <f t="shared" ca="1" si="71"/>
        <v>1.4402247108676787</v>
      </c>
      <c r="C466" s="168">
        <f t="shared" ca="1" si="72"/>
        <v>67.451037059201624</v>
      </c>
      <c r="D466" s="184">
        <f t="shared" ca="1" si="73"/>
        <v>8.5245468765338526</v>
      </c>
      <c r="E466" s="230">
        <f t="shared" ca="1" si="74"/>
        <v>1.063529172335678E-15</v>
      </c>
      <c r="F466" s="168">
        <f t="shared" ca="1" si="75"/>
        <v>20.665418412660209</v>
      </c>
      <c r="G466" s="168">
        <f t="shared" ca="1" si="76"/>
        <v>19.225193701792531</v>
      </c>
      <c r="H466" s="184">
        <f t="shared" ca="1" si="77"/>
        <v>2.4297041538076187</v>
      </c>
      <c r="I466" s="184">
        <f t="shared" ca="1" si="78"/>
        <v>7.9423666445993871E-3</v>
      </c>
      <c r="J466" s="223">
        <f t="shared" ca="1" si="79"/>
        <v>0</v>
      </c>
      <c r="K466" s="220" t="str" cm="1">
        <f t="array" aca="1" ref="K466" ca="1">_xlfn.IFS(G466&lt;$B$11,"Fail",G466&lt;25,"Marginal",G466&lt;35,"Solid",TRUE,"Blowout")</f>
        <v>Fail</v>
      </c>
      <c r="L466" s="226">
        <f ca="1">IF(AND(E466&lt;$B$10,C466&gt;=$B$11),1,0)</f>
        <v>1</v>
      </c>
      <c r="M466" s="217" t="str" cm="1">
        <f t="array" aca="1" ref="M466" ca="1">_xlfn.IFS(C466&lt;$B$11,"Fail",C466&lt;25,"Marginal",C466&lt;35,"Solid",TRUE,"Blowout")</f>
        <v>Blowout</v>
      </c>
    </row>
    <row r="467" spans="1:13" x14ac:dyDescent="0.25">
      <c r="A467" s="169">
        <f t="shared" ca="1" si="70"/>
        <v>25.046373276760061</v>
      </c>
      <c r="B467" s="168">
        <f t="shared" ca="1" si="71"/>
        <v>8.3834395941161191</v>
      </c>
      <c r="C467" s="168">
        <f t="shared" ca="1" si="72"/>
        <v>16.662933682643942</v>
      </c>
      <c r="D467" s="184">
        <f t="shared" ca="1" si="73"/>
        <v>2.1058825107996704</v>
      </c>
      <c r="E467" s="230">
        <f t="shared" ca="1" si="74"/>
        <v>1.8154242144123318E-2</v>
      </c>
      <c r="F467" s="168">
        <f t="shared" ca="1" si="75"/>
        <v>21.421367142606353</v>
      </c>
      <c r="G467" s="168">
        <f t="shared" ca="1" si="76"/>
        <v>13.037927548490234</v>
      </c>
      <c r="H467" s="184">
        <f t="shared" ca="1" si="77"/>
        <v>1.6477496774794973</v>
      </c>
      <c r="I467" s="184">
        <f t="shared" ca="1" si="78"/>
        <v>5.0390717168504844E-2</v>
      </c>
      <c r="J467" s="223">
        <f t="shared" ca="1" si="79"/>
        <v>0</v>
      </c>
      <c r="K467" s="220" t="str" cm="1">
        <f t="array" aca="1" ref="K467" ca="1">_xlfn.IFS(G467&lt;$B$11,"Fail",G467&lt;25,"Marginal",G467&lt;35,"Solid",TRUE,"Blowout")</f>
        <v>Fail</v>
      </c>
      <c r="L467" s="226">
        <f ca="1">IF(AND(E467&lt;$B$10,C467&gt;=$B$11),1,0)</f>
        <v>0</v>
      </c>
      <c r="M467" s="217" t="str" cm="1">
        <f t="array" aca="1" ref="M467" ca="1">_xlfn.IFS(C467&lt;$B$11,"Fail",C467&lt;25,"Marginal",C467&lt;35,"Solid",TRUE,"Blowout")</f>
        <v>Fail</v>
      </c>
    </row>
    <row r="468" spans="1:13" x14ac:dyDescent="0.25">
      <c r="A468" s="169">
        <f t="shared" ca="1" si="70"/>
        <v>36.44400038678863</v>
      </c>
      <c r="B468" s="168">
        <f t="shared" ca="1" si="71"/>
        <v>-0.22478723904119491</v>
      </c>
      <c r="C468" s="168">
        <f t="shared" ca="1" si="72"/>
        <v>36.668787625829822</v>
      </c>
      <c r="D468" s="184">
        <f t="shared" ca="1" si="73"/>
        <v>4.6342474875174391</v>
      </c>
      <c r="E468" s="230">
        <f t="shared" ca="1" si="74"/>
        <v>3.0136635948088418E-6</v>
      </c>
      <c r="F468" s="168">
        <f t="shared" ca="1" si="75"/>
        <v>13.906014084785108</v>
      </c>
      <c r="G468" s="168">
        <f t="shared" ca="1" si="76"/>
        <v>14.130801323826303</v>
      </c>
      <c r="H468" s="184">
        <f t="shared" ca="1" si="77"/>
        <v>1.7858684393868938</v>
      </c>
      <c r="I468" s="184">
        <f t="shared" ca="1" si="78"/>
        <v>3.772476557347753E-2</v>
      </c>
      <c r="J468" s="223">
        <f t="shared" ca="1" si="79"/>
        <v>0</v>
      </c>
      <c r="K468" s="220" t="str" cm="1">
        <f t="array" aca="1" ref="K468" ca="1">_xlfn.IFS(G468&lt;$B$11,"Fail",G468&lt;25,"Marginal",G468&lt;35,"Solid",TRUE,"Blowout")</f>
        <v>Fail</v>
      </c>
      <c r="L468" s="226">
        <f ca="1">IF(AND(E468&lt;$B$10,C468&gt;=$B$11),1,0)</f>
        <v>1</v>
      </c>
      <c r="M468" s="217" t="str" cm="1">
        <f t="array" aca="1" ref="M468" ca="1">_xlfn.IFS(C468&lt;$B$11,"Fail",C468&lt;25,"Marginal",C468&lt;35,"Solid",TRUE,"Blowout")</f>
        <v>Blowout</v>
      </c>
    </row>
    <row r="469" spans="1:13" x14ac:dyDescent="0.25">
      <c r="A469" s="169">
        <f t="shared" ca="1" si="70"/>
        <v>2.3220239008478808E-2</v>
      </c>
      <c r="B469" s="168">
        <f t="shared" ca="1" si="71"/>
        <v>-6.0663502002203096</v>
      </c>
      <c r="C469" s="168">
        <f t="shared" ca="1" si="72"/>
        <v>6.0895704392287886</v>
      </c>
      <c r="D469" s="184">
        <f t="shared" ca="1" si="73"/>
        <v>0.76960756914083672</v>
      </c>
      <c r="E469" s="230">
        <f t="shared" ca="1" si="74"/>
        <v>0.22116465066148805</v>
      </c>
      <c r="F469" s="168">
        <f t="shared" ca="1" si="75"/>
        <v>16.026973533736658</v>
      </c>
      <c r="G469" s="168">
        <f t="shared" ca="1" si="76"/>
        <v>22.093323733956968</v>
      </c>
      <c r="H469" s="184">
        <f t="shared" ca="1" si="77"/>
        <v>2.7921820336617271</v>
      </c>
      <c r="I469" s="184">
        <f t="shared" ca="1" si="78"/>
        <v>2.8398693684363375E-3</v>
      </c>
      <c r="J469" s="223">
        <f t="shared" ca="1" si="79"/>
        <v>1</v>
      </c>
      <c r="K469" s="220" t="str" cm="1">
        <f t="array" aca="1" ref="K469" ca="1">_xlfn.IFS(G469&lt;$B$11,"Fail",G469&lt;25,"Marginal",G469&lt;35,"Solid",TRUE,"Blowout")</f>
        <v>Marginal</v>
      </c>
      <c r="L469" s="226">
        <f ca="1">IF(AND(E469&lt;$B$10,C469&gt;=$B$11),1,0)</f>
        <v>0</v>
      </c>
      <c r="M469" s="217" t="str" cm="1">
        <f t="array" aca="1" ref="M469" ca="1">_xlfn.IFS(C469&lt;$B$11,"Fail",C469&lt;25,"Marginal",C469&lt;35,"Solid",TRUE,"Blowout")</f>
        <v>Fail</v>
      </c>
    </row>
    <row r="470" spans="1:13" x14ac:dyDescent="0.25">
      <c r="A470" s="169">
        <f t="shared" ca="1" si="70"/>
        <v>26.587054938362105</v>
      </c>
      <c r="B470" s="168">
        <f t="shared" ca="1" si="71"/>
        <v>-2.4767634588055172</v>
      </c>
      <c r="C470" s="168">
        <f t="shared" ca="1" si="72"/>
        <v>29.063818397167623</v>
      </c>
      <c r="D470" s="184">
        <f t="shared" ca="1" si="73"/>
        <v>3.6731219139042679</v>
      </c>
      <c r="E470" s="230">
        <f t="shared" ca="1" si="74"/>
        <v>1.4930108054520111E-4</v>
      </c>
      <c r="F470" s="168">
        <f t="shared" ca="1" si="75"/>
        <v>55.477948627908724</v>
      </c>
      <c r="G470" s="168">
        <f t="shared" ca="1" si="76"/>
        <v>57.954712086714238</v>
      </c>
      <c r="H470" s="184">
        <f t="shared" ca="1" si="77"/>
        <v>7.324389385823717</v>
      </c>
      <c r="I470" s="184">
        <f t="shared" ca="1" si="78"/>
        <v>2.0516536138509246E-12</v>
      </c>
      <c r="J470" s="223">
        <f t="shared" ca="1" si="79"/>
        <v>1</v>
      </c>
      <c r="K470" s="220" t="str" cm="1">
        <f t="array" aca="1" ref="K470" ca="1">_xlfn.IFS(G470&lt;$B$11,"Fail",G470&lt;25,"Marginal",G470&lt;35,"Solid",TRUE,"Blowout")</f>
        <v>Blowout</v>
      </c>
      <c r="L470" s="226">
        <f ca="1">IF(AND(E470&lt;$B$10,C470&gt;=$B$11),1,0)</f>
        <v>1</v>
      </c>
      <c r="M470" s="217" t="str" cm="1">
        <f t="array" aca="1" ref="M470" ca="1">_xlfn.IFS(C470&lt;$B$11,"Fail",C470&lt;25,"Marginal",C470&lt;35,"Solid",TRUE,"Blowout")</f>
        <v>Solid</v>
      </c>
    </row>
    <row r="471" spans="1:13" x14ac:dyDescent="0.25">
      <c r="A471" s="169">
        <f t="shared" ca="1" si="70"/>
        <v>4.2544631652765501</v>
      </c>
      <c r="B471" s="168">
        <f t="shared" ca="1" si="71"/>
        <v>2.693333785115287</v>
      </c>
      <c r="C471" s="168">
        <f t="shared" ca="1" si="72"/>
        <v>1.5611293801612631</v>
      </c>
      <c r="D471" s="184">
        <f t="shared" ca="1" si="73"/>
        <v>0.19729749403020436</v>
      </c>
      <c r="E471" s="230">
        <f t="shared" ca="1" si="74"/>
        <v>0.42188525673122745</v>
      </c>
      <c r="F471" s="168">
        <f t="shared" ca="1" si="75"/>
        <v>51.978559899096751</v>
      </c>
      <c r="G471" s="168">
        <f t="shared" ca="1" si="76"/>
        <v>49.285226113981466</v>
      </c>
      <c r="H471" s="184">
        <f t="shared" ca="1" si="77"/>
        <v>6.2287288475706388</v>
      </c>
      <c r="I471" s="184">
        <f t="shared" ca="1" si="78"/>
        <v>1.1210416677204241E-9</v>
      </c>
      <c r="J471" s="223">
        <f t="shared" ca="1" si="79"/>
        <v>1</v>
      </c>
      <c r="K471" s="220" t="str" cm="1">
        <f t="array" aca="1" ref="K471" ca="1">_xlfn.IFS(G471&lt;$B$11,"Fail",G471&lt;25,"Marginal",G471&lt;35,"Solid",TRUE,"Blowout")</f>
        <v>Blowout</v>
      </c>
      <c r="L471" s="226">
        <f ca="1">IF(AND(E471&lt;$B$10,C471&gt;=$B$11),1,0)</f>
        <v>0</v>
      </c>
      <c r="M471" s="217" t="str" cm="1">
        <f t="array" aca="1" ref="M471" ca="1">_xlfn.IFS(C471&lt;$B$11,"Fail",C471&lt;25,"Marginal",C471&lt;35,"Solid",TRUE,"Blowout")</f>
        <v>Fail</v>
      </c>
    </row>
    <row r="472" spans="1:13" x14ac:dyDescent="0.25">
      <c r="A472" s="169">
        <f t="shared" ca="1" si="70"/>
        <v>45.26797551912442</v>
      </c>
      <c r="B472" s="168">
        <f t="shared" ca="1" si="71"/>
        <v>12.876552631864143</v>
      </c>
      <c r="C472" s="168">
        <f t="shared" ca="1" si="72"/>
        <v>32.391422887260276</v>
      </c>
      <c r="D472" s="184">
        <f t="shared" ca="1" si="73"/>
        <v>4.0936687534949225</v>
      </c>
      <c r="E472" s="230">
        <f t="shared" ca="1" si="74"/>
        <v>2.9481796826822885E-5</v>
      </c>
      <c r="F472" s="168">
        <f t="shared" ca="1" si="75"/>
        <v>39.15914272897578</v>
      </c>
      <c r="G472" s="168">
        <f t="shared" ca="1" si="76"/>
        <v>26.282590097111637</v>
      </c>
      <c r="H472" s="184">
        <f t="shared" ca="1" si="77"/>
        <v>3.3216267842243385</v>
      </c>
      <c r="I472" s="184">
        <f t="shared" ca="1" si="78"/>
        <v>5.2110055252033215E-4</v>
      </c>
      <c r="J472" s="223">
        <f t="shared" ca="1" si="79"/>
        <v>1</v>
      </c>
      <c r="K472" s="220" t="str" cm="1">
        <f t="array" aca="1" ref="K472" ca="1">_xlfn.IFS(G472&lt;$B$11,"Fail",G472&lt;25,"Marginal",G472&lt;35,"Solid",TRUE,"Blowout")</f>
        <v>Solid</v>
      </c>
      <c r="L472" s="226">
        <f ca="1">IF(AND(E472&lt;$B$10,C472&gt;=$B$11),1,0)</f>
        <v>1</v>
      </c>
      <c r="M472" s="217" t="str" cm="1">
        <f t="array" aca="1" ref="M472" ca="1">_xlfn.IFS(C472&lt;$B$11,"Fail",C472&lt;25,"Marginal",C472&lt;35,"Solid",TRUE,"Blowout")</f>
        <v>Solid</v>
      </c>
    </row>
    <row r="473" spans="1:13" x14ac:dyDescent="0.25">
      <c r="A473" s="169">
        <f t="shared" ca="1" si="70"/>
        <v>38.177285402896253</v>
      </c>
      <c r="B473" s="168">
        <f t="shared" ca="1" si="71"/>
        <v>6.8910611139135662</v>
      </c>
      <c r="C473" s="168">
        <f t="shared" ca="1" si="72"/>
        <v>31.286224288982687</v>
      </c>
      <c r="D473" s="184">
        <f t="shared" ca="1" si="73"/>
        <v>3.9539923649669335</v>
      </c>
      <c r="E473" s="230">
        <f t="shared" ca="1" si="74"/>
        <v>5.1295724234385777E-5</v>
      </c>
      <c r="F473" s="168">
        <f t="shared" ca="1" si="75"/>
        <v>26.684309970869712</v>
      </c>
      <c r="G473" s="168">
        <f t="shared" ca="1" si="76"/>
        <v>19.793248856956147</v>
      </c>
      <c r="H473" s="184">
        <f t="shared" ca="1" si="77"/>
        <v>2.5014956785902367</v>
      </c>
      <c r="I473" s="184">
        <f t="shared" ca="1" si="78"/>
        <v>6.534818823898599E-3</v>
      </c>
      <c r="J473" s="223">
        <f t="shared" ca="1" si="79"/>
        <v>0</v>
      </c>
      <c r="K473" s="220" t="str" cm="1">
        <f t="array" aca="1" ref="K473" ca="1">_xlfn.IFS(G473&lt;$B$11,"Fail",G473&lt;25,"Marginal",G473&lt;35,"Solid",TRUE,"Blowout")</f>
        <v>Fail</v>
      </c>
      <c r="L473" s="226">
        <f ca="1">IF(AND(E473&lt;$B$10,C473&gt;=$B$11),1,0)</f>
        <v>1</v>
      </c>
      <c r="M473" s="217" t="str" cm="1">
        <f t="array" aca="1" ref="M473" ca="1">_xlfn.IFS(C473&lt;$B$11,"Fail",C473&lt;25,"Marginal",C473&lt;35,"Solid",TRUE,"Blowout")</f>
        <v>Solid</v>
      </c>
    </row>
    <row r="474" spans="1:13" x14ac:dyDescent="0.25">
      <c r="A474" s="169">
        <f t="shared" ca="1" si="70"/>
        <v>2.7233800873405674</v>
      </c>
      <c r="B474" s="168">
        <f t="shared" ca="1" si="71"/>
        <v>8.0602967742132066</v>
      </c>
      <c r="C474" s="168">
        <f t="shared" ca="1" si="72"/>
        <v>-5.3369166868726392</v>
      </c>
      <c r="D474" s="184">
        <f t="shared" ca="1" si="73"/>
        <v>-0.67448624153059167</v>
      </c>
      <c r="E474" s="230">
        <f t="shared" ca="1" si="74"/>
        <v>0.74965722716673588</v>
      </c>
      <c r="F474" s="168">
        <f t="shared" ca="1" si="75"/>
        <v>29.737596305993904</v>
      </c>
      <c r="G474" s="168">
        <f t="shared" ca="1" si="76"/>
        <v>21.677299531780697</v>
      </c>
      <c r="H474" s="184">
        <f t="shared" ca="1" si="77"/>
        <v>2.7396043718815006</v>
      </c>
      <c r="I474" s="184">
        <f t="shared" ca="1" si="78"/>
        <v>3.3189777354818003E-3</v>
      </c>
      <c r="J474" s="223">
        <f t="shared" ca="1" si="79"/>
        <v>1</v>
      </c>
      <c r="K474" s="220" t="str" cm="1">
        <f t="array" aca="1" ref="K474" ca="1">_xlfn.IFS(G474&lt;$B$11,"Fail",G474&lt;25,"Marginal",G474&lt;35,"Solid",TRUE,"Blowout")</f>
        <v>Marginal</v>
      </c>
      <c r="L474" s="226">
        <f ca="1">IF(AND(E474&lt;$B$10,C474&gt;=$B$11),1,0)</f>
        <v>0</v>
      </c>
      <c r="M474" s="217" t="str" cm="1">
        <f t="array" aca="1" ref="M474" ca="1">_xlfn.IFS(C474&lt;$B$11,"Fail",C474&lt;25,"Marginal",C474&lt;35,"Solid",TRUE,"Blowout")</f>
        <v>Fail</v>
      </c>
    </row>
    <row r="475" spans="1:13" x14ac:dyDescent="0.25">
      <c r="A475" s="169">
        <f t="shared" ca="1" si="70"/>
        <v>36.813520433623346</v>
      </c>
      <c r="B475" s="168">
        <f t="shared" ca="1" si="71"/>
        <v>13.327064644468413</v>
      </c>
      <c r="C475" s="168">
        <f t="shared" ca="1" si="72"/>
        <v>23.486455789154931</v>
      </c>
      <c r="D475" s="184">
        <f t="shared" ca="1" si="73"/>
        <v>2.9682478145230888</v>
      </c>
      <c r="E475" s="230">
        <f t="shared" ca="1" si="74"/>
        <v>1.6573100302327746E-3</v>
      </c>
      <c r="F475" s="168">
        <f t="shared" ca="1" si="75"/>
        <v>14.397704411461884</v>
      </c>
      <c r="G475" s="168">
        <f t="shared" ca="1" si="76"/>
        <v>1.0706397669934713</v>
      </c>
      <c r="H475" s="184">
        <f t="shared" ca="1" si="77"/>
        <v>0.13530879997599779</v>
      </c>
      <c r="I475" s="184">
        <f t="shared" ca="1" si="78"/>
        <v>0.44624355397289706</v>
      </c>
      <c r="J475" s="223">
        <f t="shared" ca="1" si="79"/>
        <v>0</v>
      </c>
      <c r="K475" s="220" t="str" cm="1">
        <f t="array" aca="1" ref="K475" ca="1">_xlfn.IFS(G475&lt;$B$11,"Fail",G475&lt;25,"Marginal",G475&lt;35,"Solid",TRUE,"Blowout")</f>
        <v>Fail</v>
      </c>
      <c r="L475" s="226">
        <f ca="1">IF(AND(E475&lt;$B$10,C475&gt;=$B$11),1,0)</f>
        <v>1</v>
      </c>
      <c r="M475" s="217" t="str" cm="1">
        <f t="array" aca="1" ref="M475" ca="1">_xlfn.IFS(C475&lt;$B$11,"Fail",C475&lt;25,"Marginal",C475&lt;35,"Solid",TRUE,"Blowout")</f>
        <v>Marginal</v>
      </c>
    </row>
    <row r="476" spans="1:13" x14ac:dyDescent="0.25">
      <c r="A476" s="169">
        <f t="shared" ca="1" si="70"/>
        <v>38.661737085474705</v>
      </c>
      <c r="B476" s="168">
        <f t="shared" ca="1" si="71"/>
        <v>9.2321151190528798</v>
      </c>
      <c r="C476" s="168">
        <f t="shared" ca="1" si="72"/>
        <v>29.429621966421827</v>
      </c>
      <c r="D476" s="184">
        <f t="shared" ca="1" si="73"/>
        <v>3.7193526289483367</v>
      </c>
      <c r="E476" s="230">
        <f t="shared" ca="1" si="74"/>
        <v>1.2575311024896172E-4</v>
      </c>
      <c r="F476" s="168">
        <f t="shared" ca="1" si="75"/>
        <v>76.60555234299413</v>
      </c>
      <c r="G476" s="168">
        <f t="shared" ca="1" si="76"/>
        <v>67.373437223941252</v>
      </c>
      <c r="H476" s="184">
        <f t="shared" ca="1" si="77"/>
        <v>8.5147397117795478</v>
      </c>
      <c r="I476" s="184">
        <f t="shared" ca="1" si="78"/>
        <v>1.1340708519983775E-15</v>
      </c>
      <c r="J476" s="223">
        <f t="shared" ca="1" si="79"/>
        <v>1</v>
      </c>
      <c r="K476" s="220" t="str" cm="1">
        <f t="array" aca="1" ref="K476" ca="1">_xlfn.IFS(G476&lt;$B$11,"Fail",G476&lt;25,"Marginal",G476&lt;35,"Solid",TRUE,"Blowout")</f>
        <v>Blowout</v>
      </c>
      <c r="L476" s="226">
        <f ca="1">IF(AND(E476&lt;$B$10,C476&gt;=$B$11),1,0)</f>
        <v>1</v>
      </c>
      <c r="M476" s="217" t="str" cm="1">
        <f t="array" aca="1" ref="M476" ca="1">_xlfn.IFS(C476&lt;$B$11,"Fail",C476&lt;25,"Marginal",C476&lt;35,"Solid",TRUE,"Blowout")</f>
        <v>Solid</v>
      </c>
    </row>
    <row r="477" spans="1:13" x14ac:dyDescent="0.25">
      <c r="A477" s="169">
        <f t="shared" ca="1" si="70"/>
        <v>32.086828439907393</v>
      </c>
      <c r="B477" s="168">
        <f t="shared" ca="1" si="71"/>
        <v>16.589979624915294</v>
      </c>
      <c r="C477" s="168">
        <f t="shared" ca="1" si="72"/>
        <v>15.496848814992099</v>
      </c>
      <c r="D477" s="184">
        <f t="shared" ca="1" si="73"/>
        <v>1.9585112389897161</v>
      </c>
      <c r="E477" s="230">
        <f t="shared" ca="1" si="74"/>
        <v>2.5694692644134109E-2</v>
      </c>
      <c r="F477" s="168">
        <f t="shared" ca="1" si="75"/>
        <v>18.114252192754659</v>
      </c>
      <c r="G477" s="168">
        <f t="shared" ca="1" si="76"/>
        <v>1.5242725678393647</v>
      </c>
      <c r="H477" s="184">
        <f t="shared" ca="1" si="77"/>
        <v>0.19263948374517534</v>
      </c>
      <c r="I477" s="184">
        <f t="shared" ca="1" si="78"/>
        <v>0.42370639979289282</v>
      </c>
      <c r="J477" s="223">
        <f t="shared" ca="1" si="79"/>
        <v>0</v>
      </c>
      <c r="K477" s="220" t="str" cm="1">
        <f t="array" aca="1" ref="K477" ca="1">_xlfn.IFS(G477&lt;$B$11,"Fail",G477&lt;25,"Marginal",G477&lt;35,"Solid",TRUE,"Blowout")</f>
        <v>Fail</v>
      </c>
      <c r="L477" s="226">
        <f ca="1">IF(AND(E477&lt;$B$10,C477&gt;=$B$11),1,0)</f>
        <v>0</v>
      </c>
      <c r="M477" s="217" t="str" cm="1">
        <f t="array" aca="1" ref="M477" ca="1">_xlfn.IFS(C477&lt;$B$11,"Fail",C477&lt;25,"Marginal",C477&lt;35,"Solid",TRUE,"Blowout")</f>
        <v>Fail</v>
      </c>
    </row>
    <row r="478" spans="1:13" x14ac:dyDescent="0.25">
      <c r="A478" s="169">
        <f t="shared" ca="1" si="70"/>
        <v>21.068584571062402</v>
      </c>
      <c r="B478" s="168">
        <f t="shared" ca="1" si="71"/>
        <v>-3.3204828097626944</v>
      </c>
      <c r="C478" s="168">
        <f t="shared" ca="1" si="72"/>
        <v>24.389067380825097</v>
      </c>
      <c r="D478" s="184">
        <f t="shared" ca="1" si="73"/>
        <v>3.082321002422955</v>
      </c>
      <c r="E478" s="230">
        <f t="shared" ca="1" si="74"/>
        <v>1.1534448501285975E-3</v>
      </c>
      <c r="F478" s="168">
        <f t="shared" ca="1" si="75"/>
        <v>4.085379956389489</v>
      </c>
      <c r="G478" s="168">
        <f t="shared" ca="1" si="76"/>
        <v>7.4058627661521834</v>
      </c>
      <c r="H478" s="184">
        <f t="shared" ca="1" si="77"/>
        <v>0.93596224852451815</v>
      </c>
      <c r="I478" s="184">
        <f t="shared" ca="1" si="78"/>
        <v>0.1751414559206671</v>
      </c>
      <c r="J478" s="223">
        <f t="shared" ca="1" si="79"/>
        <v>0</v>
      </c>
      <c r="K478" s="220" t="str" cm="1">
        <f t="array" aca="1" ref="K478" ca="1">_xlfn.IFS(G478&lt;$B$11,"Fail",G478&lt;25,"Marginal",G478&lt;35,"Solid",TRUE,"Blowout")</f>
        <v>Fail</v>
      </c>
      <c r="L478" s="226">
        <f ca="1">IF(AND(E478&lt;$B$10,C478&gt;=$B$11),1,0)</f>
        <v>1</v>
      </c>
      <c r="M478" s="217" t="str" cm="1">
        <f t="array" aca="1" ref="M478" ca="1">_xlfn.IFS(C478&lt;$B$11,"Fail",C478&lt;25,"Marginal",C478&lt;35,"Solid",TRUE,"Blowout")</f>
        <v>Marginal</v>
      </c>
    </row>
    <row r="479" spans="1:13" x14ac:dyDescent="0.25">
      <c r="A479" s="169">
        <f t="shared" ca="1" si="70"/>
        <v>40.283922286992315</v>
      </c>
      <c r="B479" s="168">
        <f t="shared" ca="1" si="71"/>
        <v>6.9306275445607692</v>
      </c>
      <c r="C479" s="168">
        <f t="shared" ca="1" si="72"/>
        <v>33.353294742431544</v>
      </c>
      <c r="D479" s="184">
        <f t="shared" ca="1" si="73"/>
        <v>4.2152313280099643</v>
      </c>
      <c r="E479" s="230">
        <f t="shared" ca="1" si="74"/>
        <v>1.7989035449748748E-5</v>
      </c>
      <c r="F479" s="168">
        <f t="shared" ca="1" si="75"/>
        <v>2.5258101916586728</v>
      </c>
      <c r="G479" s="168">
        <f t="shared" ca="1" si="76"/>
        <v>-4.4048173529020964</v>
      </c>
      <c r="H479" s="184">
        <f t="shared" ca="1" si="77"/>
        <v>-0.55668635568089109</v>
      </c>
      <c r="I479" s="184">
        <f t="shared" ca="1" si="78"/>
        <v>0.71085613258541447</v>
      </c>
      <c r="J479" s="223">
        <f t="shared" ca="1" si="79"/>
        <v>0</v>
      </c>
      <c r="K479" s="220" t="str" cm="1">
        <f t="array" aca="1" ref="K479" ca="1">_xlfn.IFS(G479&lt;$B$11,"Fail",G479&lt;25,"Marginal",G479&lt;35,"Solid",TRUE,"Blowout")</f>
        <v>Fail</v>
      </c>
      <c r="L479" s="226">
        <f ca="1">IF(AND(E479&lt;$B$10,C479&gt;=$B$11),1,0)</f>
        <v>1</v>
      </c>
      <c r="M479" s="217" t="str" cm="1">
        <f t="array" aca="1" ref="M479" ca="1">_xlfn.IFS(C479&lt;$B$11,"Fail",C479&lt;25,"Marginal",C479&lt;35,"Solid",TRUE,"Blowout")</f>
        <v>Solid</v>
      </c>
    </row>
    <row r="480" spans="1:13" x14ac:dyDescent="0.25">
      <c r="A480" s="169">
        <f t="shared" ca="1" si="70"/>
        <v>44.33997504118171</v>
      </c>
      <c r="B480" s="168">
        <f t="shared" ca="1" si="71"/>
        <v>2.5474511290475634</v>
      </c>
      <c r="C480" s="168">
        <f t="shared" ca="1" si="72"/>
        <v>41.792523912134143</v>
      </c>
      <c r="D480" s="184">
        <f t="shared" ca="1" si="73"/>
        <v>5.281791721970988</v>
      </c>
      <c r="E480" s="230">
        <f t="shared" ca="1" si="74"/>
        <v>1.4911841508000797E-7</v>
      </c>
      <c r="F480" s="168">
        <f t="shared" ca="1" si="75"/>
        <v>23.639554979300286</v>
      </c>
      <c r="G480" s="168">
        <f t="shared" ca="1" si="76"/>
        <v>21.092103850252723</v>
      </c>
      <c r="H480" s="184">
        <f t="shared" ca="1" si="77"/>
        <v>2.6656466058244424</v>
      </c>
      <c r="I480" s="184">
        <f t="shared" ca="1" si="78"/>
        <v>4.1168928888366107E-3</v>
      </c>
      <c r="J480" s="223">
        <f t="shared" ca="1" si="79"/>
        <v>1</v>
      </c>
      <c r="K480" s="220" t="str" cm="1">
        <f t="array" aca="1" ref="K480" ca="1">_xlfn.IFS(G480&lt;$B$11,"Fail",G480&lt;25,"Marginal",G480&lt;35,"Solid",TRUE,"Blowout")</f>
        <v>Marginal</v>
      </c>
      <c r="L480" s="226">
        <f ca="1">IF(AND(E480&lt;$B$10,C480&gt;=$B$11),1,0)</f>
        <v>1</v>
      </c>
      <c r="M480" s="217" t="str" cm="1">
        <f t="array" aca="1" ref="M480" ca="1">_xlfn.IFS(C480&lt;$B$11,"Fail",C480&lt;25,"Marginal",C480&lt;35,"Solid",TRUE,"Blowout")</f>
        <v>Blowout</v>
      </c>
    </row>
    <row r="481" spans="1:13" x14ac:dyDescent="0.25">
      <c r="A481" s="169">
        <f t="shared" ca="1" si="70"/>
        <v>32.065976550997689</v>
      </c>
      <c r="B481" s="168">
        <f t="shared" ca="1" si="71"/>
        <v>9.8523379152955286</v>
      </c>
      <c r="C481" s="168">
        <f t="shared" ca="1" si="72"/>
        <v>22.213638635702161</v>
      </c>
      <c r="D481" s="184">
        <f t="shared" ca="1" si="73"/>
        <v>2.8073875822283454</v>
      </c>
      <c r="E481" s="230">
        <f t="shared" ca="1" si="74"/>
        <v>2.7135245972719729E-3</v>
      </c>
      <c r="F481" s="168">
        <f t="shared" ca="1" si="75"/>
        <v>54.006863610812808</v>
      </c>
      <c r="G481" s="168">
        <f t="shared" ca="1" si="76"/>
        <v>44.154525695517279</v>
      </c>
      <c r="H481" s="184">
        <f t="shared" ca="1" si="77"/>
        <v>5.5803044773380206</v>
      </c>
      <c r="I481" s="184">
        <f t="shared" ca="1" si="78"/>
        <v>3.391438722271432E-8</v>
      </c>
      <c r="J481" s="223">
        <f t="shared" ca="1" si="79"/>
        <v>1</v>
      </c>
      <c r="K481" s="220" t="str" cm="1">
        <f t="array" aca="1" ref="K481" ca="1">_xlfn.IFS(G481&lt;$B$11,"Fail",G481&lt;25,"Marginal",G481&lt;35,"Solid",TRUE,"Blowout")</f>
        <v>Blowout</v>
      </c>
      <c r="L481" s="226">
        <f ca="1">IF(AND(E481&lt;$B$10,C481&gt;=$B$11),1,0)</f>
        <v>1</v>
      </c>
      <c r="M481" s="217" t="str" cm="1">
        <f t="array" aca="1" ref="M481" ca="1">_xlfn.IFS(C481&lt;$B$11,"Fail",C481&lt;25,"Marginal",C481&lt;35,"Solid",TRUE,"Blowout")</f>
        <v>Marginal</v>
      </c>
    </row>
    <row r="482" spans="1:13" x14ac:dyDescent="0.25">
      <c r="A482" s="169">
        <f t="shared" ca="1" si="70"/>
        <v>43.051010687699822</v>
      </c>
      <c r="B482" s="168">
        <f t="shared" ca="1" si="71"/>
        <v>5.7120044191966795</v>
      </c>
      <c r="C482" s="168">
        <f t="shared" ca="1" si="72"/>
        <v>37.339006268503141</v>
      </c>
      <c r="D482" s="184">
        <f t="shared" ca="1" si="73"/>
        <v>4.7189505623119903</v>
      </c>
      <c r="E482" s="230">
        <f t="shared" ca="1" si="74"/>
        <v>2.0679160148248106E-6</v>
      </c>
      <c r="F482" s="168">
        <f t="shared" ca="1" si="75"/>
        <v>21.739164072119827</v>
      </c>
      <c r="G482" s="168">
        <f t="shared" ca="1" si="76"/>
        <v>16.027159652923146</v>
      </c>
      <c r="H482" s="184">
        <f t="shared" ca="1" si="77"/>
        <v>2.0255325895007452</v>
      </c>
      <c r="I482" s="184">
        <f t="shared" ca="1" si="78"/>
        <v>2.1988940176419707E-2</v>
      </c>
      <c r="J482" s="223">
        <f t="shared" ca="1" si="79"/>
        <v>0</v>
      </c>
      <c r="K482" s="220" t="str" cm="1">
        <f t="array" aca="1" ref="K482" ca="1">_xlfn.IFS(G482&lt;$B$11,"Fail",G482&lt;25,"Marginal",G482&lt;35,"Solid",TRUE,"Blowout")</f>
        <v>Fail</v>
      </c>
      <c r="L482" s="226">
        <f ca="1">IF(AND(E482&lt;$B$10,C482&gt;=$B$11),1,0)</f>
        <v>1</v>
      </c>
      <c r="M482" s="217" t="str" cm="1">
        <f t="array" aca="1" ref="M482" ca="1">_xlfn.IFS(C482&lt;$B$11,"Fail",C482&lt;25,"Marginal",C482&lt;35,"Solid",TRUE,"Blowout")</f>
        <v>Blowout</v>
      </c>
    </row>
    <row r="483" spans="1:13" x14ac:dyDescent="0.25">
      <c r="A483" s="169">
        <f t="shared" ca="1" si="70"/>
        <v>52.744198685925873</v>
      </c>
      <c r="B483" s="168">
        <f t="shared" ca="1" si="71"/>
        <v>-7.596845145476868</v>
      </c>
      <c r="C483" s="168">
        <f t="shared" ca="1" si="72"/>
        <v>60.341043831402743</v>
      </c>
      <c r="D483" s="184">
        <f t="shared" ca="1" si="73"/>
        <v>7.6259769922930367</v>
      </c>
      <c r="E483" s="230">
        <f t="shared" ca="1" si="74"/>
        <v>3.2530245984033821E-13</v>
      </c>
      <c r="F483" s="168">
        <f t="shared" ca="1" si="75"/>
        <v>40.717431435742213</v>
      </c>
      <c r="G483" s="168">
        <f t="shared" ca="1" si="76"/>
        <v>48.314276581219083</v>
      </c>
      <c r="H483" s="184">
        <f t="shared" ca="1" si="77"/>
        <v>6.1060190247473516</v>
      </c>
      <c r="I483" s="184">
        <f t="shared" ca="1" si="78"/>
        <v>2.1792349977657559E-9</v>
      </c>
      <c r="J483" s="223">
        <f t="shared" ca="1" si="79"/>
        <v>1</v>
      </c>
      <c r="K483" s="220" t="str" cm="1">
        <f t="array" aca="1" ref="K483" ca="1">_xlfn.IFS(G483&lt;$B$11,"Fail",G483&lt;25,"Marginal",G483&lt;35,"Solid",TRUE,"Blowout")</f>
        <v>Blowout</v>
      </c>
      <c r="L483" s="226">
        <f ca="1">IF(AND(E483&lt;$B$10,C483&gt;=$B$11),1,0)</f>
        <v>1</v>
      </c>
      <c r="M483" s="217" t="str" cm="1">
        <f t="array" aca="1" ref="M483" ca="1">_xlfn.IFS(C483&lt;$B$11,"Fail",C483&lt;25,"Marginal",C483&lt;35,"Solid",TRUE,"Blowout")</f>
        <v>Blowout</v>
      </c>
    </row>
    <row r="484" spans="1:13" x14ac:dyDescent="0.25">
      <c r="A484" s="169">
        <f t="shared" ca="1" si="70"/>
        <v>31.922358543896571</v>
      </c>
      <c r="B484" s="168">
        <f t="shared" ca="1" si="71"/>
        <v>10.423503734428147</v>
      </c>
      <c r="C484" s="168">
        <f t="shared" ca="1" si="72"/>
        <v>21.498854809468426</v>
      </c>
      <c r="D484" s="184">
        <f t="shared" ca="1" si="73"/>
        <v>2.7170523034991287</v>
      </c>
      <c r="E484" s="230">
        <f t="shared" ca="1" si="74"/>
        <v>3.5460325506677954E-3</v>
      </c>
      <c r="F484" s="168">
        <f t="shared" ca="1" si="75"/>
        <v>24.068543088520087</v>
      </c>
      <c r="G484" s="168">
        <f t="shared" ca="1" si="76"/>
        <v>13.64503935409194</v>
      </c>
      <c r="H484" s="184">
        <f t="shared" ca="1" si="77"/>
        <v>1.724477230854347</v>
      </c>
      <c r="I484" s="184">
        <f t="shared" ca="1" si="78"/>
        <v>4.2988506620994731E-2</v>
      </c>
      <c r="J484" s="223">
        <f t="shared" ca="1" si="79"/>
        <v>0</v>
      </c>
      <c r="K484" s="220" t="str" cm="1">
        <f t="array" aca="1" ref="K484" ca="1">_xlfn.IFS(G484&lt;$B$11,"Fail",G484&lt;25,"Marginal",G484&lt;35,"Solid",TRUE,"Blowout")</f>
        <v>Fail</v>
      </c>
      <c r="L484" s="226">
        <f ca="1">IF(AND(E484&lt;$B$10,C484&gt;=$B$11),1,0)</f>
        <v>1</v>
      </c>
      <c r="M484" s="217" t="str" cm="1">
        <f t="array" aca="1" ref="M484" ca="1">_xlfn.IFS(C484&lt;$B$11,"Fail",C484&lt;25,"Marginal",C484&lt;35,"Solid",TRUE,"Blowout")</f>
        <v>Marginal</v>
      </c>
    </row>
    <row r="485" spans="1:13" x14ac:dyDescent="0.25">
      <c r="A485" s="169">
        <f t="shared" ca="1" si="70"/>
        <v>56.613574259594444</v>
      </c>
      <c r="B485" s="168">
        <f t="shared" ca="1" si="71"/>
        <v>11.953788589662565</v>
      </c>
      <c r="C485" s="168">
        <f t="shared" ca="1" si="72"/>
        <v>44.659785669931878</v>
      </c>
      <c r="D485" s="184">
        <f t="shared" ca="1" si="73"/>
        <v>5.6441598682188632</v>
      </c>
      <c r="E485" s="230">
        <f t="shared" ca="1" si="74"/>
        <v>2.4522595179427642E-8</v>
      </c>
      <c r="F485" s="168">
        <f t="shared" ca="1" si="75"/>
        <v>50.635089685960246</v>
      </c>
      <c r="G485" s="168">
        <f t="shared" ca="1" si="76"/>
        <v>38.68130109629768</v>
      </c>
      <c r="H485" s="184">
        <f t="shared" ca="1" si="77"/>
        <v>4.8885914704513338</v>
      </c>
      <c r="I485" s="184">
        <f t="shared" ca="1" si="78"/>
        <v>9.5791750444913047E-7</v>
      </c>
      <c r="J485" s="223">
        <f t="shared" ca="1" si="79"/>
        <v>1</v>
      </c>
      <c r="K485" s="220" t="str" cm="1">
        <f t="array" aca="1" ref="K485" ca="1">_xlfn.IFS(G485&lt;$B$11,"Fail",G485&lt;25,"Marginal",G485&lt;35,"Solid",TRUE,"Blowout")</f>
        <v>Blowout</v>
      </c>
      <c r="L485" s="226">
        <f ca="1">IF(AND(E485&lt;$B$10,C485&gt;=$B$11),1,0)</f>
        <v>1</v>
      </c>
      <c r="M485" s="217" t="str" cm="1">
        <f t="array" aca="1" ref="M485" ca="1">_xlfn.IFS(C485&lt;$B$11,"Fail",C485&lt;25,"Marginal",C485&lt;35,"Solid",TRUE,"Blowout")</f>
        <v>Blowout</v>
      </c>
    </row>
    <row r="486" spans="1:13" x14ac:dyDescent="0.25">
      <c r="A486" s="169">
        <f t="shared" ca="1" si="70"/>
        <v>49.475545759163367</v>
      </c>
      <c r="B486" s="168">
        <f t="shared" ca="1" si="71"/>
        <v>11.637644764543033</v>
      </c>
      <c r="C486" s="168">
        <f t="shared" ca="1" si="72"/>
        <v>37.837900994620334</v>
      </c>
      <c r="D486" s="184">
        <f t="shared" ca="1" si="73"/>
        <v>4.7820015051093385</v>
      </c>
      <c r="E486" s="230">
        <f t="shared" ca="1" si="74"/>
        <v>1.5572010731038084E-6</v>
      </c>
      <c r="F486" s="168">
        <f t="shared" ca="1" si="75"/>
        <v>3.4065046199020639</v>
      </c>
      <c r="G486" s="168">
        <f t="shared" ca="1" si="76"/>
        <v>-8.2311401446409693</v>
      </c>
      <c r="H486" s="184">
        <f t="shared" ca="1" si="77"/>
        <v>-1.0402618413224156</v>
      </c>
      <c r="I486" s="184">
        <f t="shared" ca="1" si="78"/>
        <v>0.85033993770193472</v>
      </c>
      <c r="J486" s="223">
        <f t="shared" ca="1" si="79"/>
        <v>0</v>
      </c>
      <c r="K486" s="220" t="str" cm="1">
        <f t="array" aca="1" ref="K486" ca="1">_xlfn.IFS(G486&lt;$B$11,"Fail",G486&lt;25,"Marginal",G486&lt;35,"Solid",TRUE,"Blowout")</f>
        <v>Fail</v>
      </c>
      <c r="L486" s="226">
        <f ca="1">IF(AND(E486&lt;$B$10,C486&gt;=$B$11),1,0)</f>
        <v>1</v>
      </c>
      <c r="M486" s="217" t="str" cm="1">
        <f t="array" aca="1" ref="M486" ca="1">_xlfn.IFS(C486&lt;$B$11,"Fail",C486&lt;25,"Marginal",C486&lt;35,"Solid",TRUE,"Blowout")</f>
        <v>Blowout</v>
      </c>
    </row>
    <row r="487" spans="1:13" x14ac:dyDescent="0.25">
      <c r="A487" s="169">
        <f t="shared" ca="1" si="70"/>
        <v>29.99889046818156</v>
      </c>
      <c r="B487" s="168">
        <f t="shared" ca="1" si="71"/>
        <v>-5.2730421131293035</v>
      </c>
      <c r="C487" s="168">
        <f t="shared" ca="1" si="72"/>
        <v>35.271932581310864</v>
      </c>
      <c r="D487" s="184">
        <f t="shared" ca="1" si="73"/>
        <v>4.4577111905843996</v>
      </c>
      <c r="E487" s="230">
        <f t="shared" ca="1" si="74"/>
        <v>6.4981753839574141E-6</v>
      </c>
      <c r="F487" s="168">
        <f t="shared" ca="1" si="75"/>
        <v>34.294623213372127</v>
      </c>
      <c r="G487" s="168">
        <f t="shared" ca="1" si="76"/>
        <v>39.567665326501427</v>
      </c>
      <c r="H487" s="184">
        <f t="shared" ca="1" si="77"/>
        <v>5.0006112963796276</v>
      </c>
      <c r="I487" s="184">
        <f t="shared" ca="1" si="78"/>
        <v>5.6998147009311016E-7</v>
      </c>
      <c r="J487" s="223">
        <f t="shared" ca="1" si="79"/>
        <v>1</v>
      </c>
      <c r="K487" s="220" t="str" cm="1">
        <f t="array" aca="1" ref="K487" ca="1">_xlfn.IFS(G487&lt;$B$11,"Fail",G487&lt;25,"Marginal",G487&lt;35,"Solid",TRUE,"Blowout")</f>
        <v>Blowout</v>
      </c>
      <c r="L487" s="226">
        <f ca="1">IF(AND(E487&lt;$B$10,C487&gt;=$B$11),1,0)</f>
        <v>1</v>
      </c>
      <c r="M487" s="217" t="str" cm="1">
        <f t="array" aca="1" ref="M487" ca="1">_xlfn.IFS(C487&lt;$B$11,"Fail",C487&lt;25,"Marginal",C487&lt;35,"Solid",TRUE,"Blowout")</f>
        <v>Blowout</v>
      </c>
    </row>
    <row r="488" spans="1:13" x14ac:dyDescent="0.25">
      <c r="A488" s="169">
        <f t="shared" ca="1" si="70"/>
        <v>14.082272390672944</v>
      </c>
      <c r="B488" s="168">
        <f t="shared" ca="1" si="71"/>
        <v>1.9963801340072389</v>
      </c>
      <c r="C488" s="168">
        <f t="shared" ca="1" si="72"/>
        <v>12.085892256665705</v>
      </c>
      <c r="D488" s="184">
        <f t="shared" ca="1" si="73"/>
        <v>1.5274302602087193</v>
      </c>
      <c r="E488" s="230">
        <f t="shared" ca="1" si="74"/>
        <v>6.402005894486669E-2</v>
      </c>
      <c r="F488" s="168">
        <f t="shared" ca="1" si="75"/>
        <v>22.186554221442634</v>
      </c>
      <c r="G488" s="168">
        <f t="shared" ca="1" si="76"/>
        <v>20.190174087435395</v>
      </c>
      <c r="H488" s="184">
        <f t="shared" ca="1" si="77"/>
        <v>2.5516595883123299</v>
      </c>
      <c r="I488" s="184">
        <f t="shared" ca="1" si="78"/>
        <v>5.6877182033267084E-3</v>
      </c>
      <c r="J488" s="223">
        <f t="shared" ca="1" si="79"/>
        <v>1</v>
      </c>
      <c r="K488" s="220" t="str" cm="1">
        <f t="array" aca="1" ref="K488" ca="1">_xlfn.IFS(G488&lt;$B$11,"Fail",G488&lt;25,"Marginal",G488&lt;35,"Solid",TRUE,"Blowout")</f>
        <v>Marginal</v>
      </c>
      <c r="L488" s="226">
        <f ca="1">IF(AND(E488&lt;$B$10,C488&gt;=$B$11),1,0)</f>
        <v>0</v>
      </c>
      <c r="M488" s="217" t="str" cm="1">
        <f t="array" aca="1" ref="M488" ca="1">_xlfn.IFS(C488&lt;$B$11,"Fail",C488&lt;25,"Marginal",C488&lt;35,"Solid",TRUE,"Blowout")</f>
        <v>Fail</v>
      </c>
    </row>
    <row r="489" spans="1:13" x14ac:dyDescent="0.25">
      <c r="A489" s="169">
        <f t="shared" ca="1" si="70"/>
        <v>-1.9721763932515524</v>
      </c>
      <c r="B489" s="168">
        <f t="shared" ca="1" si="71"/>
        <v>11.220196613148421</v>
      </c>
      <c r="C489" s="168">
        <f t="shared" ca="1" si="72"/>
        <v>-13.192373006399972</v>
      </c>
      <c r="D489" s="184">
        <f t="shared" ca="1" si="73"/>
        <v>-1.6672686886499815</v>
      </c>
      <c r="E489" s="230">
        <f t="shared" ca="1" si="74"/>
        <v>0.95158303138121036</v>
      </c>
      <c r="F489" s="168">
        <f t="shared" ca="1" si="75"/>
        <v>18.866818944707227</v>
      </c>
      <c r="G489" s="168">
        <f t="shared" ca="1" si="76"/>
        <v>7.646622331558806</v>
      </c>
      <c r="H489" s="184">
        <f t="shared" ca="1" si="77"/>
        <v>0.96638974513189146</v>
      </c>
      <c r="I489" s="184">
        <f t="shared" ca="1" si="78"/>
        <v>0.16743656397446244</v>
      </c>
      <c r="J489" s="223">
        <f t="shared" ca="1" si="79"/>
        <v>0</v>
      </c>
      <c r="K489" s="220" t="str" cm="1">
        <f t="array" aca="1" ref="K489" ca="1">_xlfn.IFS(G489&lt;$B$11,"Fail",G489&lt;25,"Marginal",G489&lt;35,"Solid",TRUE,"Blowout")</f>
        <v>Fail</v>
      </c>
      <c r="L489" s="226">
        <f ca="1">IF(AND(E489&lt;$B$10,C489&gt;=$B$11),1,0)</f>
        <v>0</v>
      </c>
      <c r="M489" s="217" t="str" cm="1">
        <f t="array" aca="1" ref="M489" ca="1">_xlfn.IFS(C489&lt;$B$11,"Fail",C489&lt;25,"Marginal",C489&lt;35,"Solid",TRUE,"Blowout")</f>
        <v>Fail</v>
      </c>
    </row>
    <row r="490" spans="1:13" x14ac:dyDescent="0.25">
      <c r="A490" s="169">
        <f t="shared" ca="1" si="70"/>
        <v>52.82910833672986</v>
      </c>
      <c r="B490" s="168">
        <f t="shared" ca="1" si="71"/>
        <v>-1.6803614719104232</v>
      </c>
      <c r="C490" s="168">
        <f t="shared" ca="1" si="72"/>
        <v>54.509469808640283</v>
      </c>
      <c r="D490" s="184">
        <f t="shared" ca="1" si="73"/>
        <v>6.8889753346701301</v>
      </c>
      <c r="E490" s="230">
        <f t="shared" ca="1" si="74"/>
        <v>2.7099213348804891E-11</v>
      </c>
      <c r="F490" s="168">
        <f t="shared" ca="1" si="75"/>
        <v>40.140855689330593</v>
      </c>
      <c r="G490" s="168">
        <f t="shared" ca="1" si="76"/>
        <v>41.821217161241016</v>
      </c>
      <c r="H490" s="184">
        <f t="shared" ca="1" si="77"/>
        <v>5.2854180108720303</v>
      </c>
      <c r="I490" s="184">
        <f t="shared" ca="1" si="78"/>
        <v>1.4651111337891838E-7</v>
      </c>
      <c r="J490" s="223">
        <f t="shared" ca="1" si="79"/>
        <v>1</v>
      </c>
      <c r="K490" s="220" t="str" cm="1">
        <f t="array" aca="1" ref="K490" ca="1">_xlfn.IFS(G490&lt;$B$11,"Fail",G490&lt;25,"Marginal",G490&lt;35,"Solid",TRUE,"Blowout")</f>
        <v>Blowout</v>
      </c>
      <c r="L490" s="226">
        <f ca="1">IF(AND(E490&lt;$B$10,C490&gt;=$B$11),1,0)</f>
        <v>1</v>
      </c>
      <c r="M490" s="217" t="str" cm="1">
        <f t="array" aca="1" ref="M490" ca="1">_xlfn.IFS(C490&lt;$B$11,"Fail",C490&lt;25,"Marginal",C490&lt;35,"Solid",TRUE,"Blowout")</f>
        <v>Blowout</v>
      </c>
    </row>
    <row r="491" spans="1:13" x14ac:dyDescent="0.25">
      <c r="A491" s="169">
        <f t="shared" ca="1" si="70"/>
        <v>10.019355705227314</v>
      </c>
      <c r="B491" s="168">
        <f t="shared" ca="1" si="71"/>
        <v>-5.6040895925228824</v>
      </c>
      <c r="C491" s="168">
        <f t="shared" ca="1" si="72"/>
        <v>15.623445297750196</v>
      </c>
      <c r="D491" s="184">
        <f t="shared" ca="1" si="73"/>
        <v>1.9745106616632107</v>
      </c>
      <c r="E491" s="230">
        <f t="shared" ca="1" si="74"/>
        <v>2.4765305227280317E-2</v>
      </c>
      <c r="F491" s="168">
        <f t="shared" ca="1" si="75"/>
        <v>22.323868449767836</v>
      </c>
      <c r="G491" s="168">
        <f t="shared" ca="1" si="76"/>
        <v>27.927958042290719</v>
      </c>
      <c r="H491" s="184">
        <f t="shared" ca="1" si="77"/>
        <v>3.5295704540231387</v>
      </c>
      <c r="I491" s="184">
        <f t="shared" ca="1" si="78"/>
        <v>2.517067246295567E-4</v>
      </c>
      <c r="J491" s="223">
        <f t="shared" ca="1" si="79"/>
        <v>1</v>
      </c>
      <c r="K491" s="220" t="str" cm="1">
        <f t="array" aca="1" ref="K491" ca="1">_xlfn.IFS(G491&lt;$B$11,"Fail",G491&lt;25,"Marginal",G491&lt;35,"Solid",TRUE,"Blowout")</f>
        <v>Solid</v>
      </c>
      <c r="L491" s="226">
        <f ca="1">IF(AND(E491&lt;$B$10,C491&gt;=$B$11),1,0)</f>
        <v>0</v>
      </c>
      <c r="M491" s="217" t="str" cm="1">
        <f t="array" aca="1" ref="M491" ca="1">_xlfn.IFS(C491&lt;$B$11,"Fail",C491&lt;25,"Marginal",C491&lt;35,"Solid",TRUE,"Blowout")</f>
        <v>Fail</v>
      </c>
    </row>
    <row r="492" spans="1:13" x14ac:dyDescent="0.25">
      <c r="A492" s="169">
        <f t="shared" ca="1" si="70"/>
        <v>2.4142198053977264</v>
      </c>
      <c r="B492" s="168">
        <f t="shared" ca="1" si="71"/>
        <v>10.322594668086996</v>
      </c>
      <c r="C492" s="168">
        <f t="shared" ca="1" si="72"/>
        <v>-7.9083748626892696</v>
      </c>
      <c r="D492" s="184">
        <f t="shared" ca="1" si="73"/>
        <v>-0.99947035914401705</v>
      </c>
      <c r="E492" s="230">
        <f t="shared" ca="1" si="74"/>
        <v>0.84068677986729845</v>
      </c>
      <c r="F492" s="168">
        <f t="shared" ca="1" si="75"/>
        <v>24.879319890743613</v>
      </c>
      <c r="G492" s="168">
        <f t="shared" ca="1" si="76"/>
        <v>14.556725222656617</v>
      </c>
      <c r="H492" s="184">
        <f t="shared" ca="1" si="77"/>
        <v>1.8396972372781453</v>
      </c>
      <c r="I492" s="184">
        <f t="shared" ca="1" si="78"/>
        <v>3.3556379848212976E-2</v>
      </c>
      <c r="J492" s="223">
        <f t="shared" ca="1" si="79"/>
        <v>0</v>
      </c>
      <c r="K492" s="220" t="str" cm="1">
        <f t="array" aca="1" ref="K492" ca="1">_xlfn.IFS(G492&lt;$B$11,"Fail",G492&lt;25,"Marginal",G492&lt;35,"Solid",TRUE,"Blowout")</f>
        <v>Fail</v>
      </c>
      <c r="L492" s="226">
        <f ca="1">IF(AND(E492&lt;$B$10,C492&gt;=$B$11),1,0)</f>
        <v>0</v>
      </c>
      <c r="M492" s="217" t="str" cm="1">
        <f t="array" aca="1" ref="M492" ca="1">_xlfn.IFS(C492&lt;$B$11,"Fail",C492&lt;25,"Marginal",C492&lt;35,"Solid",TRUE,"Blowout")</f>
        <v>Fail</v>
      </c>
    </row>
    <row r="493" spans="1:13" x14ac:dyDescent="0.25">
      <c r="A493" s="169">
        <f t="shared" ca="1" si="70"/>
        <v>38.033667931408331</v>
      </c>
      <c r="B493" s="168">
        <f t="shared" ca="1" si="71"/>
        <v>5.7335480635964711</v>
      </c>
      <c r="C493" s="168">
        <f t="shared" ca="1" si="72"/>
        <v>32.300119867811858</v>
      </c>
      <c r="D493" s="184">
        <f t="shared" ca="1" si="73"/>
        <v>4.0821297630925359</v>
      </c>
      <c r="E493" s="230">
        <f t="shared" ca="1" si="74"/>
        <v>3.0879343603962266E-5</v>
      </c>
      <c r="F493" s="168">
        <f t="shared" ca="1" si="75"/>
        <v>32.611327370630825</v>
      </c>
      <c r="G493" s="168">
        <f t="shared" ca="1" si="76"/>
        <v>26.877779307034352</v>
      </c>
      <c r="H493" s="184">
        <f t="shared" ca="1" si="77"/>
        <v>3.3968475449657953</v>
      </c>
      <c r="I493" s="184">
        <f t="shared" ca="1" si="78"/>
        <v>4.0209486801297012E-4</v>
      </c>
      <c r="J493" s="223">
        <f t="shared" ca="1" si="79"/>
        <v>1</v>
      </c>
      <c r="K493" s="220" t="str" cm="1">
        <f t="array" aca="1" ref="K493" ca="1">_xlfn.IFS(G493&lt;$B$11,"Fail",G493&lt;25,"Marginal",G493&lt;35,"Solid",TRUE,"Blowout")</f>
        <v>Solid</v>
      </c>
      <c r="L493" s="226">
        <f ca="1">IF(AND(E493&lt;$B$10,C493&gt;=$B$11),1,0)</f>
        <v>1</v>
      </c>
      <c r="M493" s="217" t="str" cm="1">
        <f t="array" aca="1" ref="M493" ca="1">_xlfn.IFS(C493&lt;$B$11,"Fail",C493&lt;25,"Marginal",C493&lt;35,"Solid",TRUE,"Blowout")</f>
        <v>Solid</v>
      </c>
    </row>
    <row r="494" spans="1:13" x14ac:dyDescent="0.25">
      <c r="A494" s="169">
        <f t="shared" ca="1" si="70"/>
        <v>36.516337361002051</v>
      </c>
      <c r="B494" s="168">
        <f t="shared" ca="1" si="71"/>
        <v>-0.44572811710200533</v>
      </c>
      <c r="C494" s="168">
        <f t="shared" ca="1" si="72"/>
        <v>36.962065478104059</v>
      </c>
      <c r="D494" s="184">
        <f t="shared" ca="1" si="73"/>
        <v>4.6713123112556802</v>
      </c>
      <c r="E494" s="230">
        <f t="shared" ca="1" si="74"/>
        <v>2.5573836743112979E-6</v>
      </c>
      <c r="F494" s="168">
        <f t="shared" ca="1" si="75"/>
        <v>1.7811002605461368</v>
      </c>
      <c r="G494" s="168">
        <f t="shared" ca="1" si="76"/>
        <v>2.2268283776481423</v>
      </c>
      <c r="H494" s="184">
        <f t="shared" ca="1" si="77"/>
        <v>0.28142937038308757</v>
      </c>
      <c r="I494" s="184">
        <f t="shared" ca="1" si="78"/>
        <v>0.38931817159190962</v>
      </c>
      <c r="J494" s="223">
        <f t="shared" ca="1" si="79"/>
        <v>0</v>
      </c>
      <c r="K494" s="220" t="str" cm="1">
        <f t="array" aca="1" ref="K494" ca="1">_xlfn.IFS(G494&lt;$B$11,"Fail",G494&lt;25,"Marginal",G494&lt;35,"Solid",TRUE,"Blowout")</f>
        <v>Fail</v>
      </c>
      <c r="L494" s="226">
        <f ca="1">IF(AND(E494&lt;$B$10,C494&gt;=$B$11),1,0)</f>
        <v>1</v>
      </c>
      <c r="M494" s="217" t="str" cm="1">
        <f t="array" aca="1" ref="M494" ca="1">_xlfn.IFS(C494&lt;$B$11,"Fail",C494&lt;25,"Marginal",C494&lt;35,"Solid",TRUE,"Blowout")</f>
        <v>Blowout</v>
      </c>
    </row>
    <row r="495" spans="1:13" x14ac:dyDescent="0.25">
      <c r="A495" s="169">
        <f t="shared" ca="1" si="70"/>
        <v>5.7546463648714399</v>
      </c>
      <c r="B495" s="168">
        <f t="shared" ca="1" si="71"/>
        <v>11.262361885952698</v>
      </c>
      <c r="C495" s="168">
        <f t="shared" ca="1" si="72"/>
        <v>-5.5077155210812583</v>
      </c>
      <c r="D495" s="184">
        <f t="shared" ca="1" si="73"/>
        <v>-0.69607201296047783</v>
      </c>
      <c r="E495" s="230">
        <f t="shared" ca="1" si="74"/>
        <v>0.7564536613013968</v>
      </c>
      <c r="F495" s="168">
        <f t="shared" ca="1" si="75"/>
        <v>14.894030502080644</v>
      </c>
      <c r="G495" s="168">
        <f t="shared" ca="1" si="76"/>
        <v>3.6316686161279463</v>
      </c>
      <c r="H495" s="184">
        <f t="shared" ca="1" si="77"/>
        <v>0.45897484616948808</v>
      </c>
      <c r="I495" s="184">
        <f t="shared" ca="1" si="78"/>
        <v>0.32334473795137997</v>
      </c>
      <c r="J495" s="223">
        <f t="shared" ca="1" si="79"/>
        <v>0</v>
      </c>
      <c r="K495" s="220" t="str" cm="1">
        <f t="array" aca="1" ref="K495" ca="1">_xlfn.IFS(G495&lt;$B$11,"Fail",G495&lt;25,"Marginal",G495&lt;35,"Solid",TRUE,"Blowout")</f>
        <v>Fail</v>
      </c>
      <c r="L495" s="226">
        <f ca="1">IF(AND(E495&lt;$B$10,C495&gt;=$B$11),1,0)</f>
        <v>0</v>
      </c>
      <c r="M495" s="217" t="str" cm="1">
        <f t="array" aca="1" ref="M495" ca="1">_xlfn.IFS(C495&lt;$B$11,"Fail",C495&lt;25,"Marginal",C495&lt;35,"Solid",TRUE,"Blowout")</f>
        <v>Fail</v>
      </c>
    </row>
    <row r="496" spans="1:13" x14ac:dyDescent="0.25">
      <c r="A496" s="169">
        <f t="shared" ca="1" si="70"/>
        <v>-4.0681049871658095</v>
      </c>
      <c r="B496" s="168">
        <f t="shared" ca="1" si="71"/>
        <v>8.0531219984207407</v>
      </c>
      <c r="C496" s="168">
        <f t="shared" ca="1" si="72"/>
        <v>-12.121226985586549</v>
      </c>
      <c r="D496" s="184">
        <f t="shared" ca="1" si="73"/>
        <v>-1.5318959076796541</v>
      </c>
      <c r="E496" s="230">
        <f t="shared" ca="1" si="74"/>
        <v>0.9365327753922833</v>
      </c>
      <c r="F496" s="168">
        <f t="shared" ca="1" si="75"/>
        <v>1.2038693802520959</v>
      </c>
      <c r="G496" s="168">
        <f t="shared" ca="1" si="76"/>
        <v>-6.8492526181686451</v>
      </c>
      <c r="H496" s="184">
        <f t="shared" ca="1" si="77"/>
        <v>-0.86561715814028029</v>
      </c>
      <c r="I496" s="184">
        <f t="shared" ca="1" si="78"/>
        <v>0.80619497306193866</v>
      </c>
      <c r="J496" s="223">
        <f t="shared" ca="1" si="79"/>
        <v>0</v>
      </c>
      <c r="K496" s="220" t="str" cm="1">
        <f t="array" aca="1" ref="K496" ca="1">_xlfn.IFS(G496&lt;$B$11,"Fail",G496&lt;25,"Marginal",G496&lt;35,"Solid",TRUE,"Blowout")</f>
        <v>Fail</v>
      </c>
      <c r="L496" s="226">
        <f ca="1">IF(AND(E496&lt;$B$10,C496&gt;=$B$11),1,0)</f>
        <v>0</v>
      </c>
      <c r="M496" s="217" t="str" cm="1">
        <f t="array" aca="1" ref="M496" ca="1">_xlfn.IFS(C496&lt;$B$11,"Fail",C496&lt;25,"Marginal",C496&lt;35,"Solid",TRUE,"Blowout")</f>
        <v>Fail</v>
      </c>
    </row>
    <row r="497" spans="1:13" x14ac:dyDescent="0.25">
      <c r="A497" s="169">
        <f t="shared" ca="1" si="70"/>
        <v>29.281371443545435</v>
      </c>
      <c r="B497" s="168">
        <f t="shared" ca="1" si="71"/>
        <v>9.5265050076951603</v>
      </c>
      <c r="C497" s="168">
        <f t="shared" ca="1" si="72"/>
        <v>19.754866435850275</v>
      </c>
      <c r="D497" s="184">
        <f t="shared" ca="1" si="73"/>
        <v>2.4966448599487872</v>
      </c>
      <c r="E497" s="230">
        <f t="shared" ca="1" si="74"/>
        <v>6.6224106397132238E-3</v>
      </c>
      <c r="F497" s="168">
        <f t="shared" ca="1" si="75"/>
        <v>47.436736605819888</v>
      </c>
      <c r="G497" s="168">
        <f t="shared" ca="1" si="76"/>
        <v>37.910231598124724</v>
      </c>
      <c r="H497" s="184">
        <f t="shared" ca="1" si="77"/>
        <v>4.7911427377287863</v>
      </c>
      <c r="I497" s="184">
        <f t="shared" ca="1" si="78"/>
        <v>1.4941131109481343E-6</v>
      </c>
      <c r="J497" s="223">
        <f t="shared" ca="1" si="79"/>
        <v>1</v>
      </c>
      <c r="K497" s="220" t="str" cm="1">
        <f t="array" aca="1" ref="K497" ca="1">_xlfn.IFS(G497&lt;$B$11,"Fail",G497&lt;25,"Marginal",G497&lt;35,"Solid",TRUE,"Blowout")</f>
        <v>Blowout</v>
      </c>
      <c r="L497" s="226">
        <f ca="1">IF(AND(E497&lt;$B$10,C497&gt;=$B$11),1,0)</f>
        <v>0</v>
      </c>
      <c r="M497" s="217" t="str" cm="1">
        <f t="array" aca="1" ref="M497" ca="1">_xlfn.IFS(C497&lt;$B$11,"Fail",C497&lt;25,"Marginal",C497&lt;35,"Solid",TRUE,"Blowout")</f>
        <v>Fail</v>
      </c>
    </row>
    <row r="498" spans="1:13" x14ac:dyDescent="0.25">
      <c r="A498" s="169">
        <f t="shared" ca="1" si="70"/>
        <v>53.879238019033195</v>
      </c>
      <c r="B498" s="168">
        <f t="shared" ca="1" si="71"/>
        <v>-3.576152647893224</v>
      </c>
      <c r="C498" s="168">
        <f t="shared" ca="1" si="72"/>
        <v>57.455390666926419</v>
      </c>
      <c r="D498" s="184">
        <f t="shared" ca="1" si="73"/>
        <v>7.2612845169437508</v>
      </c>
      <c r="E498" s="230">
        <f t="shared" ca="1" si="74"/>
        <v>2.9997549238433018E-12</v>
      </c>
      <c r="F498" s="168">
        <f t="shared" ca="1" si="75"/>
        <v>47.736347678648855</v>
      </c>
      <c r="G498" s="168">
        <f t="shared" ca="1" si="76"/>
        <v>51.312500326542079</v>
      </c>
      <c r="H498" s="184">
        <f t="shared" ca="1" si="77"/>
        <v>6.4849383116503851</v>
      </c>
      <c r="I498" s="184">
        <f t="shared" ca="1" si="78"/>
        <v>2.7208957926127377E-10</v>
      </c>
      <c r="J498" s="223">
        <f t="shared" ca="1" si="79"/>
        <v>1</v>
      </c>
      <c r="K498" s="220" t="str" cm="1">
        <f t="array" aca="1" ref="K498" ca="1">_xlfn.IFS(G498&lt;$B$11,"Fail",G498&lt;25,"Marginal",G498&lt;35,"Solid",TRUE,"Blowout")</f>
        <v>Blowout</v>
      </c>
      <c r="L498" s="226">
        <f ca="1">IF(AND(E498&lt;$B$10,C498&gt;=$B$11),1,0)</f>
        <v>1</v>
      </c>
      <c r="M498" s="217" t="str" cm="1">
        <f t="array" aca="1" ref="M498" ca="1">_xlfn.IFS(C498&lt;$B$11,"Fail",C498&lt;25,"Marginal",C498&lt;35,"Solid",TRUE,"Blowout")</f>
        <v>Blowout</v>
      </c>
    </row>
    <row r="499" spans="1:13" x14ac:dyDescent="0.25">
      <c r="A499" s="169">
        <f t="shared" ca="1" si="70"/>
        <v>46.512561871605868</v>
      </c>
      <c r="B499" s="168">
        <f t="shared" ca="1" si="71"/>
        <v>10.068847884607816</v>
      </c>
      <c r="C499" s="168">
        <f t="shared" ca="1" si="72"/>
        <v>36.443713986998048</v>
      </c>
      <c r="D499" s="184">
        <f t="shared" ca="1" si="73"/>
        <v>4.6058023980340925</v>
      </c>
      <c r="E499" s="230">
        <f t="shared" ca="1" si="74"/>
        <v>3.4160388324905407E-6</v>
      </c>
      <c r="F499" s="168">
        <f t="shared" ca="1" si="75"/>
        <v>39.224205119212172</v>
      </c>
      <c r="G499" s="168">
        <f t="shared" ca="1" si="76"/>
        <v>29.155357234604356</v>
      </c>
      <c r="H499" s="184">
        <f t="shared" ca="1" si="77"/>
        <v>3.6846907072805353</v>
      </c>
      <c r="I499" s="184">
        <f t="shared" ca="1" si="78"/>
        <v>1.4304640760588717E-4</v>
      </c>
      <c r="J499" s="223">
        <f t="shared" ca="1" si="79"/>
        <v>1</v>
      </c>
      <c r="K499" s="220" t="str" cm="1">
        <f t="array" aca="1" ref="K499" ca="1">_xlfn.IFS(G499&lt;$B$11,"Fail",G499&lt;25,"Marginal",G499&lt;35,"Solid",TRUE,"Blowout")</f>
        <v>Solid</v>
      </c>
      <c r="L499" s="226">
        <f ca="1">IF(AND(E499&lt;$B$10,C499&gt;=$B$11),1,0)</f>
        <v>1</v>
      </c>
      <c r="M499" s="217" t="str" cm="1">
        <f t="array" aca="1" ref="M499" ca="1">_xlfn.IFS(C499&lt;$B$11,"Fail",C499&lt;25,"Marginal",C499&lt;35,"Solid",TRUE,"Blowout")</f>
        <v>Blowout</v>
      </c>
    </row>
    <row r="500" spans="1:13" x14ac:dyDescent="0.25">
      <c r="A500" s="169">
        <f t="shared" ca="1" si="70"/>
        <v>34.411120329530043</v>
      </c>
      <c r="B500" s="168">
        <f t="shared" ca="1" si="71"/>
        <v>-2.5557996062145349</v>
      </c>
      <c r="C500" s="168">
        <f t="shared" ca="1" si="72"/>
        <v>36.966919935744578</v>
      </c>
      <c r="D500" s="184">
        <f t="shared" ca="1" si="73"/>
        <v>4.6719258237162888</v>
      </c>
      <c r="E500" s="230">
        <f t="shared" ca="1" si="74"/>
        <v>2.5504225180510912E-6</v>
      </c>
      <c r="F500" s="168">
        <f t="shared" ca="1" si="75"/>
        <v>8.8159090640135442</v>
      </c>
      <c r="G500" s="168">
        <f t="shared" ca="1" si="76"/>
        <v>11.371708670228079</v>
      </c>
      <c r="H500" s="184">
        <f t="shared" ca="1" si="77"/>
        <v>1.437170840539677</v>
      </c>
      <c r="I500" s="184">
        <f t="shared" ca="1" si="78"/>
        <v>7.6020177411260353E-2</v>
      </c>
      <c r="J500" s="223">
        <f t="shared" ca="1" si="79"/>
        <v>0</v>
      </c>
      <c r="K500" s="220" t="str" cm="1">
        <f t="array" aca="1" ref="K500" ca="1">_xlfn.IFS(G500&lt;$B$11,"Fail",G500&lt;25,"Marginal",G500&lt;35,"Solid",TRUE,"Blowout")</f>
        <v>Fail</v>
      </c>
      <c r="L500" s="226">
        <f ca="1">IF(AND(E500&lt;$B$10,C500&gt;=$B$11),1,0)</f>
        <v>1</v>
      </c>
      <c r="M500" s="217" t="str" cm="1">
        <f t="array" aca="1" ref="M500" ca="1">_xlfn.IFS(C500&lt;$B$11,"Fail",C500&lt;25,"Marginal",C500&lt;35,"Solid",TRUE,"Blowout")</f>
        <v>Blowout</v>
      </c>
    </row>
    <row r="501" spans="1:13" x14ac:dyDescent="0.25">
      <c r="A501" s="169">
        <f t="shared" ca="1" si="70"/>
        <v>57.122859534903093</v>
      </c>
      <c r="B501" s="168">
        <f t="shared" ca="1" si="71"/>
        <v>4.2319212689046131</v>
      </c>
      <c r="C501" s="168">
        <f t="shared" ca="1" si="72"/>
        <v>52.890938265998479</v>
      </c>
      <c r="D501" s="184">
        <f t="shared" ca="1" si="73"/>
        <v>6.6844232831681065</v>
      </c>
      <c r="E501" s="230">
        <f t="shared" ca="1" si="74"/>
        <v>8.8084110722500546E-11</v>
      </c>
      <c r="F501" s="168">
        <f t="shared" ca="1" si="75"/>
        <v>35.963001539961702</v>
      </c>
      <c r="G501" s="168">
        <f t="shared" ca="1" si="76"/>
        <v>31.731080271057088</v>
      </c>
      <c r="H501" s="184">
        <f t="shared" ca="1" si="77"/>
        <v>4.0102138233437907</v>
      </c>
      <c r="I501" s="184">
        <f t="shared" ca="1" si="78"/>
        <v>4.1118820432777246E-5</v>
      </c>
      <c r="J501" s="223">
        <f t="shared" ca="1" si="79"/>
        <v>1</v>
      </c>
      <c r="K501" s="220" t="str" cm="1">
        <f t="array" aca="1" ref="K501" ca="1">_xlfn.IFS(G501&lt;$B$11,"Fail",G501&lt;25,"Marginal",G501&lt;35,"Solid",TRUE,"Blowout")</f>
        <v>Solid</v>
      </c>
      <c r="L501" s="226">
        <f ca="1">IF(AND(E501&lt;$B$10,C501&gt;=$B$11),1,0)</f>
        <v>1</v>
      </c>
      <c r="M501" s="217" t="str" cm="1">
        <f t="array" aca="1" ref="M501" ca="1">_xlfn.IFS(C501&lt;$B$11,"Fail",C501&lt;25,"Marginal",C501&lt;35,"Solid",TRUE,"Blowout")</f>
        <v>Blowout</v>
      </c>
    </row>
    <row r="502" spans="1:13" x14ac:dyDescent="0.25">
      <c r="A502" s="169">
        <f t="shared" ca="1" si="70"/>
        <v>58.644733088217166</v>
      </c>
      <c r="B502" s="168">
        <f t="shared" ca="1" si="71"/>
        <v>1.722341103481825</v>
      </c>
      <c r="C502" s="168">
        <f t="shared" ca="1" si="72"/>
        <v>56.922391984735341</v>
      </c>
      <c r="D502" s="184">
        <f t="shared" ca="1" si="73"/>
        <v>7.1939234732954409</v>
      </c>
      <c r="E502" s="230">
        <f t="shared" ca="1" si="74"/>
        <v>4.4901806209556738E-12</v>
      </c>
      <c r="F502" s="168">
        <f t="shared" ca="1" si="75"/>
        <v>43.775800174151989</v>
      </c>
      <c r="G502" s="168">
        <f t="shared" ca="1" si="76"/>
        <v>42.053459070670165</v>
      </c>
      <c r="H502" s="184">
        <f t="shared" ca="1" si="77"/>
        <v>5.3147690354068624</v>
      </c>
      <c r="I502" s="184">
        <f t="shared" ca="1" si="78"/>
        <v>1.2697721931685963E-7</v>
      </c>
      <c r="J502" s="223">
        <f t="shared" ca="1" si="79"/>
        <v>1</v>
      </c>
      <c r="K502" s="220" t="str" cm="1">
        <f t="array" aca="1" ref="K502" ca="1">_xlfn.IFS(G502&lt;$B$11,"Fail",G502&lt;25,"Marginal",G502&lt;35,"Solid",TRUE,"Blowout")</f>
        <v>Blowout</v>
      </c>
      <c r="L502" s="226">
        <f ca="1">IF(AND(E502&lt;$B$10,C502&gt;=$B$11),1,0)</f>
        <v>1</v>
      </c>
      <c r="M502" s="217" t="str" cm="1">
        <f t="array" aca="1" ref="M502" ca="1">_xlfn.IFS(C502&lt;$B$11,"Fail",C502&lt;25,"Marginal",C502&lt;35,"Solid",TRUE,"Blowout")</f>
        <v>Blowout</v>
      </c>
    </row>
    <row r="503" spans="1:13" x14ac:dyDescent="0.25">
      <c r="A503" s="169">
        <f t="shared" ca="1" si="70"/>
        <v>52.982568536798503</v>
      </c>
      <c r="B503" s="168">
        <f t="shared" ca="1" si="71"/>
        <v>11.073544869907188</v>
      </c>
      <c r="C503" s="168">
        <f t="shared" ca="1" si="72"/>
        <v>41.909023666891315</v>
      </c>
      <c r="D503" s="184">
        <f t="shared" ca="1" si="73"/>
        <v>5.2965151074640913</v>
      </c>
      <c r="E503" s="230">
        <f t="shared" ca="1" si="74"/>
        <v>1.3880460798676758E-7</v>
      </c>
      <c r="F503" s="168">
        <f t="shared" ca="1" si="75"/>
        <v>31.306785068124213</v>
      </c>
      <c r="G503" s="168">
        <f t="shared" ca="1" si="76"/>
        <v>20.233240198217025</v>
      </c>
      <c r="H503" s="184">
        <f t="shared" ca="1" si="77"/>
        <v>2.557102337544277</v>
      </c>
      <c r="I503" s="184">
        <f t="shared" ca="1" si="78"/>
        <v>5.6019814186950142E-3</v>
      </c>
      <c r="J503" s="223">
        <f t="shared" ca="1" si="79"/>
        <v>1</v>
      </c>
      <c r="K503" s="220" t="str" cm="1">
        <f t="array" aca="1" ref="K503" ca="1">_xlfn.IFS(G503&lt;$B$11,"Fail",G503&lt;25,"Marginal",G503&lt;35,"Solid",TRUE,"Blowout")</f>
        <v>Marginal</v>
      </c>
      <c r="L503" s="226">
        <f ca="1">IF(AND(E503&lt;$B$10,C503&gt;=$B$11),1,0)</f>
        <v>1</v>
      </c>
      <c r="M503" s="217" t="str" cm="1">
        <f t="array" aca="1" ref="M503" ca="1">_xlfn.IFS(C503&lt;$B$11,"Fail",C503&lt;25,"Marginal",C503&lt;35,"Solid",TRUE,"Blowout")</f>
        <v>Blowout</v>
      </c>
    </row>
    <row r="504" spans="1:13" x14ac:dyDescent="0.25">
      <c r="A504" s="169">
        <f t="shared" ca="1" si="70"/>
        <v>46.017676378577526</v>
      </c>
      <c r="B504" s="168">
        <f t="shared" ca="1" si="71"/>
        <v>-5.2534583554574574</v>
      </c>
      <c r="C504" s="168">
        <f t="shared" ca="1" si="72"/>
        <v>51.271134734034987</v>
      </c>
      <c r="D504" s="184">
        <f t="shared" ca="1" si="73"/>
        <v>6.4797104760562076</v>
      </c>
      <c r="E504" s="230">
        <f t="shared" ca="1" si="74"/>
        <v>2.8016896952929901E-10</v>
      </c>
      <c r="F504" s="168">
        <f t="shared" ca="1" si="75"/>
        <v>17.691673806104209</v>
      </c>
      <c r="G504" s="168">
        <f t="shared" ca="1" si="76"/>
        <v>22.945132161561666</v>
      </c>
      <c r="H504" s="184">
        <f t="shared" ca="1" si="77"/>
        <v>2.8998346538070576</v>
      </c>
      <c r="I504" s="184">
        <f t="shared" ca="1" si="78"/>
        <v>2.0492552448417847E-3</v>
      </c>
      <c r="J504" s="223">
        <f t="shared" ca="1" si="79"/>
        <v>1</v>
      </c>
      <c r="K504" s="220" t="str" cm="1">
        <f t="array" aca="1" ref="K504" ca="1">_xlfn.IFS(G504&lt;$B$11,"Fail",G504&lt;25,"Marginal",G504&lt;35,"Solid",TRUE,"Blowout")</f>
        <v>Marginal</v>
      </c>
      <c r="L504" s="226">
        <f ca="1">IF(AND(E504&lt;$B$10,C504&gt;=$B$11),1,0)</f>
        <v>1</v>
      </c>
      <c r="M504" s="217" t="str" cm="1">
        <f t="array" aca="1" ref="M504" ca="1">_xlfn.IFS(C504&lt;$B$11,"Fail",C504&lt;25,"Marginal",C504&lt;35,"Solid",TRUE,"Blowout")</f>
        <v>Blowout</v>
      </c>
    </row>
    <row r="505" spans="1:13" x14ac:dyDescent="0.25">
      <c r="A505" s="169">
        <f t="shared" ca="1" si="70"/>
        <v>5.0830124693128544</v>
      </c>
      <c r="B505" s="168">
        <f t="shared" ca="1" si="71"/>
        <v>13.058993043039214</v>
      </c>
      <c r="C505" s="168">
        <f t="shared" ca="1" si="72"/>
        <v>-7.9759805737263596</v>
      </c>
      <c r="D505" s="184">
        <f t="shared" ca="1" si="73"/>
        <v>-1.0080144539123637</v>
      </c>
      <c r="E505" s="230">
        <f t="shared" ca="1" si="74"/>
        <v>0.84274195519697104</v>
      </c>
      <c r="F505" s="168">
        <f t="shared" ca="1" si="75"/>
        <v>11.793573229044956</v>
      </c>
      <c r="G505" s="168">
        <f t="shared" ca="1" si="76"/>
        <v>-1.2654198139942583</v>
      </c>
      <c r="H505" s="184">
        <f t="shared" ca="1" si="77"/>
        <v>-0.15992534723255572</v>
      </c>
      <c r="I505" s="184">
        <f t="shared" ca="1" si="78"/>
        <v>0.56345926430306092</v>
      </c>
      <c r="J505" s="223">
        <f t="shared" ca="1" si="79"/>
        <v>0</v>
      </c>
      <c r="K505" s="220" t="str" cm="1">
        <f t="array" aca="1" ref="K505" ca="1">_xlfn.IFS(G505&lt;$B$11,"Fail",G505&lt;25,"Marginal",G505&lt;35,"Solid",TRUE,"Blowout")</f>
        <v>Fail</v>
      </c>
      <c r="L505" s="226">
        <f ca="1">IF(AND(E505&lt;$B$10,C505&gt;=$B$11),1,0)</f>
        <v>0</v>
      </c>
      <c r="M505" s="217" t="str" cm="1">
        <f t="array" aca="1" ref="M505" ca="1">_xlfn.IFS(C505&lt;$B$11,"Fail",C505&lt;25,"Marginal",C505&lt;35,"Solid",TRUE,"Blowout")</f>
        <v>Fail</v>
      </c>
    </row>
    <row r="506" spans="1:13" x14ac:dyDescent="0.25">
      <c r="A506" s="169">
        <f t="shared" ca="1" si="70"/>
        <v>25.602931527081303</v>
      </c>
      <c r="B506" s="168">
        <f t="shared" ca="1" si="71"/>
        <v>4.975230919883125</v>
      </c>
      <c r="C506" s="168">
        <f t="shared" ca="1" si="72"/>
        <v>20.627700607198179</v>
      </c>
      <c r="D506" s="184">
        <f t="shared" ca="1" si="73"/>
        <v>2.6069547400261723</v>
      </c>
      <c r="E506" s="230">
        <f t="shared" ca="1" si="74"/>
        <v>4.8688618294307475E-3</v>
      </c>
      <c r="F506" s="168">
        <f t="shared" ca="1" si="75"/>
        <v>54.57907013808498</v>
      </c>
      <c r="G506" s="168">
        <f t="shared" ca="1" si="76"/>
        <v>49.603839218201855</v>
      </c>
      <c r="H506" s="184">
        <f t="shared" ca="1" si="77"/>
        <v>6.2689955723064026</v>
      </c>
      <c r="I506" s="184">
        <f t="shared" ca="1" si="78"/>
        <v>8.99622975410676E-10</v>
      </c>
      <c r="J506" s="223">
        <f t="shared" ca="1" si="79"/>
        <v>1</v>
      </c>
      <c r="K506" s="220" t="str" cm="1">
        <f t="array" aca="1" ref="K506" ca="1">_xlfn.IFS(G506&lt;$B$11,"Fail",G506&lt;25,"Marginal",G506&lt;35,"Solid",TRUE,"Blowout")</f>
        <v>Blowout</v>
      </c>
      <c r="L506" s="226">
        <f ca="1">IF(AND(E506&lt;$B$10,C506&gt;=$B$11),1,0)</f>
        <v>1</v>
      </c>
      <c r="M506" s="217" t="str" cm="1">
        <f t="array" aca="1" ref="M506" ca="1">_xlfn.IFS(C506&lt;$B$11,"Fail",C506&lt;25,"Marginal",C506&lt;35,"Solid",TRUE,"Blowout")</f>
        <v>Marginal</v>
      </c>
    </row>
    <row r="507" spans="1:13" x14ac:dyDescent="0.25">
      <c r="A507" s="169">
        <f t="shared" ca="1" si="70"/>
        <v>41.09752722441003</v>
      </c>
      <c r="B507" s="168">
        <f t="shared" ca="1" si="71"/>
        <v>1.6105990224751738</v>
      </c>
      <c r="C507" s="168">
        <f t="shared" ca="1" si="72"/>
        <v>39.486928201934859</v>
      </c>
      <c r="D507" s="184">
        <f t="shared" ca="1" si="73"/>
        <v>4.9904076370579755</v>
      </c>
      <c r="E507" s="230">
        <f t="shared" ca="1" si="74"/>
        <v>5.9779718156158407E-7</v>
      </c>
      <c r="F507" s="168">
        <f t="shared" ca="1" si="75"/>
        <v>12.651381800858934</v>
      </c>
      <c r="G507" s="168">
        <f t="shared" ca="1" si="76"/>
        <v>11.040782778383759</v>
      </c>
      <c r="H507" s="184">
        <f t="shared" ca="1" si="77"/>
        <v>1.3953480102218911</v>
      </c>
      <c r="I507" s="184">
        <f t="shared" ca="1" si="78"/>
        <v>8.2134242314715042E-2</v>
      </c>
      <c r="J507" s="223">
        <f t="shared" ca="1" si="79"/>
        <v>0</v>
      </c>
      <c r="K507" s="220" t="str" cm="1">
        <f t="array" aca="1" ref="K507" ca="1">_xlfn.IFS(G507&lt;$B$11,"Fail",G507&lt;25,"Marginal",G507&lt;35,"Solid",TRUE,"Blowout")</f>
        <v>Fail</v>
      </c>
      <c r="L507" s="226">
        <f ca="1">IF(AND(E507&lt;$B$10,C507&gt;=$B$11),1,0)</f>
        <v>1</v>
      </c>
      <c r="M507" s="217" t="str" cm="1">
        <f t="array" aca="1" ref="M507" ca="1">_xlfn.IFS(C507&lt;$B$11,"Fail",C507&lt;25,"Marginal",C507&lt;35,"Solid",TRUE,"Blowout")</f>
        <v>Blowout</v>
      </c>
    </row>
    <row r="508" spans="1:13" x14ac:dyDescent="0.25">
      <c r="A508" s="169">
        <f t="shared" ca="1" si="70"/>
        <v>57.403594164581961</v>
      </c>
      <c r="B508" s="168">
        <f t="shared" ca="1" si="71"/>
        <v>4.3837962377261466</v>
      </c>
      <c r="C508" s="168">
        <f t="shared" ca="1" si="72"/>
        <v>53.019797926855816</v>
      </c>
      <c r="D508" s="184">
        <f t="shared" ca="1" si="73"/>
        <v>6.7007087291355054</v>
      </c>
      <c r="E508" s="230">
        <f t="shared" ca="1" si="74"/>
        <v>8.0259097737584666E-11</v>
      </c>
      <c r="F508" s="168">
        <f t="shared" ca="1" si="75"/>
        <v>40.690551729798187</v>
      </c>
      <c r="G508" s="168">
        <f t="shared" ca="1" si="76"/>
        <v>36.306755492072043</v>
      </c>
      <c r="H508" s="184">
        <f t="shared" ca="1" si="77"/>
        <v>4.5884934112336149</v>
      </c>
      <c r="I508" s="184">
        <f t="shared" ca="1" si="78"/>
        <v>3.6856920992886565E-6</v>
      </c>
      <c r="J508" s="223">
        <f t="shared" ca="1" si="79"/>
        <v>1</v>
      </c>
      <c r="K508" s="220" t="str" cm="1">
        <f t="array" aca="1" ref="K508" ca="1">_xlfn.IFS(G508&lt;$B$11,"Fail",G508&lt;25,"Marginal",G508&lt;35,"Solid",TRUE,"Blowout")</f>
        <v>Blowout</v>
      </c>
      <c r="L508" s="226">
        <f ca="1">IF(AND(E508&lt;$B$10,C508&gt;=$B$11),1,0)</f>
        <v>1</v>
      </c>
      <c r="M508" s="217" t="str" cm="1">
        <f t="array" aca="1" ref="M508" ca="1">_xlfn.IFS(C508&lt;$B$11,"Fail",C508&lt;25,"Marginal",C508&lt;35,"Solid",TRUE,"Blowout")</f>
        <v>Blowout</v>
      </c>
    </row>
    <row r="509" spans="1:13" x14ac:dyDescent="0.25">
      <c r="A509" s="169">
        <f t="shared" ca="1" si="70"/>
        <v>59.854322722731311</v>
      </c>
      <c r="B509" s="168">
        <f t="shared" ca="1" si="71"/>
        <v>3.5418696334795818</v>
      </c>
      <c r="C509" s="168">
        <f t="shared" ca="1" si="72"/>
        <v>56.312453089251733</v>
      </c>
      <c r="D509" s="184">
        <f t="shared" ca="1" si="73"/>
        <v>7.1168386287465317</v>
      </c>
      <c r="E509" s="230">
        <f t="shared" ca="1" si="74"/>
        <v>7.104519848244537E-12</v>
      </c>
      <c r="F509" s="168">
        <f t="shared" ca="1" si="75"/>
        <v>15.804252453953245</v>
      </c>
      <c r="G509" s="168">
        <f t="shared" ca="1" si="76"/>
        <v>12.262382820473663</v>
      </c>
      <c r="H509" s="184">
        <f t="shared" ca="1" si="77"/>
        <v>1.5497353595821557</v>
      </c>
      <c r="I509" s="184">
        <f t="shared" ca="1" si="78"/>
        <v>6.129598683081474E-2</v>
      </c>
      <c r="J509" s="223">
        <f t="shared" ca="1" si="79"/>
        <v>0</v>
      </c>
      <c r="K509" s="220" t="str" cm="1">
        <f t="array" aca="1" ref="K509" ca="1">_xlfn.IFS(G509&lt;$B$11,"Fail",G509&lt;25,"Marginal",G509&lt;35,"Solid",TRUE,"Blowout")</f>
        <v>Fail</v>
      </c>
      <c r="L509" s="226">
        <f ca="1">IF(AND(E509&lt;$B$10,C509&gt;=$B$11),1,0)</f>
        <v>1</v>
      </c>
      <c r="M509" s="217" t="str" cm="1">
        <f t="array" aca="1" ref="M509" ca="1">_xlfn.IFS(C509&lt;$B$11,"Fail",C509&lt;25,"Marginal",C509&lt;35,"Solid",TRUE,"Blowout")</f>
        <v>Blowout</v>
      </c>
    </row>
    <row r="510" spans="1:13" x14ac:dyDescent="0.25">
      <c r="A510" s="169">
        <f t="shared" ca="1" si="70"/>
        <v>23.201028482907631</v>
      </c>
      <c r="B510" s="168">
        <f t="shared" ca="1" si="71"/>
        <v>0.22503170065592926</v>
      </c>
      <c r="C510" s="168">
        <f t="shared" ca="1" si="72"/>
        <v>22.975996782251702</v>
      </c>
      <c r="D510" s="184">
        <f t="shared" ca="1" si="73"/>
        <v>2.9037353633790648</v>
      </c>
      <c r="E510" s="230">
        <f t="shared" ca="1" si="74"/>
        <v>2.0248095674373118E-3</v>
      </c>
      <c r="F510" s="168">
        <f t="shared" ca="1" si="75"/>
        <v>32.689683666830042</v>
      </c>
      <c r="G510" s="168">
        <f t="shared" ca="1" si="76"/>
        <v>32.464651966174117</v>
      </c>
      <c r="H510" s="184">
        <f t="shared" ca="1" si="77"/>
        <v>4.1029235365663608</v>
      </c>
      <c r="I510" s="184">
        <f t="shared" ca="1" si="78"/>
        <v>2.8404684595569816E-5</v>
      </c>
      <c r="J510" s="223">
        <f t="shared" ca="1" si="79"/>
        <v>1</v>
      </c>
      <c r="K510" s="220" t="str" cm="1">
        <f t="array" aca="1" ref="K510" ca="1">_xlfn.IFS(G510&lt;$B$11,"Fail",G510&lt;25,"Marginal",G510&lt;35,"Solid",TRUE,"Blowout")</f>
        <v>Solid</v>
      </c>
      <c r="L510" s="226">
        <f ca="1">IF(AND(E510&lt;$B$10,C510&gt;=$B$11),1,0)</f>
        <v>1</v>
      </c>
      <c r="M510" s="217" t="str" cm="1">
        <f t="array" aca="1" ref="M510" ca="1">_xlfn.IFS(C510&lt;$B$11,"Fail",C510&lt;25,"Marginal",C510&lt;35,"Solid",TRUE,"Blowout")</f>
        <v>Marginal</v>
      </c>
    </row>
    <row r="511" spans="1:13" x14ac:dyDescent="0.25">
      <c r="A511" s="169">
        <f t="shared" ca="1" si="70"/>
        <v>58.87800212080144</v>
      </c>
      <c r="B511" s="168">
        <f t="shared" ca="1" si="71"/>
        <v>4.1673022655044871</v>
      </c>
      <c r="C511" s="168">
        <f t="shared" ca="1" si="72"/>
        <v>54.710699855296951</v>
      </c>
      <c r="D511" s="184">
        <f t="shared" ca="1" si="73"/>
        <v>6.9144070409934333</v>
      </c>
      <c r="E511" s="230">
        <f t="shared" ca="1" si="74"/>
        <v>2.3368925200515879E-11</v>
      </c>
      <c r="F511" s="168">
        <f t="shared" ca="1" si="75"/>
        <v>9.8508245802800403</v>
      </c>
      <c r="G511" s="168">
        <f t="shared" ca="1" si="76"/>
        <v>5.6835223147755531</v>
      </c>
      <c r="H511" s="184">
        <f t="shared" ca="1" si="77"/>
        <v>0.71829069660717626</v>
      </c>
      <c r="I511" s="184">
        <f t="shared" ca="1" si="78"/>
        <v>0.23665673262520481</v>
      </c>
      <c r="J511" s="223">
        <f t="shared" ca="1" si="79"/>
        <v>0</v>
      </c>
      <c r="K511" s="220" t="str" cm="1">
        <f t="array" aca="1" ref="K511" ca="1">_xlfn.IFS(G511&lt;$B$11,"Fail",G511&lt;25,"Marginal",G511&lt;35,"Solid",TRUE,"Blowout")</f>
        <v>Fail</v>
      </c>
      <c r="L511" s="226">
        <f ca="1">IF(AND(E511&lt;$B$10,C511&gt;=$B$11),1,0)</f>
        <v>1</v>
      </c>
      <c r="M511" s="217" t="str" cm="1">
        <f t="array" aca="1" ref="M511" ca="1">_xlfn.IFS(C511&lt;$B$11,"Fail",C511&lt;25,"Marginal",C511&lt;35,"Solid",TRUE,"Blowout")</f>
        <v>Blowout</v>
      </c>
    </row>
    <row r="512" spans="1:13" x14ac:dyDescent="0.25">
      <c r="A512" s="169">
        <f t="shared" ca="1" si="70"/>
        <v>-2.7003829001933468</v>
      </c>
      <c r="B512" s="168">
        <f t="shared" ca="1" si="71"/>
        <v>-6.8606774149940506</v>
      </c>
      <c r="C512" s="168">
        <f t="shared" ca="1" si="72"/>
        <v>4.1602945148007038</v>
      </c>
      <c r="D512" s="184">
        <f t="shared" ca="1" si="73"/>
        <v>0.52578325193841036</v>
      </c>
      <c r="E512" s="230">
        <f t="shared" ca="1" si="74"/>
        <v>0.29977490698939641</v>
      </c>
      <c r="F512" s="168">
        <f t="shared" ca="1" si="75"/>
        <v>36.285002041320432</v>
      </c>
      <c r="G512" s="168">
        <f t="shared" ca="1" si="76"/>
        <v>43.145679456314483</v>
      </c>
      <c r="H512" s="184">
        <f t="shared" ca="1" si="77"/>
        <v>5.4528052211034428</v>
      </c>
      <c r="I512" s="184">
        <f t="shared" ca="1" si="78"/>
        <v>6.4292685877745608E-8</v>
      </c>
      <c r="J512" s="223">
        <f t="shared" ca="1" si="79"/>
        <v>1</v>
      </c>
      <c r="K512" s="220" t="str" cm="1">
        <f t="array" aca="1" ref="K512" ca="1">_xlfn.IFS(G512&lt;$B$11,"Fail",G512&lt;25,"Marginal",G512&lt;35,"Solid",TRUE,"Blowout")</f>
        <v>Blowout</v>
      </c>
      <c r="L512" s="226">
        <f ca="1">IF(AND(E512&lt;$B$10,C512&gt;=$B$11),1,0)</f>
        <v>0</v>
      </c>
      <c r="M512" s="217" t="str" cm="1">
        <f t="array" aca="1" ref="M512" ca="1">_xlfn.IFS(C512&lt;$B$11,"Fail",C512&lt;25,"Marginal",C512&lt;35,"Solid",TRUE,"Blowout")</f>
        <v>Fail</v>
      </c>
    </row>
    <row r="513" spans="1:13" x14ac:dyDescent="0.25">
      <c r="A513" s="169">
        <f t="shared" ca="1" si="70"/>
        <v>20.315888320004404</v>
      </c>
      <c r="B513" s="168">
        <f t="shared" ca="1" si="71"/>
        <v>12.145709770529624</v>
      </c>
      <c r="C513" s="168">
        <f t="shared" ca="1" si="72"/>
        <v>8.1701785494747803</v>
      </c>
      <c r="D513" s="184">
        <f t="shared" ca="1" si="73"/>
        <v>1.0325574382721505</v>
      </c>
      <c r="E513" s="230">
        <f t="shared" ca="1" si="74"/>
        <v>0.1514525345490822</v>
      </c>
      <c r="F513" s="168">
        <f t="shared" ca="1" si="75"/>
        <v>40.333129008536844</v>
      </c>
      <c r="G513" s="168">
        <f t="shared" ca="1" si="76"/>
        <v>28.187419238007219</v>
      </c>
      <c r="H513" s="184">
        <f t="shared" ca="1" si="77"/>
        <v>3.5623614861845208</v>
      </c>
      <c r="I513" s="184">
        <f t="shared" ca="1" si="78"/>
        <v>2.2371787864068713E-4</v>
      </c>
      <c r="J513" s="223">
        <f t="shared" ca="1" si="79"/>
        <v>1</v>
      </c>
      <c r="K513" s="220" t="str" cm="1">
        <f t="array" aca="1" ref="K513" ca="1">_xlfn.IFS(G513&lt;$B$11,"Fail",G513&lt;25,"Marginal",G513&lt;35,"Solid",TRUE,"Blowout")</f>
        <v>Solid</v>
      </c>
      <c r="L513" s="226">
        <f ca="1">IF(AND(E513&lt;$B$10,C513&gt;=$B$11),1,0)</f>
        <v>0</v>
      </c>
      <c r="M513" s="217" t="str" cm="1">
        <f t="array" aca="1" ref="M513" ca="1">_xlfn.IFS(C513&lt;$B$11,"Fail",C513&lt;25,"Marginal",C513&lt;35,"Solid",TRUE,"Blowout")</f>
        <v>Fail</v>
      </c>
    </row>
    <row r="514" spans="1:13" x14ac:dyDescent="0.25">
      <c r="A514" s="169">
        <f t="shared" ca="1" si="70"/>
        <v>31.4696223682698</v>
      </c>
      <c r="B514" s="168">
        <f t="shared" ca="1" si="71"/>
        <v>16.51078637705745</v>
      </c>
      <c r="C514" s="168">
        <f t="shared" ca="1" si="72"/>
        <v>14.95883599121235</v>
      </c>
      <c r="D514" s="184">
        <f t="shared" ca="1" si="73"/>
        <v>1.8905165018226446</v>
      </c>
      <c r="E514" s="230">
        <f t="shared" ca="1" si="74"/>
        <v>2.9978552343675649E-2</v>
      </c>
      <c r="F514" s="168">
        <f t="shared" ca="1" si="75"/>
        <v>28.119677043930164</v>
      </c>
      <c r="G514" s="168">
        <f t="shared" ca="1" si="76"/>
        <v>11.608890666872714</v>
      </c>
      <c r="H514" s="184">
        <f t="shared" ca="1" si="77"/>
        <v>1.4671461995084722</v>
      </c>
      <c r="I514" s="184">
        <f t="shared" ca="1" si="78"/>
        <v>7.1857148263620663E-2</v>
      </c>
      <c r="J514" s="223">
        <f t="shared" ca="1" si="79"/>
        <v>0</v>
      </c>
      <c r="K514" s="220" t="str" cm="1">
        <f t="array" aca="1" ref="K514" ca="1">_xlfn.IFS(G514&lt;$B$11,"Fail",G514&lt;25,"Marginal",G514&lt;35,"Solid",TRUE,"Blowout")</f>
        <v>Fail</v>
      </c>
      <c r="L514" s="226">
        <f ca="1">IF(AND(E514&lt;$B$10,C514&gt;=$B$11),1,0)</f>
        <v>0</v>
      </c>
      <c r="M514" s="217" t="str" cm="1">
        <f t="array" aca="1" ref="M514" ca="1">_xlfn.IFS(C514&lt;$B$11,"Fail",C514&lt;25,"Marginal",C514&lt;35,"Solid",TRUE,"Blowout")</f>
        <v>Fail</v>
      </c>
    </row>
    <row r="515" spans="1:13" x14ac:dyDescent="0.25">
      <c r="A515" s="169">
        <f t="shared" ca="1" si="70"/>
        <v>20.917014634640829</v>
      </c>
      <c r="B515" s="168">
        <f t="shared" ca="1" si="71"/>
        <v>-0.30896937895446985</v>
      </c>
      <c r="C515" s="168">
        <f t="shared" ca="1" si="72"/>
        <v>21.225984013595298</v>
      </c>
      <c r="D515" s="184">
        <f t="shared" ca="1" si="73"/>
        <v>2.6825665492087096</v>
      </c>
      <c r="E515" s="230">
        <f t="shared" ca="1" si="74"/>
        <v>3.9204557112476057E-3</v>
      </c>
      <c r="F515" s="168">
        <f t="shared" ca="1" si="75"/>
        <v>23.636900852689138</v>
      </c>
      <c r="G515" s="168">
        <f t="shared" ca="1" si="76"/>
        <v>23.945870231643607</v>
      </c>
      <c r="H515" s="184">
        <f t="shared" ca="1" si="77"/>
        <v>3.0263091894329222</v>
      </c>
      <c r="I515" s="184">
        <f t="shared" ca="1" si="78"/>
        <v>1.3799414326122192E-3</v>
      </c>
      <c r="J515" s="223">
        <f t="shared" ca="1" si="79"/>
        <v>1</v>
      </c>
      <c r="K515" s="220" t="str" cm="1">
        <f t="array" aca="1" ref="K515" ca="1">_xlfn.IFS(G515&lt;$B$11,"Fail",G515&lt;25,"Marginal",G515&lt;35,"Solid",TRUE,"Blowout")</f>
        <v>Marginal</v>
      </c>
      <c r="L515" s="226">
        <f ca="1">IF(AND(E515&lt;$B$10,C515&gt;=$B$11),1,0)</f>
        <v>1</v>
      </c>
      <c r="M515" s="217" t="str" cm="1">
        <f t="array" aca="1" ref="M515" ca="1">_xlfn.IFS(C515&lt;$B$11,"Fail",C515&lt;25,"Marginal",C515&lt;35,"Solid",TRUE,"Blowout")</f>
        <v>Marginal</v>
      </c>
    </row>
    <row r="516" spans="1:13" x14ac:dyDescent="0.25">
      <c r="A516" s="169">
        <f t="shared" ca="1" si="70"/>
        <v>36.867132836738939</v>
      </c>
      <c r="B516" s="168">
        <f t="shared" ca="1" si="71"/>
        <v>16.453094716018249</v>
      </c>
      <c r="C516" s="168">
        <f t="shared" ca="1" si="72"/>
        <v>20.41403812072069</v>
      </c>
      <c r="D516" s="184">
        <f t="shared" ca="1" si="73"/>
        <v>2.5799518063257532</v>
      </c>
      <c r="E516" s="230">
        <f t="shared" ca="1" si="74"/>
        <v>5.2545177366998203E-3</v>
      </c>
      <c r="F516" s="168">
        <f t="shared" ca="1" si="75"/>
        <v>24.971406823915295</v>
      </c>
      <c r="G516" s="168">
        <f t="shared" ca="1" si="76"/>
        <v>8.5183121078970458</v>
      </c>
      <c r="H516" s="184">
        <f t="shared" ca="1" si="77"/>
        <v>1.0765549951289919</v>
      </c>
      <c r="I516" s="184">
        <f t="shared" ca="1" si="78"/>
        <v>0.1414084559323307</v>
      </c>
      <c r="J516" s="223">
        <f t="shared" ca="1" si="79"/>
        <v>0</v>
      </c>
      <c r="K516" s="220" t="str" cm="1">
        <f t="array" aca="1" ref="K516" ca="1">_xlfn.IFS(G516&lt;$B$11,"Fail",G516&lt;25,"Marginal",G516&lt;35,"Solid",TRUE,"Blowout")</f>
        <v>Fail</v>
      </c>
      <c r="L516" s="226">
        <f ca="1">IF(AND(E516&lt;$B$10,C516&gt;=$B$11),1,0)</f>
        <v>1</v>
      </c>
      <c r="M516" s="217" t="str" cm="1">
        <f t="array" aca="1" ref="M516" ca="1">_xlfn.IFS(C516&lt;$B$11,"Fail",C516&lt;25,"Marginal",C516&lt;35,"Solid",TRUE,"Blowout")</f>
        <v>Marginal</v>
      </c>
    </row>
    <row r="517" spans="1:13" x14ac:dyDescent="0.25">
      <c r="A517" s="169">
        <f t="shared" ca="1" si="70"/>
        <v>45.160124896406892</v>
      </c>
      <c r="B517" s="168">
        <f t="shared" ca="1" si="71"/>
        <v>2.2296069295238059</v>
      </c>
      <c r="C517" s="168">
        <f t="shared" ca="1" si="72"/>
        <v>42.930517966883087</v>
      </c>
      <c r="D517" s="184">
        <f t="shared" ca="1" si="73"/>
        <v>5.4256128415248615</v>
      </c>
      <c r="E517" s="230">
        <f t="shared" ca="1" si="74"/>
        <v>7.3589208963558514E-8</v>
      </c>
      <c r="F517" s="168">
        <f t="shared" ca="1" si="75"/>
        <v>70.794233718779054</v>
      </c>
      <c r="G517" s="168">
        <f t="shared" ca="1" si="76"/>
        <v>68.564626789255243</v>
      </c>
      <c r="H517" s="184">
        <f t="shared" ca="1" si="77"/>
        <v>8.665283746846713</v>
      </c>
      <c r="I517" s="184">
        <f t="shared" ca="1" si="78"/>
        <v>4.2148895531578305E-16</v>
      </c>
      <c r="J517" s="223">
        <f t="shared" ca="1" si="79"/>
        <v>1</v>
      </c>
      <c r="K517" s="220" t="str" cm="1">
        <f t="array" aca="1" ref="K517" ca="1">_xlfn.IFS(G517&lt;$B$11,"Fail",G517&lt;25,"Marginal",G517&lt;35,"Solid",TRUE,"Blowout")</f>
        <v>Blowout</v>
      </c>
      <c r="L517" s="226">
        <f ca="1">IF(AND(E517&lt;$B$10,C517&gt;=$B$11),1,0)</f>
        <v>1</v>
      </c>
      <c r="M517" s="217" t="str" cm="1">
        <f t="array" aca="1" ref="M517" ca="1">_xlfn.IFS(C517&lt;$B$11,"Fail",C517&lt;25,"Marginal",C517&lt;35,"Solid",TRUE,"Blowout")</f>
        <v>Blowout</v>
      </c>
    </row>
    <row r="518" spans="1:13" x14ac:dyDescent="0.25">
      <c r="A518" s="169">
        <f t="shared" ca="1" si="70"/>
        <v>33.854842218712989</v>
      </c>
      <c r="B518" s="168">
        <f t="shared" ca="1" si="71"/>
        <v>8.9124230215919109</v>
      </c>
      <c r="C518" s="168">
        <f t="shared" ca="1" si="72"/>
        <v>24.942419197121076</v>
      </c>
      <c r="D518" s="184">
        <f t="shared" ca="1" si="73"/>
        <v>3.15225430075149</v>
      </c>
      <c r="E518" s="230">
        <f t="shared" ca="1" si="74"/>
        <v>9.1881742091613696E-4</v>
      </c>
      <c r="F518" s="168">
        <f t="shared" ca="1" si="75"/>
        <v>41.072494104836579</v>
      </c>
      <c r="G518" s="168">
        <f t="shared" ca="1" si="76"/>
        <v>32.160071083244667</v>
      </c>
      <c r="H518" s="184">
        <f t="shared" ca="1" si="77"/>
        <v>4.0644302216014729</v>
      </c>
      <c r="I518" s="184">
        <f t="shared" ca="1" si="78"/>
        <v>3.3146364940911587E-5</v>
      </c>
      <c r="J518" s="223">
        <f t="shared" ca="1" si="79"/>
        <v>1</v>
      </c>
      <c r="K518" s="220" t="str" cm="1">
        <f t="array" aca="1" ref="K518" ca="1">_xlfn.IFS(G518&lt;$B$11,"Fail",G518&lt;25,"Marginal",G518&lt;35,"Solid",TRUE,"Blowout")</f>
        <v>Solid</v>
      </c>
      <c r="L518" s="226">
        <f ca="1">IF(AND(E518&lt;$B$10,C518&gt;=$B$11),1,0)</f>
        <v>1</v>
      </c>
      <c r="M518" s="217" t="str" cm="1">
        <f t="array" aca="1" ref="M518" ca="1">_xlfn.IFS(C518&lt;$B$11,"Fail",C518&lt;25,"Marginal",C518&lt;35,"Solid",TRUE,"Blowout")</f>
        <v>Marginal</v>
      </c>
    </row>
    <row r="519" spans="1:13" x14ac:dyDescent="0.25">
      <c r="A519" s="169">
        <f t="shared" ca="1" si="70"/>
        <v>10.933200779474282</v>
      </c>
      <c r="B519" s="168">
        <f t="shared" ca="1" si="71"/>
        <v>6.2936441660535678</v>
      </c>
      <c r="C519" s="168">
        <f t="shared" ca="1" si="72"/>
        <v>4.639556613420714</v>
      </c>
      <c r="D519" s="184">
        <f t="shared" ca="1" si="73"/>
        <v>0.58635299858658185</v>
      </c>
      <c r="E519" s="230">
        <f t="shared" ca="1" si="74"/>
        <v>0.27910918488881348</v>
      </c>
      <c r="F519" s="168">
        <f t="shared" ca="1" si="75"/>
        <v>33.079647593376016</v>
      </c>
      <c r="G519" s="168">
        <f t="shared" ca="1" si="76"/>
        <v>26.786003427322449</v>
      </c>
      <c r="H519" s="184">
        <f t="shared" ca="1" si="77"/>
        <v>3.3852487938887346</v>
      </c>
      <c r="I519" s="184">
        <f t="shared" ca="1" si="78"/>
        <v>4.1861795879852352E-4</v>
      </c>
      <c r="J519" s="223">
        <f t="shared" ca="1" si="79"/>
        <v>1</v>
      </c>
      <c r="K519" s="220" t="str" cm="1">
        <f t="array" aca="1" ref="K519" ca="1">_xlfn.IFS(G519&lt;$B$11,"Fail",G519&lt;25,"Marginal",G519&lt;35,"Solid",TRUE,"Blowout")</f>
        <v>Solid</v>
      </c>
      <c r="L519" s="226">
        <f ca="1">IF(AND(E519&lt;$B$10,C519&gt;=$B$11),1,0)</f>
        <v>0</v>
      </c>
      <c r="M519" s="217" t="str" cm="1">
        <f t="array" aca="1" ref="M519" ca="1">_xlfn.IFS(C519&lt;$B$11,"Fail",C519&lt;25,"Marginal",C519&lt;35,"Solid",TRUE,"Blowout")</f>
        <v>Fail</v>
      </c>
    </row>
    <row r="520" spans="1:13" x14ac:dyDescent="0.25">
      <c r="A520" s="169">
        <f t="shared" ca="1" si="70"/>
        <v>16.594107182457542</v>
      </c>
      <c r="B520" s="168">
        <f t="shared" ca="1" si="71"/>
        <v>-5.2826637608363729</v>
      </c>
      <c r="C520" s="168">
        <f t="shared" ca="1" si="72"/>
        <v>21.876770943293913</v>
      </c>
      <c r="D520" s="184">
        <f t="shared" ca="1" si="73"/>
        <v>2.7648138196840653</v>
      </c>
      <c r="E520" s="230">
        <f t="shared" ca="1" si="74"/>
        <v>3.0808069440085473E-3</v>
      </c>
      <c r="F520" s="168">
        <f t="shared" ca="1" si="75"/>
        <v>39.04556011991086</v>
      </c>
      <c r="G520" s="168">
        <f t="shared" ca="1" si="76"/>
        <v>44.328223880747231</v>
      </c>
      <c r="H520" s="184">
        <f t="shared" ca="1" si="77"/>
        <v>5.6022566723956286</v>
      </c>
      <c r="I520" s="184">
        <f t="shared" ca="1" si="78"/>
        <v>3.0345949723363701E-8</v>
      </c>
      <c r="J520" s="223">
        <f t="shared" ca="1" si="79"/>
        <v>1</v>
      </c>
      <c r="K520" s="220" t="str" cm="1">
        <f t="array" aca="1" ref="K520" ca="1">_xlfn.IFS(G520&lt;$B$11,"Fail",G520&lt;25,"Marginal",G520&lt;35,"Solid",TRUE,"Blowout")</f>
        <v>Blowout</v>
      </c>
      <c r="L520" s="226">
        <f ca="1">IF(AND(E520&lt;$B$10,C520&gt;=$B$11),1,0)</f>
        <v>1</v>
      </c>
      <c r="M520" s="217" t="str" cm="1">
        <f t="array" aca="1" ref="M520" ca="1">_xlfn.IFS(C520&lt;$B$11,"Fail",C520&lt;25,"Marginal",C520&lt;35,"Solid",TRUE,"Blowout")</f>
        <v>Marginal</v>
      </c>
    </row>
    <row r="521" spans="1:13" x14ac:dyDescent="0.25">
      <c r="A521" s="169">
        <f t="shared" ca="1" si="70"/>
        <v>33.063311816854707</v>
      </c>
      <c r="B521" s="168">
        <f t="shared" ca="1" si="71"/>
        <v>-0.25098125497412749</v>
      </c>
      <c r="C521" s="168">
        <f t="shared" ca="1" si="72"/>
        <v>33.314293071828835</v>
      </c>
      <c r="D521" s="184">
        <f t="shared" ca="1" si="73"/>
        <v>4.2103022478384604</v>
      </c>
      <c r="E521" s="230">
        <f t="shared" ca="1" si="74"/>
        <v>1.8356963300895186E-5</v>
      </c>
      <c r="F521" s="168">
        <f t="shared" ca="1" si="75"/>
        <v>16.224973414130844</v>
      </c>
      <c r="G521" s="168">
        <f t="shared" ca="1" si="76"/>
        <v>16.475954669104972</v>
      </c>
      <c r="H521" s="184">
        <f t="shared" ca="1" si="77"/>
        <v>2.0822518679610433</v>
      </c>
      <c r="I521" s="184">
        <f t="shared" ca="1" si="78"/>
        <v>1.9217481892086268E-2</v>
      </c>
      <c r="J521" s="223">
        <f t="shared" ca="1" si="79"/>
        <v>0</v>
      </c>
      <c r="K521" s="220" t="str" cm="1">
        <f t="array" aca="1" ref="K521" ca="1">_xlfn.IFS(G521&lt;$B$11,"Fail",G521&lt;25,"Marginal",G521&lt;35,"Solid",TRUE,"Blowout")</f>
        <v>Fail</v>
      </c>
      <c r="L521" s="226">
        <f ca="1">IF(AND(E521&lt;$B$10,C521&gt;=$B$11),1,0)</f>
        <v>1</v>
      </c>
      <c r="M521" s="217" t="str" cm="1">
        <f t="array" aca="1" ref="M521" ca="1">_xlfn.IFS(C521&lt;$B$11,"Fail",C521&lt;25,"Marginal",C521&lt;35,"Solid",TRUE,"Blowout")</f>
        <v>Solid</v>
      </c>
    </row>
    <row r="522" spans="1:13" x14ac:dyDescent="0.25">
      <c r="A522" s="169">
        <f t="shared" ca="1" si="70"/>
        <v>73.757600547506485</v>
      </c>
      <c r="B522" s="168">
        <f t="shared" ca="1" si="71"/>
        <v>10.020176908885112</v>
      </c>
      <c r="C522" s="168">
        <f t="shared" ca="1" si="72"/>
        <v>63.737423638621372</v>
      </c>
      <c r="D522" s="184">
        <f t="shared" ca="1" si="73"/>
        <v>8.0552157429402147</v>
      </c>
      <c r="E522" s="230">
        <f t="shared" ca="1" si="74"/>
        <v>2.2038602700738591E-14</v>
      </c>
      <c r="F522" s="168">
        <f t="shared" ca="1" si="75"/>
        <v>19.98992228249238</v>
      </c>
      <c r="G522" s="168">
        <f t="shared" ca="1" si="76"/>
        <v>9.9697453736072674</v>
      </c>
      <c r="H522" s="184">
        <f t="shared" ca="1" si="77"/>
        <v>1.2599889562828852</v>
      </c>
      <c r="I522" s="184">
        <f t="shared" ca="1" si="78"/>
        <v>0.10448073631982335</v>
      </c>
      <c r="J522" s="223">
        <f t="shared" ca="1" si="79"/>
        <v>0</v>
      </c>
      <c r="K522" s="220" t="str" cm="1">
        <f t="array" aca="1" ref="K522" ca="1">_xlfn.IFS(G522&lt;$B$11,"Fail",G522&lt;25,"Marginal",G522&lt;35,"Solid",TRUE,"Blowout")</f>
        <v>Fail</v>
      </c>
      <c r="L522" s="226">
        <f ca="1">IF(AND(E522&lt;$B$10,C522&gt;=$B$11),1,0)</f>
        <v>1</v>
      </c>
      <c r="M522" s="217" t="str" cm="1">
        <f t="array" aca="1" ref="M522" ca="1">_xlfn.IFS(C522&lt;$B$11,"Fail",C522&lt;25,"Marginal",C522&lt;35,"Solid",TRUE,"Blowout")</f>
        <v>Blowout</v>
      </c>
    </row>
    <row r="523" spans="1:13" x14ac:dyDescent="0.25">
      <c r="A523" s="169">
        <f t="shared" ca="1" si="70"/>
        <v>26.415264356013942</v>
      </c>
      <c r="B523" s="168">
        <f t="shared" ca="1" si="71"/>
        <v>-7.7890488328838625</v>
      </c>
      <c r="C523" s="168">
        <f t="shared" ca="1" si="72"/>
        <v>34.204313188897807</v>
      </c>
      <c r="D523" s="184">
        <f t="shared" ca="1" si="73"/>
        <v>4.3227841093456965</v>
      </c>
      <c r="E523" s="230">
        <f t="shared" ca="1" si="74"/>
        <v>1.151301281488304E-5</v>
      </c>
      <c r="F523" s="168">
        <f t="shared" ca="1" si="75"/>
        <v>17.704770565727078</v>
      </c>
      <c r="G523" s="168">
        <f t="shared" ca="1" si="76"/>
        <v>25.493819398610938</v>
      </c>
      <c r="H523" s="184">
        <f t="shared" ca="1" si="77"/>
        <v>3.2219409515468662</v>
      </c>
      <c r="I523" s="184">
        <f t="shared" ca="1" si="78"/>
        <v>7.2962929997279615E-4</v>
      </c>
      <c r="J523" s="223">
        <f t="shared" ca="1" si="79"/>
        <v>1</v>
      </c>
      <c r="K523" s="220" t="str" cm="1">
        <f t="array" aca="1" ref="K523" ca="1">_xlfn.IFS(G523&lt;$B$11,"Fail",G523&lt;25,"Marginal",G523&lt;35,"Solid",TRUE,"Blowout")</f>
        <v>Solid</v>
      </c>
      <c r="L523" s="226">
        <f ca="1">IF(AND(E523&lt;$B$10,C523&gt;=$B$11),1,0)</f>
        <v>1</v>
      </c>
      <c r="M523" s="217" t="str" cm="1">
        <f t="array" aca="1" ref="M523" ca="1">_xlfn.IFS(C523&lt;$B$11,"Fail",C523&lt;25,"Marginal",C523&lt;35,"Solid",TRUE,"Blowout")</f>
        <v>Solid</v>
      </c>
    </row>
    <row r="524" spans="1:13" x14ac:dyDescent="0.25">
      <c r="A524" s="169">
        <f t="shared" ca="1" si="70"/>
        <v>-7.1787732910670803</v>
      </c>
      <c r="B524" s="168">
        <f t="shared" ca="1" si="71"/>
        <v>15.638034322376919</v>
      </c>
      <c r="C524" s="168">
        <f t="shared" ca="1" si="72"/>
        <v>-22.816807613443999</v>
      </c>
      <c r="D524" s="184">
        <f t="shared" ca="1" si="73"/>
        <v>-2.8836168360605496</v>
      </c>
      <c r="E524" s="230">
        <f t="shared" ca="1" si="74"/>
        <v>0.99784619058884771</v>
      </c>
      <c r="F524" s="168">
        <f t="shared" ca="1" si="75"/>
        <v>24.263899528507338</v>
      </c>
      <c r="G524" s="168">
        <f t="shared" ca="1" si="76"/>
        <v>8.6258652061304186</v>
      </c>
      <c r="H524" s="184">
        <f t="shared" ca="1" si="77"/>
        <v>1.0901476909210837</v>
      </c>
      <c r="I524" s="184">
        <f t="shared" ca="1" si="78"/>
        <v>0.13839944356954839</v>
      </c>
      <c r="J524" s="223">
        <f t="shared" ca="1" si="79"/>
        <v>0</v>
      </c>
      <c r="K524" s="220" t="str" cm="1">
        <f t="array" aca="1" ref="K524" ca="1">_xlfn.IFS(G524&lt;$B$11,"Fail",G524&lt;25,"Marginal",G524&lt;35,"Solid",TRUE,"Blowout")</f>
        <v>Fail</v>
      </c>
      <c r="L524" s="226">
        <f ca="1">IF(AND(E524&lt;$B$10,C524&gt;=$B$11),1,0)</f>
        <v>0</v>
      </c>
      <c r="M524" s="217" t="str" cm="1">
        <f t="array" aca="1" ref="M524" ca="1">_xlfn.IFS(C524&lt;$B$11,"Fail",C524&lt;25,"Marginal",C524&lt;35,"Solid",TRUE,"Blowout")</f>
        <v>Fail</v>
      </c>
    </row>
    <row r="525" spans="1:13" x14ac:dyDescent="0.25">
      <c r="A525" s="169">
        <f t="shared" ca="1" si="70"/>
        <v>21.96563030214427</v>
      </c>
      <c r="B525" s="168">
        <f t="shared" ca="1" si="71"/>
        <v>2.0948137090816616</v>
      </c>
      <c r="C525" s="168">
        <f t="shared" ca="1" si="72"/>
        <v>19.870816593062607</v>
      </c>
      <c r="D525" s="184">
        <f t="shared" ca="1" si="73"/>
        <v>2.5112987866131089</v>
      </c>
      <c r="E525" s="230">
        <f t="shared" ca="1" si="74"/>
        <v>6.3609450609221404E-3</v>
      </c>
      <c r="F525" s="168">
        <f t="shared" ca="1" si="75"/>
        <v>40.174211078309</v>
      </c>
      <c r="G525" s="168">
        <f t="shared" ca="1" si="76"/>
        <v>38.079397369227337</v>
      </c>
      <c r="H525" s="184">
        <f t="shared" ca="1" si="77"/>
        <v>4.8125221205899207</v>
      </c>
      <c r="I525" s="184">
        <f t="shared" ca="1" si="78"/>
        <v>1.3560519956702371E-6</v>
      </c>
      <c r="J525" s="223">
        <f t="shared" ca="1" si="79"/>
        <v>1</v>
      </c>
      <c r="K525" s="220" t="str" cm="1">
        <f t="array" aca="1" ref="K525" ca="1">_xlfn.IFS(G525&lt;$B$11,"Fail",G525&lt;25,"Marginal",G525&lt;35,"Solid",TRUE,"Blowout")</f>
        <v>Blowout</v>
      </c>
      <c r="L525" s="226">
        <f ca="1">IF(AND(E525&lt;$B$10,C525&gt;=$B$11),1,0)</f>
        <v>0</v>
      </c>
      <c r="M525" s="217" t="str" cm="1">
        <f t="array" aca="1" ref="M525" ca="1">_xlfn.IFS(C525&lt;$B$11,"Fail",C525&lt;25,"Marginal",C525&lt;35,"Solid",TRUE,"Blowout")</f>
        <v>Fail</v>
      </c>
    </row>
    <row r="526" spans="1:13" x14ac:dyDescent="0.25">
      <c r="A526" s="169">
        <f t="shared" ca="1" si="70"/>
        <v>18.846892037824187</v>
      </c>
      <c r="B526" s="168">
        <f t="shared" ca="1" si="71"/>
        <v>11.460477601721491</v>
      </c>
      <c r="C526" s="168">
        <f t="shared" ca="1" si="72"/>
        <v>7.3864144361026955</v>
      </c>
      <c r="D526" s="184">
        <f t="shared" ca="1" si="73"/>
        <v>0.9335043441185169</v>
      </c>
      <c r="E526" s="230">
        <f t="shared" ca="1" si="74"/>
        <v>0.17577358189582909</v>
      </c>
      <c r="F526" s="168">
        <f t="shared" ca="1" si="75"/>
        <v>34.558899696352697</v>
      </c>
      <c r="G526" s="168">
        <f t="shared" ca="1" si="76"/>
        <v>23.098422094631204</v>
      </c>
      <c r="H526" s="184">
        <f t="shared" ca="1" si="77"/>
        <v>2.919207628295279</v>
      </c>
      <c r="I526" s="184">
        <f t="shared" ca="1" si="78"/>
        <v>1.9304472528439238E-3</v>
      </c>
      <c r="J526" s="223">
        <f t="shared" ca="1" si="79"/>
        <v>1</v>
      </c>
      <c r="K526" s="220" t="str" cm="1">
        <f t="array" aca="1" ref="K526" ca="1">_xlfn.IFS(G526&lt;$B$11,"Fail",G526&lt;25,"Marginal",G526&lt;35,"Solid",TRUE,"Blowout")</f>
        <v>Marginal</v>
      </c>
      <c r="L526" s="226">
        <f ca="1">IF(AND(E526&lt;$B$10,C526&gt;=$B$11),1,0)</f>
        <v>0</v>
      </c>
      <c r="M526" s="217" t="str" cm="1">
        <f t="array" aca="1" ref="M526" ca="1">_xlfn.IFS(C526&lt;$B$11,"Fail",C526&lt;25,"Marginal",C526&lt;35,"Solid",TRUE,"Blowout")</f>
        <v>Fail</v>
      </c>
    </row>
    <row r="527" spans="1:13" x14ac:dyDescent="0.25">
      <c r="A527" s="169">
        <f t="shared" ca="1" si="70"/>
        <v>33.089561022237838</v>
      </c>
      <c r="B527" s="168">
        <f t="shared" ca="1" si="71"/>
        <v>10.207182253616832</v>
      </c>
      <c r="C527" s="168">
        <f t="shared" ca="1" si="72"/>
        <v>22.882378768621006</v>
      </c>
      <c r="D527" s="184">
        <f t="shared" ca="1" si="73"/>
        <v>2.8919038011010465</v>
      </c>
      <c r="E527" s="230">
        <f t="shared" ca="1" si="74"/>
        <v>2.099791000098542E-3</v>
      </c>
      <c r="F527" s="168">
        <f t="shared" ca="1" si="75"/>
        <v>39.618204951815422</v>
      </c>
      <c r="G527" s="168">
        <f t="shared" ca="1" si="76"/>
        <v>29.41102269819859</v>
      </c>
      <c r="H527" s="184">
        <f t="shared" ca="1" si="77"/>
        <v>3.717002030043548</v>
      </c>
      <c r="I527" s="184">
        <f t="shared" ca="1" si="78"/>
        <v>1.2686049591131284E-4</v>
      </c>
      <c r="J527" s="223">
        <f t="shared" ca="1" si="79"/>
        <v>1</v>
      </c>
      <c r="K527" s="220" t="str" cm="1">
        <f t="array" aca="1" ref="K527" ca="1">_xlfn.IFS(G527&lt;$B$11,"Fail",G527&lt;25,"Marginal",G527&lt;35,"Solid",TRUE,"Blowout")</f>
        <v>Solid</v>
      </c>
      <c r="L527" s="226">
        <f ca="1">IF(AND(E527&lt;$B$10,C527&gt;=$B$11),1,0)</f>
        <v>1</v>
      </c>
      <c r="M527" s="217" t="str" cm="1">
        <f t="array" aca="1" ref="M527" ca="1">_xlfn.IFS(C527&lt;$B$11,"Fail",C527&lt;25,"Marginal",C527&lt;35,"Solid",TRUE,"Blowout")</f>
        <v>Marginal</v>
      </c>
    </row>
    <row r="528" spans="1:13" x14ac:dyDescent="0.25">
      <c r="A528" s="169">
        <f t="shared" ca="1" si="70"/>
        <v>18.454182763996251</v>
      </c>
      <c r="B528" s="168">
        <f t="shared" ca="1" si="71"/>
        <v>2.893100059838082</v>
      </c>
      <c r="C528" s="168">
        <f t="shared" ca="1" si="72"/>
        <v>15.561082704158169</v>
      </c>
      <c r="D528" s="184">
        <f t="shared" ca="1" si="73"/>
        <v>1.9666291986702715</v>
      </c>
      <c r="E528" s="230">
        <f t="shared" ca="1" si="74"/>
        <v>2.521952114577429E-2</v>
      </c>
      <c r="F528" s="168">
        <f t="shared" ca="1" si="75"/>
        <v>11.774874548233575</v>
      </c>
      <c r="G528" s="168">
        <f t="shared" ca="1" si="76"/>
        <v>8.881774488395493</v>
      </c>
      <c r="H528" s="184">
        <f t="shared" ca="1" si="77"/>
        <v>1.1224898277942952</v>
      </c>
      <c r="I528" s="184">
        <f t="shared" ca="1" si="78"/>
        <v>0.13141744439315567</v>
      </c>
      <c r="J528" s="223">
        <f t="shared" ca="1" si="79"/>
        <v>0</v>
      </c>
      <c r="K528" s="220" t="str" cm="1">
        <f t="array" aca="1" ref="K528" ca="1">_xlfn.IFS(G528&lt;$B$11,"Fail",G528&lt;25,"Marginal",G528&lt;35,"Solid",TRUE,"Blowout")</f>
        <v>Fail</v>
      </c>
      <c r="L528" s="226">
        <f ca="1">IF(AND(E528&lt;$B$10,C528&gt;=$B$11),1,0)</f>
        <v>0</v>
      </c>
      <c r="M528" s="217" t="str" cm="1">
        <f t="array" aca="1" ref="M528" ca="1">_xlfn.IFS(C528&lt;$B$11,"Fail",C528&lt;25,"Marginal",C528&lt;35,"Solid",TRUE,"Blowout")</f>
        <v>Fail</v>
      </c>
    </row>
    <row r="529" spans="1:13" x14ac:dyDescent="0.25">
      <c r="A529" s="169">
        <f t="shared" ref="A529:A592" ca="1" si="80">NORMINV(RAND(), MAX(0, NORMINV(RAND(), $B$6, $B$12)), $B$7/SQRT($B$9))</f>
        <v>36.361093785094212</v>
      </c>
      <c r="B529" s="168">
        <f t="shared" ref="B529:B592" ca="1" si="81">NORMINV(RAND(), $B$8, $B$7/SQRT($B$9))</f>
        <v>2.5410614722502807</v>
      </c>
      <c r="C529" s="168">
        <f t="shared" ref="C529:C592" ca="1" si="82">A529-B529</f>
        <v>33.820032312843935</v>
      </c>
      <c r="D529" s="184">
        <f t="shared" ref="D529:D592" ca="1" si="83">C529/($B$7*SQRT(2/$B$9))</f>
        <v>4.2742182090349043</v>
      </c>
      <c r="E529" s="230">
        <f t="shared" ref="E529:E592" ca="1" si="84">_xlfn.T.DIST.RT(D529, 2*$B$9-2)</f>
        <v>1.4098436460301429E-5</v>
      </c>
      <c r="F529" s="168">
        <f t="shared" ref="F529:F592" ca="1" si="85">NORMINV(RAND(), MAX(0, NORMINV(RAND(), $N$7, $N$8)), $B$7/SQRT($B$9))</f>
        <v>42.162395252416438</v>
      </c>
      <c r="G529" s="168">
        <f t="shared" ref="G529:G592" ca="1" si="86">F529-B529</f>
        <v>39.621333780166154</v>
      </c>
      <c r="H529" s="184">
        <f t="shared" ref="H529:H592" ca="1" si="87">G529/($B$7*SQRT(2/$B$9))</f>
        <v>5.0073939830365362</v>
      </c>
      <c r="I529" s="184">
        <f t="shared" ref="I529:I592" ca="1" si="88">_xlfn.T.DIST.RT(H529, 2*$B$9-2)</f>
        <v>5.5218955282208284E-7</v>
      </c>
      <c r="J529" s="223">
        <f t="shared" ref="J529:J592" ca="1" si="89">IF(AND(I529&lt;$B$10, G529&gt;=$B$11), 1, 0)</f>
        <v>1</v>
      </c>
      <c r="K529" s="220" t="str" cm="1">
        <f t="array" aca="1" ref="K529" ca="1">_xlfn.IFS(G529&lt;$B$11,"Fail",G529&lt;25,"Marginal",G529&lt;35,"Solid",TRUE,"Blowout")</f>
        <v>Blowout</v>
      </c>
      <c r="L529" s="226">
        <f ca="1">IF(AND(E529&lt;$B$10,C529&gt;=$B$11),1,0)</f>
        <v>1</v>
      </c>
      <c r="M529" s="217" t="str" cm="1">
        <f t="array" aca="1" ref="M529" ca="1">_xlfn.IFS(C529&lt;$B$11,"Fail",C529&lt;25,"Marginal",C529&lt;35,"Solid",TRUE,"Blowout")</f>
        <v>Solid</v>
      </c>
    </row>
    <row r="530" spans="1:13" x14ac:dyDescent="0.25">
      <c r="A530" s="169">
        <f t="shared" ca="1" si="80"/>
        <v>39.17228377556394</v>
      </c>
      <c r="B530" s="168">
        <f t="shared" ca="1" si="81"/>
        <v>5.767787659174</v>
      </c>
      <c r="C530" s="168">
        <f t="shared" ca="1" si="82"/>
        <v>33.404496116389943</v>
      </c>
      <c r="D530" s="184">
        <f t="shared" ca="1" si="83"/>
        <v>4.2217022220314782</v>
      </c>
      <c r="E530" s="230">
        <f t="shared" ca="1" si="84"/>
        <v>1.7516709042476489E-5</v>
      </c>
      <c r="F530" s="168">
        <f t="shared" ca="1" si="85"/>
        <v>32.490736096691641</v>
      </c>
      <c r="G530" s="168">
        <f t="shared" ca="1" si="86"/>
        <v>26.72294843751764</v>
      </c>
      <c r="H530" s="184">
        <f t="shared" ca="1" si="87"/>
        <v>3.3772798249918048</v>
      </c>
      <c r="I530" s="184">
        <f t="shared" ca="1" si="88"/>
        <v>4.303352958528077E-4</v>
      </c>
      <c r="J530" s="223">
        <f t="shared" ca="1" si="89"/>
        <v>1</v>
      </c>
      <c r="K530" s="220" t="str" cm="1">
        <f t="array" aca="1" ref="K530" ca="1">_xlfn.IFS(G530&lt;$B$11,"Fail",G530&lt;25,"Marginal",G530&lt;35,"Solid",TRUE,"Blowout")</f>
        <v>Solid</v>
      </c>
      <c r="L530" s="226">
        <f ca="1">IF(AND(E530&lt;$B$10,C530&gt;=$B$11),1,0)</f>
        <v>1</v>
      </c>
      <c r="M530" s="217" t="str" cm="1">
        <f t="array" aca="1" ref="M530" ca="1">_xlfn.IFS(C530&lt;$B$11,"Fail",C530&lt;25,"Marginal",C530&lt;35,"Solid",TRUE,"Blowout")</f>
        <v>Solid</v>
      </c>
    </row>
    <row r="531" spans="1:13" x14ac:dyDescent="0.25">
      <c r="A531" s="169">
        <f t="shared" ca="1" si="80"/>
        <v>26.809278503540718</v>
      </c>
      <c r="B531" s="168">
        <f t="shared" ca="1" si="81"/>
        <v>-2.4117625815299784</v>
      </c>
      <c r="C531" s="168">
        <f t="shared" ca="1" si="82"/>
        <v>29.221041085070695</v>
      </c>
      <c r="D531" s="184">
        <f t="shared" ca="1" si="83"/>
        <v>3.6929919148934012</v>
      </c>
      <c r="E531" s="230">
        <f t="shared" ca="1" si="84"/>
        <v>1.3871152980495665E-4</v>
      </c>
      <c r="F531" s="168">
        <f t="shared" ca="1" si="85"/>
        <v>25.067396880396021</v>
      </c>
      <c r="G531" s="168">
        <f t="shared" ca="1" si="86"/>
        <v>27.479159461925999</v>
      </c>
      <c r="H531" s="184">
        <f t="shared" ca="1" si="87"/>
        <v>3.4728507251169249</v>
      </c>
      <c r="I531" s="184">
        <f t="shared" ca="1" si="88"/>
        <v>3.0801770899898165E-4</v>
      </c>
      <c r="J531" s="223">
        <f t="shared" ca="1" si="89"/>
        <v>1</v>
      </c>
      <c r="K531" s="220" t="str" cm="1">
        <f t="array" aca="1" ref="K531" ca="1">_xlfn.IFS(G531&lt;$B$11,"Fail",G531&lt;25,"Marginal",G531&lt;35,"Solid",TRUE,"Blowout")</f>
        <v>Solid</v>
      </c>
      <c r="L531" s="226">
        <f ca="1">IF(AND(E531&lt;$B$10,C531&gt;=$B$11),1,0)</f>
        <v>1</v>
      </c>
      <c r="M531" s="217" t="str" cm="1">
        <f t="array" aca="1" ref="M531" ca="1">_xlfn.IFS(C531&lt;$B$11,"Fail",C531&lt;25,"Marginal",C531&lt;35,"Solid",TRUE,"Blowout")</f>
        <v>Solid</v>
      </c>
    </row>
    <row r="532" spans="1:13" x14ac:dyDescent="0.25">
      <c r="A532" s="169">
        <f t="shared" ca="1" si="80"/>
        <v>52.599491651560342</v>
      </c>
      <c r="B532" s="168">
        <f t="shared" ca="1" si="81"/>
        <v>-2.0508671548652204</v>
      </c>
      <c r="C532" s="168">
        <f t="shared" ca="1" si="82"/>
        <v>54.650358806425565</v>
      </c>
      <c r="D532" s="184">
        <f t="shared" ca="1" si="83"/>
        <v>6.9067810633641811</v>
      </c>
      <c r="E532" s="230">
        <f t="shared" ca="1" si="84"/>
        <v>2.443095910627025E-11</v>
      </c>
      <c r="F532" s="168">
        <f t="shared" ca="1" si="85"/>
        <v>18.361206342620768</v>
      </c>
      <c r="G532" s="168">
        <f t="shared" ca="1" si="86"/>
        <v>20.412073497485988</v>
      </c>
      <c r="H532" s="184">
        <f t="shared" ca="1" si="87"/>
        <v>2.5797035147710328</v>
      </c>
      <c r="I532" s="184">
        <f t="shared" ca="1" si="88"/>
        <v>5.258187297012132E-3</v>
      </c>
      <c r="J532" s="223">
        <f t="shared" ca="1" si="89"/>
        <v>1</v>
      </c>
      <c r="K532" s="220" t="str" cm="1">
        <f t="array" aca="1" ref="K532" ca="1">_xlfn.IFS(G532&lt;$B$11,"Fail",G532&lt;25,"Marginal",G532&lt;35,"Solid",TRUE,"Blowout")</f>
        <v>Marginal</v>
      </c>
      <c r="L532" s="226">
        <f ca="1">IF(AND(E532&lt;$B$10,C532&gt;=$B$11),1,0)</f>
        <v>1</v>
      </c>
      <c r="M532" s="217" t="str" cm="1">
        <f t="array" aca="1" ref="M532" ca="1">_xlfn.IFS(C532&lt;$B$11,"Fail",C532&lt;25,"Marginal",C532&lt;35,"Solid",TRUE,"Blowout")</f>
        <v>Blowout</v>
      </c>
    </row>
    <row r="533" spans="1:13" x14ac:dyDescent="0.25">
      <c r="A533" s="169">
        <f t="shared" ca="1" si="80"/>
        <v>6.8994594404882026</v>
      </c>
      <c r="B533" s="168">
        <f t="shared" ca="1" si="81"/>
        <v>0.53360885055561003</v>
      </c>
      <c r="C533" s="168">
        <f t="shared" ca="1" si="82"/>
        <v>6.3658505899325926</v>
      </c>
      <c r="D533" s="184">
        <f t="shared" ca="1" si="83"/>
        <v>0.80452420198168229</v>
      </c>
      <c r="E533" s="230">
        <f t="shared" ca="1" si="84"/>
        <v>0.21096619549092316</v>
      </c>
      <c r="F533" s="168">
        <f t="shared" ca="1" si="85"/>
        <v>12.386338693150972</v>
      </c>
      <c r="G533" s="168">
        <f t="shared" ca="1" si="86"/>
        <v>11.852729842595362</v>
      </c>
      <c r="H533" s="184">
        <f t="shared" ca="1" si="87"/>
        <v>1.4979629011398896</v>
      </c>
      <c r="I533" s="184">
        <f t="shared" ca="1" si="88"/>
        <v>6.7763028917884965E-2</v>
      </c>
      <c r="J533" s="223">
        <f t="shared" ca="1" si="89"/>
        <v>0</v>
      </c>
      <c r="K533" s="220" t="str" cm="1">
        <f t="array" aca="1" ref="K533" ca="1">_xlfn.IFS(G533&lt;$B$11,"Fail",G533&lt;25,"Marginal",G533&lt;35,"Solid",TRUE,"Blowout")</f>
        <v>Fail</v>
      </c>
      <c r="L533" s="226">
        <f ca="1">IF(AND(E533&lt;$B$10,C533&gt;=$B$11),1,0)</f>
        <v>0</v>
      </c>
      <c r="M533" s="217" t="str" cm="1">
        <f t="array" aca="1" ref="M533" ca="1">_xlfn.IFS(C533&lt;$B$11,"Fail",C533&lt;25,"Marginal",C533&lt;35,"Solid",TRUE,"Blowout")</f>
        <v>Fail</v>
      </c>
    </row>
    <row r="534" spans="1:13" x14ac:dyDescent="0.25">
      <c r="A534" s="169">
        <f t="shared" ca="1" si="80"/>
        <v>53.310514617435501</v>
      </c>
      <c r="B534" s="168">
        <f t="shared" ca="1" si="81"/>
        <v>4.7099195635723374</v>
      </c>
      <c r="C534" s="168">
        <f t="shared" ca="1" si="82"/>
        <v>48.600595053863167</v>
      </c>
      <c r="D534" s="184">
        <f t="shared" ca="1" si="83"/>
        <v>6.1422043133372046</v>
      </c>
      <c r="E534" s="230">
        <f t="shared" ca="1" si="84"/>
        <v>1.7929788077183427E-9</v>
      </c>
      <c r="F534" s="168">
        <f t="shared" ca="1" si="85"/>
        <v>25.106727202144537</v>
      </c>
      <c r="G534" s="168">
        <f t="shared" ca="1" si="86"/>
        <v>20.396807638572199</v>
      </c>
      <c r="H534" s="184">
        <f t="shared" ca="1" si="87"/>
        <v>2.577774196326204</v>
      </c>
      <c r="I534" s="184">
        <f t="shared" ca="1" si="88"/>
        <v>5.2867794343510613E-3</v>
      </c>
      <c r="J534" s="223">
        <f t="shared" ca="1" si="89"/>
        <v>1</v>
      </c>
      <c r="K534" s="220" t="str" cm="1">
        <f t="array" aca="1" ref="K534" ca="1">_xlfn.IFS(G534&lt;$B$11,"Fail",G534&lt;25,"Marginal",G534&lt;35,"Solid",TRUE,"Blowout")</f>
        <v>Marginal</v>
      </c>
      <c r="L534" s="226">
        <f ca="1">IF(AND(E534&lt;$B$10,C534&gt;=$B$11),1,0)</f>
        <v>1</v>
      </c>
      <c r="M534" s="217" t="str" cm="1">
        <f t="array" aca="1" ref="M534" ca="1">_xlfn.IFS(C534&lt;$B$11,"Fail",C534&lt;25,"Marginal",C534&lt;35,"Solid",TRUE,"Blowout")</f>
        <v>Blowout</v>
      </c>
    </row>
    <row r="535" spans="1:13" x14ac:dyDescent="0.25">
      <c r="A535" s="169">
        <f t="shared" ca="1" si="80"/>
        <v>27.07193209188312</v>
      </c>
      <c r="B535" s="168">
        <f t="shared" ca="1" si="81"/>
        <v>-1.7303752524751577</v>
      </c>
      <c r="C535" s="168">
        <f t="shared" ca="1" si="82"/>
        <v>28.802307344358276</v>
      </c>
      <c r="D535" s="184">
        <f t="shared" ca="1" si="83"/>
        <v>3.6400718182260001</v>
      </c>
      <c r="E535" s="230">
        <f t="shared" ca="1" si="84"/>
        <v>1.6862016988036715E-4</v>
      </c>
      <c r="F535" s="168">
        <f t="shared" ca="1" si="85"/>
        <v>24.58129233372815</v>
      </c>
      <c r="G535" s="168">
        <f t="shared" ca="1" si="86"/>
        <v>26.311667586203306</v>
      </c>
      <c r="H535" s="184">
        <f t="shared" ca="1" si="87"/>
        <v>3.3253016338578032</v>
      </c>
      <c r="I535" s="184">
        <f t="shared" ca="1" si="88"/>
        <v>5.1459614198357765E-4</v>
      </c>
      <c r="J535" s="223">
        <f t="shared" ca="1" si="89"/>
        <v>1</v>
      </c>
      <c r="K535" s="220" t="str" cm="1">
        <f t="array" aca="1" ref="K535" ca="1">_xlfn.IFS(G535&lt;$B$11,"Fail",G535&lt;25,"Marginal",G535&lt;35,"Solid",TRUE,"Blowout")</f>
        <v>Solid</v>
      </c>
      <c r="L535" s="226">
        <f ca="1">IF(AND(E535&lt;$B$10,C535&gt;=$B$11),1,0)</f>
        <v>1</v>
      </c>
      <c r="M535" s="217" t="str" cm="1">
        <f t="array" aca="1" ref="M535" ca="1">_xlfn.IFS(C535&lt;$B$11,"Fail",C535&lt;25,"Marginal",C535&lt;35,"Solid",TRUE,"Blowout")</f>
        <v>Solid</v>
      </c>
    </row>
    <row r="536" spans="1:13" x14ac:dyDescent="0.25">
      <c r="A536" s="169">
        <f t="shared" ca="1" si="80"/>
        <v>22.76469886197669</v>
      </c>
      <c r="B536" s="168">
        <f t="shared" ca="1" si="81"/>
        <v>5.9611907461926581</v>
      </c>
      <c r="C536" s="168">
        <f t="shared" ca="1" si="82"/>
        <v>16.803508115784034</v>
      </c>
      <c r="D536" s="184">
        <f t="shared" ca="1" si="83"/>
        <v>2.1236484844183283</v>
      </c>
      <c r="E536" s="230">
        <f t="shared" ca="1" si="84"/>
        <v>1.7388482056807313E-2</v>
      </c>
      <c r="F536" s="168">
        <f t="shared" ca="1" si="85"/>
        <v>8.4768683461465244</v>
      </c>
      <c r="G536" s="168">
        <f t="shared" ca="1" si="86"/>
        <v>2.5156775999538663</v>
      </c>
      <c r="H536" s="184">
        <f t="shared" ca="1" si="87"/>
        <v>0.31793449829734527</v>
      </c>
      <c r="I536" s="184">
        <f t="shared" ca="1" si="88"/>
        <v>0.37541281205547922</v>
      </c>
      <c r="J536" s="223">
        <f t="shared" ca="1" si="89"/>
        <v>0</v>
      </c>
      <c r="K536" s="220" t="str" cm="1">
        <f t="array" aca="1" ref="K536" ca="1">_xlfn.IFS(G536&lt;$B$11,"Fail",G536&lt;25,"Marginal",G536&lt;35,"Solid",TRUE,"Blowout")</f>
        <v>Fail</v>
      </c>
      <c r="L536" s="226">
        <f ca="1">IF(AND(E536&lt;$B$10,C536&gt;=$B$11),1,0)</f>
        <v>0</v>
      </c>
      <c r="M536" s="217" t="str" cm="1">
        <f t="array" aca="1" ref="M536" ca="1">_xlfn.IFS(C536&lt;$B$11,"Fail",C536&lt;25,"Marginal",C536&lt;35,"Solid",TRUE,"Blowout")</f>
        <v>Fail</v>
      </c>
    </row>
    <row r="537" spans="1:13" x14ac:dyDescent="0.25">
      <c r="A537" s="169">
        <f t="shared" ca="1" si="80"/>
        <v>15.281728624361538</v>
      </c>
      <c r="B537" s="168">
        <f t="shared" ca="1" si="81"/>
        <v>5.3340982399290979</v>
      </c>
      <c r="C537" s="168">
        <f t="shared" ca="1" si="82"/>
        <v>9.9476303844324399</v>
      </c>
      <c r="D537" s="184">
        <f t="shared" ca="1" si="83"/>
        <v>1.2571940361435641</v>
      </c>
      <c r="E537" s="230">
        <f t="shared" ca="1" si="84"/>
        <v>0.10498483628016778</v>
      </c>
      <c r="F537" s="168">
        <f t="shared" ca="1" si="85"/>
        <v>9.0584826276589787</v>
      </c>
      <c r="G537" s="168">
        <f t="shared" ca="1" si="86"/>
        <v>3.7243843877298808</v>
      </c>
      <c r="H537" s="184">
        <f t="shared" ca="1" si="87"/>
        <v>0.47069238196543139</v>
      </c>
      <c r="I537" s="184">
        <f t="shared" ca="1" si="88"/>
        <v>0.31915520441331063</v>
      </c>
      <c r="J537" s="223">
        <f t="shared" ca="1" si="89"/>
        <v>0</v>
      </c>
      <c r="K537" s="220" t="str" cm="1">
        <f t="array" aca="1" ref="K537" ca="1">_xlfn.IFS(G537&lt;$B$11,"Fail",G537&lt;25,"Marginal",G537&lt;35,"Solid",TRUE,"Blowout")</f>
        <v>Fail</v>
      </c>
      <c r="L537" s="226">
        <f ca="1">IF(AND(E537&lt;$B$10,C537&gt;=$B$11),1,0)</f>
        <v>0</v>
      </c>
      <c r="M537" s="217" t="str" cm="1">
        <f t="array" aca="1" ref="M537" ca="1">_xlfn.IFS(C537&lt;$B$11,"Fail",C537&lt;25,"Marginal",C537&lt;35,"Solid",TRUE,"Blowout")</f>
        <v>Fail</v>
      </c>
    </row>
    <row r="538" spans="1:13" x14ac:dyDescent="0.25">
      <c r="A538" s="169">
        <f t="shared" ca="1" si="80"/>
        <v>25.882611672726583</v>
      </c>
      <c r="B538" s="168">
        <f t="shared" ca="1" si="81"/>
        <v>12.345609689418055</v>
      </c>
      <c r="C538" s="168">
        <f t="shared" ca="1" si="82"/>
        <v>13.537001983308528</v>
      </c>
      <c r="D538" s="184">
        <f t="shared" ca="1" si="83"/>
        <v>1.7108233320884565</v>
      </c>
      <c r="E538" s="230">
        <f t="shared" ca="1" si="84"/>
        <v>4.4236925832439281E-2</v>
      </c>
      <c r="F538" s="168">
        <f t="shared" ca="1" si="85"/>
        <v>41.94318063104064</v>
      </c>
      <c r="G538" s="168">
        <f t="shared" ca="1" si="86"/>
        <v>29.597570941622585</v>
      </c>
      <c r="H538" s="184">
        <f t="shared" ca="1" si="87"/>
        <v>3.7405782316133944</v>
      </c>
      <c r="I538" s="184">
        <f t="shared" ca="1" si="88"/>
        <v>1.1615859543488108E-4</v>
      </c>
      <c r="J538" s="223">
        <f t="shared" ca="1" si="89"/>
        <v>1</v>
      </c>
      <c r="K538" s="220" t="str" cm="1">
        <f t="array" aca="1" ref="K538" ca="1">_xlfn.IFS(G538&lt;$B$11,"Fail",G538&lt;25,"Marginal",G538&lt;35,"Solid",TRUE,"Blowout")</f>
        <v>Solid</v>
      </c>
      <c r="L538" s="226">
        <f ca="1">IF(AND(E538&lt;$B$10,C538&gt;=$B$11),1,0)</f>
        <v>0</v>
      </c>
      <c r="M538" s="217" t="str" cm="1">
        <f t="array" aca="1" ref="M538" ca="1">_xlfn.IFS(C538&lt;$B$11,"Fail",C538&lt;25,"Marginal",C538&lt;35,"Solid",TRUE,"Blowout")</f>
        <v>Fail</v>
      </c>
    </row>
    <row r="539" spans="1:13" x14ac:dyDescent="0.25">
      <c r="A539" s="169">
        <f t="shared" ca="1" si="80"/>
        <v>4.1332226809065027</v>
      </c>
      <c r="B539" s="168">
        <f t="shared" ca="1" si="81"/>
        <v>2.2363857195729904</v>
      </c>
      <c r="C539" s="168">
        <f t="shared" ca="1" si="82"/>
        <v>1.8968369613335123</v>
      </c>
      <c r="D539" s="184">
        <f t="shared" ca="1" si="83"/>
        <v>0.2397246402577542</v>
      </c>
      <c r="E539" s="230">
        <f t="shared" ca="1" si="84"/>
        <v>0.4053795536043594</v>
      </c>
      <c r="F539" s="168">
        <f t="shared" ca="1" si="85"/>
        <v>43.038313938458224</v>
      </c>
      <c r="G539" s="168">
        <f t="shared" ca="1" si="86"/>
        <v>40.80192821888523</v>
      </c>
      <c r="H539" s="184">
        <f t="shared" ca="1" si="87"/>
        <v>5.1565989926823139</v>
      </c>
      <c r="I539" s="184">
        <f t="shared" ca="1" si="88"/>
        <v>2.7269077396726587E-7</v>
      </c>
      <c r="J539" s="223">
        <f t="shared" ca="1" si="89"/>
        <v>1</v>
      </c>
      <c r="K539" s="220" t="str" cm="1">
        <f t="array" aca="1" ref="K539" ca="1">_xlfn.IFS(G539&lt;$B$11,"Fail",G539&lt;25,"Marginal",G539&lt;35,"Solid",TRUE,"Blowout")</f>
        <v>Blowout</v>
      </c>
      <c r="L539" s="226">
        <f ca="1">IF(AND(E539&lt;$B$10,C539&gt;=$B$11),1,0)</f>
        <v>0</v>
      </c>
      <c r="M539" s="217" t="str" cm="1">
        <f t="array" aca="1" ref="M539" ca="1">_xlfn.IFS(C539&lt;$B$11,"Fail",C539&lt;25,"Marginal",C539&lt;35,"Solid",TRUE,"Blowout")</f>
        <v>Fail</v>
      </c>
    </row>
    <row r="540" spans="1:13" x14ac:dyDescent="0.25">
      <c r="A540" s="169">
        <f t="shared" ca="1" si="80"/>
        <v>20.091442640729781</v>
      </c>
      <c r="B540" s="168">
        <f t="shared" ca="1" si="81"/>
        <v>3.8126019628302807</v>
      </c>
      <c r="C540" s="168">
        <f t="shared" ca="1" si="82"/>
        <v>16.278840677899499</v>
      </c>
      <c r="D540" s="184">
        <f t="shared" ca="1" si="83"/>
        <v>2.0573403539011936</v>
      </c>
      <c r="E540" s="230">
        <f t="shared" ca="1" si="84"/>
        <v>2.0395599607580282E-2</v>
      </c>
      <c r="F540" s="168">
        <f t="shared" ca="1" si="85"/>
        <v>-10.165080377800283</v>
      </c>
      <c r="G540" s="168">
        <f t="shared" ca="1" si="86"/>
        <v>-13.977682340630563</v>
      </c>
      <c r="H540" s="184">
        <f t="shared" ca="1" si="87"/>
        <v>-1.7665170697586752</v>
      </c>
      <c r="I540" s="184">
        <f t="shared" ca="1" si="88"/>
        <v>0.96067640160891532</v>
      </c>
      <c r="J540" s="223">
        <f t="shared" ca="1" si="89"/>
        <v>0</v>
      </c>
      <c r="K540" s="220" t="str" cm="1">
        <f t="array" aca="1" ref="K540" ca="1">_xlfn.IFS(G540&lt;$B$11,"Fail",G540&lt;25,"Marginal",G540&lt;35,"Solid",TRUE,"Blowout")</f>
        <v>Fail</v>
      </c>
      <c r="L540" s="226">
        <f ca="1">IF(AND(E540&lt;$B$10,C540&gt;=$B$11),1,0)</f>
        <v>0</v>
      </c>
      <c r="M540" s="217" t="str" cm="1">
        <f t="array" aca="1" ref="M540" ca="1">_xlfn.IFS(C540&lt;$B$11,"Fail",C540&lt;25,"Marginal",C540&lt;35,"Solid",TRUE,"Blowout")</f>
        <v>Fail</v>
      </c>
    </row>
    <row r="541" spans="1:13" x14ac:dyDescent="0.25">
      <c r="A541" s="169">
        <f t="shared" ca="1" si="80"/>
        <v>89.628434404898186</v>
      </c>
      <c r="B541" s="168">
        <f t="shared" ca="1" si="81"/>
        <v>3.7100282640461808</v>
      </c>
      <c r="C541" s="168">
        <f t="shared" ca="1" si="82"/>
        <v>85.918406140851999</v>
      </c>
      <c r="D541" s="184">
        <f t="shared" ca="1" si="83"/>
        <v>10.858476201958577</v>
      </c>
      <c r="E541" s="230">
        <f t="shared" ca="1" si="84"/>
        <v>1.0348465665799285E-22</v>
      </c>
      <c r="F541" s="168">
        <f t="shared" ca="1" si="85"/>
        <v>-5.1673714518404505</v>
      </c>
      <c r="G541" s="168">
        <f t="shared" ca="1" si="86"/>
        <v>-8.8773997158866322</v>
      </c>
      <c r="H541" s="184">
        <f t="shared" ca="1" si="87"/>
        <v>-1.1219369385437827</v>
      </c>
      <c r="I541" s="184">
        <f t="shared" ca="1" si="88"/>
        <v>0.86846529255168492</v>
      </c>
      <c r="J541" s="223">
        <f t="shared" ca="1" si="89"/>
        <v>0</v>
      </c>
      <c r="K541" s="220" t="str" cm="1">
        <f t="array" aca="1" ref="K541" ca="1">_xlfn.IFS(G541&lt;$B$11,"Fail",G541&lt;25,"Marginal",G541&lt;35,"Solid",TRUE,"Blowout")</f>
        <v>Fail</v>
      </c>
      <c r="L541" s="226">
        <f ca="1">IF(AND(E541&lt;$B$10,C541&gt;=$B$11),1,0)</f>
        <v>1</v>
      </c>
      <c r="M541" s="217" t="str" cm="1">
        <f t="array" aca="1" ref="M541" ca="1">_xlfn.IFS(C541&lt;$B$11,"Fail",C541&lt;25,"Marginal",C541&lt;35,"Solid",TRUE,"Blowout")</f>
        <v>Blowout</v>
      </c>
    </row>
    <row r="542" spans="1:13" x14ac:dyDescent="0.25">
      <c r="A542" s="169">
        <f t="shared" ca="1" si="80"/>
        <v>86.371773815777686</v>
      </c>
      <c r="B542" s="168">
        <f t="shared" ca="1" si="81"/>
        <v>-4.4924740163674031</v>
      </c>
      <c r="C542" s="168">
        <f t="shared" ca="1" si="82"/>
        <v>90.864247832145082</v>
      </c>
      <c r="D542" s="184">
        <f t="shared" ca="1" si="83"/>
        <v>11.483537893809789</v>
      </c>
      <c r="E542" s="230">
        <f t="shared" ca="1" si="84"/>
        <v>1.0964824145271861E-24</v>
      </c>
      <c r="F542" s="168">
        <f t="shared" ca="1" si="85"/>
        <v>10.86477585370371</v>
      </c>
      <c r="G542" s="168">
        <f t="shared" ca="1" si="86"/>
        <v>15.357249870071113</v>
      </c>
      <c r="H542" s="184">
        <f t="shared" ca="1" si="87"/>
        <v>1.9408685487987687</v>
      </c>
      <c r="I542" s="184">
        <f t="shared" ca="1" si="88"/>
        <v>2.6753432756863222E-2</v>
      </c>
      <c r="J542" s="223">
        <f t="shared" ca="1" si="89"/>
        <v>0</v>
      </c>
      <c r="K542" s="220" t="str" cm="1">
        <f t="array" aca="1" ref="K542" ca="1">_xlfn.IFS(G542&lt;$B$11,"Fail",G542&lt;25,"Marginal",G542&lt;35,"Solid",TRUE,"Blowout")</f>
        <v>Fail</v>
      </c>
      <c r="L542" s="226">
        <f ca="1">IF(AND(E542&lt;$B$10,C542&gt;=$B$11),1,0)</f>
        <v>1</v>
      </c>
      <c r="M542" s="217" t="str" cm="1">
        <f t="array" aca="1" ref="M542" ca="1">_xlfn.IFS(C542&lt;$B$11,"Fail",C542&lt;25,"Marginal",C542&lt;35,"Solid",TRUE,"Blowout")</f>
        <v>Blowout</v>
      </c>
    </row>
    <row r="543" spans="1:13" x14ac:dyDescent="0.25">
      <c r="A543" s="169">
        <f t="shared" ca="1" si="80"/>
        <v>0.57106518187352329</v>
      </c>
      <c r="B543" s="168">
        <f t="shared" ca="1" si="81"/>
        <v>16.228569349845422</v>
      </c>
      <c r="C543" s="168">
        <f t="shared" ca="1" si="82"/>
        <v>-15.657504167971899</v>
      </c>
      <c r="D543" s="184">
        <f t="shared" ca="1" si="83"/>
        <v>-1.9788150645074822</v>
      </c>
      <c r="E543" s="230">
        <f t="shared" ca="1" si="84"/>
        <v>0.97547983182198927</v>
      </c>
      <c r="F543" s="168">
        <f t="shared" ca="1" si="85"/>
        <v>10.869802807545598</v>
      </c>
      <c r="G543" s="168">
        <f t="shared" ca="1" si="86"/>
        <v>-5.3587665422998239</v>
      </c>
      <c r="H543" s="184">
        <f t="shared" ca="1" si="87"/>
        <v>-0.67724765373350626</v>
      </c>
      <c r="I543" s="184">
        <f t="shared" ca="1" si="88"/>
        <v>0.75053228675575334</v>
      </c>
      <c r="J543" s="223">
        <f t="shared" ca="1" si="89"/>
        <v>0</v>
      </c>
      <c r="K543" s="220" t="str" cm="1">
        <f t="array" aca="1" ref="K543" ca="1">_xlfn.IFS(G543&lt;$B$11,"Fail",G543&lt;25,"Marginal",G543&lt;35,"Solid",TRUE,"Blowout")</f>
        <v>Fail</v>
      </c>
      <c r="L543" s="226">
        <f ca="1">IF(AND(E543&lt;$B$10,C543&gt;=$B$11),1,0)</f>
        <v>0</v>
      </c>
      <c r="M543" s="217" t="str" cm="1">
        <f t="array" aca="1" ref="M543" ca="1">_xlfn.IFS(C543&lt;$B$11,"Fail",C543&lt;25,"Marginal",C543&lt;35,"Solid",TRUE,"Blowout")</f>
        <v>Fail</v>
      </c>
    </row>
    <row r="544" spans="1:13" x14ac:dyDescent="0.25">
      <c r="A544" s="169">
        <f t="shared" ca="1" si="80"/>
        <v>21.756049759090509</v>
      </c>
      <c r="B544" s="168">
        <f t="shared" ca="1" si="81"/>
        <v>5.8011424636051547</v>
      </c>
      <c r="C544" s="168">
        <f t="shared" ca="1" si="82"/>
        <v>15.954907295485354</v>
      </c>
      <c r="D544" s="184">
        <f t="shared" ca="1" si="83"/>
        <v>2.0164012457175806</v>
      </c>
      <c r="E544" s="230">
        <f t="shared" ca="1" si="84"/>
        <v>2.2465449885990033E-2</v>
      </c>
      <c r="F544" s="168">
        <f t="shared" ca="1" si="85"/>
        <v>44.120029895858899</v>
      </c>
      <c r="G544" s="168">
        <f t="shared" ca="1" si="86"/>
        <v>38.318887432253746</v>
      </c>
      <c r="H544" s="184">
        <f t="shared" ca="1" si="87"/>
        <v>4.8427891758902089</v>
      </c>
      <c r="I544" s="184">
        <f t="shared" ca="1" si="88"/>
        <v>1.1814802260685719E-6</v>
      </c>
      <c r="J544" s="223">
        <f t="shared" ca="1" si="89"/>
        <v>1</v>
      </c>
      <c r="K544" s="220" t="str" cm="1">
        <f t="array" aca="1" ref="K544" ca="1">_xlfn.IFS(G544&lt;$B$11,"Fail",G544&lt;25,"Marginal",G544&lt;35,"Solid",TRUE,"Blowout")</f>
        <v>Blowout</v>
      </c>
      <c r="L544" s="226">
        <f ca="1">IF(AND(E544&lt;$B$10,C544&gt;=$B$11),1,0)</f>
        <v>0</v>
      </c>
      <c r="M544" s="217" t="str" cm="1">
        <f t="array" aca="1" ref="M544" ca="1">_xlfn.IFS(C544&lt;$B$11,"Fail",C544&lt;25,"Marginal",C544&lt;35,"Solid",TRUE,"Blowout")</f>
        <v>Fail</v>
      </c>
    </row>
    <row r="545" spans="1:13" x14ac:dyDescent="0.25">
      <c r="A545" s="169">
        <f t="shared" ca="1" si="80"/>
        <v>30.461121805368499</v>
      </c>
      <c r="B545" s="168">
        <f t="shared" ca="1" si="81"/>
        <v>4.2702122416734172</v>
      </c>
      <c r="C545" s="168">
        <f t="shared" ca="1" si="82"/>
        <v>26.190909563695083</v>
      </c>
      <c r="D545" s="184">
        <f t="shared" ca="1" si="83"/>
        <v>3.3100400831319727</v>
      </c>
      <c r="E545" s="230">
        <f t="shared" ca="1" si="84"/>
        <v>5.4211357160577757E-4</v>
      </c>
      <c r="F545" s="168">
        <f t="shared" ca="1" si="85"/>
        <v>17.898357802069697</v>
      </c>
      <c r="G545" s="168">
        <f t="shared" ca="1" si="86"/>
        <v>13.62814556039628</v>
      </c>
      <c r="H545" s="184">
        <f t="shared" ca="1" si="87"/>
        <v>1.7223421719648186</v>
      </c>
      <c r="I545" s="184">
        <f t="shared" ca="1" si="88"/>
        <v>4.3181810357539652E-2</v>
      </c>
      <c r="J545" s="223">
        <f t="shared" ca="1" si="89"/>
        <v>0</v>
      </c>
      <c r="K545" s="220" t="str" cm="1">
        <f t="array" aca="1" ref="K545" ca="1">_xlfn.IFS(G545&lt;$B$11,"Fail",G545&lt;25,"Marginal",G545&lt;35,"Solid",TRUE,"Blowout")</f>
        <v>Fail</v>
      </c>
      <c r="L545" s="226">
        <f ca="1">IF(AND(E545&lt;$B$10,C545&gt;=$B$11),1,0)</f>
        <v>1</v>
      </c>
      <c r="M545" s="217" t="str" cm="1">
        <f t="array" aca="1" ref="M545" ca="1">_xlfn.IFS(C545&lt;$B$11,"Fail",C545&lt;25,"Marginal",C545&lt;35,"Solid",TRUE,"Blowout")</f>
        <v>Solid</v>
      </c>
    </row>
    <row r="546" spans="1:13" x14ac:dyDescent="0.25">
      <c r="A546" s="169">
        <f t="shared" ca="1" si="80"/>
        <v>45.263545487752964</v>
      </c>
      <c r="B546" s="168">
        <f t="shared" ca="1" si="81"/>
        <v>12.268833862038562</v>
      </c>
      <c r="C546" s="168">
        <f t="shared" ca="1" si="82"/>
        <v>32.994711625714402</v>
      </c>
      <c r="D546" s="184">
        <f t="shared" ca="1" si="83"/>
        <v>4.169913142836533</v>
      </c>
      <c r="E546" s="230">
        <f t="shared" ca="1" si="84"/>
        <v>2.1654761551918528E-5</v>
      </c>
      <c r="F546" s="168">
        <f t="shared" ca="1" si="85"/>
        <v>4.500840618132842</v>
      </c>
      <c r="G546" s="168">
        <f t="shared" ca="1" si="86"/>
        <v>-7.7679932439057202</v>
      </c>
      <c r="H546" s="184">
        <f t="shared" ca="1" si="87"/>
        <v>-0.98172875364618395</v>
      </c>
      <c r="I546" s="184">
        <f t="shared" ca="1" si="88"/>
        <v>0.83636296072935734</v>
      </c>
      <c r="J546" s="223">
        <f t="shared" ca="1" si="89"/>
        <v>0</v>
      </c>
      <c r="K546" s="220" t="str" cm="1">
        <f t="array" aca="1" ref="K546" ca="1">_xlfn.IFS(G546&lt;$B$11,"Fail",G546&lt;25,"Marginal",G546&lt;35,"Solid",TRUE,"Blowout")</f>
        <v>Fail</v>
      </c>
      <c r="L546" s="226">
        <f ca="1">IF(AND(E546&lt;$B$10,C546&gt;=$B$11),1,0)</f>
        <v>1</v>
      </c>
      <c r="M546" s="217" t="str" cm="1">
        <f t="array" aca="1" ref="M546" ca="1">_xlfn.IFS(C546&lt;$B$11,"Fail",C546&lt;25,"Marginal",C546&lt;35,"Solid",TRUE,"Blowout")</f>
        <v>Solid</v>
      </c>
    </row>
    <row r="547" spans="1:13" x14ac:dyDescent="0.25">
      <c r="A547" s="169">
        <f t="shared" ca="1" si="80"/>
        <v>16.713576087394369</v>
      </c>
      <c r="B547" s="168">
        <f t="shared" ca="1" si="81"/>
        <v>11.211714679785763</v>
      </c>
      <c r="C547" s="168">
        <f t="shared" ca="1" si="82"/>
        <v>5.5018614076086063</v>
      </c>
      <c r="D547" s="184">
        <f t="shared" ca="1" si="83"/>
        <v>0.69533216273883669</v>
      </c>
      <c r="E547" s="230">
        <f t="shared" ca="1" si="84"/>
        <v>0.24377761387677194</v>
      </c>
      <c r="F547" s="168">
        <f t="shared" ca="1" si="85"/>
        <v>35.150140821022781</v>
      </c>
      <c r="G547" s="168">
        <f t="shared" ca="1" si="86"/>
        <v>23.938426141237017</v>
      </c>
      <c r="H547" s="184">
        <f t="shared" ca="1" si="87"/>
        <v>3.0253683959271318</v>
      </c>
      <c r="I547" s="184">
        <f t="shared" ca="1" si="88"/>
        <v>1.3840730941860335E-3</v>
      </c>
      <c r="J547" s="223">
        <f t="shared" ca="1" si="89"/>
        <v>1</v>
      </c>
      <c r="K547" s="220" t="str" cm="1">
        <f t="array" aca="1" ref="K547" ca="1">_xlfn.IFS(G547&lt;$B$11,"Fail",G547&lt;25,"Marginal",G547&lt;35,"Solid",TRUE,"Blowout")</f>
        <v>Marginal</v>
      </c>
      <c r="L547" s="226">
        <f ca="1">IF(AND(E547&lt;$B$10,C547&gt;=$B$11),1,0)</f>
        <v>0</v>
      </c>
      <c r="M547" s="217" t="str" cm="1">
        <f t="array" aca="1" ref="M547" ca="1">_xlfn.IFS(C547&lt;$B$11,"Fail",C547&lt;25,"Marginal",C547&lt;35,"Solid",TRUE,"Blowout")</f>
        <v>Fail</v>
      </c>
    </row>
    <row r="548" spans="1:13" x14ac:dyDescent="0.25">
      <c r="A548" s="169">
        <f t="shared" ca="1" si="80"/>
        <v>35.367731570176531</v>
      </c>
      <c r="B548" s="168">
        <f t="shared" ca="1" si="81"/>
        <v>10.978169692937705</v>
      </c>
      <c r="C548" s="168">
        <f t="shared" ca="1" si="82"/>
        <v>24.389561877238826</v>
      </c>
      <c r="D548" s="184">
        <f t="shared" ca="1" si="83"/>
        <v>3.0823834975015023</v>
      </c>
      <c r="E548" s="230">
        <f t="shared" ca="1" si="84"/>
        <v>1.1532124970688037E-3</v>
      </c>
      <c r="F548" s="168">
        <f t="shared" ca="1" si="85"/>
        <v>1.641590386489272</v>
      </c>
      <c r="G548" s="168">
        <f t="shared" ca="1" si="86"/>
        <v>-9.3365793064484333</v>
      </c>
      <c r="H548" s="184">
        <f t="shared" ca="1" si="87"/>
        <v>-1.1799686325717949</v>
      </c>
      <c r="I548" s="184">
        <f t="shared" ca="1" si="88"/>
        <v>0.88037882645044696</v>
      </c>
      <c r="J548" s="223">
        <f t="shared" ca="1" si="89"/>
        <v>0</v>
      </c>
      <c r="K548" s="220" t="str" cm="1">
        <f t="array" aca="1" ref="K548" ca="1">_xlfn.IFS(G548&lt;$B$11,"Fail",G548&lt;25,"Marginal",G548&lt;35,"Solid",TRUE,"Blowout")</f>
        <v>Fail</v>
      </c>
      <c r="L548" s="226">
        <f ca="1">IF(AND(E548&lt;$B$10,C548&gt;=$B$11),1,0)</f>
        <v>1</v>
      </c>
      <c r="M548" s="217" t="str" cm="1">
        <f t="array" aca="1" ref="M548" ca="1">_xlfn.IFS(C548&lt;$B$11,"Fail",C548&lt;25,"Marginal",C548&lt;35,"Solid",TRUE,"Blowout")</f>
        <v>Marginal</v>
      </c>
    </row>
    <row r="549" spans="1:13" x14ac:dyDescent="0.25">
      <c r="A549" s="169">
        <f t="shared" ca="1" si="80"/>
        <v>35.281238374638264</v>
      </c>
      <c r="B549" s="168">
        <f t="shared" ca="1" si="81"/>
        <v>10.831282960671523</v>
      </c>
      <c r="C549" s="168">
        <f t="shared" ca="1" si="82"/>
        <v>24.449955413966741</v>
      </c>
      <c r="D549" s="184">
        <f t="shared" ca="1" si="83"/>
        <v>3.0900161086120614</v>
      </c>
      <c r="E549" s="230">
        <f t="shared" ca="1" si="84"/>
        <v>1.125157185835476E-3</v>
      </c>
      <c r="F549" s="168">
        <f t="shared" ca="1" si="85"/>
        <v>18.051637013767508</v>
      </c>
      <c r="G549" s="168">
        <f t="shared" ca="1" si="86"/>
        <v>7.2203540530959849</v>
      </c>
      <c r="H549" s="184">
        <f t="shared" ca="1" si="87"/>
        <v>0.91251742410966052</v>
      </c>
      <c r="I549" s="184">
        <f t="shared" ca="1" si="88"/>
        <v>0.18123012956954926</v>
      </c>
      <c r="J549" s="223">
        <f t="shared" ca="1" si="89"/>
        <v>0</v>
      </c>
      <c r="K549" s="220" t="str" cm="1">
        <f t="array" aca="1" ref="K549" ca="1">_xlfn.IFS(G549&lt;$B$11,"Fail",G549&lt;25,"Marginal",G549&lt;35,"Solid",TRUE,"Blowout")</f>
        <v>Fail</v>
      </c>
      <c r="L549" s="226">
        <f ca="1">IF(AND(E549&lt;$B$10,C549&gt;=$B$11),1,0)</f>
        <v>1</v>
      </c>
      <c r="M549" s="217" t="str" cm="1">
        <f t="array" aca="1" ref="M549" ca="1">_xlfn.IFS(C549&lt;$B$11,"Fail",C549&lt;25,"Marginal",C549&lt;35,"Solid",TRUE,"Blowout")</f>
        <v>Marginal</v>
      </c>
    </row>
    <row r="550" spans="1:13" x14ac:dyDescent="0.25">
      <c r="A550" s="169">
        <f t="shared" ca="1" si="80"/>
        <v>41.456251008351927</v>
      </c>
      <c r="B550" s="168">
        <f t="shared" ca="1" si="81"/>
        <v>1.3144180354064332</v>
      </c>
      <c r="C550" s="168">
        <f t="shared" ca="1" si="82"/>
        <v>40.141832972945494</v>
      </c>
      <c r="D550" s="184">
        <f t="shared" ca="1" si="83"/>
        <v>5.0731753254961207</v>
      </c>
      <c r="E550" s="230">
        <f t="shared" ca="1" si="84"/>
        <v>4.0532763420032476E-7</v>
      </c>
      <c r="F550" s="168">
        <f t="shared" ca="1" si="85"/>
        <v>67.091318973068596</v>
      </c>
      <c r="G550" s="168">
        <f t="shared" ca="1" si="86"/>
        <v>65.776900937662163</v>
      </c>
      <c r="H550" s="184">
        <f t="shared" ca="1" si="87"/>
        <v>8.312967448433497</v>
      </c>
      <c r="I550" s="184">
        <f t="shared" ca="1" si="88"/>
        <v>4.2160781946893797E-15</v>
      </c>
      <c r="J550" s="223">
        <f t="shared" ca="1" si="89"/>
        <v>1</v>
      </c>
      <c r="K550" s="220" t="str" cm="1">
        <f t="array" aca="1" ref="K550" ca="1">_xlfn.IFS(G550&lt;$B$11,"Fail",G550&lt;25,"Marginal",G550&lt;35,"Solid",TRUE,"Blowout")</f>
        <v>Blowout</v>
      </c>
      <c r="L550" s="226">
        <f ca="1">IF(AND(E550&lt;$B$10,C550&gt;=$B$11),1,0)</f>
        <v>1</v>
      </c>
      <c r="M550" s="217" t="str" cm="1">
        <f t="array" aca="1" ref="M550" ca="1">_xlfn.IFS(C550&lt;$B$11,"Fail",C550&lt;25,"Marginal",C550&lt;35,"Solid",TRUE,"Blowout")</f>
        <v>Blowout</v>
      </c>
    </row>
    <row r="551" spans="1:13" x14ac:dyDescent="0.25">
      <c r="A551" s="169">
        <f t="shared" ca="1" si="80"/>
        <v>60.684928975245647</v>
      </c>
      <c r="B551" s="168">
        <f t="shared" ca="1" si="81"/>
        <v>-0.72140076117892171</v>
      </c>
      <c r="C551" s="168">
        <f t="shared" ca="1" si="82"/>
        <v>61.406329736424567</v>
      </c>
      <c r="D551" s="184">
        <f t="shared" ca="1" si="83"/>
        <v>7.7606091644611066</v>
      </c>
      <c r="E551" s="230">
        <f t="shared" ca="1" si="84"/>
        <v>1.4104956842228801E-13</v>
      </c>
      <c r="F551" s="168">
        <f t="shared" ca="1" si="85"/>
        <v>-1.1222797735480019</v>
      </c>
      <c r="G551" s="168">
        <f t="shared" ca="1" si="86"/>
        <v>-0.40087901236908019</v>
      </c>
      <c r="H551" s="184">
        <f t="shared" ca="1" si="87"/>
        <v>-5.0663593648818936E-2</v>
      </c>
      <c r="I551" s="184">
        <f t="shared" ca="1" si="88"/>
        <v>0.52018102803275523</v>
      </c>
      <c r="J551" s="223">
        <f t="shared" ca="1" si="89"/>
        <v>0</v>
      </c>
      <c r="K551" s="220" t="str" cm="1">
        <f t="array" aca="1" ref="K551" ca="1">_xlfn.IFS(G551&lt;$B$11,"Fail",G551&lt;25,"Marginal",G551&lt;35,"Solid",TRUE,"Blowout")</f>
        <v>Fail</v>
      </c>
      <c r="L551" s="226">
        <f ca="1">IF(AND(E551&lt;$B$10,C551&gt;=$B$11),1,0)</f>
        <v>1</v>
      </c>
      <c r="M551" s="217" t="str" cm="1">
        <f t="array" aca="1" ref="M551" ca="1">_xlfn.IFS(C551&lt;$B$11,"Fail",C551&lt;25,"Marginal",C551&lt;35,"Solid",TRUE,"Blowout")</f>
        <v>Blowout</v>
      </c>
    </row>
    <row r="552" spans="1:13" x14ac:dyDescent="0.25">
      <c r="A552" s="169">
        <f t="shared" ca="1" si="80"/>
        <v>40.044435247602529</v>
      </c>
      <c r="B552" s="168">
        <f t="shared" ca="1" si="81"/>
        <v>9.3271225787585408</v>
      </c>
      <c r="C552" s="168">
        <f t="shared" ca="1" si="82"/>
        <v>30.717312668843988</v>
      </c>
      <c r="D552" s="184">
        <f t="shared" ca="1" si="83"/>
        <v>3.8820925990638449</v>
      </c>
      <c r="E552" s="230">
        <f t="shared" ca="1" si="84"/>
        <v>6.7822552973517144E-5</v>
      </c>
      <c r="F552" s="168">
        <f t="shared" ca="1" si="85"/>
        <v>38.375381204915634</v>
      </c>
      <c r="G552" s="168">
        <f t="shared" ca="1" si="86"/>
        <v>29.048258626157093</v>
      </c>
      <c r="H552" s="184">
        <f t="shared" ca="1" si="87"/>
        <v>3.671155450479088</v>
      </c>
      <c r="I552" s="184">
        <f t="shared" ca="1" si="88"/>
        <v>1.5038955717596445E-4</v>
      </c>
      <c r="J552" s="223">
        <f t="shared" ca="1" si="89"/>
        <v>1</v>
      </c>
      <c r="K552" s="220" t="str" cm="1">
        <f t="array" aca="1" ref="K552" ca="1">_xlfn.IFS(G552&lt;$B$11,"Fail",G552&lt;25,"Marginal",G552&lt;35,"Solid",TRUE,"Blowout")</f>
        <v>Solid</v>
      </c>
      <c r="L552" s="226">
        <f ca="1">IF(AND(E552&lt;$B$10,C552&gt;=$B$11),1,0)</f>
        <v>1</v>
      </c>
      <c r="M552" s="217" t="str" cm="1">
        <f t="array" aca="1" ref="M552" ca="1">_xlfn.IFS(C552&lt;$B$11,"Fail",C552&lt;25,"Marginal",C552&lt;35,"Solid",TRUE,"Blowout")</f>
        <v>Solid</v>
      </c>
    </row>
    <row r="553" spans="1:13" x14ac:dyDescent="0.25">
      <c r="A553" s="169">
        <f t="shared" ca="1" si="80"/>
        <v>15.292003193263746</v>
      </c>
      <c r="B553" s="168">
        <f t="shared" ca="1" si="81"/>
        <v>10.741263133497023</v>
      </c>
      <c r="C553" s="168">
        <f t="shared" ca="1" si="82"/>
        <v>4.5507400597667225</v>
      </c>
      <c r="D553" s="184">
        <f t="shared" ca="1" si="83"/>
        <v>0.57512825085777952</v>
      </c>
      <c r="E553" s="230">
        <f t="shared" ca="1" si="84"/>
        <v>0.28288583790387201</v>
      </c>
      <c r="F553" s="168">
        <f t="shared" ca="1" si="85"/>
        <v>47.58898606984387</v>
      </c>
      <c r="G553" s="168">
        <f t="shared" ca="1" si="86"/>
        <v>36.847722936346848</v>
      </c>
      <c r="H553" s="184">
        <f t="shared" ca="1" si="87"/>
        <v>4.6568615570539942</v>
      </c>
      <c r="I553" s="184">
        <f t="shared" ca="1" si="88"/>
        <v>2.7267445719579931E-6</v>
      </c>
      <c r="J553" s="223">
        <f t="shared" ca="1" si="89"/>
        <v>1</v>
      </c>
      <c r="K553" s="220" t="str" cm="1">
        <f t="array" aca="1" ref="K553" ca="1">_xlfn.IFS(G553&lt;$B$11,"Fail",G553&lt;25,"Marginal",G553&lt;35,"Solid",TRUE,"Blowout")</f>
        <v>Blowout</v>
      </c>
      <c r="L553" s="226">
        <f ca="1">IF(AND(E553&lt;$B$10,C553&gt;=$B$11),1,0)</f>
        <v>0</v>
      </c>
      <c r="M553" s="217" t="str" cm="1">
        <f t="array" aca="1" ref="M553" ca="1">_xlfn.IFS(C553&lt;$B$11,"Fail",C553&lt;25,"Marginal",C553&lt;35,"Solid",TRUE,"Blowout")</f>
        <v>Fail</v>
      </c>
    </row>
    <row r="554" spans="1:13" x14ac:dyDescent="0.25">
      <c r="A554" s="169">
        <f t="shared" ca="1" si="80"/>
        <v>23.957581983492886</v>
      </c>
      <c r="B554" s="168">
        <f t="shared" ca="1" si="81"/>
        <v>3.1199602223139484</v>
      </c>
      <c r="C554" s="168">
        <f t="shared" ca="1" si="82"/>
        <v>20.837621761178937</v>
      </c>
      <c r="D554" s="184">
        <f t="shared" ca="1" si="83"/>
        <v>2.6334848394213002</v>
      </c>
      <c r="E554" s="230">
        <f t="shared" ca="1" si="84"/>
        <v>4.5148875296308743E-3</v>
      </c>
      <c r="F554" s="168">
        <f t="shared" ca="1" si="85"/>
        <v>40.862866311387165</v>
      </c>
      <c r="G554" s="168">
        <f t="shared" ca="1" si="86"/>
        <v>37.742906089073216</v>
      </c>
      <c r="H554" s="184">
        <f t="shared" ca="1" si="87"/>
        <v>4.7699959294996175</v>
      </c>
      <c r="I554" s="184">
        <f t="shared" ca="1" si="88"/>
        <v>1.6439745302742978E-6</v>
      </c>
      <c r="J554" s="223">
        <f t="shared" ca="1" si="89"/>
        <v>1</v>
      </c>
      <c r="K554" s="220" t="str" cm="1">
        <f t="array" aca="1" ref="K554" ca="1">_xlfn.IFS(G554&lt;$B$11,"Fail",G554&lt;25,"Marginal",G554&lt;35,"Solid",TRUE,"Blowout")</f>
        <v>Blowout</v>
      </c>
      <c r="L554" s="226">
        <f ca="1">IF(AND(E554&lt;$B$10,C554&gt;=$B$11),1,0)</f>
        <v>1</v>
      </c>
      <c r="M554" s="217" t="str" cm="1">
        <f t="array" aca="1" ref="M554" ca="1">_xlfn.IFS(C554&lt;$B$11,"Fail",C554&lt;25,"Marginal",C554&lt;35,"Solid",TRUE,"Blowout")</f>
        <v>Marginal</v>
      </c>
    </row>
    <row r="555" spans="1:13" x14ac:dyDescent="0.25">
      <c r="A555" s="169">
        <f t="shared" ca="1" si="80"/>
        <v>21.147572776250566</v>
      </c>
      <c r="B555" s="168">
        <f t="shared" ca="1" si="81"/>
        <v>8.8797138026077249</v>
      </c>
      <c r="C555" s="168">
        <f t="shared" ca="1" si="82"/>
        <v>12.267858973642841</v>
      </c>
      <c r="D555" s="184">
        <f t="shared" ca="1" si="83"/>
        <v>1.5504274427053961</v>
      </c>
      <c r="E555" s="230">
        <f t="shared" ca="1" si="84"/>
        <v>6.1212945417730209E-2</v>
      </c>
      <c r="F555" s="168">
        <f t="shared" ca="1" si="85"/>
        <v>12.750840884991751</v>
      </c>
      <c r="G555" s="168">
        <f t="shared" ca="1" si="86"/>
        <v>3.8711270823840263</v>
      </c>
      <c r="H555" s="184">
        <f t="shared" ca="1" si="87"/>
        <v>0.48923790823021263</v>
      </c>
      <c r="I555" s="184">
        <f t="shared" ca="1" si="88"/>
        <v>0.31257179679597014</v>
      </c>
      <c r="J555" s="223">
        <f t="shared" ca="1" si="89"/>
        <v>0</v>
      </c>
      <c r="K555" s="220" t="str" cm="1">
        <f t="array" aca="1" ref="K555" ca="1">_xlfn.IFS(G555&lt;$B$11,"Fail",G555&lt;25,"Marginal",G555&lt;35,"Solid",TRUE,"Blowout")</f>
        <v>Fail</v>
      </c>
      <c r="L555" s="226">
        <f ca="1">IF(AND(E555&lt;$B$10,C555&gt;=$B$11),1,0)</f>
        <v>0</v>
      </c>
      <c r="M555" s="217" t="str" cm="1">
        <f t="array" aca="1" ref="M555" ca="1">_xlfn.IFS(C555&lt;$B$11,"Fail",C555&lt;25,"Marginal",C555&lt;35,"Solid",TRUE,"Blowout")</f>
        <v>Fail</v>
      </c>
    </row>
    <row r="556" spans="1:13" x14ac:dyDescent="0.25">
      <c r="A556" s="169">
        <f t="shared" ca="1" si="80"/>
        <v>37.254873933212941</v>
      </c>
      <c r="B556" s="168">
        <f t="shared" ca="1" si="81"/>
        <v>8.4118035320846634</v>
      </c>
      <c r="C556" s="168">
        <f t="shared" ca="1" si="82"/>
        <v>28.84307040112828</v>
      </c>
      <c r="D556" s="184">
        <f t="shared" ca="1" si="83"/>
        <v>3.6452235045960961</v>
      </c>
      <c r="E556" s="230">
        <f t="shared" ca="1" si="84"/>
        <v>1.6546132423211589E-4</v>
      </c>
      <c r="F556" s="168">
        <f t="shared" ca="1" si="85"/>
        <v>10.368320883197239</v>
      </c>
      <c r="G556" s="168">
        <f t="shared" ca="1" si="86"/>
        <v>1.9565173511125753</v>
      </c>
      <c r="H556" s="184">
        <f t="shared" ca="1" si="87"/>
        <v>0.24726712296020556</v>
      </c>
      <c r="I556" s="184">
        <f t="shared" ca="1" si="88"/>
        <v>0.4024620075614222</v>
      </c>
      <c r="J556" s="223">
        <f t="shared" ca="1" si="89"/>
        <v>0</v>
      </c>
      <c r="K556" s="220" t="str" cm="1">
        <f t="array" aca="1" ref="K556" ca="1">_xlfn.IFS(G556&lt;$B$11,"Fail",G556&lt;25,"Marginal",G556&lt;35,"Solid",TRUE,"Blowout")</f>
        <v>Fail</v>
      </c>
      <c r="L556" s="226">
        <f ca="1">IF(AND(E556&lt;$B$10,C556&gt;=$B$11),1,0)</f>
        <v>1</v>
      </c>
      <c r="M556" s="217" t="str" cm="1">
        <f t="array" aca="1" ref="M556" ca="1">_xlfn.IFS(C556&lt;$B$11,"Fail",C556&lt;25,"Marginal",C556&lt;35,"Solid",TRUE,"Blowout")</f>
        <v>Solid</v>
      </c>
    </row>
    <row r="557" spans="1:13" x14ac:dyDescent="0.25">
      <c r="A557" s="169">
        <f t="shared" ca="1" si="80"/>
        <v>14.127342165636497</v>
      </c>
      <c r="B557" s="168">
        <f t="shared" ca="1" si="81"/>
        <v>7.7679964416178997</v>
      </c>
      <c r="C557" s="168">
        <f t="shared" ca="1" si="82"/>
        <v>6.3593457240185973</v>
      </c>
      <c r="D557" s="184">
        <f t="shared" ca="1" si="83"/>
        <v>0.80370210884824755</v>
      </c>
      <c r="E557" s="230">
        <f t="shared" ca="1" si="84"/>
        <v>0.21120307728805243</v>
      </c>
      <c r="F557" s="168">
        <f t="shared" ca="1" si="85"/>
        <v>17.426181351168779</v>
      </c>
      <c r="G557" s="168">
        <f t="shared" ca="1" si="86"/>
        <v>9.6581849095508794</v>
      </c>
      <c r="H557" s="184">
        <f t="shared" ca="1" si="87"/>
        <v>1.2206135530790436</v>
      </c>
      <c r="I557" s="184">
        <f t="shared" ca="1" si="88"/>
        <v>0.11174661360878294</v>
      </c>
      <c r="J557" s="223">
        <f t="shared" ca="1" si="89"/>
        <v>0</v>
      </c>
      <c r="K557" s="220" t="str" cm="1">
        <f t="array" aca="1" ref="K557" ca="1">_xlfn.IFS(G557&lt;$B$11,"Fail",G557&lt;25,"Marginal",G557&lt;35,"Solid",TRUE,"Blowout")</f>
        <v>Fail</v>
      </c>
      <c r="L557" s="226">
        <f ca="1">IF(AND(E557&lt;$B$10,C557&gt;=$B$11),1,0)</f>
        <v>0</v>
      </c>
      <c r="M557" s="217" t="str" cm="1">
        <f t="array" aca="1" ref="M557" ca="1">_xlfn.IFS(C557&lt;$B$11,"Fail",C557&lt;25,"Marginal",C557&lt;35,"Solid",TRUE,"Blowout")</f>
        <v>Fail</v>
      </c>
    </row>
    <row r="558" spans="1:13" x14ac:dyDescent="0.25">
      <c r="A558" s="169">
        <f t="shared" ca="1" si="80"/>
        <v>14.539183291585742</v>
      </c>
      <c r="B558" s="168">
        <f t="shared" ca="1" si="81"/>
        <v>-5.8052405143061332</v>
      </c>
      <c r="C558" s="168">
        <f t="shared" ca="1" si="82"/>
        <v>20.344423805891875</v>
      </c>
      <c r="D558" s="184">
        <f t="shared" ca="1" si="83"/>
        <v>2.5711538616845884</v>
      </c>
      <c r="E558" s="230">
        <f t="shared" ca="1" si="84"/>
        <v>5.3859528219083316E-3</v>
      </c>
      <c r="F558" s="168">
        <f t="shared" ca="1" si="85"/>
        <v>14.230181381044476</v>
      </c>
      <c r="G558" s="168">
        <f t="shared" ca="1" si="86"/>
        <v>20.035421895350609</v>
      </c>
      <c r="H558" s="184">
        <f t="shared" ca="1" si="87"/>
        <v>2.5321018116911156</v>
      </c>
      <c r="I558" s="184">
        <f t="shared" ca="1" si="88"/>
        <v>6.0055600074405777E-3</v>
      </c>
      <c r="J558" s="223">
        <f t="shared" ca="1" si="89"/>
        <v>1</v>
      </c>
      <c r="K558" s="220" t="str" cm="1">
        <f t="array" aca="1" ref="K558" ca="1">_xlfn.IFS(G558&lt;$B$11,"Fail",G558&lt;25,"Marginal",G558&lt;35,"Solid",TRUE,"Blowout")</f>
        <v>Marginal</v>
      </c>
      <c r="L558" s="226">
        <f ca="1">IF(AND(E558&lt;$B$10,C558&gt;=$B$11),1,0)</f>
        <v>1</v>
      </c>
      <c r="M558" s="217" t="str" cm="1">
        <f t="array" aca="1" ref="M558" ca="1">_xlfn.IFS(C558&lt;$B$11,"Fail",C558&lt;25,"Marginal",C558&lt;35,"Solid",TRUE,"Blowout")</f>
        <v>Marginal</v>
      </c>
    </row>
    <row r="559" spans="1:13" x14ac:dyDescent="0.25">
      <c r="A559" s="169">
        <f t="shared" ca="1" si="80"/>
        <v>-3.7384989043647487</v>
      </c>
      <c r="B559" s="168">
        <f t="shared" ca="1" si="81"/>
        <v>7.7266023589345867</v>
      </c>
      <c r="C559" s="168">
        <f t="shared" ca="1" si="82"/>
        <v>-11.465101263299335</v>
      </c>
      <c r="D559" s="184">
        <f t="shared" ca="1" si="83"/>
        <v>-1.448973913883949</v>
      </c>
      <c r="E559" s="230">
        <f t="shared" ca="1" si="84"/>
        <v>0.92564059457261805</v>
      </c>
      <c r="F559" s="168">
        <f t="shared" ca="1" si="85"/>
        <v>6.2666540734552285</v>
      </c>
      <c r="G559" s="168">
        <f t="shared" ca="1" si="86"/>
        <v>-1.4599482854793582</v>
      </c>
      <c r="H559" s="184">
        <f t="shared" ca="1" si="87"/>
        <v>-0.18451010005910981</v>
      </c>
      <c r="I559" s="184">
        <f t="shared" ca="1" si="88"/>
        <v>0.5731113434735875</v>
      </c>
      <c r="J559" s="223">
        <f t="shared" ca="1" si="89"/>
        <v>0</v>
      </c>
      <c r="K559" s="220" t="str" cm="1">
        <f t="array" aca="1" ref="K559" ca="1">_xlfn.IFS(G559&lt;$B$11,"Fail",G559&lt;25,"Marginal",G559&lt;35,"Solid",TRUE,"Blowout")</f>
        <v>Fail</v>
      </c>
      <c r="L559" s="226">
        <f ca="1">IF(AND(E559&lt;$B$10,C559&gt;=$B$11),1,0)</f>
        <v>0</v>
      </c>
      <c r="M559" s="217" t="str" cm="1">
        <f t="array" aca="1" ref="M559" ca="1">_xlfn.IFS(C559&lt;$B$11,"Fail",C559&lt;25,"Marginal",C559&lt;35,"Solid",TRUE,"Blowout")</f>
        <v>Fail</v>
      </c>
    </row>
    <row r="560" spans="1:13" x14ac:dyDescent="0.25">
      <c r="A560" s="169">
        <f t="shared" ca="1" si="80"/>
        <v>24.746803448497719</v>
      </c>
      <c r="B560" s="168">
        <f t="shared" ca="1" si="81"/>
        <v>13.037062735634194</v>
      </c>
      <c r="C560" s="168">
        <f t="shared" ca="1" si="82"/>
        <v>11.709740712863525</v>
      </c>
      <c r="D560" s="184">
        <f t="shared" ca="1" si="83"/>
        <v>1.4798917551297255</v>
      </c>
      <c r="E560" s="230">
        <f t="shared" ca="1" si="84"/>
        <v>7.0141271585824602E-2</v>
      </c>
      <c r="F560" s="168">
        <f t="shared" ca="1" si="85"/>
        <v>45.726476973360171</v>
      </c>
      <c r="G560" s="168">
        <f t="shared" ca="1" si="86"/>
        <v>32.689414237725977</v>
      </c>
      <c r="H560" s="184">
        <f t="shared" ca="1" si="87"/>
        <v>4.1313292750613577</v>
      </c>
      <c r="I560" s="184">
        <f t="shared" ca="1" si="88"/>
        <v>2.5328099130888938E-5</v>
      </c>
      <c r="J560" s="223">
        <f t="shared" ca="1" si="89"/>
        <v>1</v>
      </c>
      <c r="K560" s="220" t="str" cm="1">
        <f t="array" aca="1" ref="K560" ca="1">_xlfn.IFS(G560&lt;$B$11,"Fail",G560&lt;25,"Marginal",G560&lt;35,"Solid",TRUE,"Blowout")</f>
        <v>Solid</v>
      </c>
      <c r="L560" s="226">
        <f ca="1">IF(AND(E560&lt;$B$10,C560&gt;=$B$11),1,0)</f>
        <v>0</v>
      </c>
      <c r="M560" s="217" t="str" cm="1">
        <f t="array" aca="1" ref="M560" ca="1">_xlfn.IFS(C560&lt;$B$11,"Fail",C560&lt;25,"Marginal",C560&lt;35,"Solid",TRUE,"Blowout")</f>
        <v>Fail</v>
      </c>
    </row>
    <row r="561" spans="1:13" x14ac:dyDescent="0.25">
      <c r="A561" s="169">
        <f t="shared" ca="1" si="80"/>
        <v>38.166821119684016</v>
      </c>
      <c r="B561" s="168">
        <f t="shared" ca="1" si="81"/>
        <v>14.405870030486184</v>
      </c>
      <c r="C561" s="168">
        <f t="shared" ca="1" si="82"/>
        <v>23.760951089197832</v>
      </c>
      <c r="D561" s="184">
        <f t="shared" ca="1" si="83"/>
        <v>3.0029388756931366</v>
      </c>
      <c r="E561" s="230">
        <f t="shared" ca="1" si="84"/>
        <v>1.4860073969404678E-3</v>
      </c>
      <c r="F561" s="168">
        <f t="shared" ca="1" si="85"/>
        <v>27.370356308528784</v>
      </c>
      <c r="G561" s="168">
        <f t="shared" ca="1" si="86"/>
        <v>12.9644862780426</v>
      </c>
      <c r="H561" s="184">
        <f t="shared" ca="1" si="87"/>
        <v>1.6384680773752087</v>
      </c>
      <c r="I561" s="184">
        <f t="shared" ca="1" si="88"/>
        <v>5.1351646416384386E-2</v>
      </c>
      <c r="J561" s="223">
        <f t="shared" ca="1" si="89"/>
        <v>0</v>
      </c>
      <c r="K561" s="220" t="str" cm="1">
        <f t="array" aca="1" ref="K561" ca="1">_xlfn.IFS(G561&lt;$B$11,"Fail",G561&lt;25,"Marginal",G561&lt;35,"Solid",TRUE,"Blowout")</f>
        <v>Fail</v>
      </c>
      <c r="L561" s="226">
        <f ca="1">IF(AND(E561&lt;$B$10,C561&gt;=$B$11),1,0)</f>
        <v>1</v>
      </c>
      <c r="M561" s="217" t="str" cm="1">
        <f t="array" aca="1" ref="M561" ca="1">_xlfn.IFS(C561&lt;$B$11,"Fail",C561&lt;25,"Marginal",C561&lt;35,"Solid",TRUE,"Blowout")</f>
        <v>Marginal</v>
      </c>
    </row>
    <row r="562" spans="1:13" x14ac:dyDescent="0.25">
      <c r="A562" s="169">
        <f t="shared" ca="1" si="80"/>
        <v>13.097571157485486</v>
      </c>
      <c r="B562" s="168">
        <f t="shared" ca="1" si="81"/>
        <v>4.8078125817012971</v>
      </c>
      <c r="C562" s="168">
        <f t="shared" ca="1" si="82"/>
        <v>8.2897585757841892</v>
      </c>
      <c r="D562" s="184">
        <f t="shared" ca="1" si="83"/>
        <v>1.0476701123571615</v>
      </c>
      <c r="E562" s="230">
        <f t="shared" ca="1" si="84"/>
        <v>0.14794997618014127</v>
      </c>
      <c r="F562" s="168">
        <f t="shared" ca="1" si="85"/>
        <v>5.8686896586310935</v>
      </c>
      <c r="G562" s="168">
        <f t="shared" ca="1" si="86"/>
        <v>1.0608770769297964</v>
      </c>
      <c r="H562" s="184">
        <f t="shared" ca="1" si="87"/>
        <v>0.1340749789301357</v>
      </c>
      <c r="I562" s="184">
        <f t="shared" ca="1" si="88"/>
        <v>0.44673077882052203</v>
      </c>
      <c r="J562" s="223">
        <f t="shared" ca="1" si="89"/>
        <v>0</v>
      </c>
      <c r="K562" s="220" t="str" cm="1">
        <f t="array" aca="1" ref="K562" ca="1">_xlfn.IFS(G562&lt;$B$11,"Fail",G562&lt;25,"Marginal",G562&lt;35,"Solid",TRUE,"Blowout")</f>
        <v>Fail</v>
      </c>
      <c r="L562" s="226">
        <f ca="1">IF(AND(E562&lt;$B$10,C562&gt;=$B$11),1,0)</f>
        <v>0</v>
      </c>
      <c r="M562" s="217" t="str" cm="1">
        <f t="array" aca="1" ref="M562" ca="1">_xlfn.IFS(C562&lt;$B$11,"Fail",C562&lt;25,"Marginal",C562&lt;35,"Solid",TRUE,"Blowout")</f>
        <v>Fail</v>
      </c>
    </row>
    <row r="563" spans="1:13" x14ac:dyDescent="0.25">
      <c r="A563" s="169">
        <f t="shared" ca="1" si="80"/>
        <v>8.0938532632986853</v>
      </c>
      <c r="B563" s="168">
        <f t="shared" ca="1" si="81"/>
        <v>0.93475568850834279</v>
      </c>
      <c r="C563" s="168">
        <f t="shared" ca="1" si="82"/>
        <v>7.1590975747903425</v>
      </c>
      <c r="D563" s="184">
        <f t="shared" ca="1" si="83"/>
        <v>0.90477575335744498</v>
      </c>
      <c r="E563" s="230">
        <f t="shared" ca="1" si="84"/>
        <v>0.18326962224843768</v>
      </c>
      <c r="F563" s="168">
        <f t="shared" ca="1" si="85"/>
        <v>8.3977629031895962</v>
      </c>
      <c r="G563" s="168">
        <f t="shared" ca="1" si="86"/>
        <v>7.4630072146812534</v>
      </c>
      <c r="H563" s="184">
        <f t="shared" ca="1" si="87"/>
        <v>0.94318423578310062</v>
      </c>
      <c r="I563" s="184">
        <f t="shared" ca="1" si="88"/>
        <v>0.1732925093209462</v>
      </c>
      <c r="J563" s="223">
        <f t="shared" ca="1" si="89"/>
        <v>0</v>
      </c>
      <c r="K563" s="220" t="str" cm="1">
        <f t="array" aca="1" ref="K563" ca="1">_xlfn.IFS(G563&lt;$B$11,"Fail",G563&lt;25,"Marginal",G563&lt;35,"Solid",TRUE,"Blowout")</f>
        <v>Fail</v>
      </c>
      <c r="L563" s="226">
        <f ca="1">IF(AND(E563&lt;$B$10,C563&gt;=$B$11),1,0)</f>
        <v>0</v>
      </c>
      <c r="M563" s="217" t="str" cm="1">
        <f t="array" aca="1" ref="M563" ca="1">_xlfn.IFS(C563&lt;$B$11,"Fail",C563&lt;25,"Marginal",C563&lt;35,"Solid",TRUE,"Blowout")</f>
        <v>Fail</v>
      </c>
    </row>
    <row r="564" spans="1:13" x14ac:dyDescent="0.25">
      <c r="A564" s="169">
        <f t="shared" ca="1" si="80"/>
        <v>57.474215495911636</v>
      </c>
      <c r="B564" s="168">
        <f t="shared" ca="1" si="81"/>
        <v>7.2640868654636108</v>
      </c>
      <c r="C564" s="168">
        <f t="shared" ca="1" si="82"/>
        <v>50.210128630448025</v>
      </c>
      <c r="D564" s="184">
        <f t="shared" ca="1" si="83"/>
        <v>6.3456191905749009</v>
      </c>
      <c r="E564" s="230">
        <f t="shared" ca="1" si="84"/>
        <v>5.9033198880018159E-10</v>
      </c>
      <c r="F564" s="168">
        <f t="shared" ca="1" si="85"/>
        <v>23.04947274917248</v>
      </c>
      <c r="G564" s="168">
        <f t="shared" ca="1" si="86"/>
        <v>15.785385883708869</v>
      </c>
      <c r="H564" s="184">
        <f t="shared" ca="1" si="87"/>
        <v>1.9949769165408997</v>
      </c>
      <c r="I564" s="184">
        <f t="shared" ca="1" si="88"/>
        <v>2.3617966442190306E-2</v>
      </c>
      <c r="J564" s="223">
        <f t="shared" ca="1" si="89"/>
        <v>0</v>
      </c>
      <c r="K564" s="220" t="str" cm="1">
        <f t="array" aca="1" ref="K564" ca="1">_xlfn.IFS(G564&lt;$B$11,"Fail",G564&lt;25,"Marginal",G564&lt;35,"Solid",TRUE,"Blowout")</f>
        <v>Fail</v>
      </c>
      <c r="L564" s="226">
        <f ca="1">IF(AND(E564&lt;$B$10,C564&gt;=$B$11),1,0)</f>
        <v>1</v>
      </c>
      <c r="M564" s="217" t="str" cm="1">
        <f t="array" aca="1" ref="M564" ca="1">_xlfn.IFS(C564&lt;$B$11,"Fail",C564&lt;25,"Marginal",C564&lt;35,"Solid",TRUE,"Blowout")</f>
        <v>Blowout</v>
      </c>
    </row>
    <row r="565" spans="1:13" x14ac:dyDescent="0.25">
      <c r="A565" s="169">
        <f t="shared" ca="1" si="80"/>
        <v>72.50682747618599</v>
      </c>
      <c r="B565" s="168">
        <f t="shared" ca="1" si="81"/>
        <v>4.44232923898831</v>
      </c>
      <c r="C565" s="168">
        <f t="shared" ca="1" si="82"/>
        <v>68.064498237197682</v>
      </c>
      <c r="D565" s="184">
        <f t="shared" ca="1" si="83"/>
        <v>8.6020768715756066</v>
      </c>
      <c r="E565" s="230">
        <f t="shared" ca="1" si="84"/>
        <v>6.3930546838429104E-16</v>
      </c>
      <c r="F565" s="168">
        <f t="shared" ca="1" si="85"/>
        <v>-5.1736143744286842</v>
      </c>
      <c r="G565" s="168">
        <f t="shared" ca="1" si="86"/>
        <v>-9.6159436134169951</v>
      </c>
      <c r="H565" s="184">
        <f t="shared" ca="1" si="87"/>
        <v>-1.2152750449594012</v>
      </c>
      <c r="I565" s="184">
        <f t="shared" ca="1" si="88"/>
        <v>0.88724093198990006</v>
      </c>
      <c r="J565" s="223">
        <f t="shared" ca="1" si="89"/>
        <v>0</v>
      </c>
      <c r="K565" s="220" t="str" cm="1">
        <f t="array" aca="1" ref="K565" ca="1">_xlfn.IFS(G565&lt;$B$11,"Fail",G565&lt;25,"Marginal",G565&lt;35,"Solid",TRUE,"Blowout")</f>
        <v>Fail</v>
      </c>
      <c r="L565" s="226">
        <f ca="1">IF(AND(E565&lt;$B$10,C565&gt;=$B$11),1,0)</f>
        <v>1</v>
      </c>
      <c r="M565" s="217" t="str" cm="1">
        <f t="array" aca="1" ref="M565" ca="1">_xlfn.IFS(C565&lt;$B$11,"Fail",C565&lt;25,"Marginal",C565&lt;35,"Solid",TRUE,"Blowout")</f>
        <v>Blowout</v>
      </c>
    </row>
    <row r="566" spans="1:13" x14ac:dyDescent="0.25">
      <c r="A566" s="169">
        <f t="shared" ca="1" si="80"/>
        <v>43.778076451892787</v>
      </c>
      <c r="B566" s="168">
        <f t="shared" ca="1" si="81"/>
        <v>4.886874682423886</v>
      </c>
      <c r="C566" s="168">
        <f t="shared" ca="1" si="82"/>
        <v>38.8912017694689</v>
      </c>
      <c r="D566" s="184">
        <f t="shared" ca="1" si="83"/>
        <v>4.9151189814559997</v>
      </c>
      <c r="E566" s="230">
        <f t="shared" ca="1" si="84"/>
        <v>8.4776602560573926E-7</v>
      </c>
      <c r="F566" s="168">
        <f t="shared" ca="1" si="85"/>
        <v>24.717979358519631</v>
      </c>
      <c r="G566" s="168">
        <f t="shared" ca="1" si="86"/>
        <v>19.831104676095745</v>
      </c>
      <c r="H566" s="184">
        <f t="shared" ca="1" si="87"/>
        <v>2.5062799446130386</v>
      </c>
      <c r="I566" s="184">
        <f t="shared" ca="1" si="88"/>
        <v>6.4494405154245406E-3</v>
      </c>
      <c r="J566" s="223">
        <f t="shared" ca="1" si="89"/>
        <v>0</v>
      </c>
      <c r="K566" s="220" t="str" cm="1">
        <f t="array" aca="1" ref="K566" ca="1">_xlfn.IFS(G566&lt;$B$11,"Fail",G566&lt;25,"Marginal",G566&lt;35,"Solid",TRUE,"Blowout")</f>
        <v>Fail</v>
      </c>
      <c r="L566" s="226">
        <f ca="1">IF(AND(E566&lt;$B$10,C566&gt;=$B$11),1,0)</f>
        <v>1</v>
      </c>
      <c r="M566" s="217" t="str" cm="1">
        <f t="array" aca="1" ref="M566" ca="1">_xlfn.IFS(C566&lt;$B$11,"Fail",C566&lt;25,"Marginal",C566&lt;35,"Solid",TRUE,"Blowout")</f>
        <v>Blowout</v>
      </c>
    </row>
    <row r="567" spans="1:13" x14ac:dyDescent="0.25">
      <c r="A567" s="169">
        <f t="shared" ca="1" si="80"/>
        <v>26.282630478503616</v>
      </c>
      <c r="B567" s="168">
        <f t="shared" ca="1" si="81"/>
        <v>-2.213344413162968</v>
      </c>
      <c r="C567" s="168">
        <f t="shared" ca="1" si="82"/>
        <v>28.495974891666584</v>
      </c>
      <c r="D567" s="184">
        <f t="shared" ca="1" si="83"/>
        <v>3.6013571376721352</v>
      </c>
      <c r="E567" s="230">
        <f t="shared" ca="1" si="84"/>
        <v>1.9424094168386908E-4</v>
      </c>
      <c r="F567" s="168">
        <f t="shared" ca="1" si="85"/>
        <v>18.512995972227191</v>
      </c>
      <c r="G567" s="168">
        <f t="shared" ca="1" si="86"/>
        <v>20.726340385390159</v>
      </c>
      <c r="H567" s="184">
        <f t="shared" ca="1" si="87"/>
        <v>2.6194209592238167</v>
      </c>
      <c r="I567" s="184">
        <f t="shared" ca="1" si="88"/>
        <v>4.6995434380782582E-3</v>
      </c>
      <c r="J567" s="223">
        <f t="shared" ca="1" si="89"/>
        <v>1</v>
      </c>
      <c r="K567" s="220" t="str" cm="1">
        <f t="array" aca="1" ref="K567" ca="1">_xlfn.IFS(G567&lt;$B$11,"Fail",G567&lt;25,"Marginal",G567&lt;35,"Solid",TRUE,"Blowout")</f>
        <v>Marginal</v>
      </c>
      <c r="L567" s="226">
        <f ca="1">IF(AND(E567&lt;$B$10,C567&gt;=$B$11),1,0)</f>
        <v>1</v>
      </c>
      <c r="M567" s="217" t="str" cm="1">
        <f t="array" aca="1" ref="M567" ca="1">_xlfn.IFS(C567&lt;$B$11,"Fail",C567&lt;25,"Marginal",C567&lt;35,"Solid",TRUE,"Blowout")</f>
        <v>Solid</v>
      </c>
    </row>
    <row r="568" spans="1:13" x14ac:dyDescent="0.25">
      <c r="A568" s="169">
        <f t="shared" ca="1" si="80"/>
        <v>4.5678277555103</v>
      </c>
      <c r="B568" s="168">
        <f t="shared" ca="1" si="81"/>
        <v>8.5057260076016998</v>
      </c>
      <c r="C568" s="168">
        <f t="shared" ca="1" si="82"/>
        <v>-3.9378982520913999</v>
      </c>
      <c r="D568" s="184">
        <f t="shared" ca="1" si="83"/>
        <v>-0.49767653261595668</v>
      </c>
      <c r="E568" s="230">
        <f t="shared" ca="1" si="84"/>
        <v>0.69040415312826853</v>
      </c>
      <c r="F568" s="168">
        <f t="shared" ca="1" si="85"/>
        <v>9.330435094675094</v>
      </c>
      <c r="G568" s="168">
        <f t="shared" ca="1" si="86"/>
        <v>0.82470908707339419</v>
      </c>
      <c r="H568" s="184">
        <f t="shared" ca="1" si="87"/>
        <v>0.10422777141425023</v>
      </c>
      <c r="I568" s="184">
        <f t="shared" ca="1" si="88"/>
        <v>0.45854011103144615</v>
      </c>
      <c r="J568" s="223">
        <f t="shared" ca="1" si="89"/>
        <v>0</v>
      </c>
      <c r="K568" s="220" t="str" cm="1">
        <f t="array" aca="1" ref="K568" ca="1">_xlfn.IFS(G568&lt;$B$11,"Fail",G568&lt;25,"Marginal",G568&lt;35,"Solid",TRUE,"Blowout")</f>
        <v>Fail</v>
      </c>
      <c r="L568" s="226">
        <f ca="1">IF(AND(E568&lt;$B$10,C568&gt;=$B$11),1,0)</f>
        <v>0</v>
      </c>
      <c r="M568" s="217" t="str" cm="1">
        <f t="array" aca="1" ref="M568" ca="1">_xlfn.IFS(C568&lt;$B$11,"Fail",C568&lt;25,"Marginal",C568&lt;35,"Solid",TRUE,"Blowout")</f>
        <v>Fail</v>
      </c>
    </row>
    <row r="569" spans="1:13" x14ac:dyDescent="0.25">
      <c r="A569" s="169">
        <f t="shared" ca="1" si="80"/>
        <v>66.114025235494054</v>
      </c>
      <c r="B569" s="168">
        <f t="shared" ca="1" si="81"/>
        <v>14.107590309993128</v>
      </c>
      <c r="C569" s="168">
        <f t="shared" ca="1" si="82"/>
        <v>52.006434925500926</v>
      </c>
      <c r="D569" s="184">
        <f t="shared" ca="1" si="83"/>
        <v>6.5726386388207656</v>
      </c>
      <c r="E569" s="230">
        <f t="shared" ca="1" si="84"/>
        <v>1.6616597574746417E-10</v>
      </c>
      <c r="F569" s="168">
        <f t="shared" ca="1" si="85"/>
        <v>60.671582108473366</v>
      </c>
      <c r="G569" s="168">
        <f t="shared" ca="1" si="86"/>
        <v>46.563991798480238</v>
      </c>
      <c r="H569" s="184">
        <f t="shared" ca="1" si="87"/>
        <v>5.8848158330952272</v>
      </c>
      <c r="I569" s="184">
        <f t="shared" ca="1" si="88"/>
        <v>7.0610973553688025E-9</v>
      </c>
      <c r="J569" s="223">
        <f t="shared" ca="1" si="89"/>
        <v>1</v>
      </c>
      <c r="K569" s="220" t="str" cm="1">
        <f t="array" aca="1" ref="K569" ca="1">_xlfn.IFS(G569&lt;$B$11,"Fail",G569&lt;25,"Marginal",G569&lt;35,"Solid",TRUE,"Blowout")</f>
        <v>Blowout</v>
      </c>
      <c r="L569" s="226">
        <f ca="1">IF(AND(E569&lt;$B$10,C569&gt;=$B$11),1,0)</f>
        <v>1</v>
      </c>
      <c r="M569" s="217" t="str" cm="1">
        <f t="array" aca="1" ref="M569" ca="1">_xlfn.IFS(C569&lt;$B$11,"Fail",C569&lt;25,"Marginal",C569&lt;35,"Solid",TRUE,"Blowout")</f>
        <v>Blowout</v>
      </c>
    </row>
    <row r="570" spans="1:13" x14ac:dyDescent="0.25">
      <c r="A570" s="169">
        <f t="shared" ca="1" si="80"/>
        <v>54.636623542027252</v>
      </c>
      <c r="B570" s="168">
        <f t="shared" ca="1" si="81"/>
        <v>8.6770389589395105</v>
      </c>
      <c r="C570" s="168">
        <f t="shared" ca="1" si="82"/>
        <v>45.959584583087739</v>
      </c>
      <c r="D570" s="184">
        <f t="shared" ca="1" si="83"/>
        <v>5.8084300892317708</v>
      </c>
      <c r="E570" s="230">
        <f t="shared" ca="1" si="84"/>
        <v>1.0524069728678434E-8</v>
      </c>
      <c r="F570" s="168">
        <f t="shared" ca="1" si="85"/>
        <v>3.1530791871690296</v>
      </c>
      <c r="G570" s="168">
        <f t="shared" ca="1" si="86"/>
        <v>-5.5239597717704809</v>
      </c>
      <c r="H570" s="184">
        <f t="shared" ca="1" si="87"/>
        <v>-0.69812498178811655</v>
      </c>
      <c r="I570" s="184">
        <f t="shared" ca="1" si="88"/>
        <v>0.75709478857355816</v>
      </c>
      <c r="J570" s="223">
        <f t="shared" ca="1" si="89"/>
        <v>0</v>
      </c>
      <c r="K570" s="220" t="str" cm="1">
        <f t="array" aca="1" ref="K570" ca="1">_xlfn.IFS(G570&lt;$B$11,"Fail",G570&lt;25,"Marginal",G570&lt;35,"Solid",TRUE,"Blowout")</f>
        <v>Fail</v>
      </c>
      <c r="L570" s="226">
        <f ca="1">IF(AND(E570&lt;$B$10,C570&gt;=$B$11),1,0)</f>
        <v>1</v>
      </c>
      <c r="M570" s="217" t="str" cm="1">
        <f t="array" aca="1" ref="M570" ca="1">_xlfn.IFS(C570&lt;$B$11,"Fail",C570&lt;25,"Marginal",C570&lt;35,"Solid",TRUE,"Blowout")</f>
        <v>Blowout</v>
      </c>
    </row>
    <row r="571" spans="1:13" x14ac:dyDescent="0.25">
      <c r="A571" s="169">
        <f t="shared" ca="1" si="80"/>
        <v>61.082335391496436</v>
      </c>
      <c r="B571" s="168">
        <f t="shared" ca="1" si="81"/>
        <v>-4.0836830523662719</v>
      </c>
      <c r="C571" s="168">
        <f t="shared" ca="1" si="82"/>
        <v>65.166018443862711</v>
      </c>
      <c r="D571" s="184">
        <f t="shared" ca="1" si="83"/>
        <v>8.2357633507429497</v>
      </c>
      <c r="E571" s="230">
        <f t="shared" ca="1" si="84"/>
        <v>6.9387037024241355E-15</v>
      </c>
      <c r="F571" s="168">
        <f t="shared" ca="1" si="85"/>
        <v>19.452055195570939</v>
      </c>
      <c r="G571" s="168">
        <f t="shared" ca="1" si="86"/>
        <v>23.535738247937211</v>
      </c>
      <c r="H571" s="184">
        <f t="shared" ca="1" si="87"/>
        <v>2.9744761936317992</v>
      </c>
      <c r="I571" s="184">
        <f t="shared" ca="1" si="88"/>
        <v>1.6252796714008131E-3</v>
      </c>
      <c r="J571" s="223">
        <f t="shared" ca="1" si="89"/>
        <v>1</v>
      </c>
      <c r="K571" s="220" t="str" cm="1">
        <f t="array" aca="1" ref="K571" ca="1">_xlfn.IFS(G571&lt;$B$11,"Fail",G571&lt;25,"Marginal",G571&lt;35,"Solid",TRUE,"Blowout")</f>
        <v>Marginal</v>
      </c>
      <c r="L571" s="226">
        <f ca="1">IF(AND(E571&lt;$B$10,C571&gt;=$B$11),1,0)</f>
        <v>1</v>
      </c>
      <c r="M571" s="217" t="str" cm="1">
        <f t="array" aca="1" ref="M571" ca="1">_xlfn.IFS(C571&lt;$B$11,"Fail",C571&lt;25,"Marginal",C571&lt;35,"Solid",TRUE,"Blowout")</f>
        <v>Blowout</v>
      </c>
    </row>
    <row r="572" spans="1:13" x14ac:dyDescent="0.25">
      <c r="A572" s="169">
        <f t="shared" ca="1" si="80"/>
        <v>27.374488513147572</v>
      </c>
      <c r="B572" s="168">
        <f t="shared" ca="1" si="81"/>
        <v>12.258884700763074</v>
      </c>
      <c r="C572" s="168">
        <f t="shared" ca="1" si="82"/>
        <v>15.115603812384498</v>
      </c>
      <c r="D572" s="184">
        <f t="shared" ca="1" si="83"/>
        <v>1.9103290161823736</v>
      </c>
      <c r="E572" s="230">
        <f t="shared" ca="1" si="84"/>
        <v>2.8672756851517676E-2</v>
      </c>
      <c r="F572" s="168">
        <f t="shared" ca="1" si="85"/>
        <v>50.553989839823451</v>
      </c>
      <c r="G572" s="168">
        <f t="shared" ca="1" si="86"/>
        <v>38.295105139060375</v>
      </c>
      <c r="H572" s="184">
        <f t="shared" ca="1" si="87"/>
        <v>4.8397835397725544</v>
      </c>
      <c r="I572" s="184">
        <f t="shared" ca="1" si="88"/>
        <v>1.1977943255588688E-6</v>
      </c>
      <c r="J572" s="223">
        <f t="shared" ca="1" si="89"/>
        <v>1</v>
      </c>
      <c r="K572" s="220" t="str" cm="1">
        <f t="array" aca="1" ref="K572" ca="1">_xlfn.IFS(G572&lt;$B$11,"Fail",G572&lt;25,"Marginal",G572&lt;35,"Solid",TRUE,"Blowout")</f>
        <v>Blowout</v>
      </c>
      <c r="L572" s="226">
        <f ca="1">IF(AND(E572&lt;$B$10,C572&gt;=$B$11),1,0)</f>
        <v>0</v>
      </c>
      <c r="M572" s="217" t="str" cm="1">
        <f t="array" aca="1" ref="M572" ca="1">_xlfn.IFS(C572&lt;$B$11,"Fail",C572&lt;25,"Marginal",C572&lt;35,"Solid",TRUE,"Blowout")</f>
        <v>Fail</v>
      </c>
    </row>
    <row r="573" spans="1:13" x14ac:dyDescent="0.25">
      <c r="A573" s="169">
        <f t="shared" ca="1" si="80"/>
        <v>16.30461265128023</v>
      </c>
      <c r="B573" s="168">
        <f t="shared" ca="1" si="81"/>
        <v>8.1741222034942815</v>
      </c>
      <c r="C573" s="168">
        <f t="shared" ca="1" si="82"/>
        <v>8.1304904477859488</v>
      </c>
      <c r="D573" s="184">
        <f t="shared" ca="1" si="83"/>
        <v>1.027541606076863</v>
      </c>
      <c r="E573" s="230">
        <f t="shared" ca="1" si="84"/>
        <v>0.15262718728772751</v>
      </c>
      <c r="F573" s="168">
        <f t="shared" ca="1" si="85"/>
        <v>9.2364418632109633</v>
      </c>
      <c r="G573" s="168">
        <f t="shared" ca="1" si="86"/>
        <v>1.0623196597166817</v>
      </c>
      <c r="H573" s="184">
        <f t="shared" ca="1" si="87"/>
        <v>0.1342572943566471</v>
      </c>
      <c r="I573" s="184">
        <f t="shared" ca="1" si="88"/>
        <v>0.44665877898150019</v>
      </c>
      <c r="J573" s="223">
        <f t="shared" ca="1" si="89"/>
        <v>0</v>
      </c>
      <c r="K573" s="220" t="str" cm="1">
        <f t="array" aca="1" ref="K573" ca="1">_xlfn.IFS(G573&lt;$B$11,"Fail",G573&lt;25,"Marginal",G573&lt;35,"Solid",TRUE,"Blowout")</f>
        <v>Fail</v>
      </c>
      <c r="L573" s="226">
        <f ca="1">IF(AND(E573&lt;$B$10,C573&gt;=$B$11),1,0)</f>
        <v>0</v>
      </c>
      <c r="M573" s="217" t="str" cm="1">
        <f t="array" aca="1" ref="M573" ca="1">_xlfn.IFS(C573&lt;$B$11,"Fail",C573&lt;25,"Marginal",C573&lt;35,"Solid",TRUE,"Blowout")</f>
        <v>Fail</v>
      </c>
    </row>
    <row r="574" spans="1:13" x14ac:dyDescent="0.25">
      <c r="A574" s="169">
        <f t="shared" ca="1" si="80"/>
        <v>2.4640907046659941</v>
      </c>
      <c r="B574" s="168">
        <f t="shared" ca="1" si="81"/>
        <v>9.5342100095555544</v>
      </c>
      <c r="C574" s="168">
        <f t="shared" ca="1" si="82"/>
        <v>-7.0701193048895608</v>
      </c>
      <c r="D574" s="184">
        <f t="shared" ca="1" si="83"/>
        <v>-0.89353056772603123</v>
      </c>
      <c r="E574" s="230">
        <f t="shared" ca="1" si="84"/>
        <v>0.81374235740760192</v>
      </c>
      <c r="F574" s="168">
        <f t="shared" ca="1" si="85"/>
        <v>22.339027574310428</v>
      </c>
      <c r="G574" s="168">
        <f t="shared" ca="1" si="86"/>
        <v>12.804817564754874</v>
      </c>
      <c r="H574" s="184">
        <f t="shared" ca="1" si="87"/>
        <v>1.6182889446223285</v>
      </c>
      <c r="I574" s="184">
        <f t="shared" ca="1" si="88"/>
        <v>5.3491425245977706E-2</v>
      </c>
      <c r="J574" s="223">
        <f t="shared" ca="1" si="89"/>
        <v>0</v>
      </c>
      <c r="K574" s="220" t="str" cm="1">
        <f t="array" aca="1" ref="K574" ca="1">_xlfn.IFS(G574&lt;$B$11,"Fail",G574&lt;25,"Marginal",G574&lt;35,"Solid",TRUE,"Blowout")</f>
        <v>Fail</v>
      </c>
      <c r="L574" s="226">
        <f ca="1">IF(AND(E574&lt;$B$10,C574&gt;=$B$11),1,0)</f>
        <v>0</v>
      </c>
      <c r="M574" s="217" t="str" cm="1">
        <f t="array" aca="1" ref="M574" ca="1">_xlfn.IFS(C574&lt;$B$11,"Fail",C574&lt;25,"Marginal",C574&lt;35,"Solid",TRUE,"Blowout")</f>
        <v>Fail</v>
      </c>
    </row>
    <row r="575" spans="1:13" x14ac:dyDescent="0.25">
      <c r="A575" s="169">
        <f t="shared" ca="1" si="80"/>
        <v>17.996355883496335</v>
      </c>
      <c r="B575" s="168">
        <f t="shared" ca="1" si="81"/>
        <v>3.8622786050547804</v>
      </c>
      <c r="C575" s="168">
        <f t="shared" ca="1" si="82"/>
        <v>14.134077278441556</v>
      </c>
      <c r="D575" s="184">
        <f t="shared" ca="1" si="83"/>
        <v>1.7862824586503576</v>
      </c>
      <c r="E575" s="230">
        <f t="shared" ca="1" si="84"/>
        <v>3.7691151227682407E-2</v>
      </c>
      <c r="F575" s="168">
        <f t="shared" ca="1" si="85"/>
        <v>3.9034815463450303</v>
      </c>
      <c r="G575" s="168">
        <f t="shared" ca="1" si="86"/>
        <v>4.1202941290249928E-2</v>
      </c>
      <c r="H575" s="184">
        <f t="shared" ca="1" si="87"/>
        <v>5.2072795288755653E-3</v>
      </c>
      <c r="I575" s="184">
        <f t="shared" ca="1" si="88"/>
        <v>0.49792488204883273</v>
      </c>
      <c r="J575" s="223">
        <f t="shared" ca="1" si="89"/>
        <v>0</v>
      </c>
      <c r="K575" s="220" t="str" cm="1">
        <f t="array" aca="1" ref="K575" ca="1">_xlfn.IFS(G575&lt;$B$11,"Fail",G575&lt;25,"Marginal",G575&lt;35,"Solid",TRUE,"Blowout")</f>
        <v>Fail</v>
      </c>
      <c r="L575" s="226">
        <f ca="1">IF(AND(E575&lt;$B$10,C575&gt;=$B$11),1,0)</f>
        <v>0</v>
      </c>
      <c r="M575" s="217" t="str" cm="1">
        <f t="array" aca="1" ref="M575" ca="1">_xlfn.IFS(C575&lt;$B$11,"Fail",C575&lt;25,"Marginal",C575&lt;35,"Solid",TRUE,"Blowout")</f>
        <v>Fail</v>
      </c>
    </row>
    <row r="576" spans="1:13" x14ac:dyDescent="0.25">
      <c r="A576" s="169">
        <f t="shared" ca="1" si="80"/>
        <v>35.669322154939749</v>
      </c>
      <c r="B576" s="168">
        <f t="shared" ca="1" si="81"/>
        <v>2.5800434504387053</v>
      </c>
      <c r="C576" s="168">
        <f t="shared" ca="1" si="82"/>
        <v>33.089278704501041</v>
      </c>
      <c r="D576" s="184">
        <f t="shared" ca="1" si="83"/>
        <v>4.1818646491623142</v>
      </c>
      <c r="E576" s="230">
        <f t="shared" ca="1" si="84"/>
        <v>2.0624167956120953E-5</v>
      </c>
      <c r="F576" s="168">
        <f t="shared" ca="1" si="85"/>
        <v>14.415601579547644</v>
      </c>
      <c r="G576" s="168">
        <f t="shared" ca="1" si="86"/>
        <v>11.835558129108939</v>
      </c>
      <c r="H576" s="184">
        <f t="shared" ca="1" si="87"/>
        <v>1.4957927183977482</v>
      </c>
      <c r="I576" s="184">
        <f t="shared" ca="1" si="88"/>
        <v>6.8045277928655459E-2</v>
      </c>
      <c r="J576" s="223">
        <f t="shared" ca="1" si="89"/>
        <v>0</v>
      </c>
      <c r="K576" s="220" t="str" cm="1">
        <f t="array" aca="1" ref="K576" ca="1">_xlfn.IFS(G576&lt;$B$11,"Fail",G576&lt;25,"Marginal",G576&lt;35,"Solid",TRUE,"Blowout")</f>
        <v>Fail</v>
      </c>
      <c r="L576" s="226">
        <f ca="1">IF(AND(E576&lt;$B$10,C576&gt;=$B$11),1,0)</f>
        <v>1</v>
      </c>
      <c r="M576" s="217" t="str" cm="1">
        <f t="array" aca="1" ref="M576" ca="1">_xlfn.IFS(C576&lt;$B$11,"Fail",C576&lt;25,"Marginal",C576&lt;35,"Solid",TRUE,"Blowout")</f>
        <v>Solid</v>
      </c>
    </row>
    <row r="577" spans="1:13" x14ac:dyDescent="0.25">
      <c r="A577" s="169">
        <f t="shared" ca="1" si="80"/>
        <v>3.5634050537831903</v>
      </c>
      <c r="B577" s="168">
        <f t="shared" ca="1" si="81"/>
        <v>1.1062305360357754</v>
      </c>
      <c r="C577" s="168">
        <f t="shared" ca="1" si="82"/>
        <v>2.4571745177474149</v>
      </c>
      <c r="D577" s="184">
        <f t="shared" ca="1" si="83"/>
        <v>0.31054080520626809</v>
      </c>
      <c r="E577" s="230">
        <f t="shared" ca="1" si="84"/>
        <v>0.37821671347223912</v>
      </c>
      <c r="F577" s="168">
        <f t="shared" ca="1" si="85"/>
        <v>7.5681280463163336</v>
      </c>
      <c r="G577" s="168">
        <f t="shared" ca="1" si="86"/>
        <v>6.4618975102805578</v>
      </c>
      <c r="H577" s="184">
        <f t="shared" ca="1" si="87"/>
        <v>0.81666273254473831</v>
      </c>
      <c r="I577" s="184">
        <f t="shared" ca="1" si="88"/>
        <v>0.20748682844860084</v>
      </c>
      <c r="J577" s="223">
        <f t="shared" ca="1" si="89"/>
        <v>0</v>
      </c>
      <c r="K577" s="220" t="str" cm="1">
        <f t="array" aca="1" ref="K577" ca="1">_xlfn.IFS(G577&lt;$B$11,"Fail",G577&lt;25,"Marginal",G577&lt;35,"Solid",TRUE,"Blowout")</f>
        <v>Fail</v>
      </c>
      <c r="L577" s="226">
        <f ca="1">IF(AND(E577&lt;$B$10,C577&gt;=$B$11),1,0)</f>
        <v>0</v>
      </c>
      <c r="M577" s="217" t="str" cm="1">
        <f t="array" aca="1" ref="M577" ca="1">_xlfn.IFS(C577&lt;$B$11,"Fail",C577&lt;25,"Marginal",C577&lt;35,"Solid",TRUE,"Blowout")</f>
        <v>Fail</v>
      </c>
    </row>
    <row r="578" spans="1:13" x14ac:dyDescent="0.25">
      <c r="A578" s="169">
        <f t="shared" ca="1" si="80"/>
        <v>38.142459156134755</v>
      </c>
      <c r="B578" s="168">
        <f t="shared" ca="1" si="81"/>
        <v>9.5849189005191526</v>
      </c>
      <c r="C578" s="168">
        <f t="shared" ca="1" si="82"/>
        <v>28.557540255615603</v>
      </c>
      <c r="D578" s="184">
        <f t="shared" ca="1" si="83"/>
        <v>3.6091378457803538</v>
      </c>
      <c r="E578" s="230">
        <f t="shared" ca="1" si="84"/>
        <v>1.8881462034454544E-4</v>
      </c>
      <c r="F578" s="168">
        <f t="shared" ca="1" si="85"/>
        <v>24.9962096545718</v>
      </c>
      <c r="G578" s="168">
        <f t="shared" ca="1" si="86"/>
        <v>15.411290754052647</v>
      </c>
      <c r="H578" s="184">
        <f t="shared" ca="1" si="87"/>
        <v>1.9476983036674089</v>
      </c>
      <c r="I578" s="184">
        <f t="shared" ca="1" si="88"/>
        <v>2.6339306323921792E-2</v>
      </c>
      <c r="J578" s="223">
        <f t="shared" ca="1" si="89"/>
        <v>0</v>
      </c>
      <c r="K578" s="220" t="str" cm="1">
        <f t="array" aca="1" ref="K578" ca="1">_xlfn.IFS(G578&lt;$B$11,"Fail",G578&lt;25,"Marginal",G578&lt;35,"Solid",TRUE,"Blowout")</f>
        <v>Fail</v>
      </c>
      <c r="L578" s="226">
        <f ca="1">IF(AND(E578&lt;$B$10,C578&gt;=$B$11),1,0)</f>
        <v>1</v>
      </c>
      <c r="M578" s="217" t="str" cm="1">
        <f t="array" aca="1" ref="M578" ca="1">_xlfn.IFS(C578&lt;$B$11,"Fail",C578&lt;25,"Marginal",C578&lt;35,"Solid",TRUE,"Blowout")</f>
        <v>Solid</v>
      </c>
    </row>
    <row r="579" spans="1:13" x14ac:dyDescent="0.25">
      <c r="A579" s="169">
        <f t="shared" ca="1" si="80"/>
        <v>43.580077786489134</v>
      </c>
      <c r="B579" s="168">
        <f t="shared" ca="1" si="81"/>
        <v>12.388584302912493</v>
      </c>
      <c r="C579" s="168">
        <f t="shared" ca="1" si="82"/>
        <v>31.191493483576643</v>
      </c>
      <c r="D579" s="184">
        <f t="shared" ca="1" si="83"/>
        <v>3.9420201666651216</v>
      </c>
      <c r="E579" s="230">
        <f t="shared" ca="1" si="84"/>
        <v>5.375233563248976E-5</v>
      </c>
      <c r="F579" s="168">
        <f t="shared" ca="1" si="85"/>
        <v>28.580820018733693</v>
      </c>
      <c r="G579" s="168">
        <f t="shared" ca="1" si="86"/>
        <v>16.192235715821198</v>
      </c>
      <c r="H579" s="184">
        <f t="shared" ca="1" si="87"/>
        <v>2.0463951098965842</v>
      </c>
      <c r="I579" s="184">
        <f t="shared" ca="1" si="88"/>
        <v>2.0932392096408278E-2</v>
      </c>
      <c r="J579" s="223">
        <f t="shared" ca="1" si="89"/>
        <v>0</v>
      </c>
      <c r="K579" s="220" t="str" cm="1">
        <f t="array" aca="1" ref="K579" ca="1">_xlfn.IFS(G579&lt;$B$11,"Fail",G579&lt;25,"Marginal",G579&lt;35,"Solid",TRUE,"Blowout")</f>
        <v>Fail</v>
      </c>
      <c r="L579" s="226">
        <f ca="1">IF(AND(E579&lt;$B$10,C579&gt;=$B$11),1,0)</f>
        <v>1</v>
      </c>
      <c r="M579" s="217" t="str" cm="1">
        <f t="array" aca="1" ref="M579" ca="1">_xlfn.IFS(C579&lt;$B$11,"Fail",C579&lt;25,"Marginal",C579&lt;35,"Solid",TRUE,"Blowout")</f>
        <v>Solid</v>
      </c>
    </row>
    <row r="580" spans="1:13" x14ac:dyDescent="0.25">
      <c r="A580" s="169">
        <f t="shared" ca="1" si="80"/>
        <v>46.912726268775494</v>
      </c>
      <c r="B580" s="168">
        <f t="shared" ca="1" si="81"/>
        <v>3.6216586740456798</v>
      </c>
      <c r="C580" s="168">
        <f t="shared" ca="1" si="82"/>
        <v>43.29106759472981</v>
      </c>
      <c r="D580" s="184">
        <f t="shared" ca="1" si="83"/>
        <v>5.4711795568475425</v>
      </c>
      <c r="E580" s="230">
        <f t="shared" ca="1" si="84"/>
        <v>5.8669311017215578E-8</v>
      </c>
      <c r="F580" s="168">
        <f t="shared" ca="1" si="85"/>
        <v>47.046211198459929</v>
      </c>
      <c r="G580" s="168">
        <f t="shared" ca="1" si="86"/>
        <v>43.424552524414253</v>
      </c>
      <c r="H580" s="184">
        <f t="shared" ca="1" si="87"/>
        <v>5.488049550105127</v>
      </c>
      <c r="I580" s="184">
        <f t="shared" ca="1" si="88"/>
        <v>5.3930101696577307E-8</v>
      </c>
      <c r="J580" s="223">
        <f t="shared" ca="1" si="89"/>
        <v>1</v>
      </c>
      <c r="K580" s="220" t="str" cm="1">
        <f t="array" aca="1" ref="K580" ca="1">_xlfn.IFS(G580&lt;$B$11,"Fail",G580&lt;25,"Marginal",G580&lt;35,"Solid",TRUE,"Blowout")</f>
        <v>Blowout</v>
      </c>
      <c r="L580" s="226">
        <f ca="1">IF(AND(E580&lt;$B$10,C580&gt;=$B$11),1,0)</f>
        <v>1</v>
      </c>
      <c r="M580" s="217" t="str" cm="1">
        <f t="array" aca="1" ref="M580" ca="1">_xlfn.IFS(C580&lt;$B$11,"Fail",C580&lt;25,"Marginal",C580&lt;35,"Solid",TRUE,"Blowout")</f>
        <v>Blowout</v>
      </c>
    </row>
    <row r="581" spans="1:13" x14ac:dyDescent="0.25">
      <c r="A581" s="169">
        <f t="shared" ca="1" si="80"/>
        <v>70.483151912707271</v>
      </c>
      <c r="B581" s="168">
        <f t="shared" ca="1" si="81"/>
        <v>15.385143120990188</v>
      </c>
      <c r="C581" s="168">
        <f t="shared" ca="1" si="82"/>
        <v>55.098008791717085</v>
      </c>
      <c r="D581" s="184">
        <f t="shared" ca="1" si="83"/>
        <v>6.9633556313807992</v>
      </c>
      <c r="E581" s="230">
        <f t="shared" ca="1" si="84"/>
        <v>1.7556411350188549E-11</v>
      </c>
      <c r="F581" s="168">
        <f t="shared" ca="1" si="85"/>
        <v>49.419480158608359</v>
      </c>
      <c r="G581" s="168">
        <f t="shared" ca="1" si="86"/>
        <v>34.034337037618172</v>
      </c>
      <c r="H581" s="184">
        <f t="shared" ca="1" si="87"/>
        <v>4.3013023096188174</v>
      </c>
      <c r="I581" s="184">
        <f t="shared" ca="1" si="88"/>
        <v>1.2595024862945957E-5</v>
      </c>
      <c r="J581" s="223">
        <f t="shared" ca="1" si="89"/>
        <v>1</v>
      </c>
      <c r="K581" s="220" t="str" cm="1">
        <f t="array" aca="1" ref="K581" ca="1">_xlfn.IFS(G581&lt;$B$11,"Fail",G581&lt;25,"Marginal",G581&lt;35,"Solid",TRUE,"Blowout")</f>
        <v>Solid</v>
      </c>
      <c r="L581" s="226">
        <f ca="1">IF(AND(E581&lt;$B$10,C581&gt;=$B$11),1,0)</f>
        <v>1</v>
      </c>
      <c r="M581" s="217" t="str" cm="1">
        <f t="array" aca="1" ref="M581" ca="1">_xlfn.IFS(C581&lt;$B$11,"Fail",C581&lt;25,"Marginal",C581&lt;35,"Solid",TRUE,"Blowout")</f>
        <v>Blowout</v>
      </c>
    </row>
    <row r="582" spans="1:13" x14ac:dyDescent="0.25">
      <c r="A582" s="169">
        <f t="shared" ca="1" si="80"/>
        <v>20.170426378799711</v>
      </c>
      <c r="B582" s="168">
        <f t="shared" ca="1" si="81"/>
        <v>10.049278816110917</v>
      </c>
      <c r="C582" s="168">
        <f t="shared" ca="1" si="82"/>
        <v>10.121147562688794</v>
      </c>
      <c r="D582" s="184">
        <f t="shared" ca="1" si="83"/>
        <v>1.279123355312251</v>
      </c>
      <c r="E582" s="230">
        <f t="shared" ca="1" si="84"/>
        <v>0.10107694910155078</v>
      </c>
      <c r="F582" s="168">
        <f t="shared" ca="1" si="85"/>
        <v>36.202615024408431</v>
      </c>
      <c r="G582" s="168">
        <f t="shared" ca="1" si="86"/>
        <v>26.153336208297514</v>
      </c>
      <c r="H582" s="184">
        <f t="shared" ca="1" si="87"/>
        <v>3.3052915152320588</v>
      </c>
      <c r="I582" s="184">
        <f t="shared" ca="1" si="88"/>
        <v>5.5095108212491987E-4</v>
      </c>
      <c r="J582" s="223">
        <f t="shared" ca="1" si="89"/>
        <v>1</v>
      </c>
      <c r="K582" s="220" t="str" cm="1">
        <f t="array" aca="1" ref="K582" ca="1">_xlfn.IFS(G582&lt;$B$11,"Fail",G582&lt;25,"Marginal",G582&lt;35,"Solid",TRUE,"Blowout")</f>
        <v>Solid</v>
      </c>
      <c r="L582" s="226">
        <f ca="1">IF(AND(E582&lt;$B$10,C582&gt;=$B$11),1,0)</f>
        <v>0</v>
      </c>
      <c r="M582" s="217" t="str" cm="1">
        <f t="array" aca="1" ref="M582" ca="1">_xlfn.IFS(C582&lt;$B$11,"Fail",C582&lt;25,"Marginal",C582&lt;35,"Solid",TRUE,"Blowout")</f>
        <v>Fail</v>
      </c>
    </row>
    <row r="583" spans="1:13" x14ac:dyDescent="0.25">
      <c r="A583" s="169">
        <f t="shared" ca="1" si="80"/>
        <v>52.725801972043321</v>
      </c>
      <c r="B583" s="168">
        <f t="shared" ca="1" si="81"/>
        <v>5.9335791544378225</v>
      </c>
      <c r="C583" s="168">
        <f t="shared" ca="1" si="82"/>
        <v>46.792222817605499</v>
      </c>
      <c r="D583" s="184">
        <f t="shared" ca="1" si="83"/>
        <v>5.9136599562701573</v>
      </c>
      <c r="E583" s="230">
        <f t="shared" ca="1" si="84"/>
        <v>6.0676959032770869E-9</v>
      </c>
      <c r="F583" s="168">
        <f t="shared" ca="1" si="85"/>
        <v>18.916809995212951</v>
      </c>
      <c r="G583" s="168">
        <f t="shared" ca="1" si="86"/>
        <v>12.983230840775128</v>
      </c>
      <c r="H583" s="184">
        <f t="shared" ca="1" si="87"/>
        <v>1.6408370387827749</v>
      </c>
      <c r="I583" s="184">
        <f t="shared" ca="1" si="88"/>
        <v>5.1105002846244203E-2</v>
      </c>
      <c r="J583" s="223">
        <f t="shared" ca="1" si="89"/>
        <v>0</v>
      </c>
      <c r="K583" s="220" t="str" cm="1">
        <f t="array" aca="1" ref="K583" ca="1">_xlfn.IFS(G583&lt;$B$11,"Fail",G583&lt;25,"Marginal",G583&lt;35,"Solid",TRUE,"Blowout")</f>
        <v>Fail</v>
      </c>
      <c r="L583" s="226">
        <f ca="1">IF(AND(E583&lt;$B$10,C583&gt;=$B$11),1,0)</f>
        <v>1</v>
      </c>
      <c r="M583" s="217" t="str" cm="1">
        <f t="array" aca="1" ref="M583" ca="1">_xlfn.IFS(C583&lt;$B$11,"Fail",C583&lt;25,"Marginal",C583&lt;35,"Solid",TRUE,"Blowout")</f>
        <v>Blowout</v>
      </c>
    </row>
    <row r="584" spans="1:13" x14ac:dyDescent="0.25">
      <c r="A584" s="169">
        <f t="shared" ca="1" si="80"/>
        <v>77.408981372001776</v>
      </c>
      <c r="B584" s="168">
        <f t="shared" ca="1" si="81"/>
        <v>12.515755839883811</v>
      </c>
      <c r="C584" s="168">
        <f t="shared" ca="1" si="82"/>
        <v>64.893225532117967</v>
      </c>
      <c r="D584" s="184">
        <f t="shared" ca="1" si="83"/>
        <v>8.2012874395466078</v>
      </c>
      <c r="E584" s="230">
        <f t="shared" ca="1" si="84"/>
        <v>8.6609279747605922E-15</v>
      </c>
      <c r="F584" s="168">
        <f t="shared" ca="1" si="85"/>
        <v>41.678977140515478</v>
      </c>
      <c r="G584" s="168">
        <f t="shared" ca="1" si="86"/>
        <v>29.163221300631669</v>
      </c>
      <c r="H584" s="184">
        <f t="shared" ca="1" si="87"/>
        <v>3.6856845778333502</v>
      </c>
      <c r="I584" s="184">
        <f t="shared" ca="1" si="88"/>
        <v>1.4252075735717647E-4</v>
      </c>
      <c r="J584" s="223">
        <f t="shared" ca="1" si="89"/>
        <v>1</v>
      </c>
      <c r="K584" s="220" t="str" cm="1">
        <f t="array" aca="1" ref="K584" ca="1">_xlfn.IFS(G584&lt;$B$11,"Fail",G584&lt;25,"Marginal",G584&lt;35,"Solid",TRUE,"Blowout")</f>
        <v>Solid</v>
      </c>
      <c r="L584" s="226">
        <f ca="1">IF(AND(E584&lt;$B$10,C584&gt;=$B$11),1,0)</f>
        <v>1</v>
      </c>
      <c r="M584" s="217" t="str" cm="1">
        <f t="array" aca="1" ref="M584" ca="1">_xlfn.IFS(C584&lt;$B$11,"Fail",C584&lt;25,"Marginal",C584&lt;35,"Solid",TRUE,"Blowout")</f>
        <v>Blowout</v>
      </c>
    </row>
    <row r="585" spans="1:13" x14ac:dyDescent="0.25">
      <c r="A585" s="169">
        <f t="shared" ca="1" si="80"/>
        <v>42.256345752596339</v>
      </c>
      <c r="B585" s="168">
        <f t="shared" ca="1" si="81"/>
        <v>2.8110563447954462</v>
      </c>
      <c r="C585" s="168">
        <f t="shared" ca="1" si="82"/>
        <v>39.445289407800892</v>
      </c>
      <c r="D585" s="184">
        <f t="shared" ca="1" si="83"/>
        <v>4.9851452738986692</v>
      </c>
      <c r="E585" s="230">
        <f t="shared" ca="1" si="84"/>
        <v>6.1265196898054441E-7</v>
      </c>
      <c r="F585" s="168">
        <f t="shared" ca="1" si="85"/>
        <v>47.56921669998453</v>
      </c>
      <c r="G585" s="168">
        <f t="shared" ca="1" si="86"/>
        <v>44.758160355189084</v>
      </c>
      <c r="H585" s="184">
        <f t="shared" ca="1" si="87"/>
        <v>5.6565925846380827</v>
      </c>
      <c r="I585" s="184">
        <f t="shared" ca="1" si="88"/>
        <v>2.3015397484394034E-8</v>
      </c>
      <c r="J585" s="223">
        <f t="shared" ca="1" si="89"/>
        <v>1</v>
      </c>
      <c r="K585" s="220" t="str" cm="1">
        <f t="array" aca="1" ref="K585" ca="1">_xlfn.IFS(G585&lt;$B$11,"Fail",G585&lt;25,"Marginal",G585&lt;35,"Solid",TRUE,"Blowout")</f>
        <v>Blowout</v>
      </c>
      <c r="L585" s="226">
        <f ca="1">IF(AND(E585&lt;$B$10,C585&gt;=$B$11),1,0)</f>
        <v>1</v>
      </c>
      <c r="M585" s="217" t="str" cm="1">
        <f t="array" aca="1" ref="M585" ca="1">_xlfn.IFS(C585&lt;$B$11,"Fail",C585&lt;25,"Marginal",C585&lt;35,"Solid",TRUE,"Blowout")</f>
        <v>Blowout</v>
      </c>
    </row>
    <row r="586" spans="1:13" x14ac:dyDescent="0.25">
      <c r="A586" s="169">
        <f t="shared" ca="1" si="80"/>
        <v>33.100740325425036</v>
      </c>
      <c r="B586" s="168">
        <f t="shared" ca="1" si="81"/>
        <v>10.385705379797924</v>
      </c>
      <c r="C586" s="168">
        <f t="shared" ca="1" si="82"/>
        <v>22.71503494562711</v>
      </c>
      <c r="D586" s="184">
        <f t="shared" ca="1" si="83"/>
        <v>2.8707546783328111</v>
      </c>
      <c r="E586" s="230">
        <f t="shared" ca="1" si="84"/>
        <v>2.2401669704107999E-3</v>
      </c>
      <c r="F586" s="168">
        <f t="shared" ca="1" si="85"/>
        <v>11.339642708821865</v>
      </c>
      <c r="G586" s="168">
        <f t="shared" ca="1" si="86"/>
        <v>0.95393732902394035</v>
      </c>
      <c r="H586" s="184">
        <f t="shared" ca="1" si="87"/>
        <v>0.1205597991236627</v>
      </c>
      <c r="I586" s="184">
        <f t="shared" ca="1" si="88"/>
        <v>0.45207294289231548</v>
      </c>
      <c r="J586" s="223">
        <f t="shared" ca="1" si="89"/>
        <v>0</v>
      </c>
      <c r="K586" s="220" t="str" cm="1">
        <f t="array" aca="1" ref="K586" ca="1">_xlfn.IFS(G586&lt;$B$11,"Fail",G586&lt;25,"Marginal",G586&lt;35,"Solid",TRUE,"Blowout")</f>
        <v>Fail</v>
      </c>
      <c r="L586" s="226">
        <f ca="1">IF(AND(E586&lt;$B$10,C586&gt;=$B$11),1,0)</f>
        <v>1</v>
      </c>
      <c r="M586" s="217" t="str" cm="1">
        <f t="array" aca="1" ref="M586" ca="1">_xlfn.IFS(C586&lt;$B$11,"Fail",C586&lt;25,"Marginal",C586&lt;35,"Solid",TRUE,"Blowout")</f>
        <v>Marginal</v>
      </c>
    </row>
    <row r="587" spans="1:13" x14ac:dyDescent="0.25">
      <c r="A587" s="169">
        <f t="shared" ca="1" si="80"/>
        <v>74.892405555810285</v>
      </c>
      <c r="B587" s="168">
        <f t="shared" ca="1" si="81"/>
        <v>6.8246449529925926</v>
      </c>
      <c r="C587" s="168">
        <f t="shared" ca="1" si="82"/>
        <v>68.067760602817685</v>
      </c>
      <c r="D587" s="184">
        <f t="shared" ca="1" si="83"/>
        <v>8.6024891734447646</v>
      </c>
      <c r="E587" s="230">
        <f t="shared" ca="1" si="84"/>
        <v>6.3757360357648725E-16</v>
      </c>
      <c r="F587" s="168">
        <f t="shared" ca="1" si="85"/>
        <v>26.661212485808132</v>
      </c>
      <c r="G587" s="168">
        <f t="shared" ca="1" si="86"/>
        <v>19.83656753281554</v>
      </c>
      <c r="H587" s="184">
        <f t="shared" ca="1" si="87"/>
        <v>2.506970347314287</v>
      </c>
      <c r="I587" s="184">
        <f t="shared" ca="1" si="88"/>
        <v>6.4372022051990413E-3</v>
      </c>
      <c r="J587" s="223">
        <f t="shared" ca="1" si="89"/>
        <v>0</v>
      </c>
      <c r="K587" s="220" t="str" cm="1">
        <f t="array" aca="1" ref="K587" ca="1">_xlfn.IFS(G587&lt;$B$11,"Fail",G587&lt;25,"Marginal",G587&lt;35,"Solid",TRUE,"Blowout")</f>
        <v>Fail</v>
      </c>
      <c r="L587" s="226">
        <f ca="1">IF(AND(E587&lt;$B$10,C587&gt;=$B$11),1,0)</f>
        <v>1</v>
      </c>
      <c r="M587" s="217" t="str" cm="1">
        <f t="array" aca="1" ref="M587" ca="1">_xlfn.IFS(C587&lt;$B$11,"Fail",C587&lt;25,"Marginal",C587&lt;35,"Solid",TRUE,"Blowout")</f>
        <v>Blowout</v>
      </c>
    </row>
    <row r="588" spans="1:13" x14ac:dyDescent="0.25">
      <c r="A588" s="169">
        <f t="shared" ca="1" si="80"/>
        <v>47.703374944022841</v>
      </c>
      <c r="B588" s="168">
        <f t="shared" ca="1" si="81"/>
        <v>2.3512677497017322</v>
      </c>
      <c r="C588" s="168">
        <f t="shared" ca="1" si="82"/>
        <v>45.352107194321107</v>
      </c>
      <c r="D588" s="184">
        <f t="shared" ca="1" si="83"/>
        <v>5.7316563329968533</v>
      </c>
      <c r="E588" s="230">
        <f t="shared" ca="1" si="84"/>
        <v>1.5660183252104879E-8</v>
      </c>
      <c r="F588" s="168">
        <f t="shared" ca="1" si="85"/>
        <v>2.3356395099411937</v>
      </c>
      <c r="G588" s="168">
        <f t="shared" ca="1" si="86"/>
        <v>-1.5628239760538509E-2</v>
      </c>
      <c r="H588" s="184">
        <f t="shared" ca="1" si="87"/>
        <v>-1.9751165918989594E-3</v>
      </c>
      <c r="I588" s="184">
        <f t="shared" ca="1" si="88"/>
        <v>0.50078709349099915</v>
      </c>
      <c r="J588" s="223">
        <f t="shared" ca="1" si="89"/>
        <v>0</v>
      </c>
      <c r="K588" s="220" t="str" cm="1">
        <f t="array" aca="1" ref="K588" ca="1">_xlfn.IFS(G588&lt;$B$11,"Fail",G588&lt;25,"Marginal",G588&lt;35,"Solid",TRUE,"Blowout")</f>
        <v>Fail</v>
      </c>
      <c r="L588" s="226">
        <f ca="1">IF(AND(E588&lt;$B$10,C588&gt;=$B$11),1,0)</f>
        <v>1</v>
      </c>
      <c r="M588" s="217" t="str" cm="1">
        <f t="array" aca="1" ref="M588" ca="1">_xlfn.IFS(C588&lt;$B$11,"Fail",C588&lt;25,"Marginal",C588&lt;35,"Solid",TRUE,"Blowout")</f>
        <v>Blowout</v>
      </c>
    </row>
    <row r="589" spans="1:13" x14ac:dyDescent="0.25">
      <c r="A589" s="169">
        <f t="shared" ca="1" si="80"/>
        <v>57.70075970712913</v>
      </c>
      <c r="B589" s="168">
        <f t="shared" ca="1" si="81"/>
        <v>3.1420844250455993</v>
      </c>
      <c r="C589" s="168">
        <f t="shared" ca="1" si="82"/>
        <v>54.558675282083527</v>
      </c>
      <c r="D589" s="184">
        <f t="shared" ca="1" si="83"/>
        <v>6.8951939842748917</v>
      </c>
      <c r="E589" s="230">
        <f t="shared" ca="1" si="84"/>
        <v>2.6136229569489735E-11</v>
      </c>
      <c r="F589" s="168">
        <f t="shared" ca="1" si="85"/>
        <v>29.669541786025086</v>
      </c>
      <c r="G589" s="168">
        <f t="shared" ca="1" si="86"/>
        <v>26.527457360979486</v>
      </c>
      <c r="H589" s="184">
        <f t="shared" ca="1" si="87"/>
        <v>3.3525734169282653</v>
      </c>
      <c r="I589" s="184">
        <f t="shared" ca="1" si="88"/>
        <v>4.6863770338564519E-4</v>
      </c>
      <c r="J589" s="223">
        <f t="shared" ca="1" si="89"/>
        <v>1</v>
      </c>
      <c r="K589" s="220" t="str" cm="1">
        <f t="array" aca="1" ref="K589" ca="1">_xlfn.IFS(G589&lt;$B$11,"Fail",G589&lt;25,"Marginal",G589&lt;35,"Solid",TRUE,"Blowout")</f>
        <v>Solid</v>
      </c>
      <c r="L589" s="226">
        <f ca="1">IF(AND(E589&lt;$B$10,C589&gt;=$B$11),1,0)</f>
        <v>1</v>
      </c>
      <c r="M589" s="217" t="str" cm="1">
        <f t="array" aca="1" ref="M589" ca="1">_xlfn.IFS(C589&lt;$B$11,"Fail",C589&lt;25,"Marginal",C589&lt;35,"Solid",TRUE,"Blowout")</f>
        <v>Blowout</v>
      </c>
    </row>
    <row r="590" spans="1:13" x14ac:dyDescent="0.25">
      <c r="A590" s="169">
        <f t="shared" ca="1" si="80"/>
        <v>65.539838498959227</v>
      </c>
      <c r="B590" s="168">
        <f t="shared" ca="1" si="81"/>
        <v>8.4588481190331617</v>
      </c>
      <c r="C590" s="168">
        <f t="shared" ca="1" si="82"/>
        <v>57.080990379926064</v>
      </c>
      <c r="D590" s="184">
        <f t="shared" ca="1" si="83"/>
        <v>7.2139673379014031</v>
      </c>
      <c r="E590" s="230">
        <f t="shared" ca="1" si="84"/>
        <v>3.983265202325573E-12</v>
      </c>
      <c r="F590" s="168">
        <f t="shared" ca="1" si="85"/>
        <v>8.3684012459588129</v>
      </c>
      <c r="G590" s="168">
        <f t="shared" ca="1" si="86"/>
        <v>-9.0446873074348844E-2</v>
      </c>
      <c r="H590" s="184">
        <f t="shared" ca="1" si="87"/>
        <v>-1.1430789547112121E-2</v>
      </c>
      <c r="I590" s="184">
        <f t="shared" ca="1" si="88"/>
        <v>0.50455512812508096</v>
      </c>
      <c r="J590" s="223">
        <f t="shared" ca="1" si="89"/>
        <v>0</v>
      </c>
      <c r="K590" s="220" t="str" cm="1">
        <f t="array" aca="1" ref="K590" ca="1">_xlfn.IFS(G590&lt;$B$11,"Fail",G590&lt;25,"Marginal",G590&lt;35,"Solid",TRUE,"Blowout")</f>
        <v>Fail</v>
      </c>
      <c r="L590" s="226">
        <f ca="1">IF(AND(E590&lt;$B$10,C590&gt;=$B$11),1,0)</f>
        <v>1</v>
      </c>
      <c r="M590" s="217" t="str" cm="1">
        <f t="array" aca="1" ref="M590" ca="1">_xlfn.IFS(C590&lt;$B$11,"Fail",C590&lt;25,"Marginal",C590&lt;35,"Solid",TRUE,"Blowout")</f>
        <v>Blowout</v>
      </c>
    </row>
    <row r="591" spans="1:13" x14ac:dyDescent="0.25">
      <c r="A591" s="169">
        <f t="shared" ca="1" si="80"/>
        <v>44.378563027081682</v>
      </c>
      <c r="B591" s="168">
        <f t="shared" ca="1" si="81"/>
        <v>11.351179368540745</v>
      </c>
      <c r="C591" s="168">
        <f t="shared" ca="1" si="82"/>
        <v>33.027383658540941</v>
      </c>
      <c r="D591" s="184">
        <f t="shared" ca="1" si="83"/>
        <v>4.1740422754269932</v>
      </c>
      <c r="E591" s="230">
        <f t="shared" ca="1" si="84"/>
        <v>2.1293263171476196E-5</v>
      </c>
      <c r="F591" s="168">
        <f t="shared" ca="1" si="85"/>
        <v>20.187784536876315</v>
      </c>
      <c r="G591" s="168">
        <f t="shared" ca="1" si="86"/>
        <v>8.83660516833557</v>
      </c>
      <c r="H591" s="184">
        <f t="shared" ca="1" si="87"/>
        <v>1.1167812723291803</v>
      </c>
      <c r="I591" s="184">
        <f t="shared" ca="1" si="88"/>
        <v>0.13263167996524872</v>
      </c>
      <c r="J591" s="223">
        <f t="shared" ca="1" si="89"/>
        <v>0</v>
      </c>
      <c r="K591" s="220" t="str" cm="1">
        <f t="array" aca="1" ref="K591" ca="1">_xlfn.IFS(G591&lt;$B$11,"Fail",G591&lt;25,"Marginal",G591&lt;35,"Solid",TRUE,"Blowout")</f>
        <v>Fail</v>
      </c>
      <c r="L591" s="226">
        <f ca="1">IF(AND(E591&lt;$B$10,C591&gt;=$B$11),1,0)</f>
        <v>1</v>
      </c>
      <c r="M591" s="217" t="str" cm="1">
        <f t="array" aca="1" ref="M591" ca="1">_xlfn.IFS(C591&lt;$B$11,"Fail",C591&lt;25,"Marginal",C591&lt;35,"Solid",TRUE,"Blowout")</f>
        <v>Solid</v>
      </c>
    </row>
    <row r="592" spans="1:13" x14ac:dyDescent="0.25">
      <c r="A592" s="169">
        <f t="shared" ca="1" si="80"/>
        <v>3.4272393027673878</v>
      </c>
      <c r="B592" s="168">
        <f t="shared" ca="1" si="81"/>
        <v>14.034457423462761</v>
      </c>
      <c r="C592" s="168">
        <f t="shared" ca="1" si="82"/>
        <v>-10.607218120695373</v>
      </c>
      <c r="D592" s="184">
        <f t="shared" ca="1" si="83"/>
        <v>-1.3405535636186598</v>
      </c>
      <c r="E592" s="230">
        <f t="shared" ca="1" si="84"/>
        <v>0.90930018813383606</v>
      </c>
      <c r="F592" s="168">
        <f t="shared" ca="1" si="85"/>
        <v>31.420961254413243</v>
      </c>
      <c r="G592" s="168">
        <f t="shared" ca="1" si="86"/>
        <v>17.386503830950481</v>
      </c>
      <c r="H592" s="184">
        <f t="shared" ca="1" si="87"/>
        <v>2.1973282159603773</v>
      </c>
      <c r="I592" s="184">
        <f t="shared" ca="1" si="88"/>
        <v>1.4501873363397751E-2</v>
      </c>
      <c r="J592" s="223">
        <f t="shared" ca="1" si="89"/>
        <v>0</v>
      </c>
      <c r="K592" s="220" t="str" cm="1">
        <f t="array" aca="1" ref="K592" ca="1">_xlfn.IFS(G592&lt;$B$11,"Fail",G592&lt;25,"Marginal",G592&lt;35,"Solid",TRUE,"Blowout")</f>
        <v>Fail</v>
      </c>
      <c r="L592" s="226">
        <f ca="1">IF(AND(E592&lt;$B$10,C592&gt;=$B$11),1,0)</f>
        <v>0</v>
      </c>
      <c r="M592" s="217" t="str" cm="1">
        <f t="array" aca="1" ref="M592" ca="1">_xlfn.IFS(C592&lt;$B$11,"Fail",C592&lt;25,"Marginal",C592&lt;35,"Solid",TRUE,"Blowout")</f>
        <v>Fail</v>
      </c>
    </row>
    <row r="593" spans="1:13" x14ac:dyDescent="0.25">
      <c r="A593" s="169">
        <f t="shared" ref="A593:A656" ca="1" si="90">NORMINV(RAND(), MAX(0, NORMINV(RAND(), $B$6, $B$12)), $B$7/SQRT($B$9))</f>
        <v>30.239396021831439</v>
      </c>
      <c r="B593" s="168">
        <f t="shared" ref="B593:B656" ca="1" si="91">NORMINV(RAND(), $B$8, $B$7/SQRT($B$9))</f>
        <v>-0.38733897408362239</v>
      </c>
      <c r="C593" s="168">
        <f t="shared" ref="C593:C656" ca="1" si="92">A593-B593</f>
        <v>30.626734995915061</v>
      </c>
      <c r="D593" s="184">
        <f t="shared" ref="D593:D656" ca="1" si="93">C593/($B$7*SQRT(2/$B$9))</f>
        <v>3.8706452788666432</v>
      </c>
      <c r="E593" s="230">
        <f t="shared" ref="E593:E656" ca="1" si="94">_xlfn.T.DIST.RT(D593, 2*$B$9-2)</f>
        <v>7.0880432994240288E-5</v>
      </c>
      <c r="F593" s="168">
        <f t="shared" ref="F593:F656" ca="1" si="95">NORMINV(RAND(), MAX(0, NORMINV(RAND(), $N$7, $N$8)), $B$7/SQRT($B$9))</f>
        <v>-4.1135967617039011</v>
      </c>
      <c r="G593" s="168">
        <f t="shared" ref="G593:G656" ca="1" si="96">F593-B593</f>
        <v>-3.7262577876202787</v>
      </c>
      <c r="H593" s="184">
        <f t="shared" ref="H593:H656" ca="1" si="97">G593/($B$7*SQRT(2/$B$9))</f>
        <v>-0.47092914459919455</v>
      </c>
      <c r="I593" s="184">
        <f t="shared" ref="I593:I656" ca="1" si="98">_xlfn.T.DIST.RT(H593, 2*$B$9-2)</f>
        <v>0.6809292118146808</v>
      </c>
      <c r="J593" s="223">
        <f t="shared" ref="J593:J656" ca="1" si="99">IF(AND(I593&lt;$B$10, G593&gt;=$B$11), 1, 0)</f>
        <v>0</v>
      </c>
      <c r="K593" s="220" t="str" cm="1">
        <f t="array" aca="1" ref="K593" ca="1">_xlfn.IFS(G593&lt;$B$11,"Fail",G593&lt;25,"Marginal",G593&lt;35,"Solid",TRUE,"Blowout")</f>
        <v>Fail</v>
      </c>
      <c r="L593" s="226">
        <f ca="1">IF(AND(E593&lt;$B$10,C593&gt;=$B$11),1,0)</f>
        <v>1</v>
      </c>
      <c r="M593" s="217" t="str" cm="1">
        <f t="array" aca="1" ref="M593" ca="1">_xlfn.IFS(C593&lt;$B$11,"Fail",C593&lt;25,"Marginal",C593&lt;35,"Solid",TRUE,"Blowout")</f>
        <v>Solid</v>
      </c>
    </row>
    <row r="594" spans="1:13" x14ac:dyDescent="0.25">
      <c r="A594" s="169">
        <f t="shared" ca="1" si="90"/>
        <v>26.79692115096347</v>
      </c>
      <c r="B594" s="168">
        <f t="shared" ca="1" si="91"/>
        <v>8.2676880335233101</v>
      </c>
      <c r="C594" s="168">
        <f t="shared" ca="1" si="92"/>
        <v>18.52923311744016</v>
      </c>
      <c r="D594" s="184">
        <f t="shared" ca="1" si="93"/>
        <v>2.3417477800557296</v>
      </c>
      <c r="E594" s="230">
        <f t="shared" ca="1" si="94"/>
        <v>1.0027920237590703E-2</v>
      </c>
      <c r="F594" s="168">
        <f t="shared" ca="1" si="95"/>
        <v>10.635286199941275</v>
      </c>
      <c r="G594" s="168">
        <f t="shared" ca="1" si="96"/>
        <v>2.3675981664179648</v>
      </c>
      <c r="H594" s="184">
        <f t="shared" ca="1" si="97"/>
        <v>0.29922003329187108</v>
      </c>
      <c r="I594" s="184">
        <f t="shared" ca="1" si="98"/>
        <v>0.38252236736919337</v>
      </c>
      <c r="J594" s="223">
        <f t="shared" ca="1" si="99"/>
        <v>0</v>
      </c>
      <c r="K594" s="220" t="str" cm="1">
        <f t="array" aca="1" ref="K594" ca="1">_xlfn.IFS(G594&lt;$B$11,"Fail",G594&lt;25,"Marginal",G594&lt;35,"Solid",TRUE,"Blowout")</f>
        <v>Fail</v>
      </c>
      <c r="L594" s="226">
        <f ca="1">IF(AND(E594&lt;$B$10,C594&gt;=$B$11),1,0)</f>
        <v>0</v>
      </c>
      <c r="M594" s="217" t="str" cm="1">
        <f t="array" aca="1" ref="M594" ca="1">_xlfn.IFS(C594&lt;$B$11,"Fail",C594&lt;25,"Marginal",C594&lt;35,"Solid",TRUE,"Blowout")</f>
        <v>Fail</v>
      </c>
    </row>
    <row r="595" spans="1:13" x14ac:dyDescent="0.25">
      <c r="A595" s="169">
        <f t="shared" ca="1" si="90"/>
        <v>40.682736310250036</v>
      </c>
      <c r="B595" s="168">
        <f t="shared" ca="1" si="91"/>
        <v>2.7730764329745714</v>
      </c>
      <c r="C595" s="168">
        <f t="shared" ca="1" si="92"/>
        <v>37.909659877275466</v>
      </c>
      <c r="D595" s="184">
        <f t="shared" ca="1" si="93"/>
        <v>4.7910704829289745</v>
      </c>
      <c r="E595" s="230">
        <f t="shared" ca="1" si="94"/>
        <v>1.4946019594971334E-6</v>
      </c>
      <c r="F595" s="168">
        <f t="shared" ca="1" si="95"/>
        <v>3.4519724088256871</v>
      </c>
      <c r="G595" s="168">
        <f t="shared" ca="1" si="96"/>
        <v>0.67889597585111572</v>
      </c>
      <c r="H595" s="184">
        <f t="shared" ca="1" si="97"/>
        <v>8.5799727072447332E-2</v>
      </c>
      <c r="I595" s="184">
        <f t="shared" ca="1" si="98"/>
        <v>0.4658504601913504</v>
      </c>
      <c r="J595" s="223">
        <f t="shared" ca="1" si="99"/>
        <v>0</v>
      </c>
      <c r="K595" s="220" t="str" cm="1">
        <f t="array" aca="1" ref="K595" ca="1">_xlfn.IFS(G595&lt;$B$11,"Fail",G595&lt;25,"Marginal",G595&lt;35,"Solid",TRUE,"Blowout")</f>
        <v>Fail</v>
      </c>
      <c r="L595" s="226">
        <f ca="1">IF(AND(E595&lt;$B$10,C595&gt;=$B$11),1,0)</f>
        <v>1</v>
      </c>
      <c r="M595" s="217" t="str" cm="1">
        <f t="array" aca="1" ref="M595" ca="1">_xlfn.IFS(C595&lt;$B$11,"Fail",C595&lt;25,"Marginal",C595&lt;35,"Solid",TRUE,"Blowout")</f>
        <v>Blowout</v>
      </c>
    </row>
    <row r="596" spans="1:13" x14ac:dyDescent="0.25">
      <c r="A596" s="169">
        <f t="shared" ca="1" si="90"/>
        <v>24.102707558868431</v>
      </c>
      <c r="B596" s="168">
        <f t="shared" ca="1" si="91"/>
        <v>-1.3913124095009728</v>
      </c>
      <c r="C596" s="168">
        <f t="shared" ca="1" si="92"/>
        <v>25.494019968369404</v>
      </c>
      <c r="D596" s="184">
        <f t="shared" ca="1" si="93"/>
        <v>3.2219662998051377</v>
      </c>
      <c r="E596" s="230">
        <f t="shared" ca="1" si="94"/>
        <v>7.2956759465452829E-4</v>
      </c>
      <c r="F596" s="168">
        <f t="shared" ca="1" si="95"/>
        <v>45.543186131260967</v>
      </c>
      <c r="G596" s="168">
        <f t="shared" ca="1" si="96"/>
        <v>46.934498540761936</v>
      </c>
      <c r="H596" s="184">
        <f t="shared" ca="1" si="97"/>
        <v>5.9316409410602846</v>
      </c>
      <c r="I596" s="184">
        <f t="shared" ca="1" si="98"/>
        <v>5.5190397908068461E-9</v>
      </c>
      <c r="J596" s="223">
        <f t="shared" ca="1" si="99"/>
        <v>1</v>
      </c>
      <c r="K596" s="220" t="str" cm="1">
        <f t="array" aca="1" ref="K596" ca="1">_xlfn.IFS(G596&lt;$B$11,"Fail",G596&lt;25,"Marginal",G596&lt;35,"Solid",TRUE,"Blowout")</f>
        <v>Blowout</v>
      </c>
      <c r="L596" s="226">
        <f ca="1">IF(AND(E596&lt;$B$10,C596&gt;=$B$11),1,0)</f>
        <v>1</v>
      </c>
      <c r="M596" s="217" t="str" cm="1">
        <f t="array" aca="1" ref="M596" ca="1">_xlfn.IFS(C596&lt;$B$11,"Fail",C596&lt;25,"Marginal",C596&lt;35,"Solid",TRUE,"Blowout")</f>
        <v>Solid</v>
      </c>
    </row>
    <row r="597" spans="1:13" x14ac:dyDescent="0.25">
      <c r="A597" s="169">
        <f t="shared" ca="1" si="90"/>
        <v>62.156914385120544</v>
      </c>
      <c r="B597" s="168">
        <f t="shared" ca="1" si="91"/>
        <v>6.9428939275632287</v>
      </c>
      <c r="C597" s="168">
        <f t="shared" ca="1" si="92"/>
        <v>55.214020457557318</v>
      </c>
      <c r="D597" s="184">
        <f t="shared" ca="1" si="93"/>
        <v>6.9780173315828566</v>
      </c>
      <c r="E597" s="230">
        <f t="shared" ca="1" si="94"/>
        <v>1.6111221709369385E-11</v>
      </c>
      <c r="F597" s="168">
        <f t="shared" ca="1" si="95"/>
        <v>14.811314380542916</v>
      </c>
      <c r="G597" s="168">
        <f t="shared" ca="1" si="96"/>
        <v>7.8684204529796871</v>
      </c>
      <c r="H597" s="184">
        <f t="shared" ca="1" si="97"/>
        <v>0.99442087060621087</v>
      </c>
      <c r="I597" s="184">
        <f t="shared" ca="1" si="98"/>
        <v>0.16053609778145397</v>
      </c>
      <c r="J597" s="223">
        <f t="shared" ca="1" si="99"/>
        <v>0</v>
      </c>
      <c r="K597" s="220" t="str" cm="1">
        <f t="array" aca="1" ref="K597" ca="1">_xlfn.IFS(G597&lt;$B$11,"Fail",G597&lt;25,"Marginal",G597&lt;35,"Solid",TRUE,"Blowout")</f>
        <v>Fail</v>
      </c>
      <c r="L597" s="226">
        <f ca="1">IF(AND(E597&lt;$B$10,C597&gt;=$B$11),1,0)</f>
        <v>1</v>
      </c>
      <c r="M597" s="217" t="str" cm="1">
        <f t="array" aca="1" ref="M597" ca="1">_xlfn.IFS(C597&lt;$B$11,"Fail",C597&lt;25,"Marginal",C597&lt;35,"Solid",TRUE,"Blowout")</f>
        <v>Blowout</v>
      </c>
    </row>
    <row r="598" spans="1:13" x14ac:dyDescent="0.25">
      <c r="A598" s="169">
        <f t="shared" ca="1" si="90"/>
        <v>29.725764363841794</v>
      </c>
      <c r="B598" s="168">
        <f t="shared" ca="1" si="91"/>
        <v>4.7767829496911238</v>
      </c>
      <c r="C598" s="168">
        <f t="shared" ca="1" si="92"/>
        <v>24.948981414150669</v>
      </c>
      <c r="D598" s="184">
        <f t="shared" ca="1" si="93"/>
        <v>3.1530836419910275</v>
      </c>
      <c r="E598" s="230">
        <f t="shared" ca="1" si="94"/>
        <v>9.1632095795032658E-4</v>
      </c>
      <c r="F598" s="168">
        <f t="shared" ca="1" si="95"/>
        <v>1.2892042589248609</v>
      </c>
      <c r="G598" s="168">
        <f t="shared" ca="1" si="96"/>
        <v>-3.4875786907662629</v>
      </c>
      <c r="H598" s="184">
        <f t="shared" ca="1" si="97"/>
        <v>-0.44076458022348258</v>
      </c>
      <c r="I598" s="184">
        <f t="shared" ca="1" si="98"/>
        <v>0.67009946743659377</v>
      </c>
      <c r="J598" s="223">
        <f t="shared" ca="1" si="99"/>
        <v>0</v>
      </c>
      <c r="K598" s="220" t="str" cm="1">
        <f t="array" aca="1" ref="K598" ca="1">_xlfn.IFS(G598&lt;$B$11,"Fail",G598&lt;25,"Marginal",G598&lt;35,"Solid",TRUE,"Blowout")</f>
        <v>Fail</v>
      </c>
      <c r="L598" s="226">
        <f ca="1">IF(AND(E598&lt;$B$10,C598&gt;=$B$11),1,0)</f>
        <v>1</v>
      </c>
      <c r="M598" s="217" t="str" cm="1">
        <f t="array" aca="1" ref="M598" ca="1">_xlfn.IFS(C598&lt;$B$11,"Fail",C598&lt;25,"Marginal",C598&lt;35,"Solid",TRUE,"Blowout")</f>
        <v>Marginal</v>
      </c>
    </row>
    <row r="599" spans="1:13" x14ac:dyDescent="0.25">
      <c r="A599" s="169">
        <f t="shared" ca="1" si="90"/>
        <v>27.847662834924343</v>
      </c>
      <c r="B599" s="168">
        <f t="shared" ca="1" si="91"/>
        <v>8.2790993761107234</v>
      </c>
      <c r="C599" s="168">
        <f t="shared" ca="1" si="92"/>
        <v>19.568563458813621</v>
      </c>
      <c r="D599" s="184">
        <f t="shared" ca="1" si="93"/>
        <v>2.4730996554533715</v>
      </c>
      <c r="E599" s="230">
        <f t="shared" ca="1" si="94"/>
        <v>7.0625829606767807E-3</v>
      </c>
      <c r="F599" s="168">
        <f t="shared" ca="1" si="95"/>
        <v>22.653294201989596</v>
      </c>
      <c r="G599" s="168">
        <f t="shared" ca="1" si="96"/>
        <v>14.374194825878872</v>
      </c>
      <c r="H599" s="184">
        <f t="shared" ca="1" si="97"/>
        <v>1.8166288162194961</v>
      </c>
      <c r="I599" s="184">
        <f t="shared" ca="1" si="98"/>
        <v>3.5293527233768801E-2</v>
      </c>
      <c r="J599" s="223">
        <f t="shared" ca="1" si="99"/>
        <v>0</v>
      </c>
      <c r="K599" s="220" t="str" cm="1">
        <f t="array" aca="1" ref="K599" ca="1">_xlfn.IFS(G599&lt;$B$11,"Fail",G599&lt;25,"Marginal",G599&lt;35,"Solid",TRUE,"Blowout")</f>
        <v>Fail</v>
      </c>
      <c r="L599" s="226">
        <f ca="1">IF(AND(E599&lt;$B$10,C599&gt;=$B$11),1,0)</f>
        <v>0</v>
      </c>
      <c r="M599" s="217" t="str" cm="1">
        <f t="array" aca="1" ref="M599" ca="1">_xlfn.IFS(C599&lt;$B$11,"Fail",C599&lt;25,"Marginal",C599&lt;35,"Solid",TRUE,"Blowout")</f>
        <v>Fail</v>
      </c>
    </row>
    <row r="600" spans="1:13" x14ac:dyDescent="0.25">
      <c r="A600" s="169">
        <f t="shared" ca="1" si="90"/>
        <v>62.772370128615051</v>
      </c>
      <c r="B600" s="168">
        <f t="shared" ca="1" si="91"/>
        <v>6.0570595085880221</v>
      </c>
      <c r="C600" s="168">
        <f t="shared" ca="1" si="92"/>
        <v>56.715310620027026</v>
      </c>
      <c r="D600" s="184">
        <f t="shared" ca="1" si="93"/>
        <v>7.1677522700393181</v>
      </c>
      <c r="E600" s="230">
        <f t="shared" ca="1" si="94"/>
        <v>5.2488285768309792E-12</v>
      </c>
      <c r="F600" s="168">
        <f t="shared" ca="1" si="95"/>
        <v>23.701502169135438</v>
      </c>
      <c r="G600" s="168">
        <f t="shared" ca="1" si="96"/>
        <v>17.644442660547416</v>
      </c>
      <c r="H600" s="184">
        <f t="shared" ca="1" si="97"/>
        <v>2.2299268495773434</v>
      </c>
      <c r="I600" s="184">
        <f t="shared" ca="1" si="98"/>
        <v>1.3363437853910629E-2</v>
      </c>
      <c r="J600" s="223">
        <f t="shared" ca="1" si="99"/>
        <v>0</v>
      </c>
      <c r="K600" s="220" t="str" cm="1">
        <f t="array" aca="1" ref="K600" ca="1">_xlfn.IFS(G600&lt;$B$11,"Fail",G600&lt;25,"Marginal",G600&lt;35,"Solid",TRUE,"Blowout")</f>
        <v>Fail</v>
      </c>
      <c r="L600" s="226">
        <f ca="1">IF(AND(E600&lt;$B$10,C600&gt;=$B$11),1,0)</f>
        <v>1</v>
      </c>
      <c r="M600" s="217" t="str" cm="1">
        <f t="array" aca="1" ref="M600" ca="1">_xlfn.IFS(C600&lt;$B$11,"Fail",C600&lt;25,"Marginal",C600&lt;35,"Solid",TRUE,"Blowout")</f>
        <v>Blowout</v>
      </c>
    </row>
    <row r="601" spans="1:13" x14ac:dyDescent="0.25">
      <c r="A601" s="169">
        <f t="shared" ca="1" si="90"/>
        <v>13.164907406310537</v>
      </c>
      <c r="B601" s="168">
        <f t="shared" ca="1" si="91"/>
        <v>17.57526199829649</v>
      </c>
      <c r="C601" s="168">
        <f t="shared" ca="1" si="92"/>
        <v>-4.4103545919859535</v>
      </c>
      <c r="D601" s="184">
        <f t="shared" ca="1" si="93"/>
        <v>-0.55738615891883814</v>
      </c>
      <c r="E601" s="230">
        <f t="shared" ca="1" si="94"/>
        <v>0.71109479378071572</v>
      </c>
      <c r="F601" s="168">
        <f t="shared" ca="1" si="95"/>
        <v>31.076216079240069</v>
      </c>
      <c r="G601" s="168">
        <f t="shared" ca="1" si="96"/>
        <v>13.500954080943579</v>
      </c>
      <c r="H601" s="184">
        <f t="shared" ca="1" si="97"/>
        <v>1.7062675528609108</v>
      </c>
      <c r="I601" s="184">
        <f t="shared" ca="1" si="98"/>
        <v>4.46599622670278E-2</v>
      </c>
      <c r="J601" s="223">
        <f t="shared" ca="1" si="99"/>
        <v>0</v>
      </c>
      <c r="K601" s="220" t="str" cm="1">
        <f t="array" aca="1" ref="K601" ca="1">_xlfn.IFS(G601&lt;$B$11,"Fail",G601&lt;25,"Marginal",G601&lt;35,"Solid",TRUE,"Blowout")</f>
        <v>Fail</v>
      </c>
      <c r="L601" s="226">
        <f ca="1">IF(AND(E601&lt;$B$10,C601&gt;=$B$11),1,0)</f>
        <v>0</v>
      </c>
      <c r="M601" s="217" t="str" cm="1">
        <f t="array" aca="1" ref="M601" ca="1">_xlfn.IFS(C601&lt;$B$11,"Fail",C601&lt;25,"Marginal",C601&lt;35,"Solid",TRUE,"Blowout")</f>
        <v>Fail</v>
      </c>
    </row>
    <row r="602" spans="1:13" x14ac:dyDescent="0.25">
      <c r="A602" s="169">
        <f t="shared" ca="1" si="90"/>
        <v>18.36627291082646</v>
      </c>
      <c r="B602" s="168">
        <f t="shared" ca="1" si="91"/>
        <v>9.1008899103351411</v>
      </c>
      <c r="C602" s="168">
        <f t="shared" ca="1" si="92"/>
        <v>9.2653830004913189</v>
      </c>
      <c r="D602" s="184">
        <f t="shared" ca="1" si="93"/>
        <v>1.1709707539026384</v>
      </c>
      <c r="E602" s="230">
        <f t="shared" ca="1" si="94"/>
        <v>0.12141644216141752</v>
      </c>
      <c r="F602" s="168">
        <f t="shared" ca="1" si="95"/>
        <v>16.21221868418516</v>
      </c>
      <c r="G602" s="168">
        <f t="shared" ca="1" si="96"/>
        <v>7.111328773850019</v>
      </c>
      <c r="H602" s="184">
        <f t="shared" ca="1" si="97"/>
        <v>0.89873867223007564</v>
      </c>
      <c r="I602" s="184">
        <f t="shared" ca="1" si="98"/>
        <v>0.18487000936311843</v>
      </c>
      <c r="J602" s="223">
        <f t="shared" ca="1" si="99"/>
        <v>0</v>
      </c>
      <c r="K602" s="220" t="str" cm="1">
        <f t="array" aca="1" ref="K602" ca="1">_xlfn.IFS(G602&lt;$B$11,"Fail",G602&lt;25,"Marginal",G602&lt;35,"Solid",TRUE,"Blowout")</f>
        <v>Fail</v>
      </c>
      <c r="L602" s="226">
        <f ca="1">IF(AND(E602&lt;$B$10,C602&gt;=$B$11),1,0)</f>
        <v>0</v>
      </c>
      <c r="M602" s="217" t="str" cm="1">
        <f t="array" aca="1" ref="M602" ca="1">_xlfn.IFS(C602&lt;$B$11,"Fail",C602&lt;25,"Marginal",C602&lt;35,"Solid",TRUE,"Blowout")</f>
        <v>Fail</v>
      </c>
    </row>
    <row r="603" spans="1:13" x14ac:dyDescent="0.25">
      <c r="A603" s="169">
        <f t="shared" ca="1" si="90"/>
        <v>29.214239025133978</v>
      </c>
      <c r="B603" s="168">
        <f t="shared" ca="1" si="91"/>
        <v>2.8895241364999387</v>
      </c>
      <c r="C603" s="168">
        <f t="shared" ca="1" si="92"/>
        <v>26.324714888634038</v>
      </c>
      <c r="D603" s="184">
        <f t="shared" ca="1" si="93"/>
        <v>3.3269505683446887</v>
      </c>
      <c r="E603" s="230">
        <f t="shared" ca="1" si="94"/>
        <v>5.1170221207522506E-4</v>
      </c>
      <c r="F603" s="168">
        <f t="shared" ca="1" si="95"/>
        <v>41.31304118098236</v>
      </c>
      <c r="G603" s="168">
        <f t="shared" ca="1" si="96"/>
        <v>38.423517044482423</v>
      </c>
      <c r="H603" s="184">
        <f t="shared" ca="1" si="97"/>
        <v>4.8560123978450331</v>
      </c>
      <c r="I603" s="184">
        <f t="shared" ca="1" si="98"/>
        <v>1.112222019718611E-6</v>
      </c>
      <c r="J603" s="223">
        <f t="shared" ca="1" si="99"/>
        <v>1</v>
      </c>
      <c r="K603" s="220" t="str" cm="1">
        <f t="array" aca="1" ref="K603" ca="1">_xlfn.IFS(G603&lt;$B$11,"Fail",G603&lt;25,"Marginal",G603&lt;35,"Solid",TRUE,"Blowout")</f>
        <v>Blowout</v>
      </c>
      <c r="L603" s="226">
        <f ca="1">IF(AND(E603&lt;$B$10,C603&gt;=$B$11),1,0)</f>
        <v>1</v>
      </c>
      <c r="M603" s="217" t="str" cm="1">
        <f t="array" aca="1" ref="M603" ca="1">_xlfn.IFS(C603&lt;$B$11,"Fail",C603&lt;25,"Marginal",C603&lt;35,"Solid",TRUE,"Blowout")</f>
        <v>Solid</v>
      </c>
    </row>
    <row r="604" spans="1:13" x14ac:dyDescent="0.25">
      <c r="A604" s="169">
        <f t="shared" ca="1" si="90"/>
        <v>20.616563713534514</v>
      </c>
      <c r="B604" s="168">
        <f t="shared" ca="1" si="91"/>
        <v>5.6968804642742903</v>
      </c>
      <c r="C604" s="168">
        <f t="shared" ca="1" si="92"/>
        <v>14.919683249260224</v>
      </c>
      <c r="D604" s="184">
        <f t="shared" ca="1" si="93"/>
        <v>1.8855683290640435</v>
      </c>
      <c r="E604" s="230">
        <f t="shared" ca="1" si="94"/>
        <v>3.0312312275273479E-2</v>
      </c>
      <c r="F604" s="168">
        <f t="shared" ca="1" si="95"/>
        <v>39.732116326295341</v>
      </c>
      <c r="G604" s="168">
        <f t="shared" ca="1" si="96"/>
        <v>34.035235862021054</v>
      </c>
      <c r="H604" s="184">
        <f t="shared" ca="1" si="97"/>
        <v>4.3014159041770359</v>
      </c>
      <c r="I604" s="184">
        <f t="shared" ca="1" si="98"/>
        <v>1.2589055160735931E-5</v>
      </c>
      <c r="J604" s="223">
        <f t="shared" ca="1" si="99"/>
        <v>1</v>
      </c>
      <c r="K604" s="220" t="str" cm="1">
        <f t="array" aca="1" ref="K604" ca="1">_xlfn.IFS(G604&lt;$B$11,"Fail",G604&lt;25,"Marginal",G604&lt;35,"Solid",TRUE,"Blowout")</f>
        <v>Solid</v>
      </c>
      <c r="L604" s="226">
        <f ca="1">IF(AND(E604&lt;$B$10,C604&gt;=$B$11),1,0)</f>
        <v>0</v>
      </c>
      <c r="M604" s="217" t="str" cm="1">
        <f t="array" aca="1" ref="M604" ca="1">_xlfn.IFS(C604&lt;$B$11,"Fail",C604&lt;25,"Marginal",C604&lt;35,"Solid",TRUE,"Blowout")</f>
        <v>Fail</v>
      </c>
    </row>
    <row r="605" spans="1:13" x14ac:dyDescent="0.25">
      <c r="A605" s="169">
        <f t="shared" ca="1" si="90"/>
        <v>21.792010963414089</v>
      </c>
      <c r="B605" s="168">
        <f t="shared" ca="1" si="91"/>
        <v>4.107655111079513</v>
      </c>
      <c r="C605" s="168">
        <f t="shared" ca="1" si="92"/>
        <v>17.684355852334576</v>
      </c>
      <c r="D605" s="184">
        <f t="shared" ca="1" si="93"/>
        <v>2.2349711289422864</v>
      </c>
      <c r="E605" s="230">
        <f t="shared" ca="1" si="94"/>
        <v>1.3194404176589875E-2</v>
      </c>
      <c r="F605" s="168">
        <f t="shared" ca="1" si="95"/>
        <v>33.178525620272346</v>
      </c>
      <c r="G605" s="168">
        <f t="shared" ca="1" si="96"/>
        <v>29.070870509192833</v>
      </c>
      <c r="H605" s="184">
        <f t="shared" ca="1" si="97"/>
        <v>3.674013168689346</v>
      </c>
      <c r="I605" s="184">
        <f t="shared" ca="1" si="98"/>
        <v>1.4881020297389882E-4</v>
      </c>
      <c r="J605" s="223">
        <f t="shared" ca="1" si="99"/>
        <v>1</v>
      </c>
      <c r="K605" s="220" t="str" cm="1">
        <f t="array" aca="1" ref="K605" ca="1">_xlfn.IFS(G605&lt;$B$11,"Fail",G605&lt;25,"Marginal",G605&lt;35,"Solid",TRUE,"Blowout")</f>
        <v>Solid</v>
      </c>
      <c r="L605" s="226">
        <f ca="1">IF(AND(E605&lt;$B$10,C605&gt;=$B$11),1,0)</f>
        <v>0</v>
      </c>
      <c r="M605" s="217" t="str" cm="1">
        <f t="array" aca="1" ref="M605" ca="1">_xlfn.IFS(C605&lt;$B$11,"Fail",C605&lt;25,"Marginal",C605&lt;35,"Solid",TRUE,"Blowout")</f>
        <v>Fail</v>
      </c>
    </row>
    <row r="606" spans="1:13" x14ac:dyDescent="0.25">
      <c r="A606" s="169">
        <f t="shared" ca="1" si="90"/>
        <v>49.160565578812637</v>
      </c>
      <c r="B606" s="168">
        <f t="shared" ca="1" si="91"/>
        <v>7.0527688414447889</v>
      </c>
      <c r="C606" s="168">
        <f t="shared" ca="1" si="92"/>
        <v>42.107796737367849</v>
      </c>
      <c r="D606" s="184">
        <f t="shared" ca="1" si="93"/>
        <v>5.3216362980483449</v>
      </c>
      <c r="E606" s="230">
        <f t="shared" ca="1" si="94"/>
        <v>1.2278634215044453E-7</v>
      </c>
      <c r="F606" s="168">
        <f t="shared" ca="1" si="95"/>
        <v>51.766249175061525</v>
      </c>
      <c r="G606" s="168">
        <f t="shared" ca="1" si="96"/>
        <v>44.713480333616737</v>
      </c>
      <c r="H606" s="184">
        <f t="shared" ca="1" si="97"/>
        <v>5.650945867331072</v>
      </c>
      <c r="I606" s="184">
        <f t="shared" ca="1" si="98"/>
        <v>2.3688388936460586E-8</v>
      </c>
      <c r="J606" s="223">
        <f t="shared" ca="1" si="99"/>
        <v>1</v>
      </c>
      <c r="K606" s="220" t="str" cm="1">
        <f t="array" aca="1" ref="K606" ca="1">_xlfn.IFS(G606&lt;$B$11,"Fail",G606&lt;25,"Marginal",G606&lt;35,"Solid",TRUE,"Blowout")</f>
        <v>Blowout</v>
      </c>
      <c r="L606" s="226">
        <f ca="1">IF(AND(E606&lt;$B$10,C606&gt;=$B$11),1,0)</f>
        <v>1</v>
      </c>
      <c r="M606" s="217" t="str" cm="1">
        <f t="array" aca="1" ref="M606" ca="1">_xlfn.IFS(C606&lt;$B$11,"Fail",C606&lt;25,"Marginal",C606&lt;35,"Solid",TRUE,"Blowout")</f>
        <v>Blowout</v>
      </c>
    </row>
    <row r="607" spans="1:13" x14ac:dyDescent="0.25">
      <c r="A607" s="169">
        <f t="shared" ca="1" si="90"/>
        <v>45.626988960774398</v>
      </c>
      <c r="B607" s="168">
        <f t="shared" ca="1" si="91"/>
        <v>11.828171682883944</v>
      </c>
      <c r="C607" s="168">
        <f t="shared" ca="1" si="92"/>
        <v>33.79881727789045</v>
      </c>
      <c r="D607" s="184">
        <f t="shared" ca="1" si="93"/>
        <v>4.2715370262416794</v>
      </c>
      <c r="E607" s="230">
        <f t="shared" ca="1" si="94"/>
        <v>1.4256274525075434E-5</v>
      </c>
      <c r="F607" s="168">
        <f t="shared" ca="1" si="95"/>
        <v>32.785302406690704</v>
      </c>
      <c r="G607" s="168">
        <f t="shared" ca="1" si="96"/>
        <v>20.95713072380676</v>
      </c>
      <c r="H607" s="184">
        <f t="shared" ca="1" si="97"/>
        <v>2.6485885323888767</v>
      </c>
      <c r="I607" s="184">
        <f t="shared" ca="1" si="98"/>
        <v>4.3238648807064455E-3</v>
      </c>
      <c r="J607" s="223">
        <f t="shared" ca="1" si="99"/>
        <v>1</v>
      </c>
      <c r="K607" s="220" t="str" cm="1">
        <f t="array" aca="1" ref="K607" ca="1">_xlfn.IFS(G607&lt;$B$11,"Fail",G607&lt;25,"Marginal",G607&lt;35,"Solid",TRUE,"Blowout")</f>
        <v>Marginal</v>
      </c>
      <c r="L607" s="226">
        <f ca="1">IF(AND(E607&lt;$B$10,C607&gt;=$B$11),1,0)</f>
        <v>1</v>
      </c>
      <c r="M607" s="217" t="str" cm="1">
        <f t="array" aca="1" ref="M607" ca="1">_xlfn.IFS(C607&lt;$B$11,"Fail",C607&lt;25,"Marginal",C607&lt;35,"Solid",TRUE,"Blowout")</f>
        <v>Solid</v>
      </c>
    </row>
    <row r="608" spans="1:13" x14ac:dyDescent="0.25">
      <c r="A608" s="169">
        <f t="shared" ca="1" si="90"/>
        <v>48.258840154870121</v>
      </c>
      <c r="B608" s="168">
        <f t="shared" ca="1" si="91"/>
        <v>10.99889914336975</v>
      </c>
      <c r="C608" s="168">
        <f t="shared" ca="1" si="92"/>
        <v>37.259941011500374</v>
      </c>
      <c r="D608" s="184">
        <f t="shared" ca="1" si="93"/>
        <v>4.7089581957152582</v>
      </c>
      <c r="E608" s="230">
        <f t="shared" ca="1" si="94"/>
        <v>2.1624377680622498E-6</v>
      </c>
      <c r="F608" s="168">
        <f t="shared" ca="1" si="95"/>
        <v>31.469373121883017</v>
      </c>
      <c r="G608" s="168">
        <f t="shared" ca="1" si="96"/>
        <v>20.470473978513269</v>
      </c>
      <c r="H608" s="184">
        <f t="shared" ca="1" si="97"/>
        <v>2.5870842409960755</v>
      </c>
      <c r="I608" s="184">
        <f t="shared" ca="1" si="98"/>
        <v>5.1500800819316347E-3</v>
      </c>
      <c r="J608" s="223">
        <f t="shared" ca="1" si="99"/>
        <v>1</v>
      </c>
      <c r="K608" s="220" t="str" cm="1">
        <f t="array" aca="1" ref="K608" ca="1">_xlfn.IFS(G608&lt;$B$11,"Fail",G608&lt;25,"Marginal",G608&lt;35,"Solid",TRUE,"Blowout")</f>
        <v>Marginal</v>
      </c>
      <c r="L608" s="226">
        <f ca="1">IF(AND(E608&lt;$B$10,C608&gt;=$B$11),1,0)</f>
        <v>1</v>
      </c>
      <c r="M608" s="217" t="str" cm="1">
        <f t="array" aca="1" ref="M608" ca="1">_xlfn.IFS(C608&lt;$B$11,"Fail",C608&lt;25,"Marginal",C608&lt;35,"Solid",TRUE,"Blowout")</f>
        <v>Blowout</v>
      </c>
    </row>
    <row r="609" spans="1:13" x14ac:dyDescent="0.25">
      <c r="A609" s="169">
        <f t="shared" ca="1" si="90"/>
        <v>15.004909684987636</v>
      </c>
      <c r="B609" s="168">
        <f t="shared" ca="1" si="91"/>
        <v>8.5091121455026411</v>
      </c>
      <c r="C609" s="168">
        <f t="shared" ca="1" si="92"/>
        <v>6.4957975394849949</v>
      </c>
      <c r="D609" s="184">
        <f t="shared" ca="1" si="93"/>
        <v>0.82094706086152092</v>
      </c>
      <c r="E609" s="230">
        <f t="shared" ca="1" si="94"/>
        <v>0.20626697395899413</v>
      </c>
      <c r="F609" s="168">
        <f t="shared" ca="1" si="95"/>
        <v>12.391917469255292</v>
      </c>
      <c r="G609" s="168">
        <f t="shared" ca="1" si="96"/>
        <v>3.8828053237526508</v>
      </c>
      <c r="H609" s="184">
        <f t="shared" ca="1" si="97"/>
        <v>0.49071381905861017</v>
      </c>
      <c r="I609" s="184">
        <f t="shared" ca="1" si="98"/>
        <v>0.31205040890708247</v>
      </c>
      <c r="J609" s="223">
        <f t="shared" ca="1" si="99"/>
        <v>0</v>
      </c>
      <c r="K609" s="220" t="str" cm="1">
        <f t="array" aca="1" ref="K609" ca="1">_xlfn.IFS(G609&lt;$B$11,"Fail",G609&lt;25,"Marginal",G609&lt;35,"Solid",TRUE,"Blowout")</f>
        <v>Fail</v>
      </c>
      <c r="L609" s="226">
        <f ca="1">IF(AND(E609&lt;$B$10,C609&gt;=$B$11),1,0)</f>
        <v>0</v>
      </c>
      <c r="M609" s="217" t="str" cm="1">
        <f t="array" aca="1" ref="M609" ca="1">_xlfn.IFS(C609&lt;$B$11,"Fail",C609&lt;25,"Marginal",C609&lt;35,"Solid",TRUE,"Blowout")</f>
        <v>Fail</v>
      </c>
    </row>
    <row r="610" spans="1:13" x14ac:dyDescent="0.25">
      <c r="A610" s="169">
        <f t="shared" ca="1" si="90"/>
        <v>11.375278129801494</v>
      </c>
      <c r="B610" s="168">
        <f t="shared" ca="1" si="91"/>
        <v>11.994005962509398</v>
      </c>
      <c r="C610" s="168">
        <f t="shared" ca="1" si="92"/>
        <v>-0.61872783270790421</v>
      </c>
      <c r="D610" s="184">
        <f t="shared" ca="1" si="93"/>
        <v>-7.8195601486533386E-2</v>
      </c>
      <c r="E610" s="230">
        <f t="shared" ca="1" si="94"/>
        <v>0.53112947886080131</v>
      </c>
      <c r="F610" s="168">
        <f t="shared" ca="1" si="95"/>
        <v>31.588849033636873</v>
      </c>
      <c r="G610" s="168">
        <f t="shared" ca="1" si="96"/>
        <v>19.594843071127475</v>
      </c>
      <c r="H610" s="184">
        <f t="shared" ca="1" si="97"/>
        <v>2.4764209059016036</v>
      </c>
      <c r="I610" s="184">
        <f t="shared" ca="1" si="98"/>
        <v>6.9989585560958469E-3</v>
      </c>
      <c r="J610" s="223">
        <f t="shared" ca="1" si="99"/>
        <v>0</v>
      </c>
      <c r="K610" s="220" t="str" cm="1">
        <f t="array" aca="1" ref="K610" ca="1">_xlfn.IFS(G610&lt;$B$11,"Fail",G610&lt;25,"Marginal",G610&lt;35,"Solid",TRUE,"Blowout")</f>
        <v>Fail</v>
      </c>
      <c r="L610" s="226">
        <f ca="1">IF(AND(E610&lt;$B$10,C610&gt;=$B$11),1,0)</f>
        <v>0</v>
      </c>
      <c r="M610" s="217" t="str" cm="1">
        <f t="array" aca="1" ref="M610" ca="1">_xlfn.IFS(C610&lt;$B$11,"Fail",C610&lt;25,"Marginal",C610&lt;35,"Solid",TRUE,"Blowout")</f>
        <v>Fail</v>
      </c>
    </row>
    <row r="611" spans="1:13" x14ac:dyDescent="0.25">
      <c r="A611" s="169">
        <f t="shared" ca="1" si="90"/>
        <v>12.092689117621088</v>
      </c>
      <c r="B611" s="168">
        <f t="shared" ca="1" si="91"/>
        <v>-2.4725156087209745</v>
      </c>
      <c r="C611" s="168">
        <f t="shared" ca="1" si="92"/>
        <v>14.565204726342063</v>
      </c>
      <c r="D611" s="184">
        <f t="shared" ca="1" si="93"/>
        <v>1.8407688876160471</v>
      </c>
      <c r="E611" s="230">
        <f t="shared" ca="1" si="94"/>
        <v>3.3477433298750969E-2</v>
      </c>
      <c r="F611" s="168">
        <f t="shared" ca="1" si="95"/>
        <v>12.328879070636418</v>
      </c>
      <c r="G611" s="168">
        <f t="shared" ca="1" si="96"/>
        <v>14.801394679357394</v>
      </c>
      <c r="H611" s="184">
        <f t="shared" ca="1" si="97"/>
        <v>1.8706188708635745</v>
      </c>
      <c r="I611" s="184">
        <f t="shared" ca="1" si="98"/>
        <v>3.133954889537207E-2</v>
      </c>
      <c r="J611" s="223">
        <f t="shared" ca="1" si="99"/>
        <v>0</v>
      </c>
      <c r="K611" s="220" t="str" cm="1">
        <f t="array" aca="1" ref="K611" ca="1">_xlfn.IFS(G611&lt;$B$11,"Fail",G611&lt;25,"Marginal",G611&lt;35,"Solid",TRUE,"Blowout")</f>
        <v>Fail</v>
      </c>
      <c r="L611" s="226">
        <f ca="1">IF(AND(E611&lt;$B$10,C611&gt;=$B$11),1,0)</f>
        <v>0</v>
      </c>
      <c r="M611" s="217" t="str" cm="1">
        <f t="array" aca="1" ref="M611" ca="1">_xlfn.IFS(C611&lt;$B$11,"Fail",C611&lt;25,"Marginal",C611&lt;35,"Solid",TRUE,"Blowout")</f>
        <v>Fail</v>
      </c>
    </row>
    <row r="612" spans="1:13" x14ac:dyDescent="0.25">
      <c r="A612" s="169">
        <f t="shared" ca="1" si="90"/>
        <v>25.955294894987006</v>
      </c>
      <c r="B612" s="168">
        <f t="shared" ca="1" si="91"/>
        <v>11.564093300388084</v>
      </c>
      <c r="C612" s="168">
        <f t="shared" ca="1" si="92"/>
        <v>14.391201594598922</v>
      </c>
      <c r="D612" s="184">
        <f t="shared" ca="1" si="93"/>
        <v>1.8187781530346616</v>
      </c>
      <c r="E612" s="230">
        <f t="shared" ca="1" si="94"/>
        <v>3.512859758283525E-2</v>
      </c>
      <c r="F612" s="168">
        <f t="shared" ca="1" si="95"/>
        <v>36.119583855516026</v>
      </c>
      <c r="G612" s="168">
        <f t="shared" ca="1" si="96"/>
        <v>24.555490555127943</v>
      </c>
      <c r="H612" s="184">
        <f t="shared" ca="1" si="97"/>
        <v>3.1033537724519911</v>
      </c>
      <c r="I612" s="184">
        <f t="shared" ca="1" si="98"/>
        <v>1.0776380076612786E-3</v>
      </c>
      <c r="J612" s="223">
        <f t="shared" ca="1" si="99"/>
        <v>1</v>
      </c>
      <c r="K612" s="220" t="str" cm="1">
        <f t="array" aca="1" ref="K612" ca="1">_xlfn.IFS(G612&lt;$B$11,"Fail",G612&lt;25,"Marginal",G612&lt;35,"Solid",TRUE,"Blowout")</f>
        <v>Marginal</v>
      </c>
      <c r="L612" s="226">
        <f ca="1">IF(AND(E612&lt;$B$10,C612&gt;=$B$11),1,0)</f>
        <v>0</v>
      </c>
      <c r="M612" s="217" t="str" cm="1">
        <f t="array" aca="1" ref="M612" ca="1">_xlfn.IFS(C612&lt;$B$11,"Fail",C612&lt;25,"Marginal",C612&lt;35,"Solid",TRUE,"Blowout")</f>
        <v>Fail</v>
      </c>
    </row>
    <row r="613" spans="1:13" x14ac:dyDescent="0.25">
      <c r="A613" s="169">
        <f t="shared" ca="1" si="90"/>
        <v>50.298227373158021</v>
      </c>
      <c r="B613" s="168">
        <f t="shared" ca="1" si="91"/>
        <v>-1.4701474514932933</v>
      </c>
      <c r="C613" s="168">
        <f t="shared" ca="1" si="92"/>
        <v>51.768374824651318</v>
      </c>
      <c r="D613" s="184">
        <f t="shared" ca="1" si="93"/>
        <v>6.5425523039384164</v>
      </c>
      <c r="E613" s="230">
        <f t="shared" ca="1" si="94"/>
        <v>1.9688978157045557E-10</v>
      </c>
      <c r="F613" s="168">
        <f t="shared" ca="1" si="95"/>
        <v>15.860950007846522</v>
      </c>
      <c r="G613" s="168">
        <f t="shared" ca="1" si="96"/>
        <v>17.331097459339816</v>
      </c>
      <c r="H613" s="184">
        <f t="shared" ca="1" si="97"/>
        <v>2.1903258890482018</v>
      </c>
      <c r="I613" s="184">
        <f t="shared" ca="1" si="98"/>
        <v>1.475709545366255E-2</v>
      </c>
      <c r="J613" s="223">
        <f t="shared" ca="1" si="99"/>
        <v>0</v>
      </c>
      <c r="K613" s="220" t="str" cm="1">
        <f t="array" aca="1" ref="K613" ca="1">_xlfn.IFS(G613&lt;$B$11,"Fail",G613&lt;25,"Marginal",G613&lt;35,"Solid",TRUE,"Blowout")</f>
        <v>Fail</v>
      </c>
      <c r="L613" s="226">
        <f ca="1">IF(AND(E613&lt;$B$10,C613&gt;=$B$11),1,0)</f>
        <v>1</v>
      </c>
      <c r="M613" s="217" t="str" cm="1">
        <f t="array" aca="1" ref="M613" ca="1">_xlfn.IFS(C613&lt;$B$11,"Fail",C613&lt;25,"Marginal",C613&lt;35,"Solid",TRUE,"Blowout")</f>
        <v>Blowout</v>
      </c>
    </row>
    <row r="614" spans="1:13" x14ac:dyDescent="0.25">
      <c r="A614" s="169">
        <f t="shared" ca="1" si="90"/>
        <v>24.565985862706242</v>
      </c>
      <c r="B614" s="168">
        <f t="shared" ca="1" si="91"/>
        <v>6.5523524607226529</v>
      </c>
      <c r="C614" s="168">
        <f t="shared" ca="1" si="92"/>
        <v>18.01363340198359</v>
      </c>
      <c r="D614" s="184">
        <f t="shared" ca="1" si="93"/>
        <v>2.2765856397008029</v>
      </c>
      <c r="E614" s="230">
        <f t="shared" ca="1" si="94"/>
        <v>1.1869457491235491E-2</v>
      </c>
      <c r="F614" s="168">
        <f t="shared" ca="1" si="95"/>
        <v>28.522246528158004</v>
      </c>
      <c r="G614" s="168">
        <f t="shared" ca="1" si="96"/>
        <v>21.969894067435352</v>
      </c>
      <c r="H614" s="184">
        <f t="shared" ca="1" si="97"/>
        <v>2.7765828372061563</v>
      </c>
      <c r="I614" s="184">
        <f t="shared" ca="1" si="98"/>
        <v>2.9750134176001679E-3</v>
      </c>
      <c r="J614" s="223">
        <f t="shared" ca="1" si="99"/>
        <v>1</v>
      </c>
      <c r="K614" s="220" t="str" cm="1">
        <f t="array" aca="1" ref="K614" ca="1">_xlfn.IFS(G614&lt;$B$11,"Fail",G614&lt;25,"Marginal",G614&lt;35,"Solid",TRUE,"Blowout")</f>
        <v>Marginal</v>
      </c>
      <c r="L614" s="226">
        <f ca="1">IF(AND(E614&lt;$B$10,C614&gt;=$B$11),1,0)</f>
        <v>0</v>
      </c>
      <c r="M614" s="217" t="str" cm="1">
        <f t="array" aca="1" ref="M614" ca="1">_xlfn.IFS(C614&lt;$B$11,"Fail",C614&lt;25,"Marginal",C614&lt;35,"Solid",TRUE,"Blowout")</f>
        <v>Fail</v>
      </c>
    </row>
    <row r="615" spans="1:13" x14ac:dyDescent="0.25">
      <c r="A615" s="169">
        <f t="shared" ca="1" si="90"/>
        <v>9.1437024928011255</v>
      </c>
      <c r="B615" s="168">
        <f t="shared" ca="1" si="91"/>
        <v>2.5548838065789146</v>
      </c>
      <c r="C615" s="168">
        <f t="shared" ca="1" si="92"/>
        <v>6.5888186862222113</v>
      </c>
      <c r="D615" s="184">
        <f t="shared" ca="1" si="93"/>
        <v>0.83270319035104012</v>
      </c>
      <c r="E615" s="230">
        <f t="shared" ca="1" si="94"/>
        <v>0.20294176494125793</v>
      </c>
      <c r="F615" s="168">
        <f t="shared" ca="1" si="95"/>
        <v>26.785634322783796</v>
      </c>
      <c r="G615" s="168">
        <f t="shared" ca="1" si="96"/>
        <v>24.230750516204882</v>
      </c>
      <c r="H615" s="184">
        <f t="shared" ca="1" si="97"/>
        <v>3.0623127180044909</v>
      </c>
      <c r="I615" s="184">
        <f t="shared" ca="1" si="98"/>
        <v>1.230093271911749E-3</v>
      </c>
      <c r="J615" s="223">
        <f t="shared" ca="1" si="99"/>
        <v>1</v>
      </c>
      <c r="K615" s="220" t="str" cm="1">
        <f t="array" aca="1" ref="K615" ca="1">_xlfn.IFS(G615&lt;$B$11,"Fail",G615&lt;25,"Marginal",G615&lt;35,"Solid",TRUE,"Blowout")</f>
        <v>Marginal</v>
      </c>
      <c r="L615" s="226">
        <f ca="1">IF(AND(E615&lt;$B$10,C615&gt;=$B$11),1,0)</f>
        <v>0</v>
      </c>
      <c r="M615" s="217" t="str" cm="1">
        <f t="array" aca="1" ref="M615" ca="1">_xlfn.IFS(C615&lt;$B$11,"Fail",C615&lt;25,"Marginal",C615&lt;35,"Solid",TRUE,"Blowout")</f>
        <v>Fail</v>
      </c>
    </row>
    <row r="616" spans="1:13" x14ac:dyDescent="0.25">
      <c r="A616" s="169">
        <f t="shared" ca="1" si="90"/>
        <v>12.676911955650837</v>
      </c>
      <c r="B616" s="168">
        <f t="shared" ca="1" si="91"/>
        <v>4.7174330134205205</v>
      </c>
      <c r="C616" s="168">
        <f t="shared" ca="1" si="92"/>
        <v>7.9594789422303167</v>
      </c>
      <c r="D616" s="184">
        <f t="shared" ca="1" si="93"/>
        <v>1.0059289569747281</v>
      </c>
      <c r="E616" s="230">
        <f t="shared" ca="1" si="94"/>
        <v>0.15775805912537397</v>
      </c>
      <c r="F616" s="168">
        <f t="shared" ca="1" si="95"/>
        <v>1.2511579769034715</v>
      </c>
      <c r="G616" s="168">
        <f t="shared" ca="1" si="96"/>
        <v>-3.4662750365170489</v>
      </c>
      <c r="H616" s="184">
        <f t="shared" ca="1" si="97"/>
        <v>-0.43807219761223376</v>
      </c>
      <c r="I616" s="184">
        <f t="shared" ca="1" si="98"/>
        <v>0.66912565386372869</v>
      </c>
      <c r="J616" s="223">
        <f t="shared" ca="1" si="99"/>
        <v>0</v>
      </c>
      <c r="K616" s="220" t="str" cm="1">
        <f t="array" aca="1" ref="K616" ca="1">_xlfn.IFS(G616&lt;$B$11,"Fail",G616&lt;25,"Marginal",G616&lt;35,"Solid",TRUE,"Blowout")</f>
        <v>Fail</v>
      </c>
      <c r="L616" s="226">
        <f ca="1">IF(AND(E616&lt;$B$10,C616&gt;=$B$11),1,0)</f>
        <v>0</v>
      </c>
      <c r="M616" s="217" t="str" cm="1">
        <f t="array" aca="1" ref="M616" ca="1">_xlfn.IFS(C616&lt;$B$11,"Fail",C616&lt;25,"Marginal",C616&lt;35,"Solid",TRUE,"Blowout")</f>
        <v>Fail</v>
      </c>
    </row>
    <row r="617" spans="1:13" x14ac:dyDescent="0.25">
      <c r="A617" s="169">
        <f t="shared" ca="1" si="90"/>
        <v>20.43774090275215</v>
      </c>
      <c r="B617" s="168">
        <f t="shared" ca="1" si="91"/>
        <v>4.3009605635099275</v>
      </c>
      <c r="C617" s="168">
        <f t="shared" ca="1" si="92"/>
        <v>16.136780339242222</v>
      </c>
      <c r="D617" s="184">
        <f t="shared" ca="1" si="93"/>
        <v>2.0393865896748951</v>
      </c>
      <c r="E617" s="230">
        <f t="shared" ca="1" si="94"/>
        <v>2.1282398083109125E-2</v>
      </c>
      <c r="F617" s="168">
        <f t="shared" ca="1" si="95"/>
        <v>25.660315045159599</v>
      </c>
      <c r="G617" s="168">
        <f t="shared" ca="1" si="96"/>
        <v>21.359354481649671</v>
      </c>
      <c r="H617" s="184">
        <f t="shared" ca="1" si="97"/>
        <v>2.6994220766615622</v>
      </c>
      <c r="I617" s="184">
        <f t="shared" ca="1" si="98"/>
        <v>3.7332103202295228E-3</v>
      </c>
      <c r="J617" s="223">
        <f t="shared" ca="1" si="99"/>
        <v>1</v>
      </c>
      <c r="K617" s="220" t="str" cm="1">
        <f t="array" aca="1" ref="K617" ca="1">_xlfn.IFS(G617&lt;$B$11,"Fail",G617&lt;25,"Marginal",G617&lt;35,"Solid",TRUE,"Blowout")</f>
        <v>Marginal</v>
      </c>
      <c r="L617" s="226">
        <f ca="1">IF(AND(E617&lt;$B$10,C617&gt;=$B$11),1,0)</f>
        <v>0</v>
      </c>
      <c r="M617" s="217" t="str" cm="1">
        <f t="array" aca="1" ref="M617" ca="1">_xlfn.IFS(C617&lt;$B$11,"Fail",C617&lt;25,"Marginal",C617&lt;35,"Solid",TRUE,"Blowout")</f>
        <v>Fail</v>
      </c>
    </row>
    <row r="618" spans="1:13" x14ac:dyDescent="0.25">
      <c r="A618" s="169">
        <f t="shared" ca="1" si="90"/>
        <v>73.405154677114879</v>
      </c>
      <c r="B618" s="168">
        <f t="shared" ca="1" si="91"/>
        <v>-0.1529106540679166</v>
      </c>
      <c r="C618" s="168">
        <f t="shared" ca="1" si="92"/>
        <v>73.558065331182803</v>
      </c>
      <c r="D618" s="184">
        <f t="shared" ca="1" si="93"/>
        <v>9.2963607885294302</v>
      </c>
      <c r="E618" s="230">
        <f t="shared" ca="1" si="94"/>
        <v>6.0969228614872962E-18</v>
      </c>
      <c r="F618" s="168">
        <f t="shared" ca="1" si="95"/>
        <v>13.150035199409647</v>
      </c>
      <c r="G618" s="168">
        <f t="shared" ca="1" si="96"/>
        <v>13.302945853477564</v>
      </c>
      <c r="H618" s="184">
        <f t="shared" ca="1" si="97"/>
        <v>1.6812430240980403</v>
      </c>
      <c r="I618" s="184">
        <f t="shared" ca="1" si="98"/>
        <v>4.7042493797614972E-2</v>
      </c>
      <c r="J618" s="223">
        <f t="shared" ca="1" si="99"/>
        <v>0</v>
      </c>
      <c r="K618" s="220" t="str" cm="1">
        <f t="array" aca="1" ref="K618" ca="1">_xlfn.IFS(G618&lt;$B$11,"Fail",G618&lt;25,"Marginal",G618&lt;35,"Solid",TRUE,"Blowout")</f>
        <v>Fail</v>
      </c>
      <c r="L618" s="226">
        <f ca="1">IF(AND(E618&lt;$B$10,C618&gt;=$B$11),1,0)</f>
        <v>1</v>
      </c>
      <c r="M618" s="217" t="str" cm="1">
        <f t="array" aca="1" ref="M618" ca="1">_xlfn.IFS(C618&lt;$B$11,"Fail",C618&lt;25,"Marginal",C618&lt;35,"Solid",TRUE,"Blowout")</f>
        <v>Blowout</v>
      </c>
    </row>
    <row r="619" spans="1:13" x14ac:dyDescent="0.25">
      <c r="A619" s="169">
        <f t="shared" ca="1" si="90"/>
        <v>25.416691030114059</v>
      </c>
      <c r="B619" s="168">
        <f t="shared" ca="1" si="91"/>
        <v>2.3550487299304503</v>
      </c>
      <c r="C619" s="168">
        <f t="shared" ca="1" si="92"/>
        <v>23.061642300183607</v>
      </c>
      <c r="D619" s="184">
        <f t="shared" ca="1" si="93"/>
        <v>2.9145593516260466</v>
      </c>
      <c r="E619" s="230">
        <f t="shared" ca="1" si="94"/>
        <v>1.9583647455158138E-3</v>
      </c>
      <c r="F619" s="168">
        <f t="shared" ca="1" si="95"/>
        <v>36.606977925048007</v>
      </c>
      <c r="G619" s="168">
        <f t="shared" ca="1" si="96"/>
        <v>34.251929195117555</v>
      </c>
      <c r="H619" s="184">
        <f t="shared" ca="1" si="97"/>
        <v>4.3288018800841552</v>
      </c>
      <c r="I619" s="184">
        <f t="shared" ca="1" si="98"/>
        <v>1.122624169967072E-5</v>
      </c>
      <c r="J619" s="223">
        <f t="shared" ca="1" si="99"/>
        <v>1</v>
      </c>
      <c r="K619" s="220" t="str" cm="1">
        <f t="array" aca="1" ref="K619" ca="1">_xlfn.IFS(G619&lt;$B$11,"Fail",G619&lt;25,"Marginal",G619&lt;35,"Solid",TRUE,"Blowout")</f>
        <v>Solid</v>
      </c>
      <c r="L619" s="226">
        <f ca="1">IF(AND(E619&lt;$B$10,C619&gt;=$B$11),1,0)</f>
        <v>1</v>
      </c>
      <c r="M619" s="217" t="str" cm="1">
        <f t="array" aca="1" ref="M619" ca="1">_xlfn.IFS(C619&lt;$B$11,"Fail",C619&lt;25,"Marginal",C619&lt;35,"Solid",TRUE,"Blowout")</f>
        <v>Marginal</v>
      </c>
    </row>
    <row r="620" spans="1:13" x14ac:dyDescent="0.25">
      <c r="A620" s="169">
        <f t="shared" ca="1" si="90"/>
        <v>78.447933622888229</v>
      </c>
      <c r="B620" s="168">
        <f t="shared" ca="1" si="91"/>
        <v>1.8284693365032014</v>
      </c>
      <c r="C620" s="168">
        <f t="shared" ca="1" si="92"/>
        <v>76.619464286385025</v>
      </c>
      <c r="D620" s="184">
        <f t="shared" ca="1" si="93"/>
        <v>9.6832642378935638</v>
      </c>
      <c r="E620" s="230">
        <f t="shared" ca="1" si="94"/>
        <v>4.2637649596048637E-19</v>
      </c>
      <c r="F620" s="168">
        <f t="shared" ca="1" si="95"/>
        <v>28.247614886982205</v>
      </c>
      <c r="G620" s="168">
        <f t="shared" ca="1" si="96"/>
        <v>26.419145550479005</v>
      </c>
      <c r="H620" s="184">
        <f t="shared" ca="1" si="97"/>
        <v>3.3388848341258508</v>
      </c>
      <c r="I620" s="184">
        <f t="shared" ca="1" si="98"/>
        <v>4.9120487003680581E-4</v>
      </c>
      <c r="J620" s="223">
        <f t="shared" ca="1" si="99"/>
        <v>1</v>
      </c>
      <c r="K620" s="220" t="str" cm="1">
        <f t="array" aca="1" ref="K620" ca="1">_xlfn.IFS(G620&lt;$B$11,"Fail",G620&lt;25,"Marginal",G620&lt;35,"Solid",TRUE,"Blowout")</f>
        <v>Solid</v>
      </c>
      <c r="L620" s="226">
        <f ca="1">IF(AND(E620&lt;$B$10,C620&gt;=$B$11),1,0)</f>
        <v>1</v>
      </c>
      <c r="M620" s="217" t="str" cm="1">
        <f t="array" aca="1" ref="M620" ca="1">_xlfn.IFS(C620&lt;$B$11,"Fail",C620&lt;25,"Marginal",C620&lt;35,"Solid",TRUE,"Blowout")</f>
        <v>Blowout</v>
      </c>
    </row>
    <row r="621" spans="1:13" x14ac:dyDescent="0.25">
      <c r="A621" s="169">
        <f t="shared" ca="1" si="90"/>
        <v>-7.6432973838866651</v>
      </c>
      <c r="B621" s="168">
        <f t="shared" ca="1" si="91"/>
        <v>-1.3623852057723091</v>
      </c>
      <c r="C621" s="168">
        <f t="shared" ca="1" si="92"/>
        <v>-6.280912178114356</v>
      </c>
      <c r="D621" s="184">
        <f t="shared" ca="1" si="93"/>
        <v>-0.79378957869446154</v>
      </c>
      <c r="E621" s="230">
        <f t="shared" ca="1" si="94"/>
        <v>0.78592835166256569</v>
      </c>
      <c r="F621" s="168">
        <f t="shared" ca="1" si="95"/>
        <v>34.403423500746584</v>
      </c>
      <c r="G621" s="168">
        <f t="shared" ca="1" si="96"/>
        <v>35.765808706518897</v>
      </c>
      <c r="H621" s="184">
        <f t="shared" ca="1" si="97"/>
        <v>4.5201278762884556</v>
      </c>
      <c r="I621" s="184">
        <f t="shared" ca="1" si="98"/>
        <v>4.9650977530066813E-6</v>
      </c>
      <c r="J621" s="223">
        <f t="shared" ca="1" si="99"/>
        <v>1</v>
      </c>
      <c r="K621" s="220" t="str" cm="1">
        <f t="array" aca="1" ref="K621" ca="1">_xlfn.IFS(G621&lt;$B$11,"Fail",G621&lt;25,"Marginal",G621&lt;35,"Solid",TRUE,"Blowout")</f>
        <v>Blowout</v>
      </c>
      <c r="L621" s="226">
        <f ca="1">IF(AND(E621&lt;$B$10,C621&gt;=$B$11),1,0)</f>
        <v>0</v>
      </c>
      <c r="M621" s="217" t="str" cm="1">
        <f t="array" aca="1" ref="M621" ca="1">_xlfn.IFS(C621&lt;$B$11,"Fail",C621&lt;25,"Marginal",C621&lt;35,"Solid",TRUE,"Blowout")</f>
        <v>Fail</v>
      </c>
    </row>
    <row r="622" spans="1:13" x14ac:dyDescent="0.25">
      <c r="A622" s="169">
        <f t="shared" ca="1" si="90"/>
        <v>55.746754468226669</v>
      </c>
      <c r="B622" s="168">
        <f t="shared" ca="1" si="91"/>
        <v>-2.169774058970134</v>
      </c>
      <c r="C622" s="168">
        <f t="shared" ca="1" si="92"/>
        <v>57.916528527196803</v>
      </c>
      <c r="D622" s="184">
        <f t="shared" ca="1" si="93"/>
        <v>7.319563699559863</v>
      </c>
      <c r="E622" s="230">
        <f t="shared" ca="1" si="94"/>
        <v>2.1122723174353291E-12</v>
      </c>
      <c r="F622" s="168">
        <f t="shared" ca="1" si="95"/>
        <v>30.158116163761385</v>
      </c>
      <c r="G622" s="168">
        <f t="shared" ca="1" si="96"/>
        <v>32.327890222731519</v>
      </c>
      <c r="H622" s="184">
        <f t="shared" ca="1" si="97"/>
        <v>4.0856394154657512</v>
      </c>
      <c r="I622" s="184">
        <f t="shared" ca="1" si="98"/>
        <v>3.0447725717313228E-5</v>
      </c>
      <c r="J622" s="223">
        <f t="shared" ca="1" si="99"/>
        <v>1</v>
      </c>
      <c r="K622" s="220" t="str" cm="1">
        <f t="array" aca="1" ref="K622" ca="1">_xlfn.IFS(G622&lt;$B$11,"Fail",G622&lt;25,"Marginal",G622&lt;35,"Solid",TRUE,"Blowout")</f>
        <v>Solid</v>
      </c>
      <c r="L622" s="226">
        <f ca="1">IF(AND(E622&lt;$B$10,C622&gt;=$B$11),1,0)</f>
        <v>1</v>
      </c>
      <c r="M622" s="217" t="str" cm="1">
        <f t="array" aca="1" ref="M622" ca="1">_xlfn.IFS(C622&lt;$B$11,"Fail",C622&lt;25,"Marginal",C622&lt;35,"Solid",TRUE,"Blowout")</f>
        <v>Blowout</v>
      </c>
    </row>
    <row r="623" spans="1:13" x14ac:dyDescent="0.25">
      <c r="A623" s="169">
        <f t="shared" ca="1" si="90"/>
        <v>40.531211634069088</v>
      </c>
      <c r="B623" s="168">
        <f t="shared" ca="1" si="91"/>
        <v>16.3250913419432</v>
      </c>
      <c r="C623" s="168">
        <f t="shared" ca="1" si="92"/>
        <v>24.206120292125888</v>
      </c>
      <c r="D623" s="184">
        <f t="shared" ca="1" si="93"/>
        <v>3.0591999193153225</v>
      </c>
      <c r="E623" s="230">
        <f t="shared" ca="1" si="94"/>
        <v>1.2424311280938101E-3</v>
      </c>
      <c r="F623" s="168">
        <f t="shared" ca="1" si="95"/>
        <v>39.484535411526565</v>
      </c>
      <c r="G623" s="168">
        <f t="shared" ca="1" si="96"/>
        <v>23.159444069583365</v>
      </c>
      <c r="H623" s="184">
        <f t="shared" ca="1" si="97"/>
        <v>2.9269196622188169</v>
      </c>
      <c r="I623" s="184">
        <f t="shared" ca="1" si="98"/>
        <v>1.8849305906937243E-3</v>
      </c>
      <c r="J623" s="223">
        <f t="shared" ca="1" si="99"/>
        <v>1</v>
      </c>
      <c r="K623" s="220" t="str" cm="1">
        <f t="array" aca="1" ref="K623" ca="1">_xlfn.IFS(G623&lt;$B$11,"Fail",G623&lt;25,"Marginal",G623&lt;35,"Solid",TRUE,"Blowout")</f>
        <v>Marginal</v>
      </c>
      <c r="L623" s="226">
        <f ca="1">IF(AND(E623&lt;$B$10,C623&gt;=$B$11),1,0)</f>
        <v>1</v>
      </c>
      <c r="M623" s="217" t="str" cm="1">
        <f t="array" aca="1" ref="M623" ca="1">_xlfn.IFS(C623&lt;$B$11,"Fail",C623&lt;25,"Marginal",C623&lt;35,"Solid",TRUE,"Blowout")</f>
        <v>Marginal</v>
      </c>
    </row>
    <row r="624" spans="1:13" x14ac:dyDescent="0.25">
      <c r="A624" s="169">
        <f t="shared" ca="1" si="90"/>
        <v>35.870881351797948</v>
      </c>
      <c r="B624" s="168">
        <f t="shared" ca="1" si="91"/>
        <v>-7.2951090821444868</v>
      </c>
      <c r="C624" s="168">
        <f t="shared" ca="1" si="92"/>
        <v>43.165990433942433</v>
      </c>
      <c r="D624" s="184">
        <f t="shared" ca="1" si="93"/>
        <v>5.4553721479951038</v>
      </c>
      <c r="E624" s="230">
        <f t="shared" ca="1" si="94"/>
        <v>6.3476658753520176E-8</v>
      </c>
      <c r="F624" s="168">
        <f t="shared" ca="1" si="95"/>
        <v>37.286629336865133</v>
      </c>
      <c r="G624" s="168">
        <f t="shared" ca="1" si="96"/>
        <v>44.581738419009618</v>
      </c>
      <c r="H624" s="184">
        <f t="shared" ca="1" si="97"/>
        <v>5.6342961585106277</v>
      </c>
      <c r="I624" s="184">
        <f t="shared" ca="1" si="98"/>
        <v>2.5786467818074959E-8</v>
      </c>
      <c r="J624" s="223">
        <f t="shared" ca="1" si="99"/>
        <v>1</v>
      </c>
      <c r="K624" s="220" t="str" cm="1">
        <f t="array" aca="1" ref="K624" ca="1">_xlfn.IFS(G624&lt;$B$11,"Fail",G624&lt;25,"Marginal",G624&lt;35,"Solid",TRUE,"Blowout")</f>
        <v>Blowout</v>
      </c>
      <c r="L624" s="226">
        <f ca="1">IF(AND(E624&lt;$B$10,C624&gt;=$B$11),1,0)</f>
        <v>1</v>
      </c>
      <c r="M624" s="217" t="str" cm="1">
        <f t="array" aca="1" ref="M624" ca="1">_xlfn.IFS(C624&lt;$B$11,"Fail",C624&lt;25,"Marginal",C624&lt;35,"Solid",TRUE,"Blowout")</f>
        <v>Blowout</v>
      </c>
    </row>
    <row r="625" spans="1:13" x14ac:dyDescent="0.25">
      <c r="A625" s="169">
        <f t="shared" ca="1" si="90"/>
        <v>69.761453645129023</v>
      </c>
      <c r="B625" s="168">
        <f t="shared" ca="1" si="91"/>
        <v>7.208424100019549</v>
      </c>
      <c r="C625" s="168">
        <f t="shared" ca="1" si="92"/>
        <v>62.553029545109474</v>
      </c>
      <c r="D625" s="184">
        <f t="shared" ca="1" si="93"/>
        <v>7.9055305281440305</v>
      </c>
      <c r="E625" s="230">
        <f t="shared" ca="1" si="94"/>
        <v>5.6862174154466119E-14</v>
      </c>
      <c r="F625" s="168">
        <f t="shared" ca="1" si="95"/>
        <v>3.8056751896448127</v>
      </c>
      <c r="G625" s="168">
        <f t="shared" ca="1" si="96"/>
        <v>-3.4027489103747364</v>
      </c>
      <c r="H625" s="184">
        <f t="shared" ca="1" si="97"/>
        <v>-0.4300436859125627</v>
      </c>
      <c r="I625" s="184">
        <f t="shared" ca="1" si="98"/>
        <v>0.66621497972451094</v>
      </c>
      <c r="J625" s="223">
        <f t="shared" ca="1" si="99"/>
        <v>0</v>
      </c>
      <c r="K625" s="220" t="str" cm="1">
        <f t="array" aca="1" ref="K625" ca="1">_xlfn.IFS(G625&lt;$B$11,"Fail",G625&lt;25,"Marginal",G625&lt;35,"Solid",TRUE,"Blowout")</f>
        <v>Fail</v>
      </c>
      <c r="L625" s="226">
        <f ca="1">IF(AND(E625&lt;$B$10,C625&gt;=$B$11),1,0)</f>
        <v>1</v>
      </c>
      <c r="M625" s="217" t="str" cm="1">
        <f t="array" aca="1" ref="M625" ca="1">_xlfn.IFS(C625&lt;$B$11,"Fail",C625&lt;25,"Marginal",C625&lt;35,"Solid",TRUE,"Blowout")</f>
        <v>Blowout</v>
      </c>
    </row>
    <row r="626" spans="1:13" x14ac:dyDescent="0.25">
      <c r="A626" s="169">
        <f t="shared" ca="1" si="90"/>
        <v>21.460432761647404</v>
      </c>
      <c r="B626" s="168">
        <f t="shared" ca="1" si="91"/>
        <v>2.7572039521729086</v>
      </c>
      <c r="C626" s="168">
        <f t="shared" ca="1" si="92"/>
        <v>18.703228809474496</v>
      </c>
      <c r="D626" s="184">
        <f t="shared" ca="1" si="93"/>
        <v>2.3637375743973612</v>
      </c>
      <c r="E626" s="230">
        <f t="shared" ca="1" si="94"/>
        <v>9.4657767304991251E-3</v>
      </c>
      <c r="F626" s="168">
        <f t="shared" ca="1" si="95"/>
        <v>17.119110761760801</v>
      </c>
      <c r="G626" s="168">
        <f t="shared" ca="1" si="96"/>
        <v>14.361906809587893</v>
      </c>
      <c r="H626" s="184">
        <f t="shared" ca="1" si="97"/>
        <v>1.8150758412696799</v>
      </c>
      <c r="I626" s="184">
        <f t="shared" ca="1" si="98"/>
        <v>3.5413092403863158E-2</v>
      </c>
      <c r="J626" s="223">
        <f t="shared" ca="1" si="99"/>
        <v>0</v>
      </c>
      <c r="K626" s="220" t="str" cm="1">
        <f t="array" aca="1" ref="K626" ca="1">_xlfn.IFS(G626&lt;$B$11,"Fail",G626&lt;25,"Marginal",G626&lt;35,"Solid",TRUE,"Blowout")</f>
        <v>Fail</v>
      </c>
      <c r="L626" s="226">
        <f ca="1">IF(AND(E626&lt;$B$10,C626&gt;=$B$11),1,0)</f>
        <v>0</v>
      </c>
      <c r="M626" s="217" t="str" cm="1">
        <f t="array" aca="1" ref="M626" ca="1">_xlfn.IFS(C626&lt;$B$11,"Fail",C626&lt;25,"Marginal",C626&lt;35,"Solid",TRUE,"Blowout")</f>
        <v>Fail</v>
      </c>
    </row>
    <row r="627" spans="1:13" x14ac:dyDescent="0.25">
      <c r="A627" s="169">
        <f t="shared" ca="1" si="90"/>
        <v>54.283836345514146</v>
      </c>
      <c r="B627" s="168">
        <f t="shared" ca="1" si="91"/>
        <v>-6.7259374917168788</v>
      </c>
      <c r="C627" s="168">
        <f t="shared" ca="1" si="92"/>
        <v>61.009773837231023</v>
      </c>
      <c r="D627" s="184">
        <f t="shared" ca="1" si="93"/>
        <v>7.7104919312912985</v>
      </c>
      <c r="E627" s="230">
        <f t="shared" ca="1" si="94"/>
        <v>1.9269963947509826E-13</v>
      </c>
      <c r="F627" s="168">
        <f t="shared" ca="1" si="95"/>
        <v>2.5390100172833518</v>
      </c>
      <c r="G627" s="168">
        <f t="shared" ca="1" si="96"/>
        <v>9.2649475090002298</v>
      </c>
      <c r="H627" s="184">
        <f t="shared" ca="1" si="97"/>
        <v>1.1709157159404071</v>
      </c>
      <c r="I627" s="184">
        <f t="shared" ca="1" si="98"/>
        <v>0.12142748176812271</v>
      </c>
      <c r="J627" s="223">
        <f t="shared" ca="1" si="99"/>
        <v>0</v>
      </c>
      <c r="K627" s="220" t="str" cm="1">
        <f t="array" aca="1" ref="K627" ca="1">_xlfn.IFS(G627&lt;$B$11,"Fail",G627&lt;25,"Marginal",G627&lt;35,"Solid",TRUE,"Blowout")</f>
        <v>Fail</v>
      </c>
      <c r="L627" s="226">
        <f ca="1">IF(AND(E627&lt;$B$10,C627&gt;=$B$11),1,0)</f>
        <v>1</v>
      </c>
      <c r="M627" s="217" t="str" cm="1">
        <f t="array" aca="1" ref="M627" ca="1">_xlfn.IFS(C627&lt;$B$11,"Fail",C627&lt;25,"Marginal",C627&lt;35,"Solid",TRUE,"Blowout")</f>
        <v>Blowout</v>
      </c>
    </row>
    <row r="628" spans="1:13" x14ac:dyDescent="0.25">
      <c r="A628" s="169">
        <f t="shared" ca="1" si="90"/>
        <v>50.313769126824432</v>
      </c>
      <c r="B628" s="168">
        <f t="shared" ca="1" si="91"/>
        <v>2.2634756627675108</v>
      </c>
      <c r="C628" s="168">
        <f t="shared" ca="1" si="92"/>
        <v>48.050293464056921</v>
      </c>
      <c r="D628" s="184">
        <f t="shared" ca="1" si="93"/>
        <v>6.0726565064677995</v>
      </c>
      <c r="E628" s="230">
        <f t="shared" ca="1" si="94"/>
        <v>2.6069049747358888E-9</v>
      </c>
      <c r="F628" s="168">
        <f t="shared" ca="1" si="95"/>
        <v>9.2164217590084618</v>
      </c>
      <c r="G628" s="168">
        <f t="shared" ca="1" si="96"/>
        <v>6.9529460962409511</v>
      </c>
      <c r="H628" s="184">
        <f t="shared" ca="1" si="97"/>
        <v>0.87872207028332672</v>
      </c>
      <c r="I628" s="184">
        <f t="shared" ca="1" si="98"/>
        <v>0.19023855016187108</v>
      </c>
      <c r="J628" s="223">
        <f t="shared" ca="1" si="99"/>
        <v>0</v>
      </c>
      <c r="K628" s="220" t="str" cm="1">
        <f t="array" aca="1" ref="K628" ca="1">_xlfn.IFS(G628&lt;$B$11,"Fail",G628&lt;25,"Marginal",G628&lt;35,"Solid",TRUE,"Blowout")</f>
        <v>Fail</v>
      </c>
      <c r="L628" s="226">
        <f ca="1">IF(AND(E628&lt;$B$10,C628&gt;=$B$11),1,0)</f>
        <v>1</v>
      </c>
      <c r="M628" s="217" t="str" cm="1">
        <f t="array" aca="1" ref="M628" ca="1">_xlfn.IFS(C628&lt;$B$11,"Fail",C628&lt;25,"Marginal",C628&lt;35,"Solid",TRUE,"Blowout")</f>
        <v>Blowout</v>
      </c>
    </row>
    <row r="629" spans="1:13" x14ac:dyDescent="0.25">
      <c r="A629" s="169">
        <f t="shared" ca="1" si="90"/>
        <v>23.45123222961157</v>
      </c>
      <c r="B629" s="168">
        <f t="shared" ca="1" si="91"/>
        <v>4.4708980160622112</v>
      </c>
      <c r="C629" s="168">
        <f t="shared" ca="1" si="92"/>
        <v>18.980334213549359</v>
      </c>
      <c r="D629" s="184">
        <f t="shared" ca="1" si="93"/>
        <v>2.3987585037969157</v>
      </c>
      <c r="E629" s="230">
        <f t="shared" ca="1" si="94"/>
        <v>8.6276878219684189E-3</v>
      </c>
      <c r="F629" s="168">
        <f t="shared" ca="1" si="95"/>
        <v>25.631219557136539</v>
      </c>
      <c r="G629" s="168">
        <f t="shared" ca="1" si="96"/>
        <v>21.160321541074328</v>
      </c>
      <c r="H629" s="184">
        <f t="shared" ca="1" si="97"/>
        <v>2.6742680433674599</v>
      </c>
      <c r="I629" s="184">
        <f t="shared" ca="1" si="98"/>
        <v>4.0157183559544453E-3</v>
      </c>
      <c r="J629" s="223">
        <f t="shared" ca="1" si="99"/>
        <v>1</v>
      </c>
      <c r="K629" s="220" t="str" cm="1">
        <f t="array" aca="1" ref="K629" ca="1">_xlfn.IFS(G629&lt;$B$11,"Fail",G629&lt;25,"Marginal",G629&lt;35,"Solid",TRUE,"Blowout")</f>
        <v>Marginal</v>
      </c>
      <c r="L629" s="226">
        <f ca="1">IF(AND(E629&lt;$B$10,C629&gt;=$B$11),1,0)</f>
        <v>0</v>
      </c>
      <c r="M629" s="217" t="str" cm="1">
        <f t="array" aca="1" ref="M629" ca="1">_xlfn.IFS(C629&lt;$B$11,"Fail",C629&lt;25,"Marginal",C629&lt;35,"Solid",TRUE,"Blowout")</f>
        <v>Fail</v>
      </c>
    </row>
    <row r="630" spans="1:13" x14ac:dyDescent="0.25">
      <c r="A630" s="169">
        <f t="shared" ca="1" si="90"/>
        <v>38.680096709579161</v>
      </c>
      <c r="B630" s="168">
        <f t="shared" ca="1" si="91"/>
        <v>7.915502254830832</v>
      </c>
      <c r="C630" s="168">
        <f t="shared" ca="1" si="92"/>
        <v>30.764594454748327</v>
      </c>
      <c r="D630" s="184">
        <f t="shared" ca="1" si="93"/>
        <v>3.8880681306185934</v>
      </c>
      <c r="E630" s="230">
        <f t="shared" ca="1" si="94"/>
        <v>6.6276448434803776E-5</v>
      </c>
      <c r="F630" s="168">
        <f t="shared" ca="1" si="95"/>
        <v>36.317105102110297</v>
      </c>
      <c r="G630" s="168">
        <f t="shared" ca="1" si="96"/>
        <v>28.401602847279463</v>
      </c>
      <c r="H630" s="184">
        <f t="shared" ca="1" si="97"/>
        <v>3.589430280039001</v>
      </c>
      <c r="I630" s="184">
        <f t="shared" ca="1" si="98"/>
        <v>2.0284435635367201E-4</v>
      </c>
      <c r="J630" s="223">
        <f t="shared" ca="1" si="99"/>
        <v>1</v>
      </c>
      <c r="K630" s="220" t="str" cm="1">
        <f t="array" aca="1" ref="K630" ca="1">_xlfn.IFS(G630&lt;$B$11,"Fail",G630&lt;25,"Marginal",G630&lt;35,"Solid",TRUE,"Blowout")</f>
        <v>Solid</v>
      </c>
      <c r="L630" s="226">
        <f ca="1">IF(AND(E630&lt;$B$10,C630&gt;=$B$11),1,0)</f>
        <v>1</v>
      </c>
      <c r="M630" s="217" t="str" cm="1">
        <f t="array" aca="1" ref="M630" ca="1">_xlfn.IFS(C630&lt;$B$11,"Fail",C630&lt;25,"Marginal",C630&lt;35,"Solid",TRUE,"Blowout")</f>
        <v>Solid</v>
      </c>
    </row>
    <row r="631" spans="1:13" x14ac:dyDescent="0.25">
      <c r="A631" s="169">
        <f t="shared" ca="1" si="90"/>
        <v>4.5704115783787866</v>
      </c>
      <c r="B631" s="168">
        <f t="shared" ca="1" si="91"/>
        <v>4.6555772527044761</v>
      </c>
      <c r="C631" s="168">
        <f t="shared" ca="1" si="92"/>
        <v>-8.5165674325689444E-2</v>
      </c>
      <c r="D631" s="184">
        <f t="shared" ca="1" si="93"/>
        <v>-1.0763345008672702E-2</v>
      </c>
      <c r="E631" s="230">
        <f t="shared" ca="1" si="94"/>
        <v>0.50428916453599015</v>
      </c>
      <c r="F631" s="168">
        <f t="shared" ca="1" si="95"/>
        <v>13.151280249194913</v>
      </c>
      <c r="G631" s="168">
        <f t="shared" ca="1" si="96"/>
        <v>8.4957029964904365</v>
      </c>
      <c r="H631" s="184">
        <f t="shared" ca="1" si="97"/>
        <v>1.0736976272007086</v>
      </c>
      <c r="I631" s="184">
        <f t="shared" ca="1" si="98"/>
        <v>0.142046625831034</v>
      </c>
      <c r="J631" s="223">
        <f t="shared" ca="1" si="99"/>
        <v>0</v>
      </c>
      <c r="K631" s="220" t="str" cm="1">
        <f t="array" aca="1" ref="K631" ca="1">_xlfn.IFS(G631&lt;$B$11,"Fail",G631&lt;25,"Marginal",G631&lt;35,"Solid",TRUE,"Blowout")</f>
        <v>Fail</v>
      </c>
      <c r="L631" s="226">
        <f ca="1">IF(AND(E631&lt;$B$10,C631&gt;=$B$11),1,0)</f>
        <v>0</v>
      </c>
      <c r="M631" s="217" t="str" cm="1">
        <f t="array" aca="1" ref="M631" ca="1">_xlfn.IFS(C631&lt;$B$11,"Fail",C631&lt;25,"Marginal",C631&lt;35,"Solid",TRUE,"Blowout")</f>
        <v>Fail</v>
      </c>
    </row>
    <row r="632" spans="1:13" x14ac:dyDescent="0.25">
      <c r="A632" s="169">
        <f t="shared" ca="1" si="90"/>
        <v>1.5812713447650815</v>
      </c>
      <c r="B632" s="168">
        <f t="shared" ca="1" si="91"/>
        <v>4.4082715961808514</v>
      </c>
      <c r="C632" s="168">
        <f t="shared" ca="1" si="92"/>
        <v>-2.8270002514157699</v>
      </c>
      <c r="D632" s="184">
        <f t="shared" ca="1" si="93"/>
        <v>-0.35727984644647004</v>
      </c>
      <c r="E632" s="230">
        <f t="shared" ca="1" si="94"/>
        <v>0.63939360245510612</v>
      </c>
      <c r="F632" s="168">
        <f t="shared" ca="1" si="95"/>
        <v>-4.7041987032026791</v>
      </c>
      <c r="G632" s="168">
        <f t="shared" ca="1" si="96"/>
        <v>-9.1124702993835314</v>
      </c>
      <c r="H632" s="184">
        <f t="shared" ca="1" si="97"/>
        <v>-1.1516454544640744</v>
      </c>
      <c r="I632" s="184">
        <f t="shared" ca="1" si="98"/>
        <v>0.87466350533716086</v>
      </c>
      <c r="J632" s="223">
        <f t="shared" ca="1" si="99"/>
        <v>0</v>
      </c>
      <c r="K632" s="220" t="str" cm="1">
        <f t="array" aca="1" ref="K632" ca="1">_xlfn.IFS(G632&lt;$B$11,"Fail",G632&lt;25,"Marginal",G632&lt;35,"Solid",TRUE,"Blowout")</f>
        <v>Fail</v>
      </c>
      <c r="L632" s="226">
        <f ca="1">IF(AND(E632&lt;$B$10,C632&gt;=$B$11),1,0)</f>
        <v>0</v>
      </c>
      <c r="M632" s="217" t="str" cm="1">
        <f t="array" aca="1" ref="M632" ca="1">_xlfn.IFS(C632&lt;$B$11,"Fail",C632&lt;25,"Marginal",C632&lt;35,"Solid",TRUE,"Blowout")</f>
        <v>Fail</v>
      </c>
    </row>
    <row r="633" spans="1:13" x14ac:dyDescent="0.25">
      <c r="A633" s="169">
        <f t="shared" ca="1" si="90"/>
        <v>28.277167693305358</v>
      </c>
      <c r="B633" s="168">
        <f t="shared" ca="1" si="91"/>
        <v>8.6539673022454551</v>
      </c>
      <c r="C633" s="168">
        <f t="shared" ca="1" si="92"/>
        <v>19.623200391059903</v>
      </c>
      <c r="D633" s="184">
        <f t="shared" ca="1" si="93"/>
        <v>2.4800047396511822</v>
      </c>
      <c r="E633" s="230">
        <f t="shared" ca="1" si="94"/>
        <v>6.9308756257196744E-3</v>
      </c>
      <c r="F633" s="168">
        <f t="shared" ca="1" si="95"/>
        <v>58.016907272261292</v>
      </c>
      <c r="G633" s="168">
        <f t="shared" ca="1" si="96"/>
        <v>49.362939970015837</v>
      </c>
      <c r="H633" s="184">
        <f t="shared" ca="1" si="97"/>
        <v>6.2385504224137316</v>
      </c>
      <c r="I633" s="184">
        <f t="shared" ca="1" si="98"/>
        <v>1.0625533853641273E-9</v>
      </c>
      <c r="J633" s="223">
        <f t="shared" ca="1" si="99"/>
        <v>1</v>
      </c>
      <c r="K633" s="220" t="str" cm="1">
        <f t="array" aca="1" ref="K633" ca="1">_xlfn.IFS(G633&lt;$B$11,"Fail",G633&lt;25,"Marginal",G633&lt;35,"Solid",TRUE,"Blowout")</f>
        <v>Blowout</v>
      </c>
      <c r="L633" s="226">
        <f ca="1">IF(AND(E633&lt;$B$10,C633&gt;=$B$11),1,0)</f>
        <v>0</v>
      </c>
      <c r="M633" s="217" t="str" cm="1">
        <f t="array" aca="1" ref="M633" ca="1">_xlfn.IFS(C633&lt;$B$11,"Fail",C633&lt;25,"Marginal",C633&lt;35,"Solid",TRUE,"Blowout")</f>
        <v>Fail</v>
      </c>
    </row>
    <row r="634" spans="1:13" x14ac:dyDescent="0.25">
      <c r="A634" s="169">
        <f t="shared" ca="1" si="90"/>
        <v>-2.7530728629293182</v>
      </c>
      <c r="B634" s="168">
        <f t="shared" ca="1" si="91"/>
        <v>8.7959154068536023</v>
      </c>
      <c r="C634" s="168">
        <f t="shared" ca="1" si="92"/>
        <v>-11.548988269782921</v>
      </c>
      <c r="D634" s="184">
        <f t="shared" ca="1" si="93"/>
        <v>-1.4595756592429387</v>
      </c>
      <c r="E634" s="230">
        <f t="shared" ca="1" si="94"/>
        <v>0.92710843030564027</v>
      </c>
      <c r="F634" s="168">
        <f t="shared" ca="1" si="95"/>
        <v>-3.7921971840540127</v>
      </c>
      <c r="G634" s="168">
        <f t="shared" ca="1" si="96"/>
        <v>-12.588112590907615</v>
      </c>
      <c r="H634" s="184">
        <f t="shared" ca="1" si="97"/>
        <v>-1.5909014975424918</v>
      </c>
      <c r="I634" s="184">
        <f t="shared" ca="1" si="98"/>
        <v>0.94349135502510217</v>
      </c>
      <c r="J634" s="223">
        <f t="shared" ca="1" si="99"/>
        <v>0</v>
      </c>
      <c r="K634" s="220" t="str" cm="1">
        <f t="array" aca="1" ref="K634" ca="1">_xlfn.IFS(G634&lt;$B$11,"Fail",G634&lt;25,"Marginal",G634&lt;35,"Solid",TRUE,"Blowout")</f>
        <v>Fail</v>
      </c>
      <c r="L634" s="226">
        <f ca="1">IF(AND(E634&lt;$B$10,C634&gt;=$B$11),1,0)</f>
        <v>0</v>
      </c>
      <c r="M634" s="217" t="str" cm="1">
        <f t="array" aca="1" ref="M634" ca="1">_xlfn.IFS(C634&lt;$B$11,"Fail",C634&lt;25,"Marginal",C634&lt;35,"Solid",TRUE,"Blowout")</f>
        <v>Fail</v>
      </c>
    </row>
    <row r="635" spans="1:13" x14ac:dyDescent="0.25">
      <c r="A635" s="169">
        <f t="shared" ca="1" si="90"/>
        <v>52.944870236753047</v>
      </c>
      <c r="B635" s="168">
        <f t="shared" ca="1" si="91"/>
        <v>2.4439055599728179</v>
      </c>
      <c r="C635" s="168">
        <f t="shared" ca="1" si="92"/>
        <v>50.500964676780228</v>
      </c>
      <c r="D635" s="184">
        <f t="shared" ca="1" si="93"/>
        <v>6.3823754158078598</v>
      </c>
      <c r="E635" s="230">
        <f t="shared" ca="1" si="94"/>
        <v>4.8173858176875711E-10</v>
      </c>
      <c r="F635" s="168">
        <f t="shared" ca="1" si="95"/>
        <v>17.567152058056514</v>
      </c>
      <c r="G635" s="168">
        <f t="shared" ca="1" si="96"/>
        <v>15.123246498083697</v>
      </c>
      <c r="H635" s="184">
        <f t="shared" ca="1" si="97"/>
        <v>1.9112949084109581</v>
      </c>
      <c r="I635" s="184">
        <f t="shared" ca="1" si="98"/>
        <v>2.8610333713878514E-2</v>
      </c>
      <c r="J635" s="223">
        <f t="shared" ca="1" si="99"/>
        <v>0</v>
      </c>
      <c r="K635" s="220" t="str" cm="1">
        <f t="array" aca="1" ref="K635" ca="1">_xlfn.IFS(G635&lt;$B$11,"Fail",G635&lt;25,"Marginal",G635&lt;35,"Solid",TRUE,"Blowout")</f>
        <v>Fail</v>
      </c>
      <c r="L635" s="226">
        <f ca="1">IF(AND(E635&lt;$B$10,C635&gt;=$B$11),1,0)</f>
        <v>1</v>
      </c>
      <c r="M635" s="217" t="str" cm="1">
        <f t="array" aca="1" ref="M635" ca="1">_xlfn.IFS(C635&lt;$B$11,"Fail",C635&lt;25,"Marginal",C635&lt;35,"Solid",TRUE,"Blowout")</f>
        <v>Blowout</v>
      </c>
    </row>
    <row r="636" spans="1:13" x14ac:dyDescent="0.25">
      <c r="A636" s="169">
        <f t="shared" ca="1" si="90"/>
        <v>22.701083645096585</v>
      </c>
      <c r="B636" s="168">
        <f t="shared" ca="1" si="91"/>
        <v>13.469597848001991</v>
      </c>
      <c r="C636" s="168">
        <f t="shared" ca="1" si="92"/>
        <v>9.231485797094594</v>
      </c>
      <c r="D636" s="184">
        <f t="shared" ca="1" si="93"/>
        <v>1.1666867827149876</v>
      </c>
      <c r="E636" s="230">
        <f t="shared" ca="1" si="94"/>
        <v>0.12227785333875933</v>
      </c>
      <c r="F636" s="168">
        <f t="shared" ca="1" si="95"/>
        <v>19.005928135775548</v>
      </c>
      <c r="G636" s="168">
        <f t="shared" ca="1" si="96"/>
        <v>5.5363302877735574</v>
      </c>
      <c r="H636" s="184">
        <f t="shared" ca="1" si="97"/>
        <v>0.69968838315528281</v>
      </c>
      <c r="I636" s="184">
        <f t="shared" ca="1" si="98"/>
        <v>0.24241758970985128</v>
      </c>
      <c r="J636" s="223">
        <f t="shared" ca="1" si="99"/>
        <v>0</v>
      </c>
      <c r="K636" s="220" t="str" cm="1">
        <f t="array" aca="1" ref="K636" ca="1">_xlfn.IFS(G636&lt;$B$11,"Fail",G636&lt;25,"Marginal",G636&lt;35,"Solid",TRUE,"Blowout")</f>
        <v>Fail</v>
      </c>
      <c r="L636" s="226">
        <f ca="1">IF(AND(E636&lt;$B$10,C636&gt;=$B$11),1,0)</f>
        <v>0</v>
      </c>
      <c r="M636" s="217" t="str" cm="1">
        <f t="array" aca="1" ref="M636" ca="1">_xlfn.IFS(C636&lt;$B$11,"Fail",C636&lt;25,"Marginal",C636&lt;35,"Solid",TRUE,"Blowout")</f>
        <v>Fail</v>
      </c>
    </row>
    <row r="637" spans="1:13" x14ac:dyDescent="0.25">
      <c r="A637" s="169">
        <f t="shared" ca="1" si="90"/>
        <v>47.410648065909939</v>
      </c>
      <c r="B637" s="168">
        <f t="shared" ca="1" si="91"/>
        <v>-1.482739217415749</v>
      </c>
      <c r="C637" s="168">
        <f t="shared" ca="1" si="92"/>
        <v>48.893387283325687</v>
      </c>
      <c r="D637" s="184">
        <f t="shared" ca="1" si="93"/>
        <v>6.1792077634538787</v>
      </c>
      <c r="E637" s="230">
        <f t="shared" ca="1" si="94"/>
        <v>1.4675210495888838E-9</v>
      </c>
      <c r="F637" s="168">
        <f t="shared" ca="1" si="95"/>
        <v>2.8538284393844955</v>
      </c>
      <c r="G637" s="168">
        <f t="shared" ca="1" si="96"/>
        <v>4.3365676568002449</v>
      </c>
      <c r="H637" s="184">
        <f t="shared" ca="1" si="97"/>
        <v>0.5480608732703125</v>
      </c>
      <c r="I637" s="184">
        <f t="shared" ca="1" si="98"/>
        <v>0.29209314052789032</v>
      </c>
      <c r="J637" s="223">
        <f t="shared" ca="1" si="99"/>
        <v>0</v>
      </c>
      <c r="K637" s="220" t="str" cm="1">
        <f t="array" aca="1" ref="K637" ca="1">_xlfn.IFS(G637&lt;$B$11,"Fail",G637&lt;25,"Marginal",G637&lt;35,"Solid",TRUE,"Blowout")</f>
        <v>Fail</v>
      </c>
      <c r="L637" s="226">
        <f ca="1">IF(AND(E637&lt;$B$10,C637&gt;=$B$11),1,0)</f>
        <v>1</v>
      </c>
      <c r="M637" s="217" t="str" cm="1">
        <f t="array" aca="1" ref="M637" ca="1">_xlfn.IFS(C637&lt;$B$11,"Fail",C637&lt;25,"Marginal",C637&lt;35,"Solid",TRUE,"Blowout")</f>
        <v>Blowout</v>
      </c>
    </row>
    <row r="638" spans="1:13" x14ac:dyDescent="0.25">
      <c r="A638" s="169">
        <f t="shared" ca="1" si="90"/>
        <v>-4.4644187288474706</v>
      </c>
      <c r="B638" s="168">
        <f t="shared" ca="1" si="91"/>
        <v>4.6030806399354738</v>
      </c>
      <c r="C638" s="168">
        <f t="shared" ca="1" si="92"/>
        <v>-9.0674993687829435</v>
      </c>
      <c r="D638" s="184">
        <f t="shared" ca="1" si="93"/>
        <v>-1.1459619717082854</v>
      </c>
      <c r="E638" s="230">
        <f t="shared" ca="1" si="94"/>
        <v>0.87349389428137203</v>
      </c>
      <c r="F638" s="168">
        <f t="shared" ca="1" si="95"/>
        <v>24.773253989416929</v>
      </c>
      <c r="G638" s="168">
        <f t="shared" ca="1" si="96"/>
        <v>20.170173349481455</v>
      </c>
      <c r="H638" s="184">
        <f t="shared" ca="1" si="97"/>
        <v>2.5491318699007661</v>
      </c>
      <c r="I638" s="184">
        <f t="shared" ca="1" si="98"/>
        <v>5.7279332921654925E-3</v>
      </c>
      <c r="J638" s="223">
        <f t="shared" ca="1" si="99"/>
        <v>1</v>
      </c>
      <c r="K638" s="220" t="str" cm="1">
        <f t="array" aca="1" ref="K638" ca="1">_xlfn.IFS(G638&lt;$B$11,"Fail",G638&lt;25,"Marginal",G638&lt;35,"Solid",TRUE,"Blowout")</f>
        <v>Marginal</v>
      </c>
      <c r="L638" s="226">
        <f ca="1">IF(AND(E638&lt;$B$10,C638&gt;=$B$11),1,0)</f>
        <v>0</v>
      </c>
      <c r="M638" s="217" t="str" cm="1">
        <f t="array" aca="1" ref="M638" ca="1">_xlfn.IFS(C638&lt;$B$11,"Fail",C638&lt;25,"Marginal",C638&lt;35,"Solid",TRUE,"Blowout")</f>
        <v>Fail</v>
      </c>
    </row>
    <row r="639" spans="1:13" x14ac:dyDescent="0.25">
      <c r="A639" s="169">
        <f t="shared" ca="1" si="90"/>
        <v>31.059517704227005</v>
      </c>
      <c r="B639" s="168">
        <f t="shared" ca="1" si="91"/>
        <v>-6.4697626681538605</v>
      </c>
      <c r="C639" s="168">
        <f t="shared" ca="1" si="92"/>
        <v>37.529280372380867</v>
      </c>
      <c r="D639" s="184">
        <f t="shared" ca="1" si="93"/>
        <v>4.7429976428108791</v>
      </c>
      <c r="E639" s="230">
        <f t="shared" ca="1" si="94"/>
        <v>1.8564961540936653E-6</v>
      </c>
      <c r="F639" s="168">
        <f t="shared" ca="1" si="95"/>
        <v>7.0423876664203089</v>
      </c>
      <c r="G639" s="168">
        <f t="shared" ca="1" si="96"/>
        <v>13.512150334574169</v>
      </c>
      <c r="H639" s="184">
        <f t="shared" ca="1" si="97"/>
        <v>1.7076825494729237</v>
      </c>
      <c r="I639" s="184">
        <f t="shared" ca="1" si="98"/>
        <v>4.4528220069349131E-2</v>
      </c>
      <c r="J639" s="223">
        <f t="shared" ca="1" si="99"/>
        <v>0</v>
      </c>
      <c r="K639" s="220" t="str" cm="1">
        <f t="array" aca="1" ref="K639" ca="1">_xlfn.IFS(G639&lt;$B$11,"Fail",G639&lt;25,"Marginal",G639&lt;35,"Solid",TRUE,"Blowout")</f>
        <v>Fail</v>
      </c>
      <c r="L639" s="226">
        <f ca="1">IF(AND(E639&lt;$B$10,C639&gt;=$B$11),1,0)</f>
        <v>1</v>
      </c>
      <c r="M639" s="217" t="str" cm="1">
        <f t="array" aca="1" ref="M639" ca="1">_xlfn.IFS(C639&lt;$B$11,"Fail",C639&lt;25,"Marginal",C639&lt;35,"Solid",TRUE,"Blowout")</f>
        <v>Blowout</v>
      </c>
    </row>
    <row r="640" spans="1:13" x14ac:dyDescent="0.25">
      <c r="A640" s="169">
        <f t="shared" ca="1" si="90"/>
        <v>61.933366526835329</v>
      </c>
      <c r="B640" s="168">
        <f t="shared" ca="1" si="91"/>
        <v>14.62965826182131</v>
      </c>
      <c r="C640" s="168">
        <f t="shared" ca="1" si="92"/>
        <v>47.303708265014016</v>
      </c>
      <c r="D640" s="184">
        <f t="shared" ca="1" si="93"/>
        <v>5.9783021302558863</v>
      </c>
      <c r="E640" s="230">
        <f t="shared" ca="1" si="94"/>
        <v>4.3117551458408587E-9</v>
      </c>
      <c r="F640" s="168">
        <f t="shared" ca="1" si="95"/>
        <v>66.398878921416809</v>
      </c>
      <c r="G640" s="168">
        <f t="shared" ca="1" si="96"/>
        <v>51.769220659595497</v>
      </c>
      <c r="H640" s="184">
        <f t="shared" ca="1" si="97"/>
        <v>6.5426592016222154</v>
      </c>
      <c r="I640" s="184">
        <f t="shared" ca="1" si="98"/>
        <v>1.9677130683861165E-10</v>
      </c>
      <c r="J640" s="223">
        <f t="shared" ca="1" si="99"/>
        <v>1</v>
      </c>
      <c r="K640" s="220" t="str" cm="1">
        <f t="array" aca="1" ref="K640" ca="1">_xlfn.IFS(G640&lt;$B$11,"Fail",G640&lt;25,"Marginal",G640&lt;35,"Solid",TRUE,"Blowout")</f>
        <v>Blowout</v>
      </c>
      <c r="L640" s="226">
        <f ca="1">IF(AND(E640&lt;$B$10,C640&gt;=$B$11),1,0)</f>
        <v>1</v>
      </c>
      <c r="M640" s="217" t="str" cm="1">
        <f t="array" aca="1" ref="M640" ca="1">_xlfn.IFS(C640&lt;$B$11,"Fail",C640&lt;25,"Marginal",C640&lt;35,"Solid",TRUE,"Blowout")</f>
        <v>Blowout</v>
      </c>
    </row>
    <row r="641" spans="1:13" x14ac:dyDescent="0.25">
      <c r="A641" s="169">
        <f t="shared" ca="1" si="90"/>
        <v>26.141145961185092</v>
      </c>
      <c r="B641" s="168">
        <f t="shared" ca="1" si="91"/>
        <v>5.2894386041647312</v>
      </c>
      <c r="C641" s="168">
        <f t="shared" ca="1" si="92"/>
        <v>20.851707357020359</v>
      </c>
      <c r="D641" s="184">
        <f t="shared" ca="1" si="93"/>
        <v>2.6352649947349791</v>
      </c>
      <c r="E641" s="230">
        <f t="shared" ca="1" si="94"/>
        <v>4.4919854877346821E-3</v>
      </c>
      <c r="F641" s="168">
        <f t="shared" ca="1" si="95"/>
        <v>15.152444873366218</v>
      </c>
      <c r="G641" s="168">
        <f t="shared" ca="1" si="96"/>
        <v>9.8630062692014864</v>
      </c>
      <c r="H641" s="184">
        <f t="shared" ca="1" si="97"/>
        <v>1.2464991340542408</v>
      </c>
      <c r="I641" s="184">
        <f t="shared" ca="1" si="98"/>
        <v>0.10693016432165051</v>
      </c>
      <c r="J641" s="223">
        <f t="shared" ca="1" si="99"/>
        <v>0</v>
      </c>
      <c r="K641" s="220" t="str" cm="1">
        <f t="array" aca="1" ref="K641" ca="1">_xlfn.IFS(G641&lt;$B$11,"Fail",G641&lt;25,"Marginal",G641&lt;35,"Solid",TRUE,"Blowout")</f>
        <v>Fail</v>
      </c>
      <c r="L641" s="226">
        <f ca="1">IF(AND(E641&lt;$B$10,C641&gt;=$B$11),1,0)</f>
        <v>1</v>
      </c>
      <c r="M641" s="217" t="str" cm="1">
        <f t="array" aca="1" ref="M641" ca="1">_xlfn.IFS(C641&lt;$B$11,"Fail",C641&lt;25,"Marginal",C641&lt;35,"Solid",TRUE,"Blowout")</f>
        <v>Marginal</v>
      </c>
    </row>
    <row r="642" spans="1:13" x14ac:dyDescent="0.25">
      <c r="A642" s="169">
        <f t="shared" ca="1" si="90"/>
        <v>5.6248071275249298</v>
      </c>
      <c r="B642" s="168">
        <f t="shared" ca="1" si="91"/>
        <v>3.5779051182500812</v>
      </c>
      <c r="C642" s="168">
        <f t="shared" ca="1" si="92"/>
        <v>2.0469020092748487</v>
      </c>
      <c r="D642" s="184">
        <f t="shared" ca="1" si="93"/>
        <v>0.25869004970850051</v>
      </c>
      <c r="E642" s="230">
        <f t="shared" ca="1" si="94"/>
        <v>0.39805389146870029</v>
      </c>
      <c r="F642" s="168">
        <f t="shared" ca="1" si="95"/>
        <v>5.2122633473294711</v>
      </c>
      <c r="G642" s="168">
        <f t="shared" ca="1" si="96"/>
        <v>1.6343582290793899</v>
      </c>
      <c r="H642" s="184">
        <f t="shared" ca="1" si="97"/>
        <v>0.20655224803449476</v>
      </c>
      <c r="I642" s="184">
        <f t="shared" ca="1" si="98"/>
        <v>0.41827194583699406</v>
      </c>
      <c r="J642" s="223">
        <f t="shared" ca="1" si="99"/>
        <v>0</v>
      </c>
      <c r="K642" s="220" t="str" cm="1">
        <f t="array" aca="1" ref="K642" ca="1">_xlfn.IFS(G642&lt;$B$11,"Fail",G642&lt;25,"Marginal",G642&lt;35,"Solid",TRUE,"Blowout")</f>
        <v>Fail</v>
      </c>
      <c r="L642" s="226">
        <f ca="1">IF(AND(E642&lt;$B$10,C642&gt;=$B$11),1,0)</f>
        <v>0</v>
      </c>
      <c r="M642" s="217" t="str" cm="1">
        <f t="array" aca="1" ref="M642" ca="1">_xlfn.IFS(C642&lt;$B$11,"Fail",C642&lt;25,"Marginal",C642&lt;35,"Solid",TRUE,"Blowout")</f>
        <v>Fail</v>
      </c>
    </row>
    <row r="643" spans="1:13" x14ac:dyDescent="0.25">
      <c r="A643" s="169">
        <f t="shared" ca="1" si="90"/>
        <v>14.159501976729919</v>
      </c>
      <c r="B643" s="168">
        <f t="shared" ca="1" si="91"/>
        <v>7.4974923575291026</v>
      </c>
      <c r="C643" s="168">
        <f t="shared" ca="1" si="92"/>
        <v>6.6620096192008162</v>
      </c>
      <c r="D643" s="184">
        <f t="shared" ca="1" si="93"/>
        <v>0.84195315249121827</v>
      </c>
      <c r="E643" s="230">
        <f t="shared" ca="1" si="94"/>
        <v>0.20034821679762882</v>
      </c>
      <c r="F643" s="168">
        <f t="shared" ca="1" si="95"/>
        <v>19.856084293060494</v>
      </c>
      <c r="G643" s="168">
        <f t="shared" ca="1" si="96"/>
        <v>12.358591935531392</v>
      </c>
      <c r="H643" s="184">
        <f t="shared" ca="1" si="97"/>
        <v>1.5618943885165752</v>
      </c>
      <c r="I643" s="184">
        <f t="shared" ca="1" si="98"/>
        <v>5.984989467394345E-2</v>
      </c>
      <c r="J643" s="223">
        <f t="shared" ca="1" si="99"/>
        <v>0</v>
      </c>
      <c r="K643" s="220" t="str" cm="1">
        <f t="array" aca="1" ref="K643" ca="1">_xlfn.IFS(G643&lt;$B$11,"Fail",G643&lt;25,"Marginal",G643&lt;35,"Solid",TRUE,"Blowout")</f>
        <v>Fail</v>
      </c>
      <c r="L643" s="226">
        <f ca="1">IF(AND(E643&lt;$B$10,C643&gt;=$B$11),1,0)</f>
        <v>0</v>
      </c>
      <c r="M643" s="217" t="str" cm="1">
        <f t="array" aca="1" ref="M643" ca="1">_xlfn.IFS(C643&lt;$B$11,"Fail",C643&lt;25,"Marginal",C643&lt;35,"Solid",TRUE,"Blowout")</f>
        <v>Fail</v>
      </c>
    </row>
    <row r="644" spans="1:13" x14ac:dyDescent="0.25">
      <c r="A644" s="169">
        <f t="shared" ca="1" si="90"/>
        <v>52.671005325102037</v>
      </c>
      <c r="B644" s="168">
        <f t="shared" ca="1" si="91"/>
        <v>3.8756511788753878</v>
      </c>
      <c r="C644" s="168">
        <f t="shared" ca="1" si="92"/>
        <v>48.79535414622665</v>
      </c>
      <c r="D644" s="184">
        <f t="shared" ca="1" si="93"/>
        <v>6.1668182123203517</v>
      </c>
      <c r="E644" s="230">
        <f t="shared" ca="1" si="94"/>
        <v>1.569457626338409E-9</v>
      </c>
      <c r="F644" s="168">
        <f t="shared" ca="1" si="95"/>
        <v>8.4365796129240174</v>
      </c>
      <c r="G644" s="168">
        <f t="shared" ca="1" si="96"/>
        <v>4.5609284340486296</v>
      </c>
      <c r="H644" s="184">
        <f t="shared" ca="1" si="97"/>
        <v>0.57641587041039744</v>
      </c>
      <c r="I644" s="184">
        <f t="shared" ca="1" si="98"/>
        <v>0.28245135673736266</v>
      </c>
      <c r="J644" s="223">
        <f t="shared" ca="1" si="99"/>
        <v>0</v>
      </c>
      <c r="K644" s="220" t="str" cm="1">
        <f t="array" aca="1" ref="K644" ca="1">_xlfn.IFS(G644&lt;$B$11,"Fail",G644&lt;25,"Marginal",G644&lt;35,"Solid",TRUE,"Blowout")</f>
        <v>Fail</v>
      </c>
      <c r="L644" s="226">
        <f ca="1">IF(AND(E644&lt;$B$10,C644&gt;=$B$11),1,0)</f>
        <v>1</v>
      </c>
      <c r="M644" s="217" t="str" cm="1">
        <f t="array" aca="1" ref="M644" ca="1">_xlfn.IFS(C644&lt;$B$11,"Fail",C644&lt;25,"Marginal",C644&lt;35,"Solid",TRUE,"Blowout")</f>
        <v>Blowout</v>
      </c>
    </row>
    <row r="645" spans="1:13" x14ac:dyDescent="0.25">
      <c r="A645" s="169">
        <f t="shared" ca="1" si="90"/>
        <v>30.433878167718387</v>
      </c>
      <c r="B645" s="168">
        <f t="shared" ca="1" si="91"/>
        <v>14.222798035269378</v>
      </c>
      <c r="C645" s="168">
        <f t="shared" ca="1" si="92"/>
        <v>16.211080132449009</v>
      </c>
      <c r="D645" s="184">
        <f t="shared" ca="1" si="93"/>
        <v>2.0487766909649925</v>
      </c>
      <c r="E645" s="230">
        <f t="shared" ca="1" si="94"/>
        <v>2.0814577546614164E-2</v>
      </c>
      <c r="F645" s="168">
        <f t="shared" ca="1" si="95"/>
        <v>37.225328921116379</v>
      </c>
      <c r="G645" s="168">
        <f t="shared" ca="1" si="96"/>
        <v>23.002530885847001</v>
      </c>
      <c r="H645" s="184">
        <f t="shared" ca="1" si="97"/>
        <v>2.9070887767554434</v>
      </c>
      <c r="I645" s="184">
        <f t="shared" ca="1" si="98"/>
        <v>2.00400709192657E-3</v>
      </c>
      <c r="J645" s="223">
        <f t="shared" ca="1" si="99"/>
        <v>1</v>
      </c>
      <c r="K645" s="220" t="str" cm="1">
        <f t="array" aca="1" ref="K645" ca="1">_xlfn.IFS(G645&lt;$B$11,"Fail",G645&lt;25,"Marginal",G645&lt;35,"Solid",TRUE,"Blowout")</f>
        <v>Marginal</v>
      </c>
      <c r="L645" s="226">
        <f ca="1">IF(AND(E645&lt;$B$10,C645&gt;=$B$11),1,0)</f>
        <v>0</v>
      </c>
      <c r="M645" s="217" t="str" cm="1">
        <f t="array" aca="1" ref="M645" ca="1">_xlfn.IFS(C645&lt;$B$11,"Fail",C645&lt;25,"Marginal",C645&lt;35,"Solid",TRUE,"Blowout")</f>
        <v>Fail</v>
      </c>
    </row>
    <row r="646" spans="1:13" x14ac:dyDescent="0.25">
      <c r="A646" s="169">
        <f t="shared" ca="1" si="90"/>
        <v>45.645189563517555</v>
      </c>
      <c r="B646" s="168">
        <f t="shared" ca="1" si="91"/>
        <v>-6.6796273602199054</v>
      </c>
      <c r="C646" s="168">
        <f t="shared" ca="1" si="92"/>
        <v>52.324816923737458</v>
      </c>
      <c r="D646" s="184">
        <f t="shared" ca="1" si="93"/>
        <v>6.6128761560916969</v>
      </c>
      <c r="E646" s="230">
        <f t="shared" ca="1" si="94"/>
        <v>1.3233148851256751E-10</v>
      </c>
      <c r="F646" s="168">
        <f t="shared" ca="1" si="95"/>
        <v>-7.7906359679950166</v>
      </c>
      <c r="G646" s="168">
        <f t="shared" ca="1" si="96"/>
        <v>-1.1110086077751111</v>
      </c>
      <c r="H646" s="184">
        <f t="shared" ca="1" si="97"/>
        <v>-0.14041066483379652</v>
      </c>
      <c r="I646" s="184">
        <f t="shared" ca="1" si="98"/>
        <v>0.5557702513117031</v>
      </c>
      <c r="J646" s="223">
        <f t="shared" ca="1" si="99"/>
        <v>0</v>
      </c>
      <c r="K646" s="220" t="str" cm="1">
        <f t="array" aca="1" ref="K646" ca="1">_xlfn.IFS(G646&lt;$B$11,"Fail",G646&lt;25,"Marginal",G646&lt;35,"Solid",TRUE,"Blowout")</f>
        <v>Fail</v>
      </c>
      <c r="L646" s="226">
        <f ca="1">IF(AND(E646&lt;$B$10,C646&gt;=$B$11),1,0)</f>
        <v>1</v>
      </c>
      <c r="M646" s="217" t="str" cm="1">
        <f t="array" aca="1" ref="M646" ca="1">_xlfn.IFS(C646&lt;$B$11,"Fail",C646&lt;25,"Marginal",C646&lt;35,"Solid",TRUE,"Blowout")</f>
        <v>Blowout</v>
      </c>
    </row>
    <row r="647" spans="1:13" x14ac:dyDescent="0.25">
      <c r="A647" s="169">
        <f t="shared" ca="1" si="90"/>
        <v>0.98866876929158209</v>
      </c>
      <c r="B647" s="168">
        <f t="shared" ca="1" si="91"/>
        <v>2.7099455292271442</v>
      </c>
      <c r="C647" s="168">
        <f t="shared" ca="1" si="92"/>
        <v>-1.7212767599355621</v>
      </c>
      <c r="D647" s="184">
        <f t="shared" ca="1" si="93"/>
        <v>-0.21753712125553318</v>
      </c>
      <c r="E647" s="230">
        <f t="shared" ca="1" si="94"/>
        <v>0.58600783359601172</v>
      </c>
      <c r="F647" s="168">
        <f t="shared" ca="1" si="95"/>
        <v>62.543922703788176</v>
      </c>
      <c r="G647" s="168">
        <f t="shared" ca="1" si="96"/>
        <v>59.833977174561035</v>
      </c>
      <c r="H647" s="184">
        <f t="shared" ca="1" si="97"/>
        <v>7.5618932706153315</v>
      </c>
      <c r="I647" s="184">
        <f t="shared" ca="1" si="98"/>
        <v>4.8281304014537396E-13</v>
      </c>
      <c r="J647" s="223">
        <f t="shared" ca="1" si="99"/>
        <v>1</v>
      </c>
      <c r="K647" s="220" t="str" cm="1">
        <f t="array" aca="1" ref="K647" ca="1">_xlfn.IFS(G647&lt;$B$11,"Fail",G647&lt;25,"Marginal",G647&lt;35,"Solid",TRUE,"Blowout")</f>
        <v>Blowout</v>
      </c>
      <c r="L647" s="226">
        <f ca="1">IF(AND(E647&lt;$B$10,C647&gt;=$B$11),1,0)</f>
        <v>0</v>
      </c>
      <c r="M647" s="217" t="str" cm="1">
        <f t="array" aca="1" ref="M647" ca="1">_xlfn.IFS(C647&lt;$B$11,"Fail",C647&lt;25,"Marginal",C647&lt;35,"Solid",TRUE,"Blowout")</f>
        <v>Fail</v>
      </c>
    </row>
    <row r="648" spans="1:13" x14ac:dyDescent="0.25">
      <c r="A648" s="169">
        <f t="shared" ca="1" si="90"/>
        <v>76.063645314574629</v>
      </c>
      <c r="B648" s="168">
        <f t="shared" ca="1" si="91"/>
        <v>6.620582848910912</v>
      </c>
      <c r="C648" s="168">
        <f t="shared" ca="1" si="92"/>
        <v>69.443062465663715</v>
      </c>
      <c r="D648" s="184">
        <f t="shared" ca="1" si="93"/>
        <v>8.7763015521769887</v>
      </c>
      <c r="E648" s="230">
        <f t="shared" ca="1" si="94"/>
        <v>2.0206042998666662E-16</v>
      </c>
      <c r="F648" s="168">
        <f t="shared" ca="1" si="95"/>
        <v>2.6569343098260001</v>
      </c>
      <c r="G648" s="168">
        <f t="shared" ca="1" si="96"/>
        <v>-3.9636485390849119</v>
      </c>
      <c r="H648" s="184">
        <f t="shared" ca="1" si="97"/>
        <v>-0.50093088626462967</v>
      </c>
      <c r="I648" s="184">
        <f t="shared" ca="1" si="98"/>
        <v>0.69154849297093701</v>
      </c>
      <c r="J648" s="223">
        <f t="shared" ca="1" si="99"/>
        <v>0</v>
      </c>
      <c r="K648" s="220" t="str" cm="1">
        <f t="array" aca="1" ref="K648" ca="1">_xlfn.IFS(G648&lt;$B$11,"Fail",G648&lt;25,"Marginal",G648&lt;35,"Solid",TRUE,"Blowout")</f>
        <v>Fail</v>
      </c>
      <c r="L648" s="226">
        <f ca="1">IF(AND(E648&lt;$B$10,C648&gt;=$B$11),1,0)</f>
        <v>1</v>
      </c>
      <c r="M648" s="217" t="str" cm="1">
        <f t="array" aca="1" ref="M648" ca="1">_xlfn.IFS(C648&lt;$B$11,"Fail",C648&lt;25,"Marginal",C648&lt;35,"Solid",TRUE,"Blowout")</f>
        <v>Blowout</v>
      </c>
    </row>
    <row r="649" spans="1:13" x14ac:dyDescent="0.25">
      <c r="A649" s="169">
        <f t="shared" ca="1" si="90"/>
        <v>26.455056474240198</v>
      </c>
      <c r="B649" s="168">
        <f t="shared" ca="1" si="91"/>
        <v>5.1685301290273022</v>
      </c>
      <c r="C649" s="168">
        <f t="shared" ca="1" si="92"/>
        <v>21.286526345212895</v>
      </c>
      <c r="D649" s="184">
        <f t="shared" ca="1" si="93"/>
        <v>2.6902179652045213</v>
      </c>
      <c r="E649" s="230">
        <f t="shared" ca="1" si="94"/>
        <v>3.834432084595225E-3</v>
      </c>
      <c r="F649" s="168">
        <f t="shared" ca="1" si="95"/>
        <v>44.779619656618031</v>
      </c>
      <c r="G649" s="168">
        <f t="shared" ca="1" si="96"/>
        <v>39.611089527590728</v>
      </c>
      <c r="H649" s="184">
        <f t="shared" ca="1" si="97"/>
        <v>5.0060993015149213</v>
      </c>
      <c r="I649" s="184">
        <f t="shared" ca="1" si="98"/>
        <v>5.5554360749748608E-7</v>
      </c>
      <c r="J649" s="223">
        <f t="shared" ca="1" si="99"/>
        <v>1</v>
      </c>
      <c r="K649" s="220" t="str" cm="1">
        <f t="array" aca="1" ref="K649" ca="1">_xlfn.IFS(G649&lt;$B$11,"Fail",G649&lt;25,"Marginal",G649&lt;35,"Solid",TRUE,"Blowout")</f>
        <v>Blowout</v>
      </c>
      <c r="L649" s="226">
        <f ca="1">IF(AND(E649&lt;$B$10,C649&gt;=$B$11),1,0)</f>
        <v>1</v>
      </c>
      <c r="M649" s="217" t="str" cm="1">
        <f t="array" aca="1" ref="M649" ca="1">_xlfn.IFS(C649&lt;$B$11,"Fail",C649&lt;25,"Marginal",C649&lt;35,"Solid",TRUE,"Blowout")</f>
        <v>Marginal</v>
      </c>
    </row>
    <row r="650" spans="1:13" x14ac:dyDescent="0.25">
      <c r="A650" s="169">
        <f t="shared" ca="1" si="90"/>
        <v>29.234485994477733</v>
      </c>
      <c r="B650" s="168">
        <f t="shared" ca="1" si="91"/>
        <v>0.88252852486795952</v>
      </c>
      <c r="C650" s="168">
        <f t="shared" ca="1" si="92"/>
        <v>28.351957469609772</v>
      </c>
      <c r="D650" s="184">
        <f t="shared" ca="1" si="93"/>
        <v>3.5831560347849649</v>
      </c>
      <c r="E650" s="230">
        <f t="shared" ca="1" si="94"/>
        <v>2.0751285815739774E-4</v>
      </c>
      <c r="F650" s="168">
        <f t="shared" ca="1" si="95"/>
        <v>16.337198147989366</v>
      </c>
      <c r="G650" s="168">
        <f t="shared" ca="1" si="96"/>
        <v>15.454669623121406</v>
      </c>
      <c r="H650" s="184">
        <f t="shared" ca="1" si="97"/>
        <v>1.953180579684946</v>
      </c>
      <c r="I650" s="184">
        <f t="shared" ca="1" si="98"/>
        <v>2.6010799553964261E-2</v>
      </c>
      <c r="J650" s="223">
        <f t="shared" ca="1" si="99"/>
        <v>0</v>
      </c>
      <c r="K650" s="220" t="str" cm="1">
        <f t="array" aca="1" ref="K650" ca="1">_xlfn.IFS(G650&lt;$B$11,"Fail",G650&lt;25,"Marginal",G650&lt;35,"Solid",TRUE,"Blowout")</f>
        <v>Fail</v>
      </c>
      <c r="L650" s="226">
        <f ca="1">IF(AND(E650&lt;$B$10,C650&gt;=$B$11),1,0)</f>
        <v>1</v>
      </c>
      <c r="M650" s="217" t="str" cm="1">
        <f t="array" aca="1" ref="M650" ca="1">_xlfn.IFS(C650&lt;$B$11,"Fail",C650&lt;25,"Marginal",C650&lt;35,"Solid",TRUE,"Blowout")</f>
        <v>Solid</v>
      </c>
    </row>
    <row r="651" spans="1:13" x14ac:dyDescent="0.25">
      <c r="A651" s="169">
        <f t="shared" ca="1" si="90"/>
        <v>50.093065822194752</v>
      </c>
      <c r="B651" s="168">
        <f t="shared" ca="1" si="91"/>
        <v>7.4976574237860394</v>
      </c>
      <c r="C651" s="168">
        <f t="shared" ca="1" si="92"/>
        <v>42.595408398408715</v>
      </c>
      <c r="D651" s="184">
        <f t="shared" ca="1" si="93"/>
        <v>5.3832612728940106</v>
      </c>
      <c r="E651" s="230">
        <f t="shared" ca="1" si="94"/>
        <v>9.0729244774448513E-8</v>
      </c>
      <c r="F651" s="168">
        <f t="shared" ca="1" si="95"/>
        <v>20.059722813676984</v>
      </c>
      <c r="G651" s="168">
        <f t="shared" ca="1" si="96"/>
        <v>12.562065389890945</v>
      </c>
      <c r="H651" s="184">
        <f t="shared" ca="1" si="97"/>
        <v>1.5876096195262321</v>
      </c>
      <c r="I651" s="184">
        <f t="shared" ca="1" si="98"/>
        <v>5.6880218874859091E-2</v>
      </c>
      <c r="J651" s="223">
        <f t="shared" ca="1" si="99"/>
        <v>0</v>
      </c>
      <c r="K651" s="220" t="str" cm="1">
        <f t="array" aca="1" ref="K651" ca="1">_xlfn.IFS(G651&lt;$B$11,"Fail",G651&lt;25,"Marginal",G651&lt;35,"Solid",TRUE,"Blowout")</f>
        <v>Fail</v>
      </c>
      <c r="L651" s="226">
        <f ca="1">IF(AND(E651&lt;$B$10,C651&gt;=$B$11),1,0)</f>
        <v>1</v>
      </c>
      <c r="M651" s="217" t="str" cm="1">
        <f t="array" aca="1" ref="M651" ca="1">_xlfn.IFS(C651&lt;$B$11,"Fail",C651&lt;25,"Marginal",C651&lt;35,"Solid",TRUE,"Blowout")</f>
        <v>Blowout</v>
      </c>
    </row>
    <row r="652" spans="1:13" x14ac:dyDescent="0.25">
      <c r="A652" s="169">
        <f t="shared" ca="1" si="90"/>
        <v>48.976486323728196</v>
      </c>
      <c r="B652" s="168">
        <f t="shared" ca="1" si="91"/>
        <v>8.9791678443470637</v>
      </c>
      <c r="C652" s="168">
        <f t="shared" ca="1" si="92"/>
        <v>39.997318479381136</v>
      </c>
      <c r="D652" s="184">
        <f t="shared" ca="1" si="93"/>
        <v>5.0549114020868089</v>
      </c>
      <c r="E652" s="230">
        <f t="shared" ca="1" si="94"/>
        <v>4.4179201741818292E-7</v>
      </c>
      <c r="F652" s="168">
        <f t="shared" ca="1" si="95"/>
        <v>17.848539856679928</v>
      </c>
      <c r="G652" s="168">
        <f t="shared" ca="1" si="96"/>
        <v>8.8693720123328639</v>
      </c>
      <c r="H652" s="184">
        <f t="shared" ca="1" si="97"/>
        <v>1.1209223872746161</v>
      </c>
      <c r="I652" s="184">
        <f t="shared" ca="1" si="98"/>
        <v>0.13175007410165415</v>
      </c>
      <c r="J652" s="223">
        <f t="shared" ca="1" si="99"/>
        <v>0</v>
      </c>
      <c r="K652" s="220" t="str" cm="1">
        <f t="array" aca="1" ref="K652" ca="1">_xlfn.IFS(G652&lt;$B$11,"Fail",G652&lt;25,"Marginal",G652&lt;35,"Solid",TRUE,"Blowout")</f>
        <v>Fail</v>
      </c>
      <c r="L652" s="226">
        <f ca="1">IF(AND(E652&lt;$B$10,C652&gt;=$B$11),1,0)</f>
        <v>1</v>
      </c>
      <c r="M652" s="217" t="str" cm="1">
        <f t="array" aca="1" ref="M652" ca="1">_xlfn.IFS(C652&lt;$B$11,"Fail",C652&lt;25,"Marginal",C652&lt;35,"Solid",TRUE,"Blowout")</f>
        <v>Blowout</v>
      </c>
    </row>
    <row r="653" spans="1:13" x14ac:dyDescent="0.25">
      <c r="A653" s="169">
        <f t="shared" ca="1" si="90"/>
        <v>26.709153489817446</v>
      </c>
      <c r="B653" s="168">
        <f t="shared" ca="1" si="91"/>
        <v>-3.7276394553090419</v>
      </c>
      <c r="C653" s="168">
        <f t="shared" ca="1" si="92"/>
        <v>30.436792945126488</v>
      </c>
      <c r="D653" s="184">
        <f t="shared" ca="1" si="93"/>
        <v>3.8466401636546856</v>
      </c>
      <c r="E653" s="230">
        <f t="shared" ca="1" si="94"/>
        <v>7.7722435611640074E-5</v>
      </c>
      <c r="F653" s="168">
        <f t="shared" ca="1" si="95"/>
        <v>24.145272065039617</v>
      </c>
      <c r="G653" s="168">
        <f t="shared" ca="1" si="96"/>
        <v>27.872911520348659</v>
      </c>
      <c r="H653" s="184">
        <f t="shared" ca="1" si="97"/>
        <v>3.5226136053645574</v>
      </c>
      <c r="I653" s="184">
        <f t="shared" ca="1" si="98"/>
        <v>2.5805282135608508E-4</v>
      </c>
      <c r="J653" s="223">
        <f t="shared" ca="1" si="99"/>
        <v>1</v>
      </c>
      <c r="K653" s="220" t="str" cm="1">
        <f t="array" aca="1" ref="K653" ca="1">_xlfn.IFS(G653&lt;$B$11,"Fail",G653&lt;25,"Marginal",G653&lt;35,"Solid",TRUE,"Blowout")</f>
        <v>Solid</v>
      </c>
      <c r="L653" s="226">
        <f ca="1">IF(AND(E653&lt;$B$10,C653&gt;=$B$11),1,0)</f>
        <v>1</v>
      </c>
      <c r="M653" s="217" t="str" cm="1">
        <f t="array" aca="1" ref="M653" ca="1">_xlfn.IFS(C653&lt;$B$11,"Fail",C653&lt;25,"Marginal",C653&lt;35,"Solid",TRUE,"Blowout")</f>
        <v>Solid</v>
      </c>
    </row>
    <row r="654" spans="1:13" x14ac:dyDescent="0.25">
      <c r="A654" s="169">
        <f t="shared" ca="1" si="90"/>
        <v>15.341685095563088</v>
      </c>
      <c r="B654" s="168">
        <f t="shared" ca="1" si="91"/>
        <v>-3.8472574641617072</v>
      </c>
      <c r="C654" s="168">
        <f t="shared" ca="1" si="92"/>
        <v>19.188942559724794</v>
      </c>
      <c r="D654" s="184">
        <f t="shared" ca="1" si="93"/>
        <v>2.4251226888908808</v>
      </c>
      <c r="E654" s="230">
        <f t="shared" ca="1" si="94"/>
        <v>8.0406882601219733E-3</v>
      </c>
      <c r="F654" s="168">
        <f t="shared" ca="1" si="95"/>
        <v>-2.80738197759139</v>
      </c>
      <c r="G654" s="168">
        <f t="shared" ca="1" si="96"/>
        <v>1.0398754865703173</v>
      </c>
      <c r="H654" s="184">
        <f t="shared" ca="1" si="97"/>
        <v>0.13142077153308696</v>
      </c>
      <c r="I654" s="184">
        <f t="shared" ca="1" si="98"/>
        <v>0.44777917491321695</v>
      </c>
      <c r="J654" s="223">
        <f t="shared" ca="1" si="99"/>
        <v>0</v>
      </c>
      <c r="K654" s="220" t="str" cm="1">
        <f t="array" aca="1" ref="K654" ca="1">_xlfn.IFS(G654&lt;$B$11,"Fail",G654&lt;25,"Marginal",G654&lt;35,"Solid",TRUE,"Blowout")</f>
        <v>Fail</v>
      </c>
      <c r="L654" s="226">
        <f ca="1">IF(AND(E654&lt;$B$10,C654&gt;=$B$11),1,0)</f>
        <v>0</v>
      </c>
      <c r="M654" s="217" t="str" cm="1">
        <f t="array" aca="1" ref="M654" ca="1">_xlfn.IFS(C654&lt;$B$11,"Fail",C654&lt;25,"Marginal",C654&lt;35,"Solid",TRUE,"Blowout")</f>
        <v>Fail</v>
      </c>
    </row>
    <row r="655" spans="1:13" x14ac:dyDescent="0.25">
      <c r="A655" s="169">
        <f t="shared" ca="1" si="90"/>
        <v>31.047461466963099</v>
      </c>
      <c r="B655" s="168">
        <f t="shared" ca="1" si="91"/>
        <v>4.2153252790855547</v>
      </c>
      <c r="C655" s="168">
        <f t="shared" ca="1" si="92"/>
        <v>26.832136187877545</v>
      </c>
      <c r="D655" s="184">
        <f t="shared" ca="1" si="93"/>
        <v>3.3910791101750606</v>
      </c>
      <c r="E655" s="230">
        <f t="shared" ca="1" si="94"/>
        <v>4.1023466920301672E-4</v>
      </c>
      <c r="F655" s="168">
        <f t="shared" ca="1" si="95"/>
        <v>-4.8323240740708471</v>
      </c>
      <c r="G655" s="168">
        <f t="shared" ca="1" si="96"/>
        <v>-9.0476493531564017</v>
      </c>
      <c r="H655" s="184">
        <f t="shared" ca="1" si="97"/>
        <v>-1.1434533017739763</v>
      </c>
      <c r="I655" s="184">
        <f t="shared" ca="1" si="98"/>
        <v>0.87297520478668744</v>
      </c>
      <c r="J655" s="223">
        <f t="shared" ca="1" si="99"/>
        <v>0</v>
      </c>
      <c r="K655" s="220" t="str" cm="1">
        <f t="array" aca="1" ref="K655" ca="1">_xlfn.IFS(G655&lt;$B$11,"Fail",G655&lt;25,"Marginal",G655&lt;35,"Solid",TRUE,"Blowout")</f>
        <v>Fail</v>
      </c>
      <c r="L655" s="226">
        <f ca="1">IF(AND(E655&lt;$B$10,C655&gt;=$B$11),1,0)</f>
        <v>1</v>
      </c>
      <c r="M655" s="217" t="str" cm="1">
        <f t="array" aca="1" ref="M655" ca="1">_xlfn.IFS(C655&lt;$B$11,"Fail",C655&lt;25,"Marginal",C655&lt;35,"Solid",TRUE,"Blowout")</f>
        <v>Solid</v>
      </c>
    </row>
    <row r="656" spans="1:13" x14ac:dyDescent="0.25">
      <c r="A656" s="169">
        <f t="shared" ca="1" si="90"/>
        <v>42.975851782088071</v>
      </c>
      <c r="B656" s="168">
        <f t="shared" ca="1" si="91"/>
        <v>7.5212955039052449</v>
      </c>
      <c r="C656" s="168">
        <f t="shared" ca="1" si="92"/>
        <v>35.454556278182828</v>
      </c>
      <c r="D656" s="184">
        <f t="shared" ca="1" si="93"/>
        <v>4.4807914030262719</v>
      </c>
      <c r="E656" s="230">
        <f t="shared" ca="1" si="94"/>
        <v>5.8846607396410571E-6</v>
      </c>
      <c r="F656" s="168">
        <f t="shared" ca="1" si="95"/>
        <v>24.091252030891141</v>
      </c>
      <c r="G656" s="168">
        <f t="shared" ca="1" si="96"/>
        <v>16.569956526985898</v>
      </c>
      <c r="H656" s="184">
        <f t="shared" ca="1" si="97"/>
        <v>2.0941319409580514</v>
      </c>
      <c r="I656" s="184">
        <f t="shared" ca="1" si="98"/>
        <v>1.8676468503579843E-2</v>
      </c>
      <c r="J656" s="223">
        <f t="shared" ca="1" si="99"/>
        <v>0</v>
      </c>
      <c r="K656" s="220" t="str" cm="1">
        <f t="array" aca="1" ref="K656" ca="1">_xlfn.IFS(G656&lt;$B$11,"Fail",G656&lt;25,"Marginal",G656&lt;35,"Solid",TRUE,"Blowout")</f>
        <v>Fail</v>
      </c>
      <c r="L656" s="226">
        <f ca="1">IF(AND(E656&lt;$B$10,C656&gt;=$B$11),1,0)</f>
        <v>1</v>
      </c>
      <c r="M656" s="217" t="str" cm="1">
        <f t="array" aca="1" ref="M656" ca="1">_xlfn.IFS(C656&lt;$B$11,"Fail",C656&lt;25,"Marginal",C656&lt;35,"Solid",TRUE,"Blowout")</f>
        <v>Blowout</v>
      </c>
    </row>
    <row r="657" spans="1:13" x14ac:dyDescent="0.25">
      <c r="A657" s="169">
        <f t="shared" ref="A657:A720" ca="1" si="100">NORMINV(RAND(), MAX(0, NORMINV(RAND(), $B$6, $B$12)), $B$7/SQRT($B$9))</f>
        <v>40.772123529017932</v>
      </c>
      <c r="B657" s="168">
        <f t="shared" ref="B657:B720" ca="1" si="101">NORMINV(RAND(), $B$8, $B$7/SQRT($B$9))</f>
        <v>6.5477208502241009</v>
      </c>
      <c r="C657" s="168">
        <f t="shared" ref="C657:C720" ca="1" si="102">A657-B657</f>
        <v>34.22440267879383</v>
      </c>
      <c r="D657" s="184">
        <f t="shared" ref="D657:D720" ca="1" si="103">C657/($B$7*SQRT(2/$B$9))</f>
        <v>4.3253230443392976</v>
      </c>
      <c r="E657" s="230">
        <f t="shared" ref="E657:E720" ca="1" si="104">_xlfn.T.DIST.RT(D657, 2*$B$9-2)</f>
        <v>1.1391176781644683E-5</v>
      </c>
      <c r="F657" s="168">
        <f t="shared" ref="F657:F720" ca="1" si="105">NORMINV(RAND(), MAX(0, NORMINV(RAND(), $N$7, $N$8)), $B$7/SQRT($B$9))</f>
        <v>33.843819134719425</v>
      </c>
      <c r="G657" s="168">
        <f t="shared" ref="G657:G720" ca="1" si="106">F657-B657</f>
        <v>27.296098284495322</v>
      </c>
      <c r="H657" s="184">
        <f t="shared" ref="H657:H720" ca="1" si="107">G657/($B$7*SQRT(2/$B$9))</f>
        <v>3.4497152233319541</v>
      </c>
      <c r="I657" s="184">
        <f t="shared" ref="I657:I720" ca="1" si="108">_xlfn.T.DIST.RT(H657, 2*$B$9-2)</f>
        <v>3.3421205579349706E-4</v>
      </c>
      <c r="J657" s="223">
        <f t="shared" ref="J657:J720" ca="1" si="109">IF(AND(I657&lt;$B$10, G657&gt;=$B$11), 1, 0)</f>
        <v>1</v>
      </c>
      <c r="K657" s="220" t="str" cm="1">
        <f t="array" aca="1" ref="K657" ca="1">_xlfn.IFS(G657&lt;$B$11,"Fail",G657&lt;25,"Marginal",G657&lt;35,"Solid",TRUE,"Blowout")</f>
        <v>Solid</v>
      </c>
      <c r="L657" s="226">
        <f ca="1">IF(AND(E657&lt;$B$10,C657&gt;=$B$11),1,0)</f>
        <v>1</v>
      </c>
      <c r="M657" s="217" t="str" cm="1">
        <f t="array" aca="1" ref="M657" ca="1">_xlfn.IFS(C657&lt;$B$11,"Fail",C657&lt;25,"Marginal",C657&lt;35,"Solid",TRUE,"Blowout")</f>
        <v>Solid</v>
      </c>
    </row>
    <row r="658" spans="1:13" x14ac:dyDescent="0.25">
      <c r="A658" s="169">
        <f t="shared" ca="1" si="100"/>
        <v>50.737191471966902</v>
      </c>
      <c r="B658" s="168">
        <f t="shared" ca="1" si="101"/>
        <v>1.1329918073207366</v>
      </c>
      <c r="C658" s="168">
        <f t="shared" ca="1" si="102"/>
        <v>49.604199664646167</v>
      </c>
      <c r="D658" s="184">
        <f t="shared" ca="1" si="103"/>
        <v>6.2690411259812606</v>
      </c>
      <c r="E658" s="230">
        <f t="shared" ca="1" si="104"/>
        <v>8.993985838429556E-10</v>
      </c>
      <c r="F658" s="168">
        <f t="shared" ca="1" si="105"/>
        <v>30.36407069408984</v>
      </c>
      <c r="G658" s="168">
        <f t="shared" ca="1" si="106"/>
        <v>29.231078886769104</v>
      </c>
      <c r="H658" s="184">
        <f t="shared" ca="1" si="107"/>
        <v>3.6942605048935868</v>
      </c>
      <c r="I658" s="184">
        <f t="shared" ca="1" si="108"/>
        <v>1.3806009161470461E-4</v>
      </c>
      <c r="J658" s="223">
        <f t="shared" ca="1" si="109"/>
        <v>1</v>
      </c>
      <c r="K658" s="220" t="str" cm="1">
        <f t="array" aca="1" ref="K658" ca="1">_xlfn.IFS(G658&lt;$B$11,"Fail",G658&lt;25,"Marginal",G658&lt;35,"Solid",TRUE,"Blowout")</f>
        <v>Solid</v>
      </c>
      <c r="L658" s="226">
        <f ca="1">IF(AND(E658&lt;$B$10,C658&gt;=$B$11),1,0)</f>
        <v>1</v>
      </c>
      <c r="M658" s="217" t="str" cm="1">
        <f t="array" aca="1" ref="M658" ca="1">_xlfn.IFS(C658&lt;$B$11,"Fail",C658&lt;25,"Marginal",C658&lt;35,"Solid",TRUE,"Blowout")</f>
        <v>Blowout</v>
      </c>
    </row>
    <row r="659" spans="1:13" x14ac:dyDescent="0.25">
      <c r="A659" s="169">
        <f t="shared" ca="1" si="100"/>
        <v>6.2820594114695059</v>
      </c>
      <c r="B659" s="168">
        <f t="shared" ca="1" si="101"/>
        <v>-0.56102613938956125</v>
      </c>
      <c r="C659" s="168">
        <f t="shared" ca="1" si="102"/>
        <v>6.8430855508590671</v>
      </c>
      <c r="D659" s="184">
        <f t="shared" ca="1" si="103"/>
        <v>0.86483775641922001</v>
      </c>
      <c r="E659" s="230">
        <f t="shared" ca="1" si="104"/>
        <v>0.19401842439971456</v>
      </c>
      <c r="F659" s="168">
        <f t="shared" ca="1" si="105"/>
        <v>58.685720131513932</v>
      </c>
      <c r="G659" s="168">
        <f t="shared" ca="1" si="106"/>
        <v>59.246746270903493</v>
      </c>
      <c r="H659" s="184">
        <f t="shared" ca="1" si="107"/>
        <v>7.487678290626449</v>
      </c>
      <c r="I659" s="184">
        <f t="shared" ca="1" si="108"/>
        <v>7.609472939137388E-13</v>
      </c>
      <c r="J659" s="223">
        <f t="shared" ca="1" si="109"/>
        <v>1</v>
      </c>
      <c r="K659" s="220" t="str" cm="1">
        <f t="array" aca="1" ref="K659" ca="1">_xlfn.IFS(G659&lt;$B$11,"Fail",G659&lt;25,"Marginal",G659&lt;35,"Solid",TRUE,"Blowout")</f>
        <v>Blowout</v>
      </c>
      <c r="L659" s="226">
        <f ca="1">IF(AND(E659&lt;$B$10,C659&gt;=$B$11),1,0)</f>
        <v>0</v>
      </c>
      <c r="M659" s="217" t="str" cm="1">
        <f t="array" aca="1" ref="M659" ca="1">_xlfn.IFS(C659&lt;$B$11,"Fail",C659&lt;25,"Marginal",C659&lt;35,"Solid",TRUE,"Blowout")</f>
        <v>Fail</v>
      </c>
    </row>
    <row r="660" spans="1:13" x14ac:dyDescent="0.25">
      <c r="A660" s="169">
        <f t="shared" ca="1" si="100"/>
        <v>37.516747000910208</v>
      </c>
      <c r="B660" s="168">
        <f t="shared" ca="1" si="101"/>
        <v>9.7134483674055936</v>
      </c>
      <c r="C660" s="168">
        <f t="shared" ca="1" si="102"/>
        <v>27.803298633504614</v>
      </c>
      <c r="D660" s="184">
        <f t="shared" ca="1" si="103"/>
        <v>3.5138158411939031</v>
      </c>
      <c r="E660" s="230">
        <f t="shared" ca="1" si="104"/>
        <v>2.6629324849533327E-4</v>
      </c>
      <c r="F660" s="168">
        <f t="shared" ca="1" si="105"/>
        <v>40.797048908533924</v>
      </c>
      <c r="G660" s="168">
        <f t="shared" ca="1" si="106"/>
        <v>31.08360054112833</v>
      </c>
      <c r="H660" s="184">
        <f t="shared" ca="1" si="107"/>
        <v>3.9283845209338253</v>
      </c>
      <c r="I660" s="184">
        <f t="shared" ca="1" si="108"/>
        <v>5.6686319452224451E-5</v>
      </c>
      <c r="J660" s="223">
        <f t="shared" ca="1" si="109"/>
        <v>1</v>
      </c>
      <c r="K660" s="220" t="str" cm="1">
        <f t="array" aca="1" ref="K660" ca="1">_xlfn.IFS(G660&lt;$B$11,"Fail",G660&lt;25,"Marginal",G660&lt;35,"Solid",TRUE,"Blowout")</f>
        <v>Solid</v>
      </c>
      <c r="L660" s="226">
        <f ca="1">IF(AND(E660&lt;$B$10,C660&gt;=$B$11),1,0)</f>
        <v>1</v>
      </c>
      <c r="M660" s="217" t="str" cm="1">
        <f t="array" aca="1" ref="M660" ca="1">_xlfn.IFS(C660&lt;$B$11,"Fail",C660&lt;25,"Marginal",C660&lt;35,"Solid",TRUE,"Blowout")</f>
        <v>Solid</v>
      </c>
    </row>
    <row r="661" spans="1:13" x14ac:dyDescent="0.25">
      <c r="A661" s="169">
        <f t="shared" ca="1" si="100"/>
        <v>12.919885535463358</v>
      </c>
      <c r="B661" s="168">
        <f t="shared" ca="1" si="101"/>
        <v>4.6067172951817108</v>
      </c>
      <c r="C661" s="168">
        <f t="shared" ca="1" si="102"/>
        <v>8.313168240281648</v>
      </c>
      <c r="D661" s="184">
        <f t="shared" ca="1" si="103"/>
        <v>1.0506286551916826</v>
      </c>
      <c r="E661" s="230">
        <f t="shared" ca="1" si="104"/>
        <v>0.14727073509509933</v>
      </c>
      <c r="F661" s="168">
        <f t="shared" ca="1" si="105"/>
        <v>17.232186428115686</v>
      </c>
      <c r="G661" s="168">
        <f t="shared" ca="1" si="106"/>
        <v>12.625469132933976</v>
      </c>
      <c r="H661" s="184">
        <f t="shared" ca="1" si="107"/>
        <v>1.5956226642959312</v>
      </c>
      <c r="I661" s="184">
        <f t="shared" ca="1" si="108"/>
        <v>5.5979102596482679E-2</v>
      </c>
      <c r="J661" s="223">
        <f t="shared" ca="1" si="109"/>
        <v>0</v>
      </c>
      <c r="K661" s="220" t="str" cm="1">
        <f t="array" aca="1" ref="K661" ca="1">_xlfn.IFS(G661&lt;$B$11,"Fail",G661&lt;25,"Marginal",G661&lt;35,"Solid",TRUE,"Blowout")</f>
        <v>Fail</v>
      </c>
      <c r="L661" s="226">
        <f ca="1">IF(AND(E661&lt;$B$10,C661&gt;=$B$11),1,0)</f>
        <v>0</v>
      </c>
      <c r="M661" s="217" t="str" cm="1">
        <f t="array" aca="1" ref="M661" ca="1">_xlfn.IFS(C661&lt;$B$11,"Fail",C661&lt;25,"Marginal",C661&lt;35,"Solid",TRUE,"Blowout")</f>
        <v>Fail</v>
      </c>
    </row>
    <row r="662" spans="1:13" x14ac:dyDescent="0.25">
      <c r="A662" s="169">
        <f t="shared" ca="1" si="100"/>
        <v>-3.7199426742914143</v>
      </c>
      <c r="B662" s="168">
        <f t="shared" ca="1" si="101"/>
        <v>18.778494240619352</v>
      </c>
      <c r="C662" s="168">
        <f t="shared" ca="1" si="102"/>
        <v>-22.498436914910766</v>
      </c>
      <c r="D662" s="184">
        <f t="shared" ca="1" si="103"/>
        <v>-2.8433807468603298</v>
      </c>
      <c r="E662" s="230">
        <f t="shared" ca="1" si="104"/>
        <v>0.99756544041232531</v>
      </c>
      <c r="F662" s="168">
        <f t="shared" ca="1" si="105"/>
        <v>25.983867937821383</v>
      </c>
      <c r="G662" s="168">
        <f t="shared" ca="1" si="106"/>
        <v>7.205373697202031</v>
      </c>
      <c r="H662" s="184">
        <f t="shared" ca="1" si="107"/>
        <v>0.91062418789547028</v>
      </c>
      <c r="I662" s="184">
        <f t="shared" ca="1" si="108"/>
        <v>0.18172756389180117</v>
      </c>
      <c r="J662" s="223">
        <f t="shared" ca="1" si="109"/>
        <v>0</v>
      </c>
      <c r="K662" s="220" t="str" cm="1">
        <f t="array" aca="1" ref="K662" ca="1">_xlfn.IFS(G662&lt;$B$11,"Fail",G662&lt;25,"Marginal",G662&lt;35,"Solid",TRUE,"Blowout")</f>
        <v>Fail</v>
      </c>
      <c r="L662" s="226">
        <f ca="1">IF(AND(E662&lt;$B$10,C662&gt;=$B$11),1,0)</f>
        <v>0</v>
      </c>
      <c r="M662" s="217" t="str" cm="1">
        <f t="array" aca="1" ref="M662" ca="1">_xlfn.IFS(C662&lt;$B$11,"Fail",C662&lt;25,"Marginal",C662&lt;35,"Solid",TRUE,"Blowout")</f>
        <v>Fail</v>
      </c>
    </row>
    <row r="663" spans="1:13" x14ac:dyDescent="0.25">
      <c r="A663" s="169">
        <f t="shared" ca="1" si="100"/>
        <v>-5.8531425022175929</v>
      </c>
      <c r="B663" s="168">
        <f t="shared" ca="1" si="101"/>
        <v>4.6450276697415438</v>
      </c>
      <c r="C663" s="168">
        <f t="shared" ca="1" si="102"/>
        <v>-10.498170171959137</v>
      </c>
      <c r="D663" s="184">
        <f t="shared" ca="1" si="103"/>
        <v>-1.3267719467403898</v>
      </c>
      <c r="E663" s="230">
        <f t="shared" ca="1" si="104"/>
        <v>0.90704429912567053</v>
      </c>
      <c r="F663" s="168">
        <f t="shared" ca="1" si="105"/>
        <v>14.822232707785258</v>
      </c>
      <c r="G663" s="168">
        <f t="shared" ca="1" si="106"/>
        <v>10.177205038043713</v>
      </c>
      <c r="H663" s="184">
        <f t="shared" ca="1" si="107"/>
        <v>1.2862079695343234</v>
      </c>
      <c r="I663" s="184">
        <f t="shared" ca="1" si="108"/>
        <v>9.983753976622782E-2</v>
      </c>
      <c r="J663" s="223">
        <f t="shared" ca="1" si="109"/>
        <v>0</v>
      </c>
      <c r="K663" s="220" t="str" cm="1">
        <f t="array" aca="1" ref="K663" ca="1">_xlfn.IFS(G663&lt;$B$11,"Fail",G663&lt;25,"Marginal",G663&lt;35,"Solid",TRUE,"Blowout")</f>
        <v>Fail</v>
      </c>
      <c r="L663" s="226">
        <f ca="1">IF(AND(E663&lt;$B$10,C663&gt;=$B$11),1,0)</f>
        <v>0</v>
      </c>
      <c r="M663" s="217" t="str" cm="1">
        <f t="array" aca="1" ref="M663" ca="1">_xlfn.IFS(C663&lt;$B$11,"Fail",C663&lt;25,"Marginal",C663&lt;35,"Solid",TRUE,"Blowout")</f>
        <v>Fail</v>
      </c>
    </row>
    <row r="664" spans="1:13" x14ac:dyDescent="0.25">
      <c r="A664" s="169">
        <f t="shared" ca="1" si="100"/>
        <v>44.962235504475402</v>
      </c>
      <c r="B664" s="168">
        <f t="shared" ca="1" si="101"/>
        <v>4.5485057002239362</v>
      </c>
      <c r="C664" s="168">
        <f t="shared" ca="1" si="102"/>
        <v>40.413729804251467</v>
      </c>
      <c r="D664" s="184">
        <f t="shared" ca="1" si="103"/>
        <v>5.1075379889198791</v>
      </c>
      <c r="E664" s="230">
        <f t="shared" ca="1" si="104"/>
        <v>3.4446946833106133E-7</v>
      </c>
      <c r="F664" s="168">
        <f t="shared" ca="1" si="105"/>
        <v>24.579783075003292</v>
      </c>
      <c r="G664" s="168">
        <f t="shared" ca="1" si="106"/>
        <v>20.031277374779357</v>
      </c>
      <c r="H664" s="184">
        <f t="shared" ca="1" si="107"/>
        <v>2.531578021969997</v>
      </c>
      <c r="I664" s="184">
        <f t="shared" ca="1" si="108"/>
        <v>6.0142860663599858E-3</v>
      </c>
      <c r="J664" s="223">
        <f t="shared" ca="1" si="109"/>
        <v>1</v>
      </c>
      <c r="K664" s="220" t="str" cm="1">
        <f t="array" aca="1" ref="K664" ca="1">_xlfn.IFS(G664&lt;$B$11,"Fail",G664&lt;25,"Marginal",G664&lt;35,"Solid",TRUE,"Blowout")</f>
        <v>Marginal</v>
      </c>
      <c r="L664" s="226">
        <f ca="1">IF(AND(E664&lt;$B$10,C664&gt;=$B$11),1,0)</f>
        <v>1</v>
      </c>
      <c r="M664" s="217" t="str" cm="1">
        <f t="array" aca="1" ref="M664" ca="1">_xlfn.IFS(C664&lt;$B$11,"Fail",C664&lt;25,"Marginal",C664&lt;35,"Solid",TRUE,"Blowout")</f>
        <v>Blowout</v>
      </c>
    </row>
    <row r="665" spans="1:13" x14ac:dyDescent="0.25">
      <c r="A665" s="169">
        <f t="shared" ca="1" si="100"/>
        <v>36.74064540210437</v>
      </c>
      <c r="B665" s="168">
        <f t="shared" ca="1" si="101"/>
        <v>5.0694917073843575</v>
      </c>
      <c r="C665" s="168">
        <f t="shared" ca="1" si="102"/>
        <v>31.671153694720012</v>
      </c>
      <c r="D665" s="184">
        <f t="shared" ca="1" si="103"/>
        <v>4.0026402272745827</v>
      </c>
      <c r="E665" s="230">
        <f t="shared" ca="1" si="104"/>
        <v>4.236812653608435E-5</v>
      </c>
      <c r="F665" s="168">
        <f t="shared" ca="1" si="105"/>
        <v>67.546563668116576</v>
      </c>
      <c r="G665" s="168">
        <f t="shared" ca="1" si="106"/>
        <v>62.477071960732218</v>
      </c>
      <c r="H665" s="184">
        <f t="shared" ca="1" si="107"/>
        <v>7.8959309131213002</v>
      </c>
      <c r="I665" s="184">
        <f t="shared" ca="1" si="108"/>
        <v>6.0406146063915509E-14</v>
      </c>
      <c r="J665" s="223">
        <f t="shared" ca="1" si="109"/>
        <v>1</v>
      </c>
      <c r="K665" s="220" t="str" cm="1">
        <f t="array" aca="1" ref="K665" ca="1">_xlfn.IFS(G665&lt;$B$11,"Fail",G665&lt;25,"Marginal",G665&lt;35,"Solid",TRUE,"Blowout")</f>
        <v>Blowout</v>
      </c>
      <c r="L665" s="226">
        <f ca="1">IF(AND(E665&lt;$B$10,C665&gt;=$B$11),1,0)</f>
        <v>1</v>
      </c>
      <c r="M665" s="217" t="str" cm="1">
        <f t="array" aca="1" ref="M665" ca="1">_xlfn.IFS(C665&lt;$B$11,"Fail",C665&lt;25,"Marginal",C665&lt;35,"Solid",TRUE,"Blowout")</f>
        <v>Solid</v>
      </c>
    </row>
    <row r="666" spans="1:13" x14ac:dyDescent="0.25">
      <c r="A666" s="169">
        <f t="shared" ca="1" si="100"/>
        <v>39.988317909516546</v>
      </c>
      <c r="B666" s="168">
        <f t="shared" ca="1" si="101"/>
        <v>-2.0736838322886708</v>
      </c>
      <c r="C666" s="168">
        <f t="shared" ca="1" si="102"/>
        <v>42.062001741805219</v>
      </c>
      <c r="D666" s="184">
        <f t="shared" ca="1" si="103"/>
        <v>5.3158486689264732</v>
      </c>
      <c r="E666" s="230">
        <f t="shared" ca="1" si="104"/>
        <v>1.2630925945990806E-7</v>
      </c>
      <c r="F666" s="168">
        <f t="shared" ca="1" si="105"/>
        <v>29.499271915977758</v>
      </c>
      <c r="G666" s="168">
        <f t="shared" ca="1" si="106"/>
        <v>31.57295574826643</v>
      </c>
      <c r="H666" s="184">
        <f t="shared" ca="1" si="107"/>
        <v>3.9902298473275963</v>
      </c>
      <c r="I666" s="184">
        <f t="shared" ca="1" si="108"/>
        <v>4.4493673779522785E-5</v>
      </c>
      <c r="J666" s="223">
        <f t="shared" ca="1" si="109"/>
        <v>1</v>
      </c>
      <c r="K666" s="220" t="str" cm="1">
        <f t="array" aca="1" ref="K666" ca="1">_xlfn.IFS(G666&lt;$B$11,"Fail",G666&lt;25,"Marginal",G666&lt;35,"Solid",TRUE,"Blowout")</f>
        <v>Solid</v>
      </c>
      <c r="L666" s="226">
        <f ca="1">IF(AND(E666&lt;$B$10,C666&gt;=$B$11),1,0)</f>
        <v>1</v>
      </c>
      <c r="M666" s="217" t="str" cm="1">
        <f t="array" aca="1" ref="M666" ca="1">_xlfn.IFS(C666&lt;$B$11,"Fail",C666&lt;25,"Marginal",C666&lt;35,"Solid",TRUE,"Blowout")</f>
        <v>Blowout</v>
      </c>
    </row>
    <row r="667" spans="1:13" x14ac:dyDescent="0.25">
      <c r="A667" s="169">
        <f t="shared" ca="1" si="100"/>
        <v>43.64401119928575</v>
      </c>
      <c r="B667" s="168">
        <f t="shared" ca="1" si="101"/>
        <v>8.0022921813650658</v>
      </c>
      <c r="C667" s="168">
        <f t="shared" ca="1" si="102"/>
        <v>35.641719017920686</v>
      </c>
      <c r="D667" s="184">
        <f t="shared" ca="1" si="103"/>
        <v>4.5044452654129321</v>
      </c>
      <c r="E667" s="230">
        <f t="shared" ca="1" si="104"/>
        <v>5.3138127140965397E-6</v>
      </c>
      <c r="F667" s="168">
        <f t="shared" ca="1" si="105"/>
        <v>6.412544271219307</v>
      </c>
      <c r="G667" s="168">
        <f t="shared" ca="1" si="106"/>
        <v>-1.5897479101457588</v>
      </c>
      <c r="H667" s="184">
        <f t="shared" ca="1" si="107"/>
        <v>-0.2009143398346091</v>
      </c>
      <c r="I667" s="184">
        <f t="shared" ca="1" si="108"/>
        <v>0.57952766538918321</v>
      </c>
      <c r="J667" s="223">
        <f t="shared" ca="1" si="109"/>
        <v>0</v>
      </c>
      <c r="K667" s="220" t="str" cm="1">
        <f t="array" aca="1" ref="K667" ca="1">_xlfn.IFS(G667&lt;$B$11,"Fail",G667&lt;25,"Marginal",G667&lt;35,"Solid",TRUE,"Blowout")</f>
        <v>Fail</v>
      </c>
      <c r="L667" s="226">
        <f ca="1">IF(AND(E667&lt;$B$10,C667&gt;=$B$11),1,0)</f>
        <v>1</v>
      </c>
      <c r="M667" s="217" t="str" cm="1">
        <f t="array" aca="1" ref="M667" ca="1">_xlfn.IFS(C667&lt;$B$11,"Fail",C667&lt;25,"Marginal",C667&lt;35,"Solid",TRUE,"Blowout")</f>
        <v>Blowout</v>
      </c>
    </row>
    <row r="668" spans="1:13" x14ac:dyDescent="0.25">
      <c r="A668" s="169">
        <f t="shared" ca="1" si="100"/>
        <v>48.649389761591621</v>
      </c>
      <c r="B668" s="168">
        <f t="shared" ca="1" si="101"/>
        <v>1.8760656555810007</v>
      </c>
      <c r="C668" s="168">
        <f t="shared" ca="1" si="102"/>
        <v>46.77332410601062</v>
      </c>
      <c r="D668" s="184">
        <f t="shared" ca="1" si="103"/>
        <v>5.9112715133355405</v>
      </c>
      <c r="E668" s="230">
        <f t="shared" ca="1" si="104"/>
        <v>6.1444747523478101E-9</v>
      </c>
      <c r="F668" s="168">
        <f t="shared" ca="1" si="105"/>
        <v>36.826752003782275</v>
      </c>
      <c r="G668" s="168">
        <f t="shared" ca="1" si="106"/>
        <v>34.950686348201273</v>
      </c>
      <c r="H668" s="184">
        <f t="shared" ca="1" si="107"/>
        <v>4.4171116877087204</v>
      </c>
      <c r="I668" s="184">
        <f t="shared" ca="1" si="108"/>
        <v>7.7293752405193413E-6</v>
      </c>
      <c r="J668" s="223">
        <f t="shared" ca="1" si="109"/>
        <v>1</v>
      </c>
      <c r="K668" s="220" t="str" cm="1">
        <f t="array" aca="1" ref="K668" ca="1">_xlfn.IFS(G668&lt;$B$11,"Fail",G668&lt;25,"Marginal",G668&lt;35,"Solid",TRUE,"Blowout")</f>
        <v>Solid</v>
      </c>
      <c r="L668" s="226">
        <f ca="1">IF(AND(E668&lt;$B$10,C668&gt;=$B$11),1,0)</f>
        <v>1</v>
      </c>
      <c r="M668" s="217" t="str" cm="1">
        <f t="array" aca="1" ref="M668" ca="1">_xlfn.IFS(C668&lt;$B$11,"Fail",C668&lt;25,"Marginal",C668&lt;35,"Solid",TRUE,"Blowout")</f>
        <v>Blowout</v>
      </c>
    </row>
    <row r="669" spans="1:13" x14ac:dyDescent="0.25">
      <c r="A669" s="169">
        <f t="shared" ca="1" si="100"/>
        <v>29.798363619325539</v>
      </c>
      <c r="B669" s="168">
        <f t="shared" ca="1" si="101"/>
        <v>3.168776098034805</v>
      </c>
      <c r="C669" s="168">
        <f t="shared" ca="1" si="102"/>
        <v>26.629587521290734</v>
      </c>
      <c r="D669" s="184">
        <f t="shared" ca="1" si="103"/>
        <v>3.3654807550069519</v>
      </c>
      <c r="E669" s="230">
        <f t="shared" ca="1" si="104"/>
        <v>4.4824758547710037E-4</v>
      </c>
      <c r="F669" s="168">
        <f t="shared" ca="1" si="105"/>
        <v>61.511775933644543</v>
      </c>
      <c r="G669" s="168">
        <f t="shared" ca="1" si="106"/>
        <v>58.342999835609739</v>
      </c>
      <c r="H669" s="184">
        <f t="shared" ca="1" si="107"/>
        <v>7.3734616797624799</v>
      </c>
      <c r="I669" s="184">
        <f t="shared" ca="1" si="108"/>
        <v>1.5248684236972455E-12</v>
      </c>
      <c r="J669" s="223">
        <f t="shared" ca="1" si="109"/>
        <v>1</v>
      </c>
      <c r="K669" s="220" t="str" cm="1">
        <f t="array" aca="1" ref="K669" ca="1">_xlfn.IFS(G669&lt;$B$11,"Fail",G669&lt;25,"Marginal",G669&lt;35,"Solid",TRUE,"Blowout")</f>
        <v>Blowout</v>
      </c>
      <c r="L669" s="226">
        <f ca="1">IF(AND(E669&lt;$B$10,C669&gt;=$B$11),1,0)</f>
        <v>1</v>
      </c>
      <c r="M669" s="217" t="str" cm="1">
        <f t="array" aca="1" ref="M669" ca="1">_xlfn.IFS(C669&lt;$B$11,"Fail",C669&lt;25,"Marginal",C669&lt;35,"Solid",TRUE,"Blowout")</f>
        <v>Solid</v>
      </c>
    </row>
    <row r="670" spans="1:13" x14ac:dyDescent="0.25">
      <c r="A670" s="169">
        <f t="shared" ca="1" si="100"/>
        <v>1.1725492537093718</v>
      </c>
      <c r="B670" s="168">
        <f t="shared" ca="1" si="101"/>
        <v>2.3783280702174485</v>
      </c>
      <c r="C670" s="168">
        <f t="shared" ca="1" si="102"/>
        <v>-1.2057788165080767</v>
      </c>
      <c r="D670" s="184">
        <f t="shared" ca="1" si="103"/>
        <v>-0.1523878429776106</v>
      </c>
      <c r="E670" s="230">
        <f t="shared" ca="1" si="104"/>
        <v>0.56049209463393679</v>
      </c>
      <c r="F670" s="168">
        <f t="shared" ca="1" si="105"/>
        <v>22.800801123770803</v>
      </c>
      <c r="G670" s="168">
        <f t="shared" ca="1" si="106"/>
        <v>20.422473053553354</v>
      </c>
      <c r="H670" s="184">
        <f t="shared" ca="1" si="107"/>
        <v>2.5810178237432373</v>
      </c>
      <c r="I670" s="184">
        <f t="shared" ca="1" si="108"/>
        <v>5.2387888542009308E-3</v>
      </c>
      <c r="J670" s="223">
        <f t="shared" ca="1" si="109"/>
        <v>1</v>
      </c>
      <c r="K670" s="220" t="str" cm="1">
        <f t="array" aca="1" ref="K670" ca="1">_xlfn.IFS(G670&lt;$B$11,"Fail",G670&lt;25,"Marginal",G670&lt;35,"Solid",TRUE,"Blowout")</f>
        <v>Marginal</v>
      </c>
      <c r="L670" s="226">
        <f ca="1">IF(AND(E670&lt;$B$10,C670&gt;=$B$11),1,0)</f>
        <v>0</v>
      </c>
      <c r="M670" s="217" t="str" cm="1">
        <f t="array" aca="1" ref="M670" ca="1">_xlfn.IFS(C670&lt;$B$11,"Fail",C670&lt;25,"Marginal",C670&lt;35,"Solid",TRUE,"Blowout")</f>
        <v>Fail</v>
      </c>
    </row>
    <row r="671" spans="1:13" x14ac:dyDescent="0.25">
      <c r="A671" s="169">
        <f t="shared" ca="1" si="100"/>
        <v>43.725150761995614</v>
      </c>
      <c r="B671" s="168">
        <f t="shared" ca="1" si="101"/>
        <v>1.4252822716636002</v>
      </c>
      <c r="C671" s="168">
        <f t="shared" ca="1" si="102"/>
        <v>42.299868490332017</v>
      </c>
      <c r="D671" s="184">
        <f t="shared" ca="1" si="103"/>
        <v>5.3459105676991436</v>
      </c>
      <c r="E671" s="230">
        <f t="shared" ca="1" si="104"/>
        <v>1.0902338147090729E-7</v>
      </c>
      <c r="F671" s="168">
        <f t="shared" ca="1" si="105"/>
        <v>68.107100676788946</v>
      </c>
      <c r="G671" s="168">
        <f t="shared" ca="1" si="106"/>
        <v>66.681818405125341</v>
      </c>
      <c r="H671" s="184">
        <f t="shared" ca="1" si="107"/>
        <v>8.427332055815496</v>
      </c>
      <c r="I671" s="184">
        <f t="shared" ca="1" si="108"/>
        <v>2.0068676875118671E-15</v>
      </c>
      <c r="J671" s="223">
        <f t="shared" ca="1" si="109"/>
        <v>1</v>
      </c>
      <c r="K671" s="220" t="str" cm="1">
        <f t="array" aca="1" ref="K671" ca="1">_xlfn.IFS(G671&lt;$B$11,"Fail",G671&lt;25,"Marginal",G671&lt;35,"Solid",TRUE,"Blowout")</f>
        <v>Blowout</v>
      </c>
      <c r="L671" s="226">
        <f ca="1">IF(AND(E671&lt;$B$10,C671&gt;=$B$11),1,0)</f>
        <v>1</v>
      </c>
      <c r="M671" s="217" t="str" cm="1">
        <f t="array" aca="1" ref="M671" ca="1">_xlfn.IFS(C671&lt;$B$11,"Fail",C671&lt;25,"Marginal",C671&lt;35,"Solid",TRUE,"Blowout")</f>
        <v>Blowout</v>
      </c>
    </row>
    <row r="672" spans="1:13" x14ac:dyDescent="0.25">
      <c r="A672" s="169">
        <f t="shared" ca="1" si="100"/>
        <v>34.885731011810989</v>
      </c>
      <c r="B672" s="168">
        <f t="shared" ca="1" si="101"/>
        <v>10.242205905924704</v>
      </c>
      <c r="C672" s="168">
        <f t="shared" ca="1" si="102"/>
        <v>24.643525105886283</v>
      </c>
      <c r="D672" s="184">
        <f t="shared" ca="1" si="103"/>
        <v>3.1144796896715499</v>
      </c>
      <c r="E672" s="230">
        <f t="shared" ca="1" si="104"/>
        <v>1.0394230834346455E-3</v>
      </c>
      <c r="F672" s="168">
        <f t="shared" ca="1" si="105"/>
        <v>-2.4469288436560974E-2</v>
      </c>
      <c r="G672" s="168">
        <f t="shared" ca="1" si="106"/>
        <v>-10.266675194361266</v>
      </c>
      <c r="H672" s="184">
        <f t="shared" ca="1" si="107"/>
        <v>-1.2975153203895873</v>
      </c>
      <c r="I672" s="184">
        <f t="shared" ca="1" si="108"/>
        <v>0.90211740313683475</v>
      </c>
      <c r="J672" s="223">
        <f t="shared" ca="1" si="109"/>
        <v>0</v>
      </c>
      <c r="K672" s="220" t="str" cm="1">
        <f t="array" aca="1" ref="K672" ca="1">_xlfn.IFS(G672&lt;$B$11,"Fail",G672&lt;25,"Marginal",G672&lt;35,"Solid",TRUE,"Blowout")</f>
        <v>Fail</v>
      </c>
      <c r="L672" s="226">
        <f ca="1">IF(AND(E672&lt;$B$10,C672&gt;=$B$11),1,0)</f>
        <v>1</v>
      </c>
      <c r="M672" s="217" t="str" cm="1">
        <f t="array" aca="1" ref="M672" ca="1">_xlfn.IFS(C672&lt;$B$11,"Fail",C672&lt;25,"Marginal",C672&lt;35,"Solid",TRUE,"Blowout")</f>
        <v>Marginal</v>
      </c>
    </row>
    <row r="673" spans="1:13" x14ac:dyDescent="0.25">
      <c r="A673" s="169">
        <f t="shared" ca="1" si="100"/>
        <v>28.897203171325497</v>
      </c>
      <c r="B673" s="168">
        <f t="shared" ca="1" si="101"/>
        <v>-1.7790741391194933</v>
      </c>
      <c r="C673" s="168">
        <f t="shared" ca="1" si="102"/>
        <v>30.676277310444991</v>
      </c>
      <c r="D673" s="184">
        <f t="shared" ca="1" si="103"/>
        <v>3.876906498871485</v>
      </c>
      <c r="E673" s="230">
        <f t="shared" ca="1" si="104"/>
        <v>6.9192065530572733E-5</v>
      </c>
      <c r="F673" s="168">
        <f t="shared" ca="1" si="105"/>
        <v>7.071399039161995</v>
      </c>
      <c r="G673" s="168">
        <f t="shared" ca="1" si="106"/>
        <v>8.8504731782814883</v>
      </c>
      <c r="H673" s="184">
        <f t="shared" ca="1" si="107"/>
        <v>1.118533928863793</v>
      </c>
      <c r="I673" s="184">
        <f t="shared" ca="1" si="108"/>
        <v>0.13225805724314824</v>
      </c>
      <c r="J673" s="223">
        <f t="shared" ca="1" si="109"/>
        <v>0</v>
      </c>
      <c r="K673" s="220" t="str" cm="1">
        <f t="array" aca="1" ref="K673" ca="1">_xlfn.IFS(G673&lt;$B$11,"Fail",G673&lt;25,"Marginal",G673&lt;35,"Solid",TRUE,"Blowout")</f>
        <v>Fail</v>
      </c>
      <c r="L673" s="226">
        <f ca="1">IF(AND(E673&lt;$B$10,C673&gt;=$B$11),1,0)</f>
        <v>1</v>
      </c>
      <c r="M673" s="217" t="str" cm="1">
        <f t="array" aca="1" ref="M673" ca="1">_xlfn.IFS(C673&lt;$B$11,"Fail",C673&lt;25,"Marginal",C673&lt;35,"Solid",TRUE,"Blowout")</f>
        <v>Solid</v>
      </c>
    </row>
    <row r="674" spans="1:13" x14ac:dyDescent="0.25">
      <c r="A674" s="169">
        <f t="shared" ca="1" si="100"/>
        <v>53.846751577394855</v>
      </c>
      <c r="B674" s="168">
        <f t="shared" ca="1" si="101"/>
        <v>12.705391140230613</v>
      </c>
      <c r="C674" s="168">
        <f t="shared" ca="1" si="102"/>
        <v>41.141360437164238</v>
      </c>
      <c r="D674" s="184">
        <f t="shared" ca="1" si="103"/>
        <v>5.1994968632307783</v>
      </c>
      <c r="E674" s="230">
        <f t="shared" ca="1" si="104"/>
        <v>2.2200387332649078E-7</v>
      </c>
      <c r="F674" s="168">
        <f t="shared" ca="1" si="105"/>
        <v>39.195900365401954</v>
      </c>
      <c r="G674" s="168">
        <f t="shared" ca="1" si="106"/>
        <v>26.490509225171341</v>
      </c>
      <c r="H674" s="184">
        <f t="shared" ca="1" si="107"/>
        <v>3.3479038650662138</v>
      </c>
      <c r="I674" s="184">
        <f t="shared" ca="1" si="108"/>
        <v>4.7622502638835536E-4</v>
      </c>
      <c r="J674" s="223">
        <f t="shared" ca="1" si="109"/>
        <v>1</v>
      </c>
      <c r="K674" s="220" t="str" cm="1">
        <f t="array" aca="1" ref="K674" ca="1">_xlfn.IFS(G674&lt;$B$11,"Fail",G674&lt;25,"Marginal",G674&lt;35,"Solid",TRUE,"Blowout")</f>
        <v>Solid</v>
      </c>
      <c r="L674" s="226">
        <f ca="1">IF(AND(E674&lt;$B$10,C674&gt;=$B$11),1,0)</f>
        <v>1</v>
      </c>
      <c r="M674" s="217" t="str" cm="1">
        <f t="array" aca="1" ref="M674" ca="1">_xlfn.IFS(C674&lt;$B$11,"Fail",C674&lt;25,"Marginal",C674&lt;35,"Solid",TRUE,"Blowout")</f>
        <v>Blowout</v>
      </c>
    </row>
    <row r="675" spans="1:13" x14ac:dyDescent="0.25">
      <c r="A675" s="169">
        <f t="shared" ca="1" si="100"/>
        <v>59.327716797550416</v>
      </c>
      <c r="B675" s="168">
        <f t="shared" ca="1" si="101"/>
        <v>7.4836398816914915</v>
      </c>
      <c r="C675" s="168">
        <f t="shared" ca="1" si="102"/>
        <v>51.844076915858921</v>
      </c>
      <c r="D675" s="184">
        <f t="shared" ca="1" si="103"/>
        <v>6.5521196294131085</v>
      </c>
      <c r="E675" s="230">
        <f t="shared" ca="1" si="104"/>
        <v>1.8655909146410878E-10</v>
      </c>
      <c r="F675" s="168">
        <f t="shared" ca="1" si="105"/>
        <v>14.559997051338623</v>
      </c>
      <c r="G675" s="168">
        <f t="shared" ca="1" si="106"/>
        <v>7.0763571696471317</v>
      </c>
      <c r="H675" s="184">
        <f t="shared" ca="1" si="107"/>
        <v>0.89431891691758958</v>
      </c>
      <c r="I675" s="184">
        <f t="shared" ca="1" si="108"/>
        <v>0.18604718070582876</v>
      </c>
      <c r="J675" s="223">
        <f t="shared" ca="1" si="109"/>
        <v>0</v>
      </c>
      <c r="K675" s="220" t="str" cm="1">
        <f t="array" aca="1" ref="K675" ca="1">_xlfn.IFS(G675&lt;$B$11,"Fail",G675&lt;25,"Marginal",G675&lt;35,"Solid",TRUE,"Blowout")</f>
        <v>Fail</v>
      </c>
      <c r="L675" s="226">
        <f ca="1">IF(AND(E675&lt;$B$10,C675&gt;=$B$11),1,0)</f>
        <v>1</v>
      </c>
      <c r="M675" s="217" t="str" cm="1">
        <f t="array" aca="1" ref="M675" ca="1">_xlfn.IFS(C675&lt;$B$11,"Fail",C675&lt;25,"Marginal",C675&lt;35,"Solid",TRUE,"Blowout")</f>
        <v>Blowout</v>
      </c>
    </row>
    <row r="676" spans="1:13" x14ac:dyDescent="0.25">
      <c r="A676" s="169">
        <f t="shared" ca="1" si="100"/>
        <v>45.317286256601776</v>
      </c>
      <c r="B676" s="168">
        <f t="shared" ca="1" si="101"/>
        <v>16.695419783695812</v>
      </c>
      <c r="C676" s="168">
        <f t="shared" ca="1" si="102"/>
        <v>28.621866472905964</v>
      </c>
      <c r="D676" s="184">
        <f t="shared" ca="1" si="103"/>
        <v>3.6172674740053501</v>
      </c>
      <c r="E676" s="230">
        <f t="shared" ca="1" si="104"/>
        <v>1.8329751914352509E-4</v>
      </c>
      <c r="F676" s="168">
        <f t="shared" ca="1" si="105"/>
        <v>-4.560465555206223</v>
      </c>
      <c r="G676" s="168">
        <f t="shared" ca="1" si="106"/>
        <v>-21.255885338902033</v>
      </c>
      <c r="H676" s="184">
        <f t="shared" ca="1" si="107"/>
        <v>-2.6863455162989269</v>
      </c>
      <c r="I676" s="184">
        <f t="shared" ca="1" si="108"/>
        <v>0.99612224575727504</v>
      </c>
      <c r="J676" s="223">
        <f t="shared" ca="1" si="109"/>
        <v>0</v>
      </c>
      <c r="K676" s="220" t="str" cm="1">
        <f t="array" aca="1" ref="K676" ca="1">_xlfn.IFS(G676&lt;$B$11,"Fail",G676&lt;25,"Marginal",G676&lt;35,"Solid",TRUE,"Blowout")</f>
        <v>Fail</v>
      </c>
      <c r="L676" s="226">
        <f ca="1">IF(AND(E676&lt;$B$10,C676&gt;=$B$11),1,0)</f>
        <v>1</v>
      </c>
      <c r="M676" s="217" t="str" cm="1">
        <f t="array" aca="1" ref="M676" ca="1">_xlfn.IFS(C676&lt;$B$11,"Fail",C676&lt;25,"Marginal",C676&lt;35,"Solid",TRUE,"Blowout")</f>
        <v>Solid</v>
      </c>
    </row>
    <row r="677" spans="1:13" x14ac:dyDescent="0.25">
      <c r="A677" s="169">
        <f t="shared" ca="1" si="100"/>
        <v>34.749774157201884</v>
      </c>
      <c r="B677" s="168">
        <f t="shared" ca="1" si="101"/>
        <v>0.62816326590694871</v>
      </c>
      <c r="C677" s="168">
        <f t="shared" ca="1" si="102"/>
        <v>34.121610891294935</v>
      </c>
      <c r="D677" s="184">
        <f t="shared" ca="1" si="103"/>
        <v>4.3123320889847054</v>
      </c>
      <c r="E677" s="230">
        <f t="shared" ca="1" si="104"/>
        <v>1.2027848345988925E-5</v>
      </c>
      <c r="F677" s="168">
        <f t="shared" ca="1" si="105"/>
        <v>-11.128384854796604</v>
      </c>
      <c r="G677" s="168">
        <f t="shared" ca="1" si="106"/>
        <v>-11.756548120703552</v>
      </c>
      <c r="H677" s="184">
        <f t="shared" ca="1" si="107"/>
        <v>-1.485807334188223</v>
      </c>
      <c r="I677" s="184">
        <f t="shared" ca="1" si="108"/>
        <v>0.93064425844373366</v>
      </c>
      <c r="J677" s="223">
        <f t="shared" ca="1" si="109"/>
        <v>0</v>
      </c>
      <c r="K677" s="220" t="str" cm="1">
        <f t="array" aca="1" ref="K677" ca="1">_xlfn.IFS(G677&lt;$B$11,"Fail",G677&lt;25,"Marginal",G677&lt;35,"Solid",TRUE,"Blowout")</f>
        <v>Fail</v>
      </c>
      <c r="L677" s="226">
        <f ca="1">IF(AND(E677&lt;$B$10,C677&gt;=$B$11),1,0)</f>
        <v>1</v>
      </c>
      <c r="M677" s="217" t="str" cm="1">
        <f t="array" aca="1" ref="M677" ca="1">_xlfn.IFS(C677&lt;$B$11,"Fail",C677&lt;25,"Marginal",C677&lt;35,"Solid",TRUE,"Blowout")</f>
        <v>Solid</v>
      </c>
    </row>
    <row r="678" spans="1:13" x14ac:dyDescent="0.25">
      <c r="A678" s="169">
        <f t="shared" ca="1" si="100"/>
        <v>66.938898690077835</v>
      </c>
      <c r="B678" s="168">
        <f t="shared" ca="1" si="101"/>
        <v>2.4366428127952604</v>
      </c>
      <c r="C678" s="168">
        <f t="shared" ca="1" si="102"/>
        <v>64.502255877282579</v>
      </c>
      <c r="D678" s="184">
        <f t="shared" ca="1" si="103"/>
        <v>8.1518762029629315</v>
      </c>
      <c r="E678" s="230">
        <f t="shared" ca="1" si="104"/>
        <v>1.1890438616486556E-14</v>
      </c>
      <c r="F678" s="168">
        <f t="shared" ca="1" si="105"/>
        <v>46.298714605226664</v>
      </c>
      <c r="G678" s="168">
        <f t="shared" ca="1" si="106"/>
        <v>43.862071792431401</v>
      </c>
      <c r="H678" s="184">
        <f t="shared" ca="1" si="107"/>
        <v>5.5433437853342378</v>
      </c>
      <c r="I678" s="184">
        <f t="shared" ca="1" si="108"/>
        <v>4.0867305160903364E-8</v>
      </c>
      <c r="J678" s="223">
        <f t="shared" ca="1" si="109"/>
        <v>1</v>
      </c>
      <c r="K678" s="220" t="str" cm="1">
        <f t="array" aca="1" ref="K678" ca="1">_xlfn.IFS(G678&lt;$B$11,"Fail",G678&lt;25,"Marginal",G678&lt;35,"Solid",TRUE,"Blowout")</f>
        <v>Blowout</v>
      </c>
      <c r="L678" s="226">
        <f ca="1">IF(AND(E678&lt;$B$10,C678&gt;=$B$11),1,0)</f>
        <v>1</v>
      </c>
      <c r="M678" s="217" t="str" cm="1">
        <f t="array" aca="1" ref="M678" ca="1">_xlfn.IFS(C678&lt;$B$11,"Fail",C678&lt;25,"Marginal",C678&lt;35,"Solid",TRUE,"Blowout")</f>
        <v>Blowout</v>
      </c>
    </row>
    <row r="679" spans="1:13" x14ac:dyDescent="0.25">
      <c r="A679" s="169">
        <f t="shared" ca="1" si="100"/>
        <v>22.435342408861352</v>
      </c>
      <c r="B679" s="168">
        <f t="shared" ca="1" si="101"/>
        <v>3.3924708664924834</v>
      </c>
      <c r="C679" s="168">
        <f t="shared" ca="1" si="102"/>
        <v>19.042871542368868</v>
      </c>
      <c r="D679" s="184">
        <f t="shared" ca="1" si="103"/>
        <v>2.4066620500476161</v>
      </c>
      <c r="E679" s="230">
        <f t="shared" ca="1" si="104"/>
        <v>8.4478651623617097E-3</v>
      </c>
      <c r="F679" s="168">
        <f t="shared" ca="1" si="105"/>
        <v>14.315735564489913</v>
      </c>
      <c r="G679" s="168">
        <f t="shared" ca="1" si="106"/>
        <v>10.923264697997428</v>
      </c>
      <c r="H679" s="184">
        <f t="shared" ca="1" si="107"/>
        <v>1.3804959274553315</v>
      </c>
      <c r="I679" s="184">
        <f t="shared" ca="1" si="108"/>
        <v>8.439294206294598E-2</v>
      </c>
      <c r="J679" s="223">
        <f t="shared" ca="1" si="109"/>
        <v>0</v>
      </c>
      <c r="K679" s="220" t="str" cm="1">
        <f t="array" aca="1" ref="K679" ca="1">_xlfn.IFS(G679&lt;$B$11,"Fail",G679&lt;25,"Marginal",G679&lt;35,"Solid",TRUE,"Blowout")</f>
        <v>Fail</v>
      </c>
      <c r="L679" s="226">
        <f ca="1">IF(AND(E679&lt;$B$10,C679&gt;=$B$11),1,0)</f>
        <v>0</v>
      </c>
      <c r="M679" s="217" t="str" cm="1">
        <f t="array" aca="1" ref="M679" ca="1">_xlfn.IFS(C679&lt;$B$11,"Fail",C679&lt;25,"Marginal",C679&lt;35,"Solid",TRUE,"Blowout")</f>
        <v>Fail</v>
      </c>
    </row>
    <row r="680" spans="1:13" x14ac:dyDescent="0.25">
      <c r="A680" s="169">
        <f t="shared" ca="1" si="100"/>
        <v>20.560812887840711</v>
      </c>
      <c r="B680" s="168">
        <f t="shared" ca="1" si="101"/>
        <v>10.643098895235909</v>
      </c>
      <c r="C680" s="168">
        <f t="shared" ca="1" si="102"/>
        <v>9.9177139926048028</v>
      </c>
      <c r="D680" s="184">
        <f t="shared" ca="1" si="103"/>
        <v>1.2534131649274904</v>
      </c>
      <c r="E680" s="230">
        <f t="shared" ca="1" si="104"/>
        <v>0.10566958226245558</v>
      </c>
      <c r="F680" s="168">
        <f t="shared" ca="1" si="105"/>
        <v>14.07625001246258</v>
      </c>
      <c r="G680" s="168">
        <f t="shared" ca="1" si="106"/>
        <v>3.4331511172266715</v>
      </c>
      <c r="H680" s="184">
        <f t="shared" ca="1" si="107"/>
        <v>0.43388595504227129</v>
      </c>
      <c r="I680" s="184">
        <f t="shared" ca="1" si="108"/>
        <v>0.33239076570646164</v>
      </c>
      <c r="J680" s="223">
        <f t="shared" ca="1" si="109"/>
        <v>0</v>
      </c>
      <c r="K680" s="220" t="str" cm="1">
        <f t="array" aca="1" ref="K680" ca="1">_xlfn.IFS(G680&lt;$B$11,"Fail",G680&lt;25,"Marginal",G680&lt;35,"Solid",TRUE,"Blowout")</f>
        <v>Fail</v>
      </c>
      <c r="L680" s="226">
        <f ca="1">IF(AND(E680&lt;$B$10,C680&gt;=$B$11),1,0)</f>
        <v>0</v>
      </c>
      <c r="M680" s="217" t="str" cm="1">
        <f t="array" aca="1" ref="M680" ca="1">_xlfn.IFS(C680&lt;$B$11,"Fail",C680&lt;25,"Marginal",C680&lt;35,"Solid",TRUE,"Blowout")</f>
        <v>Fail</v>
      </c>
    </row>
    <row r="681" spans="1:13" x14ac:dyDescent="0.25">
      <c r="A681" s="169">
        <f t="shared" ca="1" si="100"/>
        <v>26.669436821721145</v>
      </c>
      <c r="B681" s="168">
        <f t="shared" ca="1" si="101"/>
        <v>5.0799501364584856</v>
      </c>
      <c r="C681" s="168">
        <f t="shared" ca="1" si="102"/>
        <v>21.58948668526266</v>
      </c>
      <c r="D681" s="184">
        <f t="shared" ca="1" si="103"/>
        <v>2.7285064739226024</v>
      </c>
      <c r="E681" s="230">
        <f t="shared" ca="1" si="104"/>
        <v>3.4290139378790351E-3</v>
      </c>
      <c r="F681" s="168">
        <f t="shared" ca="1" si="105"/>
        <v>10.774159488515259</v>
      </c>
      <c r="G681" s="168">
        <f t="shared" ca="1" si="106"/>
        <v>5.6942093520567738</v>
      </c>
      <c r="H681" s="184">
        <f t="shared" ca="1" si="107"/>
        <v>0.71964133781666673</v>
      </c>
      <c r="I681" s="184">
        <f t="shared" ca="1" si="108"/>
        <v>0.23624143150556676</v>
      </c>
      <c r="J681" s="223">
        <f t="shared" ca="1" si="109"/>
        <v>0</v>
      </c>
      <c r="K681" s="220" t="str" cm="1">
        <f t="array" aca="1" ref="K681" ca="1">_xlfn.IFS(G681&lt;$B$11,"Fail",G681&lt;25,"Marginal",G681&lt;35,"Solid",TRUE,"Blowout")</f>
        <v>Fail</v>
      </c>
      <c r="L681" s="226">
        <f ca="1">IF(AND(E681&lt;$B$10,C681&gt;=$B$11),1,0)</f>
        <v>1</v>
      </c>
      <c r="M681" s="217" t="str" cm="1">
        <f t="array" aca="1" ref="M681" ca="1">_xlfn.IFS(C681&lt;$B$11,"Fail",C681&lt;25,"Marginal",C681&lt;35,"Solid",TRUE,"Blowout")</f>
        <v>Marginal</v>
      </c>
    </row>
    <row r="682" spans="1:13" x14ac:dyDescent="0.25">
      <c r="A682" s="169">
        <f t="shared" ca="1" si="100"/>
        <v>35.990549381897296</v>
      </c>
      <c r="B682" s="168">
        <f t="shared" ca="1" si="101"/>
        <v>-1.9049131715749397</v>
      </c>
      <c r="C682" s="168">
        <f t="shared" ca="1" si="102"/>
        <v>37.895462553472235</v>
      </c>
      <c r="D682" s="184">
        <f t="shared" ca="1" si="103"/>
        <v>4.7892762072949955</v>
      </c>
      <c r="E682" s="230">
        <f t="shared" ca="1" si="104"/>
        <v>1.5067910056528879E-6</v>
      </c>
      <c r="F682" s="168">
        <f t="shared" ca="1" si="105"/>
        <v>39.266142086236002</v>
      </c>
      <c r="G682" s="168">
        <f t="shared" ca="1" si="106"/>
        <v>41.171055257810941</v>
      </c>
      <c r="H682" s="184">
        <f t="shared" ca="1" si="107"/>
        <v>5.2032497320024014</v>
      </c>
      <c r="I682" s="184">
        <f t="shared" ca="1" si="108"/>
        <v>2.180328056265362E-7</v>
      </c>
      <c r="J682" s="223">
        <f t="shared" ca="1" si="109"/>
        <v>1</v>
      </c>
      <c r="K682" s="220" t="str" cm="1">
        <f t="array" aca="1" ref="K682" ca="1">_xlfn.IFS(G682&lt;$B$11,"Fail",G682&lt;25,"Marginal",G682&lt;35,"Solid",TRUE,"Blowout")</f>
        <v>Blowout</v>
      </c>
      <c r="L682" s="226">
        <f ca="1">IF(AND(E682&lt;$B$10,C682&gt;=$B$11),1,0)</f>
        <v>1</v>
      </c>
      <c r="M682" s="217" t="str" cm="1">
        <f t="array" aca="1" ref="M682" ca="1">_xlfn.IFS(C682&lt;$B$11,"Fail",C682&lt;25,"Marginal",C682&lt;35,"Solid",TRUE,"Blowout")</f>
        <v>Blowout</v>
      </c>
    </row>
    <row r="683" spans="1:13" x14ac:dyDescent="0.25">
      <c r="A683" s="169">
        <f t="shared" ca="1" si="100"/>
        <v>23.717700387015523</v>
      </c>
      <c r="B683" s="168">
        <f t="shared" ca="1" si="101"/>
        <v>-1.2582191730349628</v>
      </c>
      <c r="C683" s="168">
        <f t="shared" ca="1" si="102"/>
        <v>24.975919560050485</v>
      </c>
      <c r="D683" s="184">
        <f t="shared" ca="1" si="103"/>
        <v>3.1564881187418941</v>
      </c>
      <c r="E683" s="230">
        <f t="shared" ca="1" si="104"/>
        <v>9.0613848006244088E-4</v>
      </c>
      <c r="F683" s="168">
        <f t="shared" ca="1" si="105"/>
        <v>36.0432912596455</v>
      </c>
      <c r="G683" s="168">
        <f t="shared" ca="1" si="106"/>
        <v>37.301510432680459</v>
      </c>
      <c r="H683" s="184">
        <f t="shared" ca="1" si="107"/>
        <v>4.7142117914334234</v>
      </c>
      <c r="I683" s="184">
        <f t="shared" ca="1" si="108"/>
        <v>2.1122341396975843E-6</v>
      </c>
      <c r="J683" s="223">
        <f t="shared" ca="1" si="109"/>
        <v>1</v>
      </c>
      <c r="K683" s="220" t="str" cm="1">
        <f t="array" aca="1" ref="K683" ca="1">_xlfn.IFS(G683&lt;$B$11,"Fail",G683&lt;25,"Marginal",G683&lt;35,"Solid",TRUE,"Blowout")</f>
        <v>Blowout</v>
      </c>
      <c r="L683" s="226">
        <f ca="1">IF(AND(E683&lt;$B$10,C683&gt;=$B$11),1,0)</f>
        <v>1</v>
      </c>
      <c r="M683" s="217" t="str" cm="1">
        <f t="array" aca="1" ref="M683" ca="1">_xlfn.IFS(C683&lt;$B$11,"Fail",C683&lt;25,"Marginal",C683&lt;35,"Solid",TRUE,"Blowout")</f>
        <v>Marginal</v>
      </c>
    </row>
    <row r="684" spans="1:13" x14ac:dyDescent="0.25">
      <c r="A684" s="169">
        <f t="shared" ca="1" si="100"/>
        <v>18.313525790933888</v>
      </c>
      <c r="B684" s="168">
        <f t="shared" ca="1" si="101"/>
        <v>14.386807608010482</v>
      </c>
      <c r="C684" s="168">
        <f t="shared" ca="1" si="102"/>
        <v>3.9267181829234055</v>
      </c>
      <c r="D684" s="184">
        <f t="shared" ca="1" si="103"/>
        <v>0.49626358141667698</v>
      </c>
      <c r="E684" s="230">
        <f t="shared" ca="1" si="104"/>
        <v>0.31009326782255781</v>
      </c>
      <c r="F684" s="168">
        <f t="shared" ca="1" si="105"/>
        <v>10.910630339963118</v>
      </c>
      <c r="G684" s="168">
        <f t="shared" ca="1" si="106"/>
        <v>-3.4761772680473637</v>
      </c>
      <c r="H684" s="184">
        <f t="shared" ca="1" si="107"/>
        <v>-0.43932365408410934</v>
      </c>
      <c r="I684" s="184">
        <f t="shared" ca="1" si="108"/>
        <v>0.6695784396052652</v>
      </c>
      <c r="J684" s="223">
        <f t="shared" ca="1" si="109"/>
        <v>0</v>
      </c>
      <c r="K684" s="220" t="str" cm="1">
        <f t="array" aca="1" ref="K684" ca="1">_xlfn.IFS(G684&lt;$B$11,"Fail",G684&lt;25,"Marginal",G684&lt;35,"Solid",TRUE,"Blowout")</f>
        <v>Fail</v>
      </c>
      <c r="L684" s="226">
        <f ca="1">IF(AND(E684&lt;$B$10,C684&gt;=$B$11),1,0)</f>
        <v>0</v>
      </c>
      <c r="M684" s="217" t="str" cm="1">
        <f t="array" aca="1" ref="M684" ca="1">_xlfn.IFS(C684&lt;$B$11,"Fail",C684&lt;25,"Marginal",C684&lt;35,"Solid",TRUE,"Blowout")</f>
        <v>Fail</v>
      </c>
    </row>
    <row r="685" spans="1:13" x14ac:dyDescent="0.25">
      <c r="A685" s="169">
        <f t="shared" ca="1" si="100"/>
        <v>46.724107635293905</v>
      </c>
      <c r="B685" s="168">
        <f t="shared" ca="1" si="101"/>
        <v>4.0904008900110433</v>
      </c>
      <c r="C685" s="168">
        <f t="shared" ca="1" si="102"/>
        <v>42.633706745282865</v>
      </c>
      <c r="D685" s="184">
        <f t="shared" ca="1" si="103"/>
        <v>5.3881014661283402</v>
      </c>
      <c r="E685" s="230">
        <f t="shared" ca="1" si="104"/>
        <v>8.8589180231380011E-8</v>
      </c>
      <c r="F685" s="168">
        <f t="shared" ca="1" si="105"/>
        <v>85.502611989275366</v>
      </c>
      <c r="G685" s="168">
        <f t="shared" ca="1" si="106"/>
        <v>81.412211099264326</v>
      </c>
      <c r="H685" s="184">
        <f t="shared" ca="1" si="107"/>
        <v>10.28897760650921</v>
      </c>
      <c r="I685" s="184">
        <f t="shared" ca="1" si="108"/>
        <v>6.090883141165757E-21</v>
      </c>
      <c r="J685" s="223">
        <f t="shared" ca="1" si="109"/>
        <v>1</v>
      </c>
      <c r="K685" s="220" t="str" cm="1">
        <f t="array" aca="1" ref="K685" ca="1">_xlfn.IFS(G685&lt;$B$11,"Fail",G685&lt;25,"Marginal",G685&lt;35,"Solid",TRUE,"Blowout")</f>
        <v>Blowout</v>
      </c>
      <c r="L685" s="226">
        <f ca="1">IF(AND(E685&lt;$B$10,C685&gt;=$B$11),1,0)</f>
        <v>1</v>
      </c>
      <c r="M685" s="217" t="str" cm="1">
        <f t="array" aca="1" ref="M685" ca="1">_xlfn.IFS(C685&lt;$B$11,"Fail",C685&lt;25,"Marginal",C685&lt;35,"Solid",TRUE,"Blowout")</f>
        <v>Blowout</v>
      </c>
    </row>
    <row r="686" spans="1:13" x14ac:dyDescent="0.25">
      <c r="A686" s="169">
        <f t="shared" ca="1" si="100"/>
        <v>29.243146978327072</v>
      </c>
      <c r="B686" s="168">
        <f t="shared" ca="1" si="101"/>
        <v>8.4698972323824844</v>
      </c>
      <c r="C686" s="168">
        <f t="shared" ca="1" si="102"/>
        <v>20.77324974594459</v>
      </c>
      <c r="D686" s="184">
        <f t="shared" ca="1" si="103"/>
        <v>2.6253494231945558</v>
      </c>
      <c r="E686" s="230">
        <f t="shared" ca="1" si="104"/>
        <v>4.6208925424906519E-3</v>
      </c>
      <c r="F686" s="168">
        <f t="shared" ca="1" si="105"/>
        <v>33.923527013131469</v>
      </c>
      <c r="G686" s="168">
        <f t="shared" ca="1" si="106"/>
        <v>25.453629780748983</v>
      </c>
      <c r="H686" s="184">
        <f t="shared" ca="1" si="107"/>
        <v>3.2168617371070121</v>
      </c>
      <c r="I686" s="184">
        <f t="shared" ca="1" si="108"/>
        <v>7.4209178479734024E-4</v>
      </c>
      <c r="J686" s="223">
        <f t="shared" ca="1" si="109"/>
        <v>1</v>
      </c>
      <c r="K686" s="220" t="str" cm="1">
        <f t="array" aca="1" ref="K686" ca="1">_xlfn.IFS(G686&lt;$B$11,"Fail",G686&lt;25,"Marginal",G686&lt;35,"Solid",TRUE,"Blowout")</f>
        <v>Solid</v>
      </c>
      <c r="L686" s="226">
        <f ca="1">IF(AND(E686&lt;$B$10,C686&gt;=$B$11),1,0)</f>
        <v>1</v>
      </c>
      <c r="M686" s="217" t="str" cm="1">
        <f t="array" aca="1" ref="M686" ca="1">_xlfn.IFS(C686&lt;$B$11,"Fail",C686&lt;25,"Marginal",C686&lt;35,"Solid",TRUE,"Blowout")</f>
        <v>Marginal</v>
      </c>
    </row>
    <row r="687" spans="1:13" x14ac:dyDescent="0.25">
      <c r="A687" s="169">
        <f t="shared" ca="1" si="100"/>
        <v>33.27029255206412</v>
      </c>
      <c r="B687" s="168">
        <f t="shared" ca="1" si="101"/>
        <v>0.26603816357431675</v>
      </c>
      <c r="C687" s="168">
        <f t="shared" ca="1" si="102"/>
        <v>33.004254388489805</v>
      </c>
      <c r="D687" s="184">
        <f t="shared" ca="1" si="103"/>
        <v>4.1711191691951663</v>
      </c>
      <c r="E687" s="230">
        <f t="shared" ca="1" si="104"/>
        <v>2.1548574634088906E-5</v>
      </c>
      <c r="F687" s="168">
        <f t="shared" ca="1" si="105"/>
        <v>26.724405639247696</v>
      </c>
      <c r="G687" s="168">
        <f t="shared" ca="1" si="106"/>
        <v>26.458367475673377</v>
      </c>
      <c r="H687" s="184">
        <f t="shared" ca="1" si="107"/>
        <v>3.3438417503495979</v>
      </c>
      <c r="I687" s="184">
        <f t="shared" ca="1" si="108"/>
        <v>4.8291834980487743E-4</v>
      </c>
      <c r="J687" s="223">
        <f t="shared" ca="1" si="109"/>
        <v>1</v>
      </c>
      <c r="K687" s="220" t="str" cm="1">
        <f t="array" aca="1" ref="K687" ca="1">_xlfn.IFS(G687&lt;$B$11,"Fail",G687&lt;25,"Marginal",G687&lt;35,"Solid",TRUE,"Blowout")</f>
        <v>Solid</v>
      </c>
      <c r="L687" s="226">
        <f ca="1">IF(AND(E687&lt;$B$10,C687&gt;=$B$11),1,0)</f>
        <v>1</v>
      </c>
      <c r="M687" s="217" t="str" cm="1">
        <f t="array" aca="1" ref="M687" ca="1">_xlfn.IFS(C687&lt;$B$11,"Fail",C687&lt;25,"Marginal",C687&lt;35,"Solid",TRUE,"Blowout")</f>
        <v>Solid</v>
      </c>
    </row>
    <row r="688" spans="1:13" x14ac:dyDescent="0.25">
      <c r="A688" s="169">
        <f t="shared" ca="1" si="100"/>
        <v>12.929132595330419</v>
      </c>
      <c r="B688" s="168">
        <f t="shared" ca="1" si="101"/>
        <v>7.2531751770482877</v>
      </c>
      <c r="C688" s="168">
        <f t="shared" ca="1" si="102"/>
        <v>5.6759574182821311</v>
      </c>
      <c r="D688" s="184">
        <f t="shared" ca="1" si="103"/>
        <v>0.71733463547623022</v>
      </c>
      <c r="E688" s="230">
        <f t="shared" ca="1" si="104"/>
        <v>0.23695095071704453</v>
      </c>
      <c r="F688" s="168">
        <f t="shared" ca="1" si="105"/>
        <v>-1.2103314624970274</v>
      </c>
      <c r="G688" s="168">
        <f t="shared" ca="1" si="106"/>
        <v>-8.4635066395453151</v>
      </c>
      <c r="H688" s="184">
        <f t="shared" ca="1" si="107"/>
        <v>-1.0696286111262572</v>
      </c>
      <c r="I688" s="184">
        <f t="shared" ca="1" si="108"/>
        <v>0.85704121014396961</v>
      </c>
      <c r="J688" s="223">
        <f t="shared" ca="1" si="109"/>
        <v>0</v>
      </c>
      <c r="K688" s="220" t="str" cm="1">
        <f t="array" aca="1" ref="K688" ca="1">_xlfn.IFS(G688&lt;$B$11,"Fail",G688&lt;25,"Marginal",G688&lt;35,"Solid",TRUE,"Blowout")</f>
        <v>Fail</v>
      </c>
      <c r="L688" s="226">
        <f ca="1">IF(AND(E688&lt;$B$10,C688&gt;=$B$11),1,0)</f>
        <v>0</v>
      </c>
      <c r="M688" s="217" t="str" cm="1">
        <f t="array" aca="1" ref="M688" ca="1">_xlfn.IFS(C688&lt;$B$11,"Fail",C688&lt;25,"Marginal",C688&lt;35,"Solid",TRUE,"Blowout")</f>
        <v>Fail</v>
      </c>
    </row>
    <row r="689" spans="1:13" x14ac:dyDescent="0.25">
      <c r="A689" s="169">
        <f t="shared" ca="1" si="100"/>
        <v>26.962142498089204</v>
      </c>
      <c r="B689" s="168">
        <f t="shared" ca="1" si="101"/>
        <v>7.2815530092404899</v>
      </c>
      <c r="C689" s="168">
        <f t="shared" ca="1" si="102"/>
        <v>19.680589488848714</v>
      </c>
      <c r="D689" s="184">
        <f t="shared" ca="1" si="103"/>
        <v>2.4872576459908329</v>
      </c>
      <c r="E689" s="230">
        <f t="shared" ca="1" si="104"/>
        <v>6.7948888938167418E-3</v>
      </c>
      <c r="F689" s="168">
        <f t="shared" ca="1" si="105"/>
        <v>36.660744555733643</v>
      </c>
      <c r="G689" s="168">
        <f t="shared" ca="1" si="106"/>
        <v>29.379191546493153</v>
      </c>
      <c r="H689" s="184">
        <f t="shared" ca="1" si="107"/>
        <v>3.7129791690664975</v>
      </c>
      <c r="I689" s="184">
        <f t="shared" ca="1" si="108"/>
        <v>1.2877708380616828E-4</v>
      </c>
      <c r="J689" s="223">
        <f t="shared" ca="1" si="109"/>
        <v>1</v>
      </c>
      <c r="K689" s="220" t="str" cm="1">
        <f t="array" aca="1" ref="K689" ca="1">_xlfn.IFS(G689&lt;$B$11,"Fail",G689&lt;25,"Marginal",G689&lt;35,"Solid",TRUE,"Blowout")</f>
        <v>Solid</v>
      </c>
      <c r="L689" s="226">
        <f ca="1">IF(AND(E689&lt;$B$10,C689&gt;=$B$11),1,0)</f>
        <v>0</v>
      </c>
      <c r="M689" s="217" t="str" cm="1">
        <f t="array" aca="1" ref="M689" ca="1">_xlfn.IFS(C689&lt;$B$11,"Fail",C689&lt;25,"Marginal",C689&lt;35,"Solid",TRUE,"Blowout")</f>
        <v>Fail</v>
      </c>
    </row>
    <row r="690" spans="1:13" x14ac:dyDescent="0.25">
      <c r="A690" s="169">
        <f t="shared" ca="1" si="100"/>
        <v>34.196759036182719</v>
      </c>
      <c r="B690" s="168">
        <f t="shared" ca="1" si="101"/>
        <v>4.13073152322964</v>
      </c>
      <c r="C690" s="168">
        <f t="shared" ca="1" si="102"/>
        <v>30.066027512953077</v>
      </c>
      <c r="D690" s="184">
        <f t="shared" ca="1" si="103"/>
        <v>3.7997823621358369</v>
      </c>
      <c r="E690" s="230">
        <f t="shared" ca="1" si="104"/>
        <v>9.2919887516248803E-5</v>
      </c>
      <c r="F690" s="168">
        <f t="shared" ca="1" si="105"/>
        <v>13.031750805155644</v>
      </c>
      <c r="G690" s="168">
        <f t="shared" ca="1" si="106"/>
        <v>8.9010192819260041</v>
      </c>
      <c r="H690" s="184">
        <f t="shared" ca="1" si="107"/>
        <v>1.1249220089991012</v>
      </c>
      <c r="I690" s="184">
        <f t="shared" ca="1" si="108"/>
        <v>0.13090246252187704</v>
      </c>
      <c r="J690" s="223">
        <f t="shared" ca="1" si="109"/>
        <v>0</v>
      </c>
      <c r="K690" s="220" t="str" cm="1">
        <f t="array" aca="1" ref="K690" ca="1">_xlfn.IFS(G690&lt;$B$11,"Fail",G690&lt;25,"Marginal",G690&lt;35,"Solid",TRUE,"Blowout")</f>
        <v>Fail</v>
      </c>
      <c r="L690" s="226">
        <f ca="1">IF(AND(E690&lt;$B$10,C690&gt;=$B$11),1,0)</f>
        <v>1</v>
      </c>
      <c r="M690" s="217" t="str" cm="1">
        <f t="array" aca="1" ref="M690" ca="1">_xlfn.IFS(C690&lt;$B$11,"Fail",C690&lt;25,"Marginal",C690&lt;35,"Solid",TRUE,"Blowout")</f>
        <v>Solid</v>
      </c>
    </row>
    <row r="691" spans="1:13" x14ac:dyDescent="0.25">
      <c r="A691" s="169">
        <f t="shared" ca="1" si="100"/>
        <v>28.786085055971352</v>
      </c>
      <c r="B691" s="168">
        <f t="shared" ca="1" si="101"/>
        <v>-3.3042291028981783</v>
      </c>
      <c r="C691" s="168">
        <f t="shared" ca="1" si="102"/>
        <v>32.090314158869532</v>
      </c>
      <c r="D691" s="184">
        <f t="shared" ca="1" si="103"/>
        <v>4.0556142537865263</v>
      </c>
      <c r="E691" s="230">
        <f t="shared" ca="1" si="104"/>
        <v>3.4333860558873434E-5</v>
      </c>
      <c r="F691" s="168">
        <f t="shared" ca="1" si="105"/>
        <v>8.8072478234688667</v>
      </c>
      <c r="G691" s="168">
        <f t="shared" ca="1" si="106"/>
        <v>12.111476926367045</v>
      </c>
      <c r="H691" s="184">
        <f t="shared" ca="1" si="107"/>
        <v>1.5306636829357605</v>
      </c>
      <c r="I691" s="184">
        <f t="shared" ca="1" si="108"/>
        <v>6.3619395549100372E-2</v>
      </c>
      <c r="J691" s="223">
        <f t="shared" ca="1" si="109"/>
        <v>0</v>
      </c>
      <c r="K691" s="220" t="str" cm="1">
        <f t="array" aca="1" ref="K691" ca="1">_xlfn.IFS(G691&lt;$B$11,"Fail",G691&lt;25,"Marginal",G691&lt;35,"Solid",TRUE,"Blowout")</f>
        <v>Fail</v>
      </c>
      <c r="L691" s="226">
        <f ca="1">IF(AND(E691&lt;$B$10,C691&gt;=$B$11),1,0)</f>
        <v>1</v>
      </c>
      <c r="M691" s="217" t="str" cm="1">
        <f t="array" aca="1" ref="M691" ca="1">_xlfn.IFS(C691&lt;$B$11,"Fail",C691&lt;25,"Marginal",C691&lt;35,"Solid",TRUE,"Blowout")</f>
        <v>Solid</v>
      </c>
    </row>
    <row r="692" spans="1:13" x14ac:dyDescent="0.25">
      <c r="A692" s="169">
        <f t="shared" ca="1" si="100"/>
        <v>35.07335064972559</v>
      </c>
      <c r="B692" s="168">
        <f t="shared" ca="1" si="101"/>
        <v>-1.8787687096802888</v>
      </c>
      <c r="C692" s="168">
        <f t="shared" ca="1" si="102"/>
        <v>36.952119359405877</v>
      </c>
      <c r="D692" s="184">
        <f t="shared" ca="1" si="103"/>
        <v>4.6700553082683465</v>
      </c>
      <c r="E692" s="230">
        <f t="shared" ca="1" si="104"/>
        <v>2.5717033731097011E-6</v>
      </c>
      <c r="F692" s="168">
        <f t="shared" ca="1" si="105"/>
        <v>-4.240845936206088</v>
      </c>
      <c r="G692" s="168">
        <f t="shared" ca="1" si="106"/>
        <v>-2.3620772265257992</v>
      </c>
      <c r="H692" s="184">
        <f t="shared" ca="1" si="107"/>
        <v>-0.29852228996626462</v>
      </c>
      <c r="I692" s="184">
        <f t="shared" ca="1" si="108"/>
        <v>0.61721177334168942</v>
      </c>
      <c r="J692" s="223">
        <f t="shared" ca="1" si="109"/>
        <v>0</v>
      </c>
      <c r="K692" s="220" t="str" cm="1">
        <f t="array" aca="1" ref="K692" ca="1">_xlfn.IFS(G692&lt;$B$11,"Fail",G692&lt;25,"Marginal",G692&lt;35,"Solid",TRUE,"Blowout")</f>
        <v>Fail</v>
      </c>
      <c r="L692" s="226">
        <f ca="1">IF(AND(E692&lt;$B$10,C692&gt;=$B$11),1,0)</f>
        <v>1</v>
      </c>
      <c r="M692" s="217" t="str" cm="1">
        <f t="array" aca="1" ref="M692" ca="1">_xlfn.IFS(C692&lt;$B$11,"Fail",C692&lt;25,"Marginal",C692&lt;35,"Solid",TRUE,"Blowout")</f>
        <v>Blowout</v>
      </c>
    </row>
    <row r="693" spans="1:13" x14ac:dyDescent="0.25">
      <c r="A693" s="169">
        <f t="shared" ca="1" si="100"/>
        <v>28.555651967551452</v>
      </c>
      <c r="B693" s="168">
        <f t="shared" ca="1" si="101"/>
        <v>5.3926939492269037</v>
      </c>
      <c r="C693" s="168">
        <f t="shared" ca="1" si="102"/>
        <v>23.162958018324549</v>
      </c>
      <c r="D693" s="184">
        <f t="shared" ca="1" si="103"/>
        <v>2.9273637594791699</v>
      </c>
      <c r="E693" s="230">
        <f t="shared" ca="1" si="104"/>
        <v>1.8823396538311388E-3</v>
      </c>
      <c r="F693" s="168">
        <f t="shared" ca="1" si="105"/>
        <v>35.167283556687522</v>
      </c>
      <c r="G693" s="168">
        <f t="shared" ca="1" si="106"/>
        <v>29.774589607460619</v>
      </c>
      <c r="H693" s="184">
        <f t="shared" ca="1" si="107"/>
        <v>3.7629500731854275</v>
      </c>
      <c r="I693" s="184">
        <f t="shared" ca="1" si="108"/>
        <v>1.0679671549686558E-4</v>
      </c>
      <c r="J693" s="223">
        <f t="shared" ca="1" si="109"/>
        <v>1</v>
      </c>
      <c r="K693" s="220" t="str" cm="1">
        <f t="array" aca="1" ref="K693" ca="1">_xlfn.IFS(G693&lt;$B$11,"Fail",G693&lt;25,"Marginal",G693&lt;35,"Solid",TRUE,"Blowout")</f>
        <v>Solid</v>
      </c>
      <c r="L693" s="226">
        <f ca="1">IF(AND(E693&lt;$B$10,C693&gt;=$B$11),1,0)</f>
        <v>1</v>
      </c>
      <c r="M693" s="217" t="str" cm="1">
        <f t="array" aca="1" ref="M693" ca="1">_xlfn.IFS(C693&lt;$B$11,"Fail",C693&lt;25,"Marginal",C693&lt;35,"Solid",TRUE,"Blowout")</f>
        <v>Marginal</v>
      </c>
    </row>
    <row r="694" spans="1:13" x14ac:dyDescent="0.25">
      <c r="A694" s="169">
        <f t="shared" ca="1" si="100"/>
        <v>43.479002406878415</v>
      </c>
      <c r="B694" s="168">
        <f t="shared" ca="1" si="101"/>
        <v>13.675904488288104</v>
      </c>
      <c r="C694" s="168">
        <f t="shared" ca="1" si="102"/>
        <v>29.803097918590311</v>
      </c>
      <c r="D694" s="184">
        <f t="shared" ca="1" si="103"/>
        <v>3.7665529893923728</v>
      </c>
      <c r="E694" s="230">
        <f t="shared" ca="1" si="104"/>
        <v>1.0535737700316285E-4</v>
      </c>
      <c r="F694" s="168">
        <f t="shared" ca="1" si="105"/>
        <v>33.591928026518595</v>
      </c>
      <c r="G694" s="168">
        <f t="shared" ca="1" si="106"/>
        <v>19.91602353823049</v>
      </c>
      <c r="H694" s="184">
        <f t="shared" ca="1" si="107"/>
        <v>2.5170120971866781</v>
      </c>
      <c r="I694" s="184">
        <f t="shared" ca="1" si="108"/>
        <v>6.2615223333841244E-3</v>
      </c>
      <c r="J694" s="223">
        <f t="shared" ca="1" si="109"/>
        <v>0</v>
      </c>
      <c r="K694" s="220" t="str" cm="1">
        <f t="array" aca="1" ref="K694" ca="1">_xlfn.IFS(G694&lt;$B$11,"Fail",G694&lt;25,"Marginal",G694&lt;35,"Solid",TRUE,"Blowout")</f>
        <v>Fail</v>
      </c>
      <c r="L694" s="226">
        <f ca="1">IF(AND(E694&lt;$B$10,C694&gt;=$B$11),1,0)</f>
        <v>1</v>
      </c>
      <c r="M694" s="217" t="str" cm="1">
        <f t="array" aca="1" ref="M694" ca="1">_xlfn.IFS(C694&lt;$B$11,"Fail",C694&lt;25,"Marginal",C694&lt;35,"Solid",TRUE,"Blowout")</f>
        <v>Solid</v>
      </c>
    </row>
    <row r="695" spans="1:13" x14ac:dyDescent="0.25">
      <c r="A695" s="169">
        <f t="shared" ca="1" si="100"/>
        <v>65.707735362431706</v>
      </c>
      <c r="B695" s="168">
        <f t="shared" ca="1" si="101"/>
        <v>-2.264923380221247</v>
      </c>
      <c r="C695" s="168">
        <f t="shared" ca="1" si="102"/>
        <v>67.972658742652953</v>
      </c>
      <c r="D695" s="184">
        <f t="shared" ca="1" si="103"/>
        <v>8.5904700807759848</v>
      </c>
      <c r="E695" s="230">
        <f t="shared" ca="1" si="104"/>
        <v>6.9002026415899526E-16</v>
      </c>
      <c r="F695" s="168">
        <f t="shared" ca="1" si="105"/>
        <v>20.645842566090472</v>
      </c>
      <c r="G695" s="168">
        <f t="shared" ca="1" si="106"/>
        <v>22.91076594631172</v>
      </c>
      <c r="H695" s="184">
        <f t="shared" ca="1" si="107"/>
        <v>2.8954914083116607</v>
      </c>
      <c r="I695" s="184">
        <f t="shared" ca="1" si="108"/>
        <v>2.0767912902934105E-3</v>
      </c>
      <c r="J695" s="223">
        <f t="shared" ca="1" si="109"/>
        <v>1</v>
      </c>
      <c r="K695" s="220" t="str" cm="1">
        <f t="array" aca="1" ref="K695" ca="1">_xlfn.IFS(G695&lt;$B$11,"Fail",G695&lt;25,"Marginal",G695&lt;35,"Solid",TRUE,"Blowout")</f>
        <v>Marginal</v>
      </c>
      <c r="L695" s="226">
        <f ca="1">IF(AND(E695&lt;$B$10,C695&gt;=$B$11),1,0)</f>
        <v>1</v>
      </c>
      <c r="M695" s="217" t="str" cm="1">
        <f t="array" aca="1" ref="M695" ca="1">_xlfn.IFS(C695&lt;$B$11,"Fail",C695&lt;25,"Marginal",C695&lt;35,"Solid",TRUE,"Blowout")</f>
        <v>Blowout</v>
      </c>
    </row>
    <row r="696" spans="1:13" x14ac:dyDescent="0.25">
      <c r="A696" s="169">
        <f t="shared" ca="1" si="100"/>
        <v>31.516359654719384</v>
      </c>
      <c r="B696" s="168">
        <f t="shared" ca="1" si="101"/>
        <v>4.118160627492613</v>
      </c>
      <c r="C696" s="168">
        <f t="shared" ca="1" si="102"/>
        <v>27.39819902722677</v>
      </c>
      <c r="D696" s="184">
        <f t="shared" ca="1" si="103"/>
        <v>3.4626188435799161</v>
      </c>
      <c r="E696" s="230">
        <f t="shared" ca="1" si="104"/>
        <v>3.1935589190389813E-4</v>
      </c>
      <c r="F696" s="168">
        <f t="shared" ca="1" si="105"/>
        <v>44.416868470813419</v>
      </c>
      <c r="G696" s="168">
        <f t="shared" ca="1" si="106"/>
        <v>40.298707843320805</v>
      </c>
      <c r="H696" s="184">
        <f t="shared" ca="1" si="107"/>
        <v>5.0930013688687499</v>
      </c>
      <c r="I696" s="184">
        <f t="shared" ca="1" si="108"/>
        <v>3.6904815176444904E-7</v>
      </c>
      <c r="J696" s="223">
        <f t="shared" ca="1" si="109"/>
        <v>1</v>
      </c>
      <c r="K696" s="220" t="str" cm="1">
        <f t="array" aca="1" ref="K696" ca="1">_xlfn.IFS(G696&lt;$B$11,"Fail",G696&lt;25,"Marginal",G696&lt;35,"Solid",TRUE,"Blowout")</f>
        <v>Blowout</v>
      </c>
      <c r="L696" s="226">
        <f ca="1">IF(AND(E696&lt;$B$10,C696&gt;=$B$11),1,0)</f>
        <v>1</v>
      </c>
      <c r="M696" s="217" t="str" cm="1">
        <f t="array" aca="1" ref="M696" ca="1">_xlfn.IFS(C696&lt;$B$11,"Fail",C696&lt;25,"Marginal",C696&lt;35,"Solid",TRUE,"Blowout")</f>
        <v>Solid</v>
      </c>
    </row>
    <row r="697" spans="1:13" x14ac:dyDescent="0.25">
      <c r="A697" s="169">
        <f t="shared" ca="1" si="100"/>
        <v>20.485489897840605</v>
      </c>
      <c r="B697" s="168">
        <f t="shared" ca="1" si="101"/>
        <v>7.0796390949411805</v>
      </c>
      <c r="C697" s="168">
        <f t="shared" ca="1" si="102"/>
        <v>13.405850802899424</v>
      </c>
      <c r="D697" s="184">
        <f t="shared" ca="1" si="103"/>
        <v>1.6942482809987469</v>
      </c>
      <c r="E697" s="230">
        <f t="shared" ca="1" si="104"/>
        <v>4.5791792706278124E-2</v>
      </c>
      <c r="F697" s="168">
        <f t="shared" ca="1" si="105"/>
        <v>62.011445896625034</v>
      </c>
      <c r="G697" s="168">
        <f t="shared" ca="1" si="106"/>
        <v>54.931806801683855</v>
      </c>
      <c r="H697" s="184">
        <f t="shared" ca="1" si="107"/>
        <v>6.9423508148978748</v>
      </c>
      <c r="I697" s="184">
        <f t="shared" ca="1" si="108"/>
        <v>1.9851786014063629E-11</v>
      </c>
      <c r="J697" s="223">
        <f t="shared" ca="1" si="109"/>
        <v>1</v>
      </c>
      <c r="K697" s="220" t="str" cm="1">
        <f t="array" aca="1" ref="K697" ca="1">_xlfn.IFS(G697&lt;$B$11,"Fail",G697&lt;25,"Marginal",G697&lt;35,"Solid",TRUE,"Blowout")</f>
        <v>Blowout</v>
      </c>
      <c r="L697" s="226">
        <f ca="1">IF(AND(E697&lt;$B$10,C697&gt;=$B$11),1,0)</f>
        <v>0</v>
      </c>
      <c r="M697" s="217" t="str" cm="1">
        <f t="array" aca="1" ref="M697" ca="1">_xlfn.IFS(C697&lt;$B$11,"Fail",C697&lt;25,"Marginal",C697&lt;35,"Solid",TRUE,"Blowout")</f>
        <v>Fail</v>
      </c>
    </row>
    <row r="698" spans="1:13" x14ac:dyDescent="0.25">
      <c r="A698" s="169">
        <f t="shared" ca="1" si="100"/>
        <v>21.785586660439272</v>
      </c>
      <c r="B698" s="168">
        <f t="shared" ca="1" si="101"/>
        <v>10.146092074978625</v>
      </c>
      <c r="C698" s="168">
        <f t="shared" ca="1" si="102"/>
        <v>11.639494585460646</v>
      </c>
      <c r="D698" s="184">
        <f t="shared" ca="1" si="103"/>
        <v>1.4710139612210087</v>
      </c>
      <c r="E698" s="230">
        <f t="shared" ca="1" si="104"/>
        <v>7.133305826065621E-2</v>
      </c>
      <c r="F698" s="168">
        <f t="shared" ca="1" si="105"/>
        <v>21.395906716691684</v>
      </c>
      <c r="G698" s="168">
        <f t="shared" ca="1" si="106"/>
        <v>11.249814641713058</v>
      </c>
      <c r="H698" s="184">
        <f t="shared" ca="1" si="107"/>
        <v>1.4217657199462925</v>
      </c>
      <c r="I698" s="184">
        <f t="shared" ca="1" si="108"/>
        <v>7.8230360801880838E-2</v>
      </c>
      <c r="J698" s="223">
        <f t="shared" ca="1" si="109"/>
        <v>0</v>
      </c>
      <c r="K698" s="220" t="str" cm="1">
        <f t="array" aca="1" ref="K698" ca="1">_xlfn.IFS(G698&lt;$B$11,"Fail",G698&lt;25,"Marginal",G698&lt;35,"Solid",TRUE,"Blowout")</f>
        <v>Fail</v>
      </c>
      <c r="L698" s="226">
        <f ca="1">IF(AND(E698&lt;$B$10,C698&gt;=$B$11),1,0)</f>
        <v>0</v>
      </c>
      <c r="M698" s="217" t="str" cm="1">
        <f t="array" aca="1" ref="M698" ca="1">_xlfn.IFS(C698&lt;$B$11,"Fail",C698&lt;25,"Marginal",C698&lt;35,"Solid",TRUE,"Blowout")</f>
        <v>Fail</v>
      </c>
    </row>
    <row r="699" spans="1:13" x14ac:dyDescent="0.25">
      <c r="A699" s="169">
        <f t="shared" ca="1" si="100"/>
        <v>30.111029177950783</v>
      </c>
      <c r="B699" s="168">
        <f t="shared" ca="1" si="101"/>
        <v>8.5210376079989008</v>
      </c>
      <c r="C699" s="168">
        <f t="shared" ca="1" si="102"/>
        <v>21.589991569951884</v>
      </c>
      <c r="D699" s="184">
        <f t="shared" ca="1" si="103"/>
        <v>2.728570281884469</v>
      </c>
      <c r="E699" s="230">
        <f t="shared" ca="1" si="104"/>
        <v>3.428371959036028E-3</v>
      </c>
      <c r="F699" s="168">
        <f t="shared" ca="1" si="105"/>
        <v>55.986901841010955</v>
      </c>
      <c r="G699" s="168">
        <f t="shared" ca="1" si="106"/>
        <v>47.465864233012056</v>
      </c>
      <c r="H699" s="184">
        <f t="shared" ca="1" si="107"/>
        <v>5.9987956053865323</v>
      </c>
      <c r="I699" s="184">
        <f t="shared" ca="1" si="108"/>
        <v>3.8671183737224775E-9</v>
      </c>
      <c r="J699" s="223">
        <f t="shared" ca="1" si="109"/>
        <v>1</v>
      </c>
      <c r="K699" s="220" t="str" cm="1">
        <f t="array" aca="1" ref="K699" ca="1">_xlfn.IFS(G699&lt;$B$11,"Fail",G699&lt;25,"Marginal",G699&lt;35,"Solid",TRUE,"Blowout")</f>
        <v>Blowout</v>
      </c>
      <c r="L699" s="226">
        <f ca="1">IF(AND(E699&lt;$B$10,C699&gt;=$B$11),1,0)</f>
        <v>1</v>
      </c>
      <c r="M699" s="217" t="str" cm="1">
        <f t="array" aca="1" ref="M699" ca="1">_xlfn.IFS(C699&lt;$B$11,"Fail",C699&lt;25,"Marginal",C699&lt;35,"Solid",TRUE,"Blowout")</f>
        <v>Marginal</v>
      </c>
    </row>
    <row r="700" spans="1:13" x14ac:dyDescent="0.25">
      <c r="A700" s="169">
        <f t="shared" ca="1" si="100"/>
        <v>42.585210267875389</v>
      </c>
      <c r="B700" s="168">
        <f t="shared" ca="1" si="101"/>
        <v>8.8934531277507087</v>
      </c>
      <c r="C700" s="168">
        <f t="shared" ca="1" si="102"/>
        <v>33.691757140124679</v>
      </c>
      <c r="D700" s="184">
        <f t="shared" ca="1" si="103"/>
        <v>4.2580066314133322</v>
      </c>
      <c r="E700" s="230">
        <f t="shared" ca="1" si="104"/>
        <v>1.507893330830906E-5</v>
      </c>
      <c r="F700" s="168">
        <f t="shared" ca="1" si="105"/>
        <v>31.232875501314851</v>
      </c>
      <c r="G700" s="168">
        <f t="shared" ca="1" si="106"/>
        <v>22.33942237356414</v>
      </c>
      <c r="H700" s="184">
        <f t="shared" ca="1" si="107"/>
        <v>2.8232842891799224</v>
      </c>
      <c r="I700" s="184">
        <f t="shared" ca="1" si="108"/>
        <v>2.5869178460818749E-3</v>
      </c>
      <c r="J700" s="223">
        <f t="shared" ca="1" si="109"/>
        <v>1</v>
      </c>
      <c r="K700" s="220" t="str" cm="1">
        <f t="array" aca="1" ref="K700" ca="1">_xlfn.IFS(G700&lt;$B$11,"Fail",G700&lt;25,"Marginal",G700&lt;35,"Solid",TRUE,"Blowout")</f>
        <v>Marginal</v>
      </c>
      <c r="L700" s="226">
        <f ca="1">IF(AND(E700&lt;$B$10,C700&gt;=$B$11),1,0)</f>
        <v>1</v>
      </c>
      <c r="M700" s="217" t="str" cm="1">
        <f t="array" aca="1" ref="M700" ca="1">_xlfn.IFS(C700&lt;$B$11,"Fail",C700&lt;25,"Marginal",C700&lt;35,"Solid",TRUE,"Blowout")</f>
        <v>Solid</v>
      </c>
    </row>
    <row r="701" spans="1:13" x14ac:dyDescent="0.25">
      <c r="A701" s="169">
        <f t="shared" ca="1" si="100"/>
        <v>71.469495530931553</v>
      </c>
      <c r="B701" s="168">
        <f t="shared" ca="1" si="101"/>
        <v>0.10353153912171376</v>
      </c>
      <c r="C701" s="168">
        <f t="shared" ca="1" si="102"/>
        <v>71.365963991809835</v>
      </c>
      <c r="D701" s="184">
        <f t="shared" ca="1" si="103"/>
        <v>9.0193202649093678</v>
      </c>
      <c r="E701" s="230">
        <f t="shared" ca="1" si="104"/>
        <v>3.9804466031000372E-17</v>
      </c>
      <c r="F701" s="168">
        <f t="shared" ca="1" si="105"/>
        <v>16.218558423344788</v>
      </c>
      <c r="G701" s="168">
        <f t="shared" ca="1" si="106"/>
        <v>16.115026884223074</v>
      </c>
      <c r="H701" s="184">
        <f t="shared" ca="1" si="107"/>
        <v>2.036637360676762</v>
      </c>
      <c r="I701" s="184">
        <f t="shared" ca="1" si="108"/>
        <v>2.1421048842960182E-2</v>
      </c>
      <c r="J701" s="223">
        <f t="shared" ca="1" si="109"/>
        <v>0</v>
      </c>
      <c r="K701" s="220" t="str" cm="1">
        <f t="array" aca="1" ref="K701" ca="1">_xlfn.IFS(G701&lt;$B$11,"Fail",G701&lt;25,"Marginal",G701&lt;35,"Solid",TRUE,"Blowout")</f>
        <v>Fail</v>
      </c>
      <c r="L701" s="226">
        <f ca="1">IF(AND(E701&lt;$B$10,C701&gt;=$B$11),1,0)</f>
        <v>1</v>
      </c>
      <c r="M701" s="217" t="str" cm="1">
        <f t="array" aca="1" ref="M701" ca="1">_xlfn.IFS(C701&lt;$B$11,"Fail",C701&lt;25,"Marginal",C701&lt;35,"Solid",TRUE,"Blowout")</f>
        <v>Blowout</v>
      </c>
    </row>
    <row r="702" spans="1:13" x14ac:dyDescent="0.25">
      <c r="A702" s="169">
        <f t="shared" ca="1" si="100"/>
        <v>10.528442351648986</v>
      </c>
      <c r="B702" s="168">
        <f t="shared" ca="1" si="101"/>
        <v>13.7128150937735</v>
      </c>
      <c r="C702" s="168">
        <f t="shared" ca="1" si="102"/>
        <v>-3.1843727421245145</v>
      </c>
      <c r="D702" s="184">
        <f t="shared" ca="1" si="103"/>
        <v>-0.40244503118271807</v>
      </c>
      <c r="E702" s="230">
        <f t="shared" ca="1" si="104"/>
        <v>0.6561332066286647</v>
      </c>
      <c r="F702" s="168">
        <f t="shared" ca="1" si="105"/>
        <v>42.766236325916111</v>
      </c>
      <c r="G702" s="168">
        <f t="shared" ca="1" si="106"/>
        <v>29.053421232142611</v>
      </c>
      <c r="H702" s="184">
        <f t="shared" ca="1" si="107"/>
        <v>3.6718079071150029</v>
      </c>
      <c r="I702" s="184">
        <f t="shared" ca="1" si="108"/>
        <v>1.5002758289055278E-4</v>
      </c>
      <c r="J702" s="223">
        <f t="shared" ca="1" si="109"/>
        <v>1</v>
      </c>
      <c r="K702" s="220" t="str" cm="1">
        <f t="array" aca="1" ref="K702" ca="1">_xlfn.IFS(G702&lt;$B$11,"Fail",G702&lt;25,"Marginal",G702&lt;35,"Solid",TRUE,"Blowout")</f>
        <v>Solid</v>
      </c>
      <c r="L702" s="226">
        <f ca="1">IF(AND(E702&lt;$B$10,C702&gt;=$B$11),1,0)</f>
        <v>0</v>
      </c>
      <c r="M702" s="217" t="str" cm="1">
        <f t="array" aca="1" ref="M702" ca="1">_xlfn.IFS(C702&lt;$B$11,"Fail",C702&lt;25,"Marginal",C702&lt;35,"Solid",TRUE,"Blowout")</f>
        <v>Fail</v>
      </c>
    </row>
    <row r="703" spans="1:13" x14ac:dyDescent="0.25">
      <c r="A703" s="169">
        <f t="shared" ca="1" si="100"/>
        <v>14.625936229581336</v>
      </c>
      <c r="B703" s="168">
        <f t="shared" ca="1" si="101"/>
        <v>3.1300239661029998</v>
      </c>
      <c r="C703" s="168">
        <f t="shared" ca="1" si="102"/>
        <v>11.495912263478337</v>
      </c>
      <c r="D703" s="184">
        <f t="shared" ca="1" si="103"/>
        <v>1.4528678468283494</v>
      </c>
      <c r="E703" s="230">
        <f t="shared" ca="1" si="104"/>
        <v>7.3817663798604216E-2</v>
      </c>
      <c r="F703" s="168">
        <f t="shared" ca="1" si="105"/>
        <v>38.620275490587417</v>
      </c>
      <c r="G703" s="168">
        <f t="shared" ca="1" si="106"/>
        <v>35.490251524484421</v>
      </c>
      <c r="H703" s="184">
        <f t="shared" ca="1" si="107"/>
        <v>4.485302613137101</v>
      </c>
      <c r="I703" s="184">
        <f t="shared" ca="1" si="108"/>
        <v>5.7714292275271736E-6</v>
      </c>
      <c r="J703" s="223">
        <f t="shared" ca="1" si="109"/>
        <v>1</v>
      </c>
      <c r="K703" s="220" t="str" cm="1">
        <f t="array" aca="1" ref="K703" ca="1">_xlfn.IFS(G703&lt;$B$11,"Fail",G703&lt;25,"Marginal",G703&lt;35,"Solid",TRUE,"Blowout")</f>
        <v>Blowout</v>
      </c>
      <c r="L703" s="226">
        <f ca="1">IF(AND(E703&lt;$B$10,C703&gt;=$B$11),1,0)</f>
        <v>0</v>
      </c>
      <c r="M703" s="217" t="str" cm="1">
        <f t="array" aca="1" ref="M703" ca="1">_xlfn.IFS(C703&lt;$B$11,"Fail",C703&lt;25,"Marginal",C703&lt;35,"Solid",TRUE,"Blowout")</f>
        <v>Fail</v>
      </c>
    </row>
    <row r="704" spans="1:13" x14ac:dyDescent="0.25">
      <c r="A704" s="169">
        <f t="shared" ca="1" si="100"/>
        <v>39.334768985703128</v>
      </c>
      <c r="B704" s="168">
        <f t="shared" ca="1" si="101"/>
        <v>7.2880186474580348</v>
      </c>
      <c r="C704" s="168">
        <f t="shared" ca="1" si="102"/>
        <v>32.04675033824509</v>
      </c>
      <c r="D704" s="184">
        <f t="shared" ca="1" si="103"/>
        <v>4.0501086033588241</v>
      </c>
      <c r="E704" s="230">
        <f t="shared" ca="1" si="104"/>
        <v>3.5095898334611677E-5</v>
      </c>
      <c r="F704" s="168">
        <f t="shared" ca="1" si="105"/>
        <v>24.6137311390757</v>
      </c>
      <c r="G704" s="168">
        <f t="shared" ca="1" si="106"/>
        <v>17.325712491617665</v>
      </c>
      <c r="H704" s="184">
        <f t="shared" ca="1" si="107"/>
        <v>2.1896453300564134</v>
      </c>
      <c r="I704" s="184">
        <f t="shared" ca="1" si="108"/>
        <v>1.4782106705435494E-2</v>
      </c>
      <c r="J704" s="223">
        <f t="shared" ca="1" si="109"/>
        <v>0</v>
      </c>
      <c r="K704" s="220" t="str" cm="1">
        <f t="array" aca="1" ref="K704" ca="1">_xlfn.IFS(G704&lt;$B$11,"Fail",G704&lt;25,"Marginal",G704&lt;35,"Solid",TRUE,"Blowout")</f>
        <v>Fail</v>
      </c>
      <c r="L704" s="226">
        <f ca="1">IF(AND(E704&lt;$B$10,C704&gt;=$B$11),1,0)</f>
        <v>1</v>
      </c>
      <c r="M704" s="217" t="str" cm="1">
        <f t="array" aca="1" ref="M704" ca="1">_xlfn.IFS(C704&lt;$B$11,"Fail",C704&lt;25,"Marginal",C704&lt;35,"Solid",TRUE,"Blowout")</f>
        <v>Solid</v>
      </c>
    </row>
    <row r="705" spans="1:13" x14ac:dyDescent="0.25">
      <c r="A705" s="169">
        <f t="shared" ca="1" si="100"/>
        <v>44.802037737926497</v>
      </c>
      <c r="B705" s="168">
        <f t="shared" ca="1" si="101"/>
        <v>4.9829290190375577</v>
      </c>
      <c r="C705" s="168">
        <f t="shared" ca="1" si="102"/>
        <v>39.819108718888941</v>
      </c>
      <c r="D705" s="184">
        <f t="shared" ca="1" si="103"/>
        <v>5.0323890284746993</v>
      </c>
      <c r="E705" s="230">
        <f t="shared" ca="1" si="104"/>
        <v>4.9115241542781498E-7</v>
      </c>
      <c r="F705" s="168">
        <f t="shared" ca="1" si="105"/>
        <v>38.266259739439811</v>
      </c>
      <c r="G705" s="168">
        <f t="shared" ca="1" si="106"/>
        <v>33.283330720402255</v>
      </c>
      <c r="H705" s="184">
        <f t="shared" ca="1" si="107"/>
        <v>4.2063891869330812</v>
      </c>
      <c r="I705" s="184">
        <f t="shared" ca="1" si="108"/>
        <v>1.8654160761194028E-5</v>
      </c>
      <c r="J705" s="223">
        <f t="shared" ca="1" si="109"/>
        <v>1</v>
      </c>
      <c r="K705" s="220" t="str" cm="1">
        <f t="array" aca="1" ref="K705" ca="1">_xlfn.IFS(G705&lt;$B$11,"Fail",G705&lt;25,"Marginal",G705&lt;35,"Solid",TRUE,"Blowout")</f>
        <v>Solid</v>
      </c>
      <c r="L705" s="226">
        <f ca="1">IF(AND(E705&lt;$B$10,C705&gt;=$B$11),1,0)</f>
        <v>1</v>
      </c>
      <c r="M705" s="217" t="str" cm="1">
        <f t="array" aca="1" ref="M705" ca="1">_xlfn.IFS(C705&lt;$B$11,"Fail",C705&lt;25,"Marginal",C705&lt;35,"Solid",TRUE,"Blowout")</f>
        <v>Blowout</v>
      </c>
    </row>
    <row r="706" spans="1:13" x14ac:dyDescent="0.25">
      <c r="A706" s="169">
        <f t="shared" ca="1" si="100"/>
        <v>50.444449418300991</v>
      </c>
      <c r="B706" s="168">
        <f t="shared" ca="1" si="101"/>
        <v>7.9027721079430231</v>
      </c>
      <c r="C706" s="168">
        <f t="shared" ca="1" si="102"/>
        <v>42.541677310357969</v>
      </c>
      <c r="D706" s="184">
        <f t="shared" ca="1" si="103"/>
        <v>5.3764706704246414</v>
      </c>
      <c r="E706" s="230">
        <f t="shared" ca="1" si="104"/>
        <v>9.3816669663495826E-8</v>
      </c>
      <c r="F706" s="168">
        <f t="shared" ca="1" si="105"/>
        <v>41.704803302018242</v>
      </c>
      <c r="G706" s="168">
        <f t="shared" ca="1" si="106"/>
        <v>33.802031194075219</v>
      </c>
      <c r="H706" s="184">
        <f t="shared" ca="1" si="107"/>
        <v>4.2719432050102917</v>
      </c>
      <c r="I706" s="184">
        <f t="shared" ca="1" si="108"/>
        <v>1.423225505975451E-5</v>
      </c>
      <c r="J706" s="223">
        <f t="shared" ca="1" si="109"/>
        <v>1</v>
      </c>
      <c r="K706" s="220" t="str" cm="1">
        <f t="array" aca="1" ref="K706" ca="1">_xlfn.IFS(G706&lt;$B$11,"Fail",G706&lt;25,"Marginal",G706&lt;35,"Solid",TRUE,"Blowout")</f>
        <v>Solid</v>
      </c>
      <c r="L706" s="226">
        <f ca="1">IF(AND(E706&lt;$B$10,C706&gt;=$B$11),1,0)</f>
        <v>1</v>
      </c>
      <c r="M706" s="217" t="str" cm="1">
        <f t="array" aca="1" ref="M706" ca="1">_xlfn.IFS(C706&lt;$B$11,"Fail",C706&lt;25,"Marginal",C706&lt;35,"Solid",TRUE,"Blowout")</f>
        <v>Blowout</v>
      </c>
    </row>
    <row r="707" spans="1:13" x14ac:dyDescent="0.25">
      <c r="A707" s="169">
        <f t="shared" ca="1" si="100"/>
        <v>51.231513195111695</v>
      </c>
      <c r="B707" s="168">
        <f t="shared" ca="1" si="101"/>
        <v>8.3554634657813089</v>
      </c>
      <c r="C707" s="168">
        <f t="shared" ca="1" si="102"/>
        <v>42.87604972933039</v>
      </c>
      <c r="D707" s="184">
        <f t="shared" ca="1" si="103"/>
        <v>5.4187290771745431</v>
      </c>
      <c r="E707" s="230">
        <f t="shared" ca="1" si="104"/>
        <v>7.6142810195421706E-8</v>
      </c>
      <c r="F707" s="168">
        <f t="shared" ca="1" si="105"/>
        <v>20.821492859725272</v>
      </c>
      <c r="G707" s="168">
        <f t="shared" ca="1" si="106"/>
        <v>12.466029393943963</v>
      </c>
      <c r="H707" s="184">
        <f t="shared" ca="1" si="107"/>
        <v>1.5754724696027087</v>
      </c>
      <c r="I707" s="184">
        <f t="shared" ca="1" si="108"/>
        <v>5.8266970464969405E-2</v>
      </c>
      <c r="J707" s="223">
        <f t="shared" ca="1" si="109"/>
        <v>0</v>
      </c>
      <c r="K707" s="220" t="str" cm="1">
        <f t="array" aca="1" ref="K707" ca="1">_xlfn.IFS(G707&lt;$B$11,"Fail",G707&lt;25,"Marginal",G707&lt;35,"Solid",TRUE,"Blowout")</f>
        <v>Fail</v>
      </c>
      <c r="L707" s="226">
        <f ca="1">IF(AND(E707&lt;$B$10,C707&gt;=$B$11),1,0)</f>
        <v>1</v>
      </c>
      <c r="M707" s="217" t="str" cm="1">
        <f t="array" aca="1" ref="M707" ca="1">_xlfn.IFS(C707&lt;$B$11,"Fail",C707&lt;25,"Marginal",C707&lt;35,"Solid",TRUE,"Blowout")</f>
        <v>Blowout</v>
      </c>
    </row>
    <row r="708" spans="1:13" x14ac:dyDescent="0.25">
      <c r="A708" s="169">
        <f t="shared" ca="1" si="100"/>
        <v>12.889176245748265</v>
      </c>
      <c r="B708" s="168">
        <f t="shared" ca="1" si="101"/>
        <v>4.7564684058760545</v>
      </c>
      <c r="C708" s="168">
        <f t="shared" ca="1" si="102"/>
        <v>8.1327078398722108</v>
      </c>
      <c r="D708" s="184">
        <f t="shared" ca="1" si="103"/>
        <v>1.0278218428768753</v>
      </c>
      <c r="E708" s="230">
        <f t="shared" ca="1" si="104"/>
        <v>0.15256139888166231</v>
      </c>
      <c r="F708" s="168">
        <f t="shared" ca="1" si="105"/>
        <v>40.146788195185749</v>
      </c>
      <c r="G708" s="168">
        <f t="shared" ca="1" si="106"/>
        <v>35.390319789309693</v>
      </c>
      <c r="H708" s="184">
        <f t="shared" ca="1" si="107"/>
        <v>4.4726731147914691</v>
      </c>
      <c r="I708" s="184">
        <f t="shared" ca="1" si="108"/>
        <v>6.0938279641569275E-6</v>
      </c>
      <c r="J708" s="223">
        <f t="shared" ca="1" si="109"/>
        <v>1</v>
      </c>
      <c r="K708" s="220" t="str" cm="1">
        <f t="array" aca="1" ref="K708" ca="1">_xlfn.IFS(G708&lt;$B$11,"Fail",G708&lt;25,"Marginal",G708&lt;35,"Solid",TRUE,"Blowout")</f>
        <v>Blowout</v>
      </c>
      <c r="L708" s="226">
        <f ca="1">IF(AND(E708&lt;$B$10,C708&gt;=$B$11),1,0)</f>
        <v>0</v>
      </c>
      <c r="M708" s="217" t="str" cm="1">
        <f t="array" aca="1" ref="M708" ca="1">_xlfn.IFS(C708&lt;$B$11,"Fail",C708&lt;25,"Marginal",C708&lt;35,"Solid",TRUE,"Blowout")</f>
        <v>Fail</v>
      </c>
    </row>
    <row r="709" spans="1:13" x14ac:dyDescent="0.25">
      <c r="A709" s="169">
        <f t="shared" ca="1" si="100"/>
        <v>68.964460357096115</v>
      </c>
      <c r="B709" s="168">
        <f t="shared" ca="1" si="101"/>
        <v>8.1305211365070456</v>
      </c>
      <c r="C709" s="168">
        <f t="shared" ca="1" si="102"/>
        <v>60.833939220589073</v>
      </c>
      <c r="D709" s="184">
        <f t="shared" ca="1" si="103"/>
        <v>7.6882697313454909</v>
      </c>
      <c r="E709" s="230">
        <f t="shared" ca="1" si="104"/>
        <v>2.2121279909250509E-13</v>
      </c>
      <c r="F709" s="168">
        <f t="shared" ca="1" si="105"/>
        <v>40.343131989046427</v>
      </c>
      <c r="G709" s="168">
        <f t="shared" ca="1" si="106"/>
        <v>32.212610852539385</v>
      </c>
      <c r="H709" s="184">
        <f t="shared" ca="1" si="107"/>
        <v>4.0710702637084903</v>
      </c>
      <c r="I709" s="184">
        <f t="shared" ca="1" si="108"/>
        <v>3.2277903177820465E-5</v>
      </c>
      <c r="J709" s="223">
        <f t="shared" ca="1" si="109"/>
        <v>1</v>
      </c>
      <c r="K709" s="220" t="str" cm="1">
        <f t="array" aca="1" ref="K709" ca="1">_xlfn.IFS(G709&lt;$B$11,"Fail",G709&lt;25,"Marginal",G709&lt;35,"Solid",TRUE,"Blowout")</f>
        <v>Solid</v>
      </c>
      <c r="L709" s="226">
        <f ca="1">IF(AND(E709&lt;$B$10,C709&gt;=$B$11),1,0)</f>
        <v>1</v>
      </c>
      <c r="M709" s="217" t="str" cm="1">
        <f t="array" aca="1" ref="M709" ca="1">_xlfn.IFS(C709&lt;$B$11,"Fail",C709&lt;25,"Marginal",C709&lt;35,"Solid",TRUE,"Blowout")</f>
        <v>Blowout</v>
      </c>
    </row>
    <row r="710" spans="1:13" x14ac:dyDescent="0.25">
      <c r="A710" s="169">
        <f t="shared" ca="1" si="100"/>
        <v>23.643180946034764</v>
      </c>
      <c r="B710" s="168">
        <f t="shared" ca="1" si="101"/>
        <v>6.3776761073832544</v>
      </c>
      <c r="C710" s="168">
        <f t="shared" ca="1" si="102"/>
        <v>17.265504838651509</v>
      </c>
      <c r="D710" s="184">
        <f t="shared" ca="1" si="103"/>
        <v>2.1820362111693963</v>
      </c>
      <c r="E710" s="230">
        <f t="shared" ca="1" si="104"/>
        <v>1.5064258097165698E-2</v>
      </c>
      <c r="F710" s="168">
        <f t="shared" ca="1" si="105"/>
        <v>11.883698985870108</v>
      </c>
      <c r="G710" s="168">
        <f t="shared" ca="1" si="106"/>
        <v>5.5060228784868537</v>
      </c>
      <c r="H710" s="184">
        <f t="shared" ca="1" si="107"/>
        <v>0.69585809466106663</v>
      </c>
      <c r="I710" s="184">
        <f t="shared" ca="1" si="108"/>
        <v>0.2436131967186575</v>
      </c>
      <c r="J710" s="223">
        <f t="shared" ca="1" si="109"/>
        <v>0</v>
      </c>
      <c r="K710" s="220" t="str" cm="1">
        <f t="array" aca="1" ref="K710" ca="1">_xlfn.IFS(G710&lt;$B$11,"Fail",G710&lt;25,"Marginal",G710&lt;35,"Solid",TRUE,"Blowout")</f>
        <v>Fail</v>
      </c>
      <c r="L710" s="226">
        <f ca="1">IF(AND(E710&lt;$B$10,C710&gt;=$B$11),1,0)</f>
        <v>0</v>
      </c>
      <c r="M710" s="217" t="str" cm="1">
        <f t="array" aca="1" ref="M710" ca="1">_xlfn.IFS(C710&lt;$B$11,"Fail",C710&lt;25,"Marginal",C710&lt;35,"Solid",TRUE,"Blowout")</f>
        <v>Fail</v>
      </c>
    </row>
    <row r="711" spans="1:13" x14ac:dyDescent="0.25">
      <c r="A711" s="169">
        <f t="shared" ca="1" si="100"/>
        <v>24.912901499419494</v>
      </c>
      <c r="B711" s="168">
        <f t="shared" ca="1" si="101"/>
        <v>4.1186693070676768</v>
      </c>
      <c r="C711" s="168">
        <f t="shared" ca="1" si="102"/>
        <v>20.794232192351817</v>
      </c>
      <c r="D711" s="184">
        <f t="shared" ca="1" si="103"/>
        <v>2.6280012111548476</v>
      </c>
      <c r="E711" s="230">
        <f t="shared" ca="1" si="104"/>
        <v>4.5860964849766322E-3</v>
      </c>
      <c r="F711" s="168">
        <f t="shared" ca="1" si="105"/>
        <v>5.1925200371833151</v>
      </c>
      <c r="G711" s="168">
        <f t="shared" ca="1" si="106"/>
        <v>1.0738507301156384</v>
      </c>
      <c r="H711" s="184">
        <f t="shared" ca="1" si="107"/>
        <v>0.13571460553284506</v>
      </c>
      <c r="I711" s="184">
        <f t="shared" ca="1" si="108"/>
        <v>0.44608332281922702</v>
      </c>
      <c r="J711" s="223">
        <f t="shared" ca="1" si="109"/>
        <v>0</v>
      </c>
      <c r="K711" s="220" t="str" cm="1">
        <f t="array" aca="1" ref="K711" ca="1">_xlfn.IFS(G711&lt;$B$11,"Fail",G711&lt;25,"Marginal",G711&lt;35,"Solid",TRUE,"Blowout")</f>
        <v>Fail</v>
      </c>
      <c r="L711" s="226">
        <f ca="1">IF(AND(E711&lt;$B$10,C711&gt;=$B$11),1,0)</f>
        <v>1</v>
      </c>
      <c r="M711" s="217" t="str" cm="1">
        <f t="array" aca="1" ref="M711" ca="1">_xlfn.IFS(C711&lt;$B$11,"Fail",C711&lt;25,"Marginal",C711&lt;35,"Solid",TRUE,"Blowout")</f>
        <v>Marginal</v>
      </c>
    </row>
    <row r="712" spans="1:13" x14ac:dyDescent="0.25">
      <c r="A712" s="169">
        <f t="shared" ca="1" si="100"/>
        <v>26.604434457642274</v>
      </c>
      <c r="B712" s="168">
        <f t="shared" ca="1" si="101"/>
        <v>-2.2128872042190046</v>
      </c>
      <c r="C712" s="168">
        <f t="shared" ca="1" si="102"/>
        <v>28.817321661861278</v>
      </c>
      <c r="D712" s="184">
        <f t="shared" ca="1" si="103"/>
        <v>3.6419693465510456</v>
      </c>
      <c r="E712" s="230">
        <f t="shared" ca="1" si="104"/>
        <v>1.6745011757487817E-4</v>
      </c>
      <c r="F712" s="168">
        <f t="shared" ca="1" si="105"/>
        <v>44.263718291298787</v>
      </c>
      <c r="G712" s="168">
        <f t="shared" ca="1" si="106"/>
        <v>46.476605495517788</v>
      </c>
      <c r="H712" s="184">
        <f t="shared" ca="1" si="107"/>
        <v>5.87377184224722</v>
      </c>
      <c r="I712" s="184">
        <f t="shared" ca="1" si="108"/>
        <v>7.482145181836661E-9</v>
      </c>
      <c r="J712" s="223">
        <f t="shared" ca="1" si="109"/>
        <v>1</v>
      </c>
      <c r="K712" s="220" t="str" cm="1">
        <f t="array" aca="1" ref="K712" ca="1">_xlfn.IFS(G712&lt;$B$11,"Fail",G712&lt;25,"Marginal",G712&lt;35,"Solid",TRUE,"Blowout")</f>
        <v>Blowout</v>
      </c>
      <c r="L712" s="226">
        <f ca="1">IF(AND(E712&lt;$B$10,C712&gt;=$B$11),1,0)</f>
        <v>1</v>
      </c>
      <c r="M712" s="217" t="str" cm="1">
        <f t="array" aca="1" ref="M712" ca="1">_xlfn.IFS(C712&lt;$B$11,"Fail",C712&lt;25,"Marginal",C712&lt;35,"Solid",TRUE,"Blowout")</f>
        <v>Solid</v>
      </c>
    </row>
    <row r="713" spans="1:13" x14ac:dyDescent="0.25">
      <c r="A713" s="169">
        <f t="shared" ca="1" si="100"/>
        <v>38.035648429756563</v>
      </c>
      <c r="B713" s="168">
        <f t="shared" ca="1" si="101"/>
        <v>-10.650689596151357</v>
      </c>
      <c r="C713" s="168">
        <f t="shared" ca="1" si="102"/>
        <v>48.686338025907922</v>
      </c>
      <c r="D713" s="184">
        <f t="shared" ca="1" si="103"/>
        <v>6.1530406179575072</v>
      </c>
      <c r="E713" s="230">
        <f t="shared" ca="1" si="104"/>
        <v>1.690972008897213E-9</v>
      </c>
      <c r="F713" s="168">
        <f t="shared" ca="1" si="105"/>
        <v>47.858187097491459</v>
      </c>
      <c r="G713" s="168">
        <f t="shared" ca="1" si="106"/>
        <v>58.508876693642819</v>
      </c>
      <c r="H713" s="184">
        <f t="shared" ca="1" si="107"/>
        <v>7.3944254056544043</v>
      </c>
      <c r="I713" s="184">
        <f t="shared" ca="1" si="108"/>
        <v>1.342844474836808E-12</v>
      </c>
      <c r="J713" s="223">
        <f t="shared" ca="1" si="109"/>
        <v>1</v>
      </c>
      <c r="K713" s="220" t="str" cm="1">
        <f t="array" aca="1" ref="K713" ca="1">_xlfn.IFS(G713&lt;$B$11,"Fail",G713&lt;25,"Marginal",G713&lt;35,"Solid",TRUE,"Blowout")</f>
        <v>Blowout</v>
      </c>
      <c r="L713" s="226">
        <f ca="1">IF(AND(E713&lt;$B$10,C713&gt;=$B$11),1,0)</f>
        <v>1</v>
      </c>
      <c r="M713" s="217" t="str" cm="1">
        <f t="array" aca="1" ref="M713" ca="1">_xlfn.IFS(C713&lt;$B$11,"Fail",C713&lt;25,"Marginal",C713&lt;35,"Solid",TRUE,"Blowout")</f>
        <v>Blowout</v>
      </c>
    </row>
    <row r="714" spans="1:13" x14ac:dyDescent="0.25">
      <c r="A714" s="169">
        <f t="shared" ca="1" si="100"/>
        <v>27.16144675244233</v>
      </c>
      <c r="B714" s="168">
        <f t="shared" ca="1" si="101"/>
        <v>9.9808318606802988</v>
      </c>
      <c r="C714" s="168">
        <f t="shared" ca="1" si="102"/>
        <v>17.180614891762033</v>
      </c>
      <c r="D714" s="184">
        <f t="shared" ca="1" si="103"/>
        <v>2.1713077129408123</v>
      </c>
      <c r="E714" s="230">
        <f t="shared" ca="1" si="104"/>
        <v>1.5469986996906359E-2</v>
      </c>
      <c r="F714" s="168">
        <f t="shared" ca="1" si="105"/>
        <v>24.506526311660561</v>
      </c>
      <c r="G714" s="168">
        <f t="shared" ca="1" si="106"/>
        <v>14.525694450980263</v>
      </c>
      <c r="H714" s="184">
        <f t="shared" ca="1" si="107"/>
        <v>1.8357755293355686</v>
      </c>
      <c r="I714" s="184">
        <f t="shared" ca="1" si="108"/>
        <v>3.3846601208548419E-2</v>
      </c>
      <c r="J714" s="223">
        <f t="shared" ca="1" si="109"/>
        <v>0</v>
      </c>
      <c r="K714" s="220" t="str" cm="1">
        <f t="array" aca="1" ref="K714" ca="1">_xlfn.IFS(G714&lt;$B$11,"Fail",G714&lt;25,"Marginal",G714&lt;35,"Solid",TRUE,"Blowout")</f>
        <v>Fail</v>
      </c>
      <c r="L714" s="226">
        <f ca="1">IF(AND(E714&lt;$B$10,C714&gt;=$B$11),1,0)</f>
        <v>0</v>
      </c>
      <c r="M714" s="217" t="str" cm="1">
        <f t="array" aca="1" ref="M714" ca="1">_xlfn.IFS(C714&lt;$B$11,"Fail",C714&lt;25,"Marginal",C714&lt;35,"Solid",TRUE,"Blowout")</f>
        <v>Fail</v>
      </c>
    </row>
    <row r="715" spans="1:13" x14ac:dyDescent="0.25">
      <c r="A715" s="169">
        <f t="shared" ca="1" si="100"/>
        <v>43.953641165742688</v>
      </c>
      <c r="B715" s="168">
        <f t="shared" ca="1" si="101"/>
        <v>4.065988996546416</v>
      </c>
      <c r="C715" s="168">
        <f t="shared" ca="1" si="102"/>
        <v>39.887652169196272</v>
      </c>
      <c r="D715" s="184">
        <f t="shared" ca="1" si="103"/>
        <v>5.041051635911133</v>
      </c>
      <c r="E715" s="230">
        <f t="shared" ca="1" si="104"/>
        <v>4.7156557125429952E-7</v>
      </c>
      <c r="F715" s="168">
        <f t="shared" ca="1" si="105"/>
        <v>66.065305896647942</v>
      </c>
      <c r="G715" s="168">
        <f t="shared" ca="1" si="106"/>
        <v>61.999316900101526</v>
      </c>
      <c r="H715" s="184">
        <f t="shared" ca="1" si="107"/>
        <v>7.8355516278291697</v>
      </c>
      <c r="I715" s="184">
        <f t="shared" ca="1" si="108"/>
        <v>8.8275142120649114E-14</v>
      </c>
      <c r="J715" s="223">
        <f t="shared" ca="1" si="109"/>
        <v>1</v>
      </c>
      <c r="K715" s="220" t="str" cm="1">
        <f t="array" aca="1" ref="K715" ca="1">_xlfn.IFS(G715&lt;$B$11,"Fail",G715&lt;25,"Marginal",G715&lt;35,"Solid",TRUE,"Blowout")</f>
        <v>Blowout</v>
      </c>
      <c r="L715" s="226">
        <f ca="1">IF(AND(E715&lt;$B$10,C715&gt;=$B$11),1,0)</f>
        <v>1</v>
      </c>
      <c r="M715" s="217" t="str" cm="1">
        <f t="array" aca="1" ref="M715" ca="1">_xlfn.IFS(C715&lt;$B$11,"Fail",C715&lt;25,"Marginal",C715&lt;35,"Solid",TRUE,"Blowout")</f>
        <v>Blowout</v>
      </c>
    </row>
    <row r="716" spans="1:13" x14ac:dyDescent="0.25">
      <c r="A716" s="169">
        <f t="shared" ca="1" si="100"/>
        <v>18.491596308971182</v>
      </c>
      <c r="B716" s="168">
        <f t="shared" ca="1" si="101"/>
        <v>6.3863725585775146</v>
      </c>
      <c r="C716" s="168">
        <f t="shared" ca="1" si="102"/>
        <v>12.105223750393668</v>
      </c>
      <c r="D716" s="184">
        <f t="shared" ca="1" si="103"/>
        <v>1.529873398693496</v>
      </c>
      <c r="E716" s="230">
        <f t="shared" ca="1" si="104"/>
        <v>6.3717140306018452E-2</v>
      </c>
      <c r="F716" s="168">
        <f t="shared" ca="1" si="105"/>
        <v>8.0157750708391458</v>
      </c>
      <c r="G716" s="168">
        <f t="shared" ca="1" si="106"/>
        <v>1.6294025122616311</v>
      </c>
      <c r="H716" s="184">
        <f t="shared" ca="1" si="107"/>
        <v>0.20592593831174383</v>
      </c>
      <c r="I716" s="184">
        <f t="shared" ca="1" si="108"/>
        <v>0.41851625913497636</v>
      </c>
      <c r="J716" s="223">
        <f t="shared" ca="1" si="109"/>
        <v>0</v>
      </c>
      <c r="K716" s="220" t="str" cm="1">
        <f t="array" aca="1" ref="K716" ca="1">_xlfn.IFS(G716&lt;$B$11,"Fail",G716&lt;25,"Marginal",G716&lt;35,"Solid",TRUE,"Blowout")</f>
        <v>Fail</v>
      </c>
      <c r="L716" s="226">
        <f ca="1">IF(AND(E716&lt;$B$10,C716&gt;=$B$11),1,0)</f>
        <v>0</v>
      </c>
      <c r="M716" s="217" t="str" cm="1">
        <f t="array" aca="1" ref="M716" ca="1">_xlfn.IFS(C716&lt;$B$11,"Fail",C716&lt;25,"Marginal",C716&lt;35,"Solid",TRUE,"Blowout")</f>
        <v>Fail</v>
      </c>
    </row>
    <row r="717" spans="1:13" x14ac:dyDescent="0.25">
      <c r="A717" s="169">
        <f t="shared" ca="1" si="100"/>
        <v>23.644698765601841</v>
      </c>
      <c r="B717" s="168">
        <f t="shared" ca="1" si="101"/>
        <v>5.4178230802944087</v>
      </c>
      <c r="C717" s="168">
        <f t="shared" ca="1" si="102"/>
        <v>18.226875685307434</v>
      </c>
      <c r="D717" s="184">
        <f t="shared" ca="1" si="103"/>
        <v>2.3035354675983006</v>
      </c>
      <c r="E717" s="230">
        <f t="shared" ca="1" si="104"/>
        <v>1.1074757022761389E-2</v>
      </c>
      <c r="F717" s="168">
        <f t="shared" ca="1" si="105"/>
        <v>2.6756291111308297</v>
      </c>
      <c r="G717" s="168">
        <f t="shared" ca="1" si="106"/>
        <v>-2.742193969163579</v>
      </c>
      <c r="H717" s="184">
        <f t="shared" ca="1" si="107"/>
        <v>-0.346561921859946</v>
      </c>
      <c r="I717" s="184">
        <f t="shared" ca="1" si="108"/>
        <v>0.6353799588987783</v>
      </c>
      <c r="J717" s="223">
        <f t="shared" ca="1" si="109"/>
        <v>0</v>
      </c>
      <c r="K717" s="220" t="str" cm="1">
        <f t="array" aca="1" ref="K717" ca="1">_xlfn.IFS(G717&lt;$B$11,"Fail",G717&lt;25,"Marginal",G717&lt;35,"Solid",TRUE,"Blowout")</f>
        <v>Fail</v>
      </c>
      <c r="L717" s="226">
        <f ca="1">IF(AND(E717&lt;$B$10,C717&gt;=$B$11),1,0)</f>
        <v>0</v>
      </c>
      <c r="M717" s="217" t="str" cm="1">
        <f t="array" aca="1" ref="M717" ca="1">_xlfn.IFS(C717&lt;$B$11,"Fail",C717&lt;25,"Marginal",C717&lt;35,"Solid",TRUE,"Blowout")</f>
        <v>Fail</v>
      </c>
    </row>
    <row r="718" spans="1:13" x14ac:dyDescent="0.25">
      <c r="A718" s="169">
        <f t="shared" ca="1" si="100"/>
        <v>16.557098988251134</v>
      </c>
      <c r="B718" s="168">
        <f t="shared" ca="1" si="101"/>
        <v>9.1247081615032464</v>
      </c>
      <c r="C718" s="168">
        <f t="shared" ca="1" si="102"/>
        <v>7.4323908267478878</v>
      </c>
      <c r="D718" s="184">
        <f t="shared" ca="1" si="103"/>
        <v>0.93931489817900937</v>
      </c>
      <c r="E718" s="230">
        <f t="shared" ca="1" si="104"/>
        <v>0.17428156186833615</v>
      </c>
      <c r="F718" s="168">
        <f t="shared" ca="1" si="105"/>
        <v>23.745236398717875</v>
      </c>
      <c r="G718" s="168">
        <f t="shared" ca="1" si="106"/>
        <v>14.620528237214629</v>
      </c>
      <c r="H718" s="184">
        <f t="shared" ca="1" si="107"/>
        <v>1.8477607424839519</v>
      </c>
      <c r="I718" s="184">
        <f t="shared" ca="1" si="108"/>
        <v>3.2966125809960868E-2</v>
      </c>
      <c r="J718" s="223">
        <f t="shared" ca="1" si="109"/>
        <v>0</v>
      </c>
      <c r="K718" s="220" t="str" cm="1">
        <f t="array" aca="1" ref="K718" ca="1">_xlfn.IFS(G718&lt;$B$11,"Fail",G718&lt;25,"Marginal",G718&lt;35,"Solid",TRUE,"Blowout")</f>
        <v>Fail</v>
      </c>
      <c r="L718" s="226">
        <f ca="1">IF(AND(E718&lt;$B$10,C718&gt;=$B$11),1,0)</f>
        <v>0</v>
      </c>
      <c r="M718" s="217" t="str" cm="1">
        <f t="array" aca="1" ref="M718" ca="1">_xlfn.IFS(C718&lt;$B$11,"Fail",C718&lt;25,"Marginal",C718&lt;35,"Solid",TRUE,"Blowout")</f>
        <v>Fail</v>
      </c>
    </row>
    <row r="719" spans="1:13" x14ac:dyDescent="0.25">
      <c r="A719" s="169">
        <f t="shared" ca="1" si="100"/>
        <v>37.958626946468414</v>
      </c>
      <c r="B719" s="168">
        <f t="shared" ca="1" si="101"/>
        <v>-2.1966727931324357</v>
      </c>
      <c r="C719" s="168">
        <f t="shared" ca="1" si="102"/>
        <v>40.155299739600849</v>
      </c>
      <c r="D719" s="184">
        <f t="shared" ca="1" si="103"/>
        <v>5.0748772723991484</v>
      </c>
      <c r="E719" s="230">
        <f t="shared" ca="1" si="104"/>
        <v>4.020822781554834E-7</v>
      </c>
      <c r="F719" s="168">
        <f t="shared" ca="1" si="105"/>
        <v>57.29099558566773</v>
      </c>
      <c r="G719" s="168">
        <f t="shared" ca="1" si="106"/>
        <v>59.487668378800166</v>
      </c>
      <c r="H719" s="184">
        <f t="shared" ca="1" si="107"/>
        <v>7.5181263295580951</v>
      </c>
      <c r="I719" s="184">
        <f t="shared" ca="1" si="108"/>
        <v>6.3158236887782341E-13</v>
      </c>
      <c r="J719" s="223">
        <f t="shared" ca="1" si="109"/>
        <v>1</v>
      </c>
      <c r="K719" s="220" t="str" cm="1">
        <f t="array" aca="1" ref="K719" ca="1">_xlfn.IFS(G719&lt;$B$11,"Fail",G719&lt;25,"Marginal",G719&lt;35,"Solid",TRUE,"Blowout")</f>
        <v>Blowout</v>
      </c>
      <c r="L719" s="226">
        <f ca="1">IF(AND(E719&lt;$B$10,C719&gt;=$B$11),1,0)</f>
        <v>1</v>
      </c>
      <c r="M719" s="217" t="str" cm="1">
        <f t="array" aca="1" ref="M719" ca="1">_xlfn.IFS(C719&lt;$B$11,"Fail",C719&lt;25,"Marginal",C719&lt;35,"Solid",TRUE,"Blowout")</f>
        <v>Blowout</v>
      </c>
    </row>
    <row r="720" spans="1:13" x14ac:dyDescent="0.25">
      <c r="A720" s="169">
        <f t="shared" ca="1" si="100"/>
        <v>12.683252524104718</v>
      </c>
      <c r="B720" s="168">
        <f t="shared" ca="1" si="101"/>
        <v>2.1733799254174895</v>
      </c>
      <c r="C720" s="168">
        <f t="shared" ca="1" si="102"/>
        <v>10.509872598687229</v>
      </c>
      <c r="D720" s="184">
        <f t="shared" ca="1" si="103"/>
        <v>1.3282509141449275</v>
      </c>
      <c r="E720" s="230">
        <f t="shared" ca="1" si="104"/>
        <v>9.2711629855033714E-2</v>
      </c>
      <c r="F720" s="168">
        <f t="shared" ca="1" si="105"/>
        <v>18.510655670379212</v>
      </c>
      <c r="G720" s="168">
        <f t="shared" ca="1" si="106"/>
        <v>16.337275744961723</v>
      </c>
      <c r="H720" s="184">
        <f t="shared" ca="1" si="107"/>
        <v>2.064725451152821</v>
      </c>
      <c r="I720" s="184">
        <f t="shared" ca="1" si="108"/>
        <v>2.0040081375403741E-2</v>
      </c>
      <c r="J720" s="223">
        <f t="shared" ca="1" si="109"/>
        <v>0</v>
      </c>
      <c r="K720" s="220" t="str" cm="1">
        <f t="array" aca="1" ref="K720" ca="1">_xlfn.IFS(G720&lt;$B$11,"Fail",G720&lt;25,"Marginal",G720&lt;35,"Solid",TRUE,"Blowout")</f>
        <v>Fail</v>
      </c>
      <c r="L720" s="226">
        <f ca="1">IF(AND(E720&lt;$B$10,C720&gt;=$B$11),1,0)</f>
        <v>0</v>
      </c>
      <c r="M720" s="217" t="str" cm="1">
        <f t="array" aca="1" ref="M720" ca="1">_xlfn.IFS(C720&lt;$B$11,"Fail",C720&lt;25,"Marginal",C720&lt;35,"Solid",TRUE,"Blowout")</f>
        <v>Fail</v>
      </c>
    </row>
    <row r="721" spans="1:13" x14ac:dyDescent="0.25">
      <c r="A721" s="169">
        <f t="shared" ref="A721:A784" ca="1" si="110">NORMINV(RAND(), MAX(0, NORMINV(RAND(), $B$6, $B$12)), $B$7/SQRT($B$9))</f>
        <v>24.701623901461488</v>
      </c>
      <c r="B721" s="168">
        <f t="shared" ref="B721:B784" ca="1" si="111">NORMINV(RAND(), $B$8, $B$7/SQRT($B$9))</f>
        <v>6.9509758871455078</v>
      </c>
      <c r="C721" s="168">
        <f t="shared" ref="C721:C784" ca="1" si="112">A721-B721</f>
        <v>17.750648014315981</v>
      </c>
      <c r="D721" s="184">
        <f t="shared" ref="D721:D784" ca="1" si="113">C721/($B$7*SQRT(2/$B$9))</f>
        <v>2.2433492157293182</v>
      </c>
      <c r="E721" s="230">
        <f t="shared" ref="E721:E784" ca="1" si="114">_xlfn.T.DIST.RT(D721, 2*$B$9-2)</f>
        <v>1.2917762611180536E-2</v>
      </c>
      <c r="F721" s="168">
        <f t="shared" ref="F721:F784" ca="1" si="115">NORMINV(RAND(), MAX(0, NORMINV(RAND(), $N$7, $N$8)), $B$7/SQRT($B$9))</f>
        <v>57.507878577671924</v>
      </c>
      <c r="G721" s="168">
        <f t="shared" ref="G721:G784" ca="1" si="116">F721-B721</f>
        <v>50.556902690526414</v>
      </c>
      <c r="H721" s="184">
        <f t="shared" ref="H721:H784" ca="1" si="117">G721/($B$7*SQRT(2/$B$9))</f>
        <v>6.3894449323216094</v>
      </c>
      <c r="I721" s="184">
        <f t="shared" ref="I721:I784" ca="1" si="118">_xlfn.T.DIST.RT(H721, 2*$B$9-2)</f>
        <v>4.6322599744755568E-10</v>
      </c>
      <c r="J721" s="223">
        <f t="shared" ref="J721:J784" ca="1" si="119">IF(AND(I721&lt;$B$10, G721&gt;=$B$11), 1, 0)</f>
        <v>1</v>
      </c>
      <c r="K721" s="220" t="str" cm="1">
        <f t="array" aca="1" ref="K721" ca="1">_xlfn.IFS(G721&lt;$B$11,"Fail",G721&lt;25,"Marginal",G721&lt;35,"Solid",TRUE,"Blowout")</f>
        <v>Blowout</v>
      </c>
      <c r="L721" s="226">
        <f ca="1">IF(AND(E721&lt;$B$10,C721&gt;=$B$11),1,0)</f>
        <v>0</v>
      </c>
      <c r="M721" s="217" t="str" cm="1">
        <f t="array" aca="1" ref="M721" ca="1">_xlfn.IFS(C721&lt;$B$11,"Fail",C721&lt;25,"Marginal",C721&lt;35,"Solid",TRUE,"Blowout")</f>
        <v>Fail</v>
      </c>
    </row>
    <row r="722" spans="1:13" x14ac:dyDescent="0.25">
      <c r="A722" s="169">
        <f t="shared" ca="1" si="110"/>
        <v>23.541991212047272</v>
      </c>
      <c r="B722" s="168">
        <f t="shared" ca="1" si="111"/>
        <v>-0.15388281273157034</v>
      </c>
      <c r="C722" s="168">
        <f t="shared" ca="1" si="112"/>
        <v>23.695874024778842</v>
      </c>
      <c r="D722" s="184">
        <f t="shared" ca="1" si="113"/>
        <v>2.9947143544639081</v>
      </c>
      <c r="E722" s="230">
        <f t="shared" ca="1" si="114"/>
        <v>1.5250811343533348E-3</v>
      </c>
      <c r="F722" s="168">
        <f t="shared" ca="1" si="115"/>
        <v>1.1109884874054021</v>
      </c>
      <c r="G722" s="168">
        <f t="shared" ca="1" si="116"/>
        <v>1.2648713001369725</v>
      </c>
      <c r="H722" s="184">
        <f t="shared" ca="1" si="117"/>
        <v>0.15985602536157015</v>
      </c>
      <c r="I722" s="184">
        <f t="shared" ca="1" si="118"/>
        <v>0.43656800843436677</v>
      </c>
      <c r="J722" s="223">
        <f t="shared" ca="1" si="119"/>
        <v>0</v>
      </c>
      <c r="K722" s="220" t="str" cm="1">
        <f t="array" aca="1" ref="K722" ca="1">_xlfn.IFS(G722&lt;$B$11,"Fail",G722&lt;25,"Marginal",G722&lt;35,"Solid",TRUE,"Blowout")</f>
        <v>Fail</v>
      </c>
      <c r="L722" s="226">
        <f ca="1">IF(AND(E722&lt;$B$10,C722&gt;=$B$11),1,0)</f>
        <v>1</v>
      </c>
      <c r="M722" s="217" t="str" cm="1">
        <f t="array" aca="1" ref="M722" ca="1">_xlfn.IFS(C722&lt;$B$11,"Fail",C722&lt;25,"Marginal",C722&lt;35,"Solid",TRUE,"Blowout")</f>
        <v>Marginal</v>
      </c>
    </row>
    <row r="723" spans="1:13" x14ac:dyDescent="0.25">
      <c r="A723" s="169">
        <f t="shared" ca="1" si="110"/>
        <v>-2.3075518792224763</v>
      </c>
      <c r="B723" s="168">
        <f t="shared" ca="1" si="111"/>
        <v>1.1850817998573833</v>
      </c>
      <c r="C723" s="168">
        <f t="shared" ca="1" si="112"/>
        <v>-3.4926336790798596</v>
      </c>
      <c r="D723" s="184">
        <f t="shared" ca="1" si="113"/>
        <v>-0.44140343600270154</v>
      </c>
      <c r="E723" s="230">
        <f t="shared" ca="1" si="114"/>
        <v>0.67033036661358603</v>
      </c>
      <c r="F723" s="168">
        <f t="shared" ca="1" si="115"/>
        <v>-3.7013224271071348</v>
      </c>
      <c r="G723" s="168">
        <f t="shared" ca="1" si="116"/>
        <v>-4.886404226964518</v>
      </c>
      <c r="H723" s="184">
        <f t="shared" ca="1" si="117"/>
        <v>-0.61754991037264906</v>
      </c>
      <c r="I723" s="184">
        <f t="shared" ca="1" si="118"/>
        <v>0.73125582163183245</v>
      </c>
      <c r="J723" s="223">
        <f t="shared" ca="1" si="119"/>
        <v>0</v>
      </c>
      <c r="K723" s="220" t="str" cm="1">
        <f t="array" aca="1" ref="K723" ca="1">_xlfn.IFS(G723&lt;$B$11,"Fail",G723&lt;25,"Marginal",G723&lt;35,"Solid",TRUE,"Blowout")</f>
        <v>Fail</v>
      </c>
      <c r="L723" s="226">
        <f ca="1">IF(AND(E723&lt;$B$10,C723&gt;=$B$11),1,0)</f>
        <v>0</v>
      </c>
      <c r="M723" s="217" t="str" cm="1">
        <f t="array" aca="1" ref="M723" ca="1">_xlfn.IFS(C723&lt;$B$11,"Fail",C723&lt;25,"Marginal",C723&lt;35,"Solid",TRUE,"Blowout")</f>
        <v>Fail</v>
      </c>
    </row>
    <row r="724" spans="1:13" x14ac:dyDescent="0.25">
      <c r="A724" s="169">
        <f t="shared" ca="1" si="110"/>
        <v>24.605719441630189</v>
      </c>
      <c r="B724" s="168">
        <f t="shared" ca="1" si="111"/>
        <v>12.969847045540988</v>
      </c>
      <c r="C724" s="168">
        <f t="shared" ca="1" si="112"/>
        <v>11.635872396089201</v>
      </c>
      <c r="D724" s="184">
        <f t="shared" ca="1" si="113"/>
        <v>1.4705561843737016</v>
      </c>
      <c r="E724" s="230">
        <f t="shared" ca="1" si="114"/>
        <v>7.1394933476886108E-2</v>
      </c>
      <c r="F724" s="168">
        <f t="shared" ca="1" si="115"/>
        <v>40.412487873435204</v>
      </c>
      <c r="G724" s="168">
        <f t="shared" ca="1" si="116"/>
        <v>27.442640827894216</v>
      </c>
      <c r="H724" s="184">
        <f t="shared" ca="1" si="117"/>
        <v>3.4682354542294265</v>
      </c>
      <c r="I724" s="184">
        <f t="shared" ca="1" si="118"/>
        <v>3.1308450450628098E-4</v>
      </c>
      <c r="J724" s="223">
        <f t="shared" ca="1" si="119"/>
        <v>1</v>
      </c>
      <c r="K724" s="220" t="str" cm="1">
        <f t="array" aca="1" ref="K724" ca="1">_xlfn.IFS(G724&lt;$B$11,"Fail",G724&lt;25,"Marginal",G724&lt;35,"Solid",TRUE,"Blowout")</f>
        <v>Solid</v>
      </c>
      <c r="L724" s="226">
        <f ca="1">IF(AND(E724&lt;$B$10,C724&gt;=$B$11),1,0)</f>
        <v>0</v>
      </c>
      <c r="M724" s="217" t="str" cm="1">
        <f t="array" aca="1" ref="M724" ca="1">_xlfn.IFS(C724&lt;$B$11,"Fail",C724&lt;25,"Marginal",C724&lt;35,"Solid",TRUE,"Blowout")</f>
        <v>Fail</v>
      </c>
    </row>
    <row r="725" spans="1:13" x14ac:dyDescent="0.25">
      <c r="A725" s="169">
        <f t="shared" ca="1" si="110"/>
        <v>34.029479020989825</v>
      </c>
      <c r="B725" s="168">
        <f t="shared" ca="1" si="111"/>
        <v>8.0633697636011767</v>
      </c>
      <c r="C725" s="168">
        <f t="shared" ca="1" si="112"/>
        <v>25.966109257388649</v>
      </c>
      <c r="D725" s="184">
        <f t="shared" ca="1" si="113"/>
        <v>3.2816295377568676</v>
      </c>
      <c r="E725" s="230">
        <f t="shared" ca="1" si="114"/>
        <v>5.9702185977027872E-4</v>
      </c>
      <c r="F725" s="168">
        <f t="shared" ca="1" si="115"/>
        <v>46.637766859459155</v>
      </c>
      <c r="G725" s="168">
        <f t="shared" ca="1" si="116"/>
        <v>38.574397095857975</v>
      </c>
      <c r="H725" s="184">
        <f t="shared" ca="1" si="117"/>
        <v>4.875080808454582</v>
      </c>
      <c r="I725" s="184">
        <f t="shared" ca="1" si="118"/>
        <v>1.0192159442201976E-6</v>
      </c>
      <c r="J725" s="223">
        <f t="shared" ca="1" si="119"/>
        <v>1</v>
      </c>
      <c r="K725" s="220" t="str" cm="1">
        <f t="array" aca="1" ref="K725" ca="1">_xlfn.IFS(G725&lt;$B$11,"Fail",G725&lt;25,"Marginal",G725&lt;35,"Solid",TRUE,"Blowout")</f>
        <v>Blowout</v>
      </c>
      <c r="L725" s="226">
        <f ca="1">IF(AND(E725&lt;$B$10,C725&gt;=$B$11),1,0)</f>
        <v>1</v>
      </c>
      <c r="M725" s="217" t="str" cm="1">
        <f t="array" aca="1" ref="M725" ca="1">_xlfn.IFS(C725&lt;$B$11,"Fail",C725&lt;25,"Marginal",C725&lt;35,"Solid",TRUE,"Blowout")</f>
        <v>Solid</v>
      </c>
    </row>
    <row r="726" spans="1:13" x14ac:dyDescent="0.25">
      <c r="A726" s="169">
        <f t="shared" ca="1" si="110"/>
        <v>73.52966042894775</v>
      </c>
      <c r="B726" s="168">
        <f t="shared" ca="1" si="111"/>
        <v>-4.5725429378692048</v>
      </c>
      <c r="C726" s="168">
        <f t="shared" ca="1" si="112"/>
        <v>78.102203366816951</v>
      </c>
      <c r="D726" s="184">
        <f t="shared" ca="1" si="113"/>
        <v>9.8706546672759448</v>
      </c>
      <c r="E726" s="230">
        <f t="shared" ca="1" si="114"/>
        <v>1.1573670078373593E-19</v>
      </c>
      <c r="F726" s="168">
        <f t="shared" ca="1" si="115"/>
        <v>32.778923999109409</v>
      </c>
      <c r="G726" s="168">
        <f t="shared" ca="1" si="116"/>
        <v>37.351466936978611</v>
      </c>
      <c r="H726" s="184">
        <f t="shared" ca="1" si="117"/>
        <v>4.720525357261975</v>
      </c>
      <c r="I726" s="184">
        <f t="shared" ca="1" si="118"/>
        <v>2.0533877322330133E-6</v>
      </c>
      <c r="J726" s="223">
        <f t="shared" ca="1" si="119"/>
        <v>1</v>
      </c>
      <c r="K726" s="220" t="str" cm="1">
        <f t="array" aca="1" ref="K726" ca="1">_xlfn.IFS(G726&lt;$B$11,"Fail",G726&lt;25,"Marginal",G726&lt;35,"Solid",TRUE,"Blowout")</f>
        <v>Blowout</v>
      </c>
      <c r="L726" s="226">
        <f ca="1">IF(AND(E726&lt;$B$10,C726&gt;=$B$11),1,0)</f>
        <v>1</v>
      </c>
      <c r="M726" s="217" t="str" cm="1">
        <f t="array" aca="1" ref="M726" ca="1">_xlfn.IFS(C726&lt;$B$11,"Fail",C726&lt;25,"Marginal",C726&lt;35,"Solid",TRUE,"Blowout")</f>
        <v>Blowout</v>
      </c>
    </row>
    <row r="727" spans="1:13" x14ac:dyDescent="0.25">
      <c r="A727" s="169">
        <f t="shared" ca="1" si="110"/>
        <v>30.787522255968948</v>
      </c>
      <c r="B727" s="168">
        <f t="shared" ca="1" si="111"/>
        <v>0.1521324439600793</v>
      </c>
      <c r="C727" s="168">
        <f t="shared" ca="1" si="112"/>
        <v>30.635389812008867</v>
      </c>
      <c r="D727" s="184">
        <f t="shared" ca="1" si="113"/>
        <v>3.8717390854071518</v>
      </c>
      <c r="E727" s="230">
        <f t="shared" ca="1" si="114"/>
        <v>7.0582694544384214E-5</v>
      </c>
      <c r="F727" s="168">
        <f t="shared" ca="1" si="115"/>
        <v>16.726255454046793</v>
      </c>
      <c r="G727" s="168">
        <f t="shared" ca="1" si="116"/>
        <v>16.574123010086716</v>
      </c>
      <c r="H727" s="184">
        <f t="shared" ca="1" si="117"/>
        <v>2.0946585063312724</v>
      </c>
      <c r="I727" s="184">
        <f t="shared" ca="1" si="118"/>
        <v>1.8652794019103455E-2</v>
      </c>
      <c r="J727" s="223">
        <f t="shared" ca="1" si="119"/>
        <v>0</v>
      </c>
      <c r="K727" s="220" t="str" cm="1">
        <f t="array" aca="1" ref="K727" ca="1">_xlfn.IFS(G727&lt;$B$11,"Fail",G727&lt;25,"Marginal",G727&lt;35,"Solid",TRUE,"Blowout")</f>
        <v>Fail</v>
      </c>
      <c r="L727" s="226">
        <f ca="1">IF(AND(E727&lt;$B$10,C727&gt;=$B$11),1,0)</f>
        <v>1</v>
      </c>
      <c r="M727" s="217" t="str" cm="1">
        <f t="array" aca="1" ref="M727" ca="1">_xlfn.IFS(C727&lt;$B$11,"Fail",C727&lt;25,"Marginal",C727&lt;35,"Solid",TRUE,"Blowout")</f>
        <v>Solid</v>
      </c>
    </row>
    <row r="728" spans="1:13" x14ac:dyDescent="0.25">
      <c r="A728" s="169">
        <f t="shared" ca="1" si="110"/>
        <v>42.948064989780988</v>
      </c>
      <c r="B728" s="168">
        <f t="shared" ca="1" si="111"/>
        <v>11.357301757921551</v>
      </c>
      <c r="C728" s="168">
        <f t="shared" ca="1" si="112"/>
        <v>31.590763231859437</v>
      </c>
      <c r="D728" s="184">
        <f t="shared" ca="1" si="113"/>
        <v>3.9924803794952259</v>
      </c>
      <c r="E728" s="230">
        <f t="shared" ca="1" si="114"/>
        <v>4.4100842176422534E-5</v>
      </c>
      <c r="F728" s="168">
        <f t="shared" ca="1" si="115"/>
        <v>4.3256182636250315</v>
      </c>
      <c r="G728" s="168">
        <f t="shared" ca="1" si="116"/>
        <v>-7.0316834942965194</v>
      </c>
      <c r="H728" s="184">
        <f t="shared" ca="1" si="117"/>
        <v>-0.88867300165406138</v>
      </c>
      <c r="I728" s="184">
        <f t="shared" ca="1" si="118"/>
        <v>0.81244228166227472</v>
      </c>
      <c r="J728" s="223">
        <f t="shared" ca="1" si="119"/>
        <v>0</v>
      </c>
      <c r="K728" s="220" t="str" cm="1">
        <f t="array" aca="1" ref="K728" ca="1">_xlfn.IFS(G728&lt;$B$11,"Fail",G728&lt;25,"Marginal",G728&lt;35,"Solid",TRUE,"Blowout")</f>
        <v>Fail</v>
      </c>
      <c r="L728" s="226">
        <f ca="1">IF(AND(E728&lt;$B$10,C728&gt;=$B$11),1,0)</f>
        <v>1</v>
      </c>
      <c r="M728" s="217" t="str" cm="1">
        <f t="array" aca="1" ref="M728" ca="1">_xlfn.IFS(C728&lt;$B$11,"Fail",C728&lt;25,"Marginal",C728&lt;35,"Solid",TRUE,"Blowout")</f>
        <v>Solid</v>
      </c>
    </row>
    <row r="729" spans="1:13" x14ac:dyDescent="0.25">
      <c r="A729" s="169">
        <f t="shared" ca="1" si="110"/>
        <v>45.899016213744133</v>
      </c>
      <c r="B729" s="168">
        <f t="shared" ca="1" si="111"/>
        <v>15.112994305631865</v>
      </c>
      <c r="C729" s="168">
        <f t="shared" ca="1" si="112"/>
        <v>30.786021908112268</v>
      </c>
      <c r="D729" s="184">
        <f t="shared" ca="1" si="113"/>
        <v>3.8907761591176269</v>
      </c>
      <c r="E729" s="230">
        <f t="shared" ca="1" si="114"/>
        <v>6.5586836627083779E-5</v>
      </c>
      <c r="F729" s="168">
        <f t="shared" ca="1" si="115"/>
        <v>50.044645056393975</v>
      </c>
      <c r="G729" s="168">
        <f t="shared" ca="1" si="116"/>
        <v>34.93165075076211</v>
      </c>
      <c r="H729" s="184">
        <f t="shared" ca="1" si="117"/>
        <v>4.4147059449689818</v>
      </c>
      <c r="I729" s="184">
        <f t="shared" ca="1" si="118"/>
        <v>7.8089570043552418E-6</v>
      </c>
      <c r="J729" s="223">
        <f t="shared" ca="1" si="119"/>
        <v>1</v>
      </c>
      <c r="K729" s="220" t="str" cm="1">
        <f t="array" aca="1" ref="K729" ca="1">_xlfn.IFS(G729&lt;$B$11,"Fail",G729&lt;25,"Marginal",G729&lt;35,"Solid",TRUE,"Blowout")</f>
        <v>Solid</v>
      </c>
      <c r="L729" s="226">
        <f ca="1">IF(AND(E729&lt;$B$10,C729&gt;=$B$11),1,0)</f>
        <v>1</v>
      </c>
      <c r="M729" s="217" t="str" cm="1">
        <f t="array" aca="1" ref="M729" ca="1">_xlfn.IFS(C729&lt;$B$11,"Fail",C729&lt;25,"Marginal",C729&lt;35,"Solid",TRUE,"Blowout")</f>
        <v>Solid</v>
      </c>
    </row>
    <row r="730" spans="1:13" x14ac:dyDescent="0.25">
      <c r="A730" s="169">
        <f t="shared" ca="1" si="110"/>
        <v>10.9625761196627</v>
      </c>
      <c r="B730" s="168">
        <f t="shared" ca="1" si="111"/>
        <v>6.8917190128798644</v>
      </c>
      <c r="C730" s="168">
        <f t="shared" ca="1" si="112"/>
        <v>4.0708571067828352</v>
      </c>
      <c r="D730" s="184">
        <f t="shared" ca="1" si="113"/>
        <v>0.51448003985443846</v>
      </c>
      <c r="E730" s="230">
        <f t="shared" ca="1" si="114"/>
        <v>0.30370737347971283</v>
      </c>
      <c r="F730" s="168">
        <f t="shared" ca="1" si="115"/>
        <v>34.499910866166452</v>
      </c>
      <c r="G730" s="168">
        <f t="shared" ca="1" si="116"/>
        <v>27.608191853286588</v>
      </c>
      <c r="H730" s="184">
        <f t="shared" ca="1" si="117"/>
        <v>3.4891580009825161</v>
      </c>
      <c r="I730" s="184">
        <f t="shared" ca="1" si="118"/>
        <v>2.9072352483499111E-4</v>
      </c>
      <c r="J730" s="223">
        <f t="shared" ca="1" si="119"/>
        <v>1</v>
      </c>
      <c r="K730" s="220" t="str" cm="1">
        <f t="array" aca="1" ref="K730" ca="1">_xlfn.IFS(G730&lt;$B$11,"Fail",G730&lt;25,"Marginal",G730&lt;35,"Solid",TRUE,"Blowout")</f>
        <v>Solid</v>
      </c>
      <c r="L730" s="226">
        <f ca="1">IF(AND(E730&lt;$B$10,C730&gt;=$B$11),1,0)</f>
        <v>0</v>
      </c>
      <c r="M730" s="217" t="str" cm="1">
        <f t="array" aca="1" ref="M730" ca="1">_xlfn.IFS(C730&lt;$B$11,"Fail",C730&lt;25,"Marginal",C730&lt;35,"Solid",TRUE,"Blowout")</f>
        <v>Fail</v>
      </c>
    </row>
    <row r="731" spans="1:13" x14ac:dyDescent="0.25">
      <c r="A731" s="169">
        <f t="shared" ca="1" si="110"/>
        <v>55.010920964930015</v>
      </c>
      <c r="B731" s="168">
        <f t="shared" ca="1" si="111"/>
        <v>9.551920651284707</v>
      </c>
      <c r="C731" s="168">
        <f t="shared" ca="1" si="112"/>
        <v>45.459000313645305</v>
      </c>
      <c r="D731" s="184">
        <f t="shared" ca="1" si="113"/>
        <v>5.7451656198245455</v>
      </c>
      <c r="E731" s="230">
        <f t="shared" ca="1" si="114"/>
        <v>1.4606257308017813E-8</v>
      </c>
      <c r="F731" s="168">
        <f t="shared" ca="1" si="115"/>
        <v>18.855794276941023</v>
      </c>
      <c r="G731" s="168">
        <f t="shared" ca="1" si="116"/>
        <v>9.3038736256563155</v>
      </c>
      <c r="H731" s="184">
        <f t="shared" ca="1" si="117"/>
        <v>1.1758352475091358</v>
      </c>
      <c r="I731" s="184">
        <f t="shared" ca="1" si="118"/>
        <v>0.12044351817466256</v>
      </c>
      <c r="J731" s="223">
        <f t="shared" ca="1" si="119"/>
        <v>0</v>
      </c>
      <c r="K731" s="220" t="str" cm="1">
        <f t="array" aca="1" ref="K731" ca="1">_xlfn.IFS(G731&lt;$B$11,"Fail",G731&lt;25,"Marginal",G731&lt;35,"Solid",TRUE,"Blowout")</f>
        <v>Fail</v>
      </c>
      <c r="L731" s="226">
        <f ca="1">IF(AND(E731&lt;$B$10,C731&gt;=$B$11),1,0)</f>
        <v>1</v>
      </c>
      <c r="M731" s="217" t="str" cm="1">
        <f t="array" aca="1" ref="M731" ca="1">_xlfn.IFS(C731&lt;$B$11,"Fail",C731&lt;25,"Marginal",C731&lt;35,"Solid",TRUE,"Blowout")</f>
        <v>Blowout</v>
      </c>
    </row>
    <row r="732" spans="1:13" x14ac:dyDescent="0.25">
      <c r="A732" s="169">
        <f t="shared" ca="1" si="110"/>
        <v>27.209067702041175</v>
      </c>
      <c r="B732" s="168">
        <f t="shared" ca="1" si="111"/>
        <v>5.0261372650770388</v>
      </c>
      <c r="C732" s="168">
        <f t="shared" ca="1" si="112"/>
        <v>22.182930436964135</v>
      </c>
      <c r="D732" s="184">
        <f t="shared" ca="1" si="113"/>
        <v>2.8035066414593182</v>
      </c>
      <c r="E732" s="230">
        <f t="shared" ca="1" si="114"/>
        <v>2.7452768986906749E-3</v>
      </c>
      <c r="F732" s="168">
        <f t="shared" ca="1" si="115"/>
        <v>33.990052323920409</v>
      </c>
      <c r="G732" s="168">
        <f t="shared" ca="1" si="116"/>
        <v>28.963915058843369</v>
      </c>
      <c r="H732" s="184">
        <f t="shared" ca="1" si="117"/>
        <v>3.6604960043883055</v>
      </c>
      <c r="I732" s="184">
        <f t="shared" ca="1" si="118"/>
        <v>1.5642112546721925E-4</v>
      </c>
      <c r="J732" s="223">
        <f t="shared" ca="1" si="119"/>
        <v>1</v>
      </c>
      <c r="K732" s="220" t="str" cm="1">
        <f t="array" aca="1" ref="K732" ca="1">_xlfn.IFS(G732&lt;$B$11,"Fail",G732&lt;25,"Marginal",G732&lt;35,"Solid",TRUE,"Blowout")</f>
        <v>Solid</v>
      </c>
      <c r="L732" s="226">
        <f ca="1">IF(AND(E732&lt;$B$10,C732&gt;=$B$11),1,0)</f>
        <v>1</v>
      </c>
      <c r="M732" s="217" t="str" cm="1">
        <f t="array" aca="1" ref="M732" ca="1">_xlfn.IFS(C732&lt;$B$11,"Fail",C732&lt;25,"Marginal",C732&lt;35,"Solid",TRUE,"Blowout")</f>
        <v>Marginal</v>
      </c>
    </row>
    <row r="733" spans="1:13" x14ac:dyDescent="0.25">
      <c r="A733" s="169">
        <f t="shared" ca="1" si="110"/>
        <v>44.883663888900436</v>
      </c>
      <c r="B733" s="168">
        <f t="shared" ca="1" si="111"/>
        <v>12.83590725991084</v>
      </c>
      <c r="C733" s="168">
        <f t="shared" ca="1" si="112"/>
        <v>32.047756628989596</v>
      </c>
      <c r="D733" s="184">
        <f t="shared" ca="1" si="113"/>
        <v>4.0502357796484256</v>
      </c>
      <c r="E733" s="230">
        <f t="shared" ca="1" si="114"/>
        <v>3.5078115541333098E-5</v>
      </c>
      <c r="F733" s="168">
        <f t="shared" ca="1" si="115"/>
        <v>25.870680187746117</v>
      </c>
      <c r="G733" s="168">
        <f t="shared" ca="1" si="116"/>
        <v>13.034772927835277</v>
      </c>
      <c r="H733" s="184">
        <f t="shared" ca="1" si="117"/>
        <v>1.6473509925545011</v>
      </c>
      <c r="I733" s="184">
        <f t="shared" ca="1" si="118"/>
        <v>5.043169467703533E-2</v>
      </c>
      <c r="J733" s="223">
        <f t="shared" ca="1" si="119"/>
        <v>0</v>
      </c>
      <c r="K733" s="220" t="str" cm="1">
        <f t="array" aca="1" ref="K733" ca="1">_xlfn.IFS(G733&lt;$B$11,"Fail",G733&lt;25,"Marginal",G733&lt;35,"Solid",TRUE,"Blowout")</f>
        <v>Fail</v>
      </c>
      <c r="L733" s="226">
        <f ca="1">IF(AND(E733&lt;$B$10,C733&gt;=$B$11),1,0)</f>
        <v>1</v>
      </c>
      <c r="M733" s="217" t="str" cm="1">
        <f t="array" aca="1" ref="M733" ca="1">_xlfn.IFS(C733&lt;$B$11,"Fail",C733&lt;25,"Marginal",C733&lt;35,"Solid",TRUE,"Blowout")</f>
        <v>Solid</v>
      </c>
    </row>
    <row r="734" spans="1:13" x14ac:dyDescent="0.25">
      <c r="A734" s="169">
        <f t="shared" ca="1" si="110"/>
        <v>58.173535610468065</v>
      </c>
      <c r="B734" s="168">
        <f t="shared" ca="1" si="111"/>
        <v>3.1481224222683899</v>
      </c>
      <c r="C734" s="168">
        <f t="shared" ca="1" si="112"/>
        <v>55.025413188199678</v>
      </c>
      <c r="D734" s="184">
        <f t="shared" ca="1" si="113"/>
        <v>6.9541809077264958</v>
      </c>
      <c r="E734" s="230">
        <f t="shared" ca="1" si="114"/>
        <v>1.852493803971324E-11</v>
      </c>
      <c r="F734" s="168">
        <f t="shared" ca="1" si="115"/>
        <v>18.242641711366051</v>
      </c>
      <c r="G734" s="168">
        <f t="shared" ca="1" si="116"/>
        <v>15.094519289097661</v>
      </c>
      <c r="H734" s="184">
        <f t="shared" ca="1" si="117"/>
        <v>1.9076643276176857</v>
      </c>
      <c r="I734" s="184">
        <f t="shared" ca="1" si="118"/>
        <v>2.8845560207776746E-2</v>
      </c>
      <c r="J734" s="223">
        <f t="shared" ca="1" si="119"/>
        <v>0</v>
      </c>
      <c r="K734" s="220" t="str" cm="1">
        <f t="array" aca="1" ref="K734" ca="1">_xlfn.IFS(G734&lt;$B$11,"Fail",G734&lt;25,"Marginal",G734&lt;35,"Solid",TRUE,"Blowout")</f>
        <v>Fail</v>
      </c>
      <c r="L734" s="226">
        <f ca="1">IF(AND(E734&lt;$B$10,C734&gt;=$B$11),1,0)</f>
        <v>1</v>
      </c>
      <c r="M734" s="217" t="str" cm="1">
        <f t="array" aca="1" ref="M734" ca="1">_xlfn.IFS(C734&lt;$B$11,"Fail",C734&lt;25,"Marginal",C734&lt;35,"Solid",TRUE,"Blowout")</f>
        <v>Blowout</v>
      </c>
    </row>
    <row r="735" spans="1:13" x14ac:dyDescent="0.25">
      <c r="A735" s="169">
        <f t="shared" ca="1" si="110"/>
        <v>7.8013070617921381</v>
      </c>
      <c r="B735" s="168">
        <f t="shared" ca="1" si="111"/>
        <v>12.221739331364605</v>
      </c>
      <c r="C735" s="168">
        <f t="shared" ca="1" si="112"/>
        <v>-4.4204322695724665</v>
      </c>
      <c r="D735" s="184">
        <f t="shared" ca="1" si="113"/>
        <v>-0.55865978848390208</v>
      </c>
      <c r="E735" s="230">
        <f t="shared" ca="1" si="114"/>
        <v>0.71152891333135071</v>
      </c>
      <c r="F735" s="168">
        <f t="shared" ca="1" si="115"/>
        <v>6.041067031228434</v>
      </c>
      <c r="G735" s="168">
        <f t="shared" ca="1" si="116"/>
        <v>-6.1806723001361705</v>
      </c>
      <c r="H735" s="184">
        <f t="shared" ca="1" si="117"/>
        <v>-0.78112113687386975</v>
      </c>
      <c r="I735" s="184">
        <f t="shared" ca="1" si="118"/>
        <v>0.78222922643860726</v>
      </c>
      <c r="J735" s="223">
        <f t="shared" ca="1" si="119"/>
        <v>0</v>
      </c>
      <c r="K735" s="220" t="str" cm="1">
        <f t="array" aca="1" ref="K735" ca="1">_xlfn.IFS(G735&lt;$B$11,"Fail",G735&lt;25,"Marginal",G735&lt;35,"Solid",TRUE,"Blowout")</f>
        <v>Fail</v>
      </c>
      <c r="L735" s="226">
        <f ca="1">IF(AND(E735&lt;$B$10,C735&gt;=$B$11),1,0)</f>
        <v>0</v>
      </c>
      <c r="M735" s="217" t="str" cm="1">
        <f t="array" aca="1" ref="M735" ca="1">_xlfn.IFS(C735&lt;$B$11,"Fail",C735&lt;25,"Marginal",C735&lt;35,"Solid",TRUE,"Blowout")</f>
        <v>Fail</v>
      </c>
    </row>
    <row r="736" spans="1:13" x14ac:dyDescent="0.25">
      <c r="A736" s="169">
        <f t="shared" ca="1" si="110"/>
        <v>52.698744714290285</v>
      </c>
      <c r="B736" s="168">
        <f t="shared" ca="1" si="111"/>
        <v>8.8221140650376402</v>
      </c>
      <c r="C736" s="168">
        <f t="shared" ca="1" si="112"/>
        <v>43.876630649252647</v>
      </c>
      <c r="D736" s="184">
        <f t="shared" ca="1" si="113"/>
        <v>5.5451837519656264</v>
      </c>
      <c r="E736" s="230">
        <f t="shared" ca="1" si="114"/>
        <v>4.0490492938519016E-8</v>
      </c>
      <c r="F736" s="168">
        <f t="shared" ca="1" si="115"/>
        <v>52.775708428429525</v>
      </c>
      <c r="G736" s="168">
        <f t="shared" ca="1" si="116"/>
        <v>43.953594363391886</v>
      </c>
      <c r="H736" s="184">
        <f t="shared" ca="1" si="117"/>
        <v>5.5549105229327838</v>
      </c>
      <c r="I736" s="184">
        <f t="shared" ca="1" si="118"/>
        <v>3.8554103795099007E-8</v>
      </c>
      <c r="J736" s="223">
        <f t="shared" ca="1" si="119"/>
        <v>1</v>
      </c>
      <c r="K736" s="220" t="str" cm="1">
        <f t="array" aca="1" ref="K736" ca="1">_xlfn.IFS(G736&lt;$B$11,"Fail",G736&lt;25,"Marginal",G736&lt;35,"Solid",TRUE,"Blowout")</f>
        <v>Blowout</v>
      </c>
      <c r="L736" s="226">
        <f ca="1">IF(AND(E736&lt;$B$10,C736&gt;=$B$11),1,0)</f>
        <v>1</v>
      </c>
      <c r="M736" s="217" t="str" cm="1">
        <f t="array" aca="1" ref="M736" ca="1">_xlfn.IFS(C736&lt;$B$11,"Fail",C736&lt;25,"Marginal",C736&lt;35,"Solid",TRUE,"Blowout")</f>
        <v>Blowout</v>
      </c>
    </row>
    <row r="737" spans="1:13" x14ac:dyDescent="0.25">
      <c r="A737" s="169">
        <f t="shared" ca="1" si="110"/>
        <v>20.844843684830874</v>
      </c>
      <c r="B737" s="168">
        <f t="shared" ca="1" si="111"/>
        <v>3.0648913451996411</v>
      </c>
      <c r="C737" s="168">
        <f t="shared" ca="1" si="112"/>
        <v>17.779952339631233</v>
      </c>
      <c r="D737" s="184">
        <f t="shared" ca="1" si="113"/>
        <v>2.2470527332099435</v>
      </c>
      <c r="E737" s="230">
        <f t="shared" ca="1" si="114"/>
        <v>1.2797091773408088E-2</v>
      </c>
      <c r="F737" s="168">
        <f t="shared" ca="1" si="115"/>
        <v>29.922850991032213</v>
      </c>
      <c r="G737" s="168">
        <f t="shared" ca="1" si="116"/>
        <v>26.857959645832572</v>
      </c>
      <c r="H737" s="184">
        <f t="shared" ca="1" si="117"/>
        <v>3.3943427112618552</v>
      </c>
      <c r="I737" s="184">
        <f t="shared" ca="1" si="118"/>
        <v>4.0561071428940111E-4</v>
      </c>
      <c r="J737" s="223">
        <f t="shared" ca="1" si="119"/>
        <v>1</v>
      </c>
      <c r="K737" s="220" t="str" cm="1">
        <f t="array" aca="1" ref="K737" ca="1">_xlfn.IFS(G737&lt;$B$11,"Fail",G737&lt;25,"Marginal",G737&lt;35,"Solid",TRUE,"Blowout")</f>
        <v>Solid</v>
      </c>
      <c r="L737" s="226">
        <f ca="1">IF(AND(E737&lt;$B$10,C737&gt;=$B$11),1,0)</f>
        <v>0</v>
      </c>
      <c r="M737" s="217" t="str" cm="1">
        <f t="array" aca="1" ref="M737" ca="1">_xlfn.IFS(C737&lt;$B$11,"Fail",C737&lt;25,"Marginal",C737&lt;35,"Solid",TRUE,"Blowout")</f>
        <v>Fail</v>
      </c>
    </row>
    <row r="738" spans="1:13" x14ac:dyDescent="0.25">
      <c r="A738" s="169">
        <f t="shared" ca="1" si="110"/>
        <v>16.84050413565803</v>
      </c>
      <c r="B738" s="168">
        <f t="shared" ca="1" si="111"/>
        <v>-5.8027215314393388</v>
      </c>
      <c r="C738" s="168">
        <f t="shared" ca="1" si="112"/>
        <v>22.643225667097369</v>
      </c>
      <c r="D738" s="184">
        <f t="shared" ca="1" si="113"/>
        <v>2.861679331419174</v>
      </c>
      <c r="E738" s="230">
        <f t="shared" ca="1" si="114"/>
        <v>2.3029872060081249E-3</v>
      </c>
      <c r="F738" s="168">
        <f t="shared" ca="1" si="115"/>
        <v>68.482465253913588</v>
      </c>
      <c r="G738" s="168">
        <f t="shared" ca="1" si="116"/>
        <v>74.28518678535292</v>
      </c>
      <c r="H738" s="184">
        <f t="shared" ca="1" si="117"/>
        <v>9.3882553121905907</v>
      </c>
      <c r="I738" s="184">
        <f t="shared" ca="1" si="118"/>
        <v>3.2545011886878963E-18</v>
      </c>
      <c r="J738" s="223">
        <f t="shared" ca="1" si="119"/>
        <v>1</v>
      </c>
      <c r="K738" s="220" t="str" cm="1">
        <f t="array" aca="1" ref="K738" ca="1">_xlfn.IFS(G738&lt;$B$11,"Fail",G738&lt;25,"Marginal",G738&lt;35,"Solid",TRUE,"Blowout")</f>
        <v>Blowout</v>
      </c>
      <c r="L738" s="226">
        <f ca="1">IF(AND(E738&lt;$B$10,C738&gt;=$B$11),1,0)</f>
        <v>1</v>
      </c>
      <c r="M738" s="217" t="str" cm="1">
        <f t="array" aca="1" ref="M738" ca="1">_xlfn.IFS(C738&lt;$B$11,"Fail",C738&lt;25,"Marginal",C738&lt;35,"Solid",TRUE,"Blowout")</f>
        <v>Marginal</v>
      </c>
    </row>
    <row r="739" spans="1:13" x14ac:dyDescent="0.25">
      <c r="A739" s="169">
        <f t="shared" ca="1" si="110"/>
        <v>14.944620145356911</v>
      </c>
      <c r="B739" s="168">
        <f t="shared" ca="1" si="111"/>
        <v>10.265148414486209</v>
      </c>
      <c r="C739" s="168">
        <f t="shared" ca="1" si="112"/>
        <v>4.6794717308707021</v>
      </c>
      <c r="D739" s="184">
        <f t="shared" ca="1" si="113"/>
        <v>0.5913975213192143</v>
      </c>
      <c r="E739" s="230">
        <f t="shared" ca="1" si="114"/>
        <v>0.2774199898105455</v>
      </c>
      <c r="F739" s="168">
        <f t="shared" ca="1" si="115"/>
        <v>44.419235923483001</v>
      </c>
      <c r="G739" s="168">
        <f t="shared" ca="1" si="116"/>
        <v>34.154087508996795</v>
      </c>
      <c r="H739" s="184">
        <f t="shared" ca="1" si="117"/>
        <v>4.3164365247659937</v>
      </c>
      <c r="I739" s="184">
        <f t="shared" ca="1" si="118"/>
        <v>1.1823100219221356E-5</v>
      </c>
      <c r="J739" s="223">
        <f t="shared" ca="1" si="119"/>
        <v>1</v>
      </c>
      <c r="K739" s="220" t="str" cm="1">
        <f t="array" aca="1" ref="K739" ca="1">_xlfn.IFS(G739&lt;$B$11,"Fail",G739&lt;25,"Marginal",G739&lt;35,"Solid",TRUE,"Blowout")</f>
        <v>Solid</v>
      </c>
      <c r="L739" s="226">
        <f ca="1">IF(AND(E739&lt;$B$10,C739&gt;=$B$11),1,0)</f>
        <v>0</v>
      </c>
      <c r="M739" s="217" t="str" cm="1">
        <f t="array" aca="1" ref="M739" ca="1">_xlfn.IFS(C739&lt;$B$11,"Fail",C739&lt;25,"Marginal",C739&lt;35,"Solid",TRUE,"Blowout")</f>
        <v>Fail</v>
      </c>
    </row>
    <row r="740" spans="1:13" x14ac:dyDescent="0.25">
      <c r="A740" s="169">
        <f t="shared" ca="1" si="110"/>
        <v>11.358814736342005</v>
      </c>
      <c r="B740" s="168">
        <f t="shared" ca="1" si="111"/>
        <v>15.274297252995035</v>
      </c>
      <c r="C740" s="168">
        <f t="shared" ca="1" si="112"/>
        <v>-3.9154825166530305</v>
      </c>
      <c r="D740" s="184">
        <f t="shared" ca="1" si="113"/>
        <v>-0.49484360378569059</v>
      </c>
      <c r="E740" s="230">
        <f t="shared" ca="1" si="114"/>
        <v>0.68940648493483769</v>
      </c>
      <c r="F740" s="168">
        <f t="shared" ca="1" si="115"/>
        <v>50.57462368570387</v>
      </c>
      <c r="G740" s="168">
        <f t="shared" ca="1" si="116"/>
        <v>35.300326432708836</v>
      </c>
      <c r="H740" s="184">
        <f t="shared" ca="1" si="117"/>
        <v>4.4612996412265291</v>
      </c>
      <c r="I740" s="184">
        <f t="shared" ca="1" si="118"/>
        <v>6.3989112808556973E-6</v>
      </c>
      <c r="J740" s="223">
        <f t="shared" ca="1" si="119"/>
        <v>1</v>
      </c>
      <c r="K740" s="220" t="str" cm="1">
        <f t="array" aca="1" ref="K740" ca="1">_xlfn.IFS(G740&lt;$B$11,"Fail",G740&lt;25,"Marginal",G740&lt;35,"Solid",TRUE,"Blowout")</f>
        <v>Blowout</v>
      </c>
      <c r="L740" s="226">
        <f ca="1">IF(AND(E740&lt;$B$10,C740&gt;=$B$11),1,0)</f>
        <v>0</v>
      </c>
      <c r="M740" s="217" t="str" cm="1">
        <f t="array" aca="1" ref="M740" ca="1">_xlfn.IFS(C740&lt;$B$11,"Fail",C740&lt;25,"Marginal",C740&lt;35,"Solid",TRUE,"Blowout")</f>
        <v>Fail</v>
      </c>
    </row>
    <row r="741" spans="1:13" x14ac:dyDescent="0.25">
      <c r="A741" s="169">
        <f t="shared" ca="1" si="110"/>
        <v>59.060692586842094</v>
      </c>
      <c r="B741" s="168">
        <f t="shared" ca="1" si="111"/>
        <v>4.8160190534797396</v>
      </c>
      <c r="C741" s="168">
        <f t="shared" ca="1" si="112"/>
        <v>54.244673533362352</v>
      </c>
      <c r="D741" s="184">
        <f t="shared" ca="1" si="113"/>
        <v>6.8555100484454412</v>
      </c>
      <c r="E741" s="230">
        <f t="shared" ca="1" si="114"/>
        <v>3.2913092763127068E-11</v>
      </c>
      <c r="F741" s="168">
        <f t="shared" ca="1" si="115"/>
        <v>10.28906019463804</v>
      </c>
      <c r="G741" s="168">
        <f t="shared" ca="1" si="116"/>
        <v>5.4730411411583004</v>
      </c>
      <c r="H741" s="184">
        <f t="shared" ca="1" si="117"/>
        <v>0.69168982122621925</v>
      </c>
      <c r="I741" s="184">
        <f t="shared" ca="1" si="118"/>
        <v>0.24491793779161514</v>
      </c>
      <c r="J741" s="223">
        <f t="shared" ca="1" si="119"/>
        <v>0</v>
      </c>
      <c r="K741" s="220" t="str" cm="1">
        <f t="array" aca="1" ref="K741" ca="1">_xlfn.IFS(G741&lt;$B$11,"Fail",G741&lt;25,"Marginal",G741&lt;35,"Solid",TRUE,"Blowout")</f>
        <v>Fail</v>
      </c>
      <c r="L741" s="226">
        <f ca="1">IF(AND(E741&lt;$B$10,C741&gt;=$B$11),1,0)</f>
        <v>1</v>
      </c>
      <c r="M741" s="217" t="str" cm="1">
        <f t="array" aca="1" ref="M741" ca="1">_xlfn.IFS(C741&lt;$B$11,"Fail",C741&lt;25,"Marginal",C741&lt;35,"Solid",TRUE,"Blowout")</f>
        <v>Blowout</v>
      </c>
    </row>
    <row r="742" spans="1:13" x14ac:dyDescent="0.25">
      <c r="A742" s="169">
        <f t="shared" ca="1" si="110"/>
        <v>40.092740336651822</v>
      </c>
      <c r="B742" s="168">
        <f t="shared" ca="1" si="111"/>
        <v>13.115213565164707</v>
      </c>
      <c r="C742" s="168">
        <f t="shared" ca="1" si="112"/>
        <v>26.977526771487113</v>
      </c>
      <c r="D742" s="184">
        <f t="shared" ca="1" si="113"/>
        <v>3.4094537549458828</v>
      </c>
      <c r="E742" s="230">
        <f t="shared" ca="1" si="114"/>
        <v>3.8482856196123783E-4</v>
      </c>
      <c r="F742" s="168">
        <f t="shared" ca="1" si="115"/>
        <v>24.544774115516375</v>
      </c>
      <c r="G742" s="168">
        <f t="shared" ca="1" si="116"/>
        <v>11.429560550351669</v>
      </c>
      <c r="H742" s="184">
        <f t="shared" ca="1" si="117"/>
        <v>1.4444822338926999</v>
      </c>
      <c r="I742" s="184">
        <f t="shared" ca="1" si="118"/>
        <v>7.4988097849396584E-2</v>
      </c>
      <c r="J742" s="223">
        <f t="shared" ca="1" si="119"/>
        <v>0</v>
      </c>
      <c r="K742" s="220" t="str" cm="1">
        <f t="array" aca="1" ref="K742" ca="1">_xlfn.IFS(G742&lt;$B$11,"Fail",G742&lt;25,"Marginal",G742&lt;35,"Solid",TRUE,"Blowout")</f>
        <v>Fail</v>
      </c>
      <c r="L742" s="226">
        <f ca="1">IF(AND(E742&lt;$B$10,C742&gt;=$B$11),1,0)</f>
        <v>1</v>
      </c>
      <c r="M742" s="217" t="str" cm="1">
        <f t="array" aca="1" ref="M742" ca="1">_xlfn.IFS(C742&lt;$B$11,"Fail",C742&lt;25,"Marginal",C742&lt;35,"Solid",TRUE,"Blowout")</f>
        <v>Solid</v>
      </c>
    </row>
    <row r="743" spans="1:13" x14ac:dyDescent="0.25">
      <c r="A743" s="169">
        <f t="shared" ca="1" si="110"/>
        <v>35.971194397526013</v>
      </c>
      <c r="B743" s="168">
        <f t="shared" ca="1" si="111"/>
        <v>4.3546800409065298</v>
      </c>
      <c r="C743" s="168">
        <f t="shared" ca="1" si="112"/>
        <v>31.616514356619483</v>
      </c>
      <c r="D743" s="184">
        <f t="shared" ca="1" si="113"/>
        <v>3.9957348390218868</v>
      </c>
      <c r="E743" s="230">
        <f t="shared" ca="1" si="114"/>
        <v>4.3538603318872958E-5</v>
      </c>
      <c r="F743" s="168">
        <f t="shared" ca="1" si="115"/>
        <v>22.652740815886553</v>
      </c>
      <c r="G743" s="168">
        <f t="shared" ca="1" si="116"/>
        <v>18.298060774980023</v>
      </c>
      <c r="H743" s="184">
        <f t="shared" ca="1" si="117"/>
        <v>2.3125319287393151</v>
      </c>
      <c r="I743" s="184">
        <f t="shared" ca="1" si="118"/>
        <v>1.0820041530117706E-2</v>
      </c>
      <c r="J743" s="223">
        <f t="shared" ca="1" si="119"/>
        <v>0</v>
      </c>
      <c r="K743" s="220" t="str" cm="1">
        <f t="array" aca="1" ref="K743" ca="1">_xlfn.IFS(G743&lt;$B$11,"Fail",G743&lt;25,"Marginal",G743&lt;35,"Solid",TRUE,"Blowout")</f>
        <v>Fail</v>
      </c>
      <c r="L743" s="226">
        <f ca="1">IF(AND(E743&lt;$B$10,C743&gt;=$B$11),1,0)</f>
        <v>1</v>
      </c>
      <c r="M743" s="217" t="str" cm="1">
        <f t="array" aca="1" ref="M743" ca="1">_xlfn.IFS(C743&lt;$B$11,"Fail",C743&lt;25,"Marginal",C743&lt;35,"Solid",TRUE,"Blowout")</f>
        <v>Solid</v>
      </c>
    </row>
    <row r="744" spans="1:13" x14ac:dyDescent="0.25">
      <c r="A744" s="169">
        <f t="shared" ca="1" si="110"/>
        <v>0.44225168882130211</v>
      </c>
      <c r="B744" s="168">
        <f t="shared" ca="1" si="111"/>
        <v>5.5413769337250205</v>
      </c>
      <c r="C744" s="168">
        <f t="shared" ca="1" si="112"/>
        <v>-5.0991252449037185</v>
      </c>
      <c r="D744" s="184">
        <f t="shared" ca="1" si="113"/>
        <v>-0.64443386009539605</v>
      </c>
      <c r="E744" s="230">
        <f t="shared" ca="1" si="114"/>
        <v>0.74002902716023367</v>
      </c>
      <c r="F744" s="168">
        <f t="shared" ca="1" si="115"/>
        <v>-6.6725138096264072</v>
      </c>
      <c r="G744" s="168">
        <f t="shared" ca="1" si="116"/>
        <v>-12.213890743351428</v>
      </c>
      <c r="H744" s="184">
        <f t="shared" ca="1" si="117"/>
        <v>-1.5436068699014682</v>
      </c>
      <c r="I744" s="184">
        <f t="shared" ca="1" si="118"/>
        <v>0.93796479913180852</v>
      </c>
      <c r="J744" s="223">
        <f t="shared" ca="1" si="119"/>
        <v>0</v>
      </c>
      <c r="K744" s="220" t="str" cm="1">
        <f t="array" aca="1" ref="K744" ca="1">_xlfn.IFS(G744&lt;$B$11,"Fail",G744&lt;25,"Marginal",G744&lt;35,"Solid",TRUE,"Blowout")</f>
        <v>Fail</v>
      </c>
      <c r="L744" s="226">
        <f ca="1">IF(AND(E744&lt;$B$10,C744&gt;=$B$11),1,0)</f>
        <v>0</v>
      </c>
      <c r="M744" s="217" t="str" cm="1">
        <f t="array" aca="1" ref="M744" ca="1">_xlfn.IFS(C744&lt;$B$11,"Fail",C744&lt;25,"Marginal",C744&lt;35,"Solid",TRUE,"Blowout")</f>
        <v>Fail</v>
      </c>
    </row>
    <row r="745" spans="1:13" x14ac:dyDescent="0.25">
      <c r="A745" s="169">
        <f t="shared" ca="1" si="110"/>
        <v>25.515905052017974</v>
      </c>
      <c r="B745" s="168">
        <f t="shared" ca="1" si="111"/>
        <v>7.8406415298400471</v>
      </c>
      <c r="C745" s="168">
        <f t="shared" ca="1" si="112"/>
        <v>17.675263522177929</v>
      </c>
      <c r="D745" s="184">
        <f t="shared" ca="1" si="113"/>
        <v>2.233822028824386</v>
      </c>
      <c r="E745" s="230">
        <f t="shared" ca="1" si="114"/>
        <v>1.3232746068033745E-2</v>
      </c>
      <c r="F745" s="168">
        <f t="shared" ca="1" si="115"/>
        <v>62.998858885711101</v>
      </c>
      <c r="G745" s="168">
        <f t="shared" ca="1" si="116"/>
        <v>55.158217355871052</v>
      </c>
      <c r="H745" s="184">
        <f t="shared" ca="1" si="117"/>
        <v>6.9709648654248779</v>
      </c>
      <c r="I745" s="184">
        <f t="shared" ca="1" si="118"/>
        <v>1.6791122918290039E-11</v>
      </c>
      <c r="J745" s="223">
        <f t="shared" ca="1" si="119"/>
        <v>1</v>
      </c>
      <c r="K745" s="220" t="str" cm="1">
        <f t="array" aca="1" ref="K745" ca="1">_xlfn.IFS(G745&lt;$B$11,"Fail",G745&lt;25,"Marginal",G745&lt;35,"Solid",TRUE,"Blowout")</f>
        <v>Blowout</v>
      </c>
      <c r="L745" s="226">
        <f ca="1">IF(AND(E745&lt;$B$10,C745&gt;=$B$11),1,0)</f>
        <v>0</v>
      </c>
      <c r="M745" s="217" t="str" cm="1">
        <f t="array" aca="1" ref="M745" ca="1">_xlfn.IFS(C745&lt;$B$11,"Fail",C745&lt;25,"Marginal",C745&lt;35,"Solid",TRUE,"Blowout")</f>
        <v>Fail</v>
      </c>
    </row>
    <row r="746" spans="1:13" x14ac:dyDescent="0.25">
      <c r="A746" s="169">
        <f t="shared" ca="1" si="110"/>
        <v>22.225436380256667</v>
      </c>
      <c r="B746" s="168">
        <f t="shared" ca="1" si="111"/>
        <v>7.0088672354946695</v>
      </c>
      <c r="C746" s="168">
        <f t="shared" ca="1" si="112"/>
        <v>15.216569144761998</v>
      </c>
      <c r="D746" s="184">
        <f t="shared" ca="1" si="113"/>
        <v>1.9230891418421379</v>
      </c>
      <c r="E746" s="230">
        <f t="shared" ca="1" si="114"/>
        <v>2.7857236859457856E-2</v>
      </c>
      <c r="F746" s="168">
        <f t="shared" ca="1" si="115"/>
        <v>13.222187312771297</v>
      </c>
      <c r="G746" s="168">
        <f t="shared" ca="1" si="116"/>
        <v>6.2133200772766273</v>
      </c>
      <c r="H746" s="184">
        <f t="shared" ca="1" si="117"/>
        <v>0.78524720400022374</v>
      </c>
      <c r="I746" s="184">
        <f t="shared" ca="1" si="118"/>
        <v>0.21656192398158658</v>
      </c>
      <c r="J746" s="223">
        <f t="shared" ca="1" si="119"/>
        <v>0</v>
      </c>
      <c r="K746" s="220" t="str" cm="1">
        <f t="array" aca="1" ref="K746" ca="1">_xlfn.IFS(G746&lt;$B$11,"Fail",G746&lt;25,"Marginal",G746&lt;35,"Solid",TRUE,"Blowout")</f>
        <v>Fail</v>
      </c>
      <c r="L746" s="226">
        <f ca="1">IF(AND(E746&lt;$B$10,C746&gt;=$B$11),1,0)</f>
        <v>0</v>
      </c>
      <c r="M746" s="217" t="str" cm="1">
        <f t="array" aca="1" ref="M746" ca="1">_xlfn.IFS(C746&lt;$B$11,"Fail",C746&lt;25,"Marginal",C746&lt;35,"Solid",TRUE,"Blowout")</f>
        <v>Fail</v>
      </c>
    </row>
    <row r="747" spans="1:13" x14ac:dyDescent="0.25">
      <c r="A747" s="169">
        <f t="shared" ca="1" si="110"/>
        <v>45.119490787511239</v>
      </c>
      <c r="B747" s="168">
        <f t="shared" ca="1" si="111"/>
        <v>7.4698586791559336</v>
      </c>
      <c r="C747" s="168">
        <f t="shared" ca="1" si="112"/>
        <v>37.649632108355306</v>
      </c>
      <c r="D747" s="184">
        <f t="shared" ca="1" si="113"/>
        <v>4.758207846533705</v>
      </c>
      <c r="E747" s="230">
        <f t="shared" ca="1" si="114"/>
        <v>1.7337076325424373E-6</v>
      </c>
      <c r="F747" s="168">
        <f t="shared" ca="1" si="115"/>
        <v>11.313327767827307</v>
      </c>
      <c r="G747" s="168">
        <f t="shared" ca="1" si="116"/>
        <v>3.8434690886713732</v>
      </c>
      <c r="H747" s="184">
        <f t="shared" ca="1" si="117"/>
        <v>0.48574245620762252</v>
      </c>
      <c r="I747" s="184">
        <f t="shared" ca="1" si="118"/>
        <v>0.31380812387671814</v>
      </c>
      <c r="J747" s="223">
        <f t="shared" ca="1" si="119"/>
        <v>0</v>
      </c>
      <c r="K747" s="220" t="str" cm="1">
        <f t="array" aca="1" ref="K747" ca="1">_xlfn.IFS(G747&lt;$B$11,"Fail",G747&lt;25,"Marginal",G747&lt;35,"Solid",TRUE,"Blowout")</f>
        <v>Fail</v>
      </c>
      <c r="L747" s="226">
        <f ca="1">IF(AND(E747&lt;$B$10,C747&gt;=$B$11),1,0)</f>
        <v>1</v>
      </c>
      <c r="M747" s="217" t="str" cm="1">
        <f t="array" aca="1" ref="M747" ca="1">_xlfn.IFS(C747&lt;$B$11,"Fail",C747&lt;25,"Marginal",C747&lt;35,"Solid",TRUE,"Blowout")</f>
        <v>Blowout</v>
      </c>
    </row>
    <row r="748" spans="1:13" x14ac:dyDescent="0.25">
      <c r="A748" s="169">
        <f t="shared" ca="1" si="110"/>
        <v>26.109282270371143</v>
      </c>
      <c r="B748" s="168">
        <f t="shared" ca="1" si="111"/>
        <v>15.348678593905699</v>
      </c>
      <c r="C748" s="168">
        <f t="shared" ca="1" si="112"/>
        <v>10.760603676465443</v>
      </c>
      <c r="D748" s="184">
        <f t="shared" ca="1" si="113"/>
        <v>1.3599386230240109</v>
      </c>
      <c r="E748" s="230">
        <f t="shared" ca="1" si="114"/>
        <v>8.759627798348768E-2</v>
      </c>
      <c r="F748" s="168">
        <f t="shared" ca="1" si="115"/>
        <v>8.0319915079692663</v>
      </c>
      <c r="G748" s="168">
        <f t="shared" ca="1" si="116"/>
        <v>-7.316687085936433</v>
      </c>
      <c r="H748" s="184">
        <f t="shared" ca="1" si="117"/>
        <v>-0.92469211392927464</v>
      </c>
      <c r="I748" s="184">
        <f t="shared" ca="1" si="118"/>
        <v>0.82194814238477298</v>
      </c>
      <c r="J748" s="223">
        <f t="shared" ca="1" si="119"/>
        <v>0</v>
      </c>
      <c r="K748" s="220" t="str" cm="1">
        <f t="array" aca="1" ref="K748" ca="1">_xlfn.IFS(G748&lt;$B$11,"Fail",G748&lt;25,"Marginal",G748&lt;35,"Solid",TRUE,"Blowout")</f>
        <v>Fail</v>
      </c>
      <c r="L748" s="226">
        <f ca="1">IF(AND(E748&lt;$B$10,C748&gt;=$B$11),1,0)</f>
        <v>0</v>
      </c>
      <c r="M748" s="217" t="str" cm="1">
        <f t="array" aca="1" ref="M748" ca="1">_xlfn.IFS(C748&lt;$B$11,"Fail",C748&lt;25,"Marginal",C748&lt;35,"Solid",TRUE,"Blowout")</f>
        <v>Fail</v>
      </c>
    </row>
    <row r="749" spans="1:13" x14ac:dyDescent="0.25">
      <c r="A749" s="169">
        <f t="shared" ca="1" si="110"/>
        <v>-10.071731087776559</v>
      </c>
      <c r="B749" s="168">
        <f t="shared" ca="1" si="111"/>
        <v>2.9473379014973968</v>
      </c>
      <c r="C749" s="168">
        <f t="shared" ca="1" si="112"/>
        <v>-13.019068989273956</v>
      </c>
      <c r="D749" s="184">
        <f t="shared" ca="1" si="113"/>
        <v>-1.6453663090529755</v>
      </c>
      <c r="E749" s="230">
        <f t="shared" ca="1" si="114"/>
        <v>0.94936391837812384</v>
      </c>
      <c r="F749" s="168">
        <f t="shared" ca="1" si="115"/>
        <v>10.500610741102388</v>
      </c>
      <c r="G749" s="168">
        <f t="shared" ca="1" si="116"/>
        <v>7.5532728396049915</v>
      </c>
      <c r="H749" s="184">
        <f t="shared" ca="1" si="117"/>
        <v>0.95459211896103702</v>
      </c>
      <c r="I749" s="184">
        <f t="shared" ca="1" si="118"/>
        <v>0.17039749324518649</v>
      </c>
      <c r="J749" s="223">
        <f t="shared" ca="1" si="119"/>
        <v>0</v>
      </c>
      <c r="K749" s="220" t="str" cm="1">
        <f t="array" aca="1" ref="K749" ca="1">_xlfn.IFS(G749&lt;$B$11,"Fail",G749&lt;25,"Marginal",G749&lt;35,"Solid",TRUE,"Blowout")</f>
        <v>Fail</v>
      </c>
      <c r="L749" s="226">
        <f ca="1">IF(AND(E749&lt;$B$10,C749&gt;=$B$11),1,0)</f>
        <v>0</v>
      </c>
      <c r="M749" s="217" t="str" cm="1">
        <f t="array" aca="1" ref="M749" ca="1">_xlfn.IFS(C749&lt;$B$11,"Fail",C749&lt;25,"Marginal",C749&lt;35,"Solid",TRUE,"Blowout")</f>
        <v>Fail</v>
      </c>
    </row>
    <row r="750" spans="1:13" x14ac:dyDescent="0.25">
      <c r="A750" s="169">
        <f t="shared" ca="1" si="110"/>
        <v>26.114256009299488</v>
      </c>
      <c r="B750" s="168">
        <f t="shared" ca="1" si="111"/>
        <v>4.1708283909613355</v>
      </c>
      <c r="C750" s="168">
        <f t="shared" ca="1" si="112"/>
        <v>21.943427618338152</v>
      </c>
      <c r="D750" s="184">
        <f t="shared" ca="1" si="113"/>
        <v>2.7732379740903164</v>
      </c>
      <c r="E750" s="230">
        <f t="shared" ca="1" si="114"/>
        <v>3.004740640054003E-3</v>
      </c>
      <c r="F750" s="168">
        <f t="shared" ca="1" si="115"/>
        <v>59.546397556079775</v>
      </c>
      <c r="G750" s="168">
        <f t="shared" ca="1" si="116"/>
        <v>55.375569165118442</v>
      </c>
      <c r="H750" s="184">
        <f t="shared" ca="1" si="117"/>
        <v>6.9984340603759145</v>
      </c>
      <c r="I750" s="184">
        <f t="shared" ca="1" si="118"/>
        <v>1.4292148068684424E-11</v>
      </c>
      <c r="J750" s="223">
        <f t="shared" ca="1" si="119"/>
        <v>1</v>
      </c>
      <c r="K750" s="220" t="str" cm="1">
        <f t="array" aca="1" ref="K750" ca="1">_xlfn.IFS(G750&lt;$B$11,"Fail",G750&lt;25,"Marginal",G750&lt;35,"Solid",TRUE,"Blowout")</f>
        <v>Blowout</v>
      </c>
      <c r="L750" s="226">
        <f ca="1">IF(AND(E750&lt;$B$10,C750&gt;=$B$11),1,0)</f>
        <v>1</v>
      </c>
      <c r="M750" s="217" t="str" cm="1">
        <f t="array" aca="1" ref="M750" ca="1">_xlfn.IFS(C750&lt;$B$11,"Fail",C750&lt;25,"Marginal",C750&lt;35,"Solid",TRUE,"Blowout")</f>
        <v>Marginal</v>
      </c>
    </row>
    <row r="751" spans="1:13" x14ac:dyDescent="0.25">
      <c r="A751" s="169">
        <f t="shared" ca="1" si="110"/>
        <v>8.0114875098717739</v>
      </c>
      <c r="B751" s="168">
        <f t="shared" ca="1" si="111"/>
        <v>3.1514486728362323</v>
      </c>
      <c r="C751" s="168">
        <f t="shared" ca="1" si="112"/>
        <v>4.8600388370355416</v>
      </c>
      <c r="D751" s="184">
        <f t="shared" ca="1" si="113"/>
        <v>0.61421781924156116</v>
      </c>
      <c r="E751" s="230">
        <f t="shared" ca="1" si="114"/>
        <v>0.26984189776392964</v>
      </c>
      <c r="F751" s="168">
        <f t="shared" ca="1" si="115"/>
        <v>22.115633347799513</v>
      </c>
      <c r="G751" s="168">
        <f t="shared" ca="1" si="116"/>
        <v>18.964184674963281</v>
      </c>
      <c r="H751" s="184">
        <f t="shared" ca="1" si="117"/>
        <v>2.3967175048039637</v>
      </c>
      <c r="I751" s="184">
        <f t="shared" ca="1" si="118"/>
        <v>8.6746705138121931E-3</v>
      </c>
      <c r="J751" s="223">
        <f t="shared" ca="1" si="119"/>
        <v>0</v>
      </c>
      <c r="K751" s="220" t="str" cm="1">
        <f t="array" aca="1" ref="K751" ca="1">_xlfn.IFS(G751&lt;$B$11,"Fail",G751&lt;25,"Marginal",G751&lt;35,"Solid",TRUE,"Blowout")</f>
        <v>Fail</v>
      </c>
      <c r="L751" s="226">
        <f ca="1">IF(AND(E751&lt;$B$10,C751&gt;=$B$11),1,0)</f>
        <v>0</v>
      </c>
      <c r="M751" s="217" t="str" cm="1">
        <f t="array" aca="1" ref="M751" ca="1">_xlfn.IFS(C751&lt;$B$11,"Fail",C751&lt;25,"Marginal",C751&lt;35,"Solid",TRUE,"Blowout")</f>
        <v>Fail</v>
      </c>
    </row>
    <row r="752" spans="1:13" x14ac:dyDescent="0.25">
      <c r="A752" s="169">
        <f t="shared" ca="1" si="110"/>
        <v>-4.7365266282189102</v>
      </c>
      <c r="B752" s="168">
        <f t="shared" ca="1" si="111"/>
        <v>6.798175433960397</v>
      </c>
      <c r="C752" s="168">
        <f t="shared" ca="1" si="112"/>
        <v>-11.534702062179306</v>
      </c>
      <c r="D752" s="184">
        <f t="shared" ca="1" si="113"/>
        <v>-1.4577701503625042</v>
      </c>
      <c r="E752" s="230">
        <f t="shared" ca="1" si="114"/>
        <v>0.92686004317752879</v>
      </c>
      <c r="F752" s="168">
        <f t="shared" ca="1" si="115"/>
        <v>47.692292401288022</v>
      </c>
      <c r="G752" s="168">
        <f t="shared" ca="1" si="116"/>
        <v>40.894116967327626</v>
      </c>
      <c r="H752" s="184">
        <f t="shared" ca="1" si="117"/>
        <v>5.168249922628676</v>
      </c>
      <c r="I752" s="184">
        <f t="shared" ca="1" si="118"/>
        <v>2.5790949830982331E-7</v>
      </c>
      <c r="J752" s="223">
        <f t="shared" ca="1" si="119"/>
        <v>1</v>
      </c>
      <c r="K752" s="220" t="str" cm="1">
        <f t="array" aca="1" ref="K752" ca="1">_xlfn.IFS(G752&lt;$B$11,"Fail",G752&lt;25,"Marginal",G752&lt;35,"Solid",TRUE,"Blowout")</f>
        <v>Blowout</v>
      </c>
      <c r="L752" s="226">
        <f ca="1">IF(AND(E752&lt;$B$10,C752&gt;=$B$11),1,0)</f>
        <v>0</v>
      </c>
      <c r="M752" s="217" t="str" cm="1">
        <f t="array" aca="1" ref="M752" ca="1">_xlfn.IFS(C752&lt;$B$11,"Fail",C752&lt;25,"Marginal",C752&lt;35,"Solid",TRUE,"Blowout")</f>
        <v>Fail</v>
      </c>
    </row>
    <row r="753" spans="1:13" x14ac:dyDescent="0.25">
      <c r="A753" s="169">
        <f t="shared" ca="1" si="110"/>
        <v>44.954356271777982</v>
      </c>
      <c r="B753" s="168">
        <f t="shared" ca="1" si="111"/>
        <v>0.35788309667781792</v>
      </c>
      <c r="C753" s="168">
        <f t="shared" ca="1" si="112"/>
        <v>44.596473175100165</v>
      </c>
      <c r="D753" s="184">
        <f t="shared" ca="1" si="113"/>
        <v>5.6361583555128458</v>
      </c>
      <c r="E753" s="230">
        <f t="shared" ca="1" si="114"/>
        <v>2.5543089390063507E-8</v>
      </c>
      <c r="F753" s="168">
        <f t="shared" ca="1" si="115"/>
        <v>34.920674303407026</v>
      </c>
      <c r="G753" s="168">
        <f t="shared" ca="1" si="116"/>
        <v>34.562791206729209</v>
      </c>
      <c r="H753" s="184">
        <f t="shared" ca="1" si="117"/>
        <v>4.368089011989797</v>
      </c>
      <c r="I753" s="184">
        <f t="shared" ca="1" si="118"/>
        <v>9.515503754620342E-6</v>
      </c>
      <c r="J753" s="223">
        <f t="shared" ca="1" si="119"/>
        <v>1</v>
      </c>
      <c r="K753" s="220" t="str" cm="1">
        <f t="array" aca="1" ref="K753" ca="1">_xlfn.IFS(G753&lt;$B$11,"Fail",G753&lt;25,"Marginal",G753&lt;35,"Solid",TRUE,"Blowout")</f>
        <v>Solid</v>
      </c>
      <c r="L753" s="226">
        <f ca="1">IF(AND(E753&lt;$B$10,C753&gt;=$B$11),1,0)</f>
        <v>1</v>
      </c>
      <c r="M753" s="217" t="str" cm="1">
        <f t="array" aca="1" ref="M753" ca="1">_xlfn.IFS(C753&lt;$B$11,"Fail",C753&lt;25,"Marginal",C753&lt;35,"Solid",TRUE,"Blowout")</f>
        <v>Blowout</v>
      </c>
    </row>
    <row r="754" spans="1:13" x14ac:dyDescent="0.25">
      <c r="A754" s="169">
        <f t="shared" ca="1" si="110"/>
        <v>19.409071272677785</v>
      </c>
      <c r="B754" s="168">
        <f t="shared" ca="1" si="111"/>
        <v>4.5256983184977786</v>
      </c>
      <c r="C754" s="168">
        <f t="shared" ca="1" si="112"/>
        <v>14.883372954180007</v>
      </c>
      <c r="D754" s="184">
        <f t="shared" ca="1" si="113"/>
        <v>1.8809793883152095</v>
      </c>
      <c r="E754" s="230">
        <f t="shared" ca="1" si="114"/>
        <v>3.0624606280722378E-2</v>
      </c>
      <c r="F754" s="168">
        <f t="shared" ca="1" si="115"/>
        <v>13.635655463861596</v>
      </c>
      <c r="G754" s="168">
        <f t="shared" ca="1" si="116"/>
        <v>9.1099571453638184</v>
      </c>
      <c r="H754" s="184">
        <f t="shared" ca="1" si="117"/>
        <v>1.1513278388990211</v>
      </c>
      <c r="I754" s="184">
        <f t="shared" ca="1" si="118"/>
        <v>0.12540165604091688</v>
      </c>
      <c r="J754" s="223">
        <f t="shared" ca="1" si="119"/>
        <v>0</v>
      </c>
      <c r="K754" s="220" t="str" cm="1">
        <f t="array" aca="1" ref="K754" ca="1">_xlfn.IFS(G754&lt;$B$11,"Fail",G754&lt;25,"Marginal",G754&lt;35,"Solid",TRUE,"Blowout")</f>
        <v>Fail</v>
      </c>
      <c r="L754" s="226">
        <f ca="1">IF(AND(E754&lt;$B$10,C754&gt;=$B$11),1,0)</f>
        <v>0</v>
      </c>
      <c r="M754" s="217" t="str" cm="1">
        <f t="array" aca="1" ref="M754" ca="1">_xlfn.IFS(C754&lt;$B$11,"Fail",C754&lt;25,"Marginal",C754&lt;35,"Solid",TRUE,"Blowout")</f>
        <v>Fail</v>
      </c>
    </row>
    <row r="755" spans="1:13" x14ac:dyDescent="0.25">
      <c r="A755" s="169">
        <f t="shared" ca="1" si="110"/>
        <v>44.72786534142984</v>
      </c>
      <c r="B755" s="168">
        <f t="shared" ca="1" si="111"/>
        <v>-3.5454764717103551</v>
      </c>
      <c r="C755" s="168">
        <f t="shared" ca="1" si="112"/>
        <v>48.273341813140192</v>
      </c>
      <c r="D755" s="184">
        <f t="shared" ca="1" si="113"/>
        <v>6.1008456372861293</v>
      </c>
      <c r="E755" s="230">
        <f t="shared" ca="1" si="114"/>
        <v>2.2407336985655236E-9</v>
      </c>
      <c r="F755" s="168">
        <f t="shared" ca="1" si="115"/>
        <v>27.090858282901205</v>
      </c>
      <c r="G755" s="168">
        <f t="shared" ca="1" si="116"/>
        <v>30.636334754611561</v>
      </c>
      <c r="H755" s="184">
        <f t="shared" ca="1" si="117"/>
        <v>3.8718585084414516</v>
      </c>
      <c r="I755" s="184">
        <f t="shared" ca="1" si="118"/>
        <v>7.0550259013196206E-5</v>
      </c>
      <c r="J755" s="223">
        <f t="shared" ca="1" si="119"/>
        <v>1</v>
      </c>
      <c r="K755" s="220" t="str" cm="1">
        <f t="array" aca="1" ref="K755" ca="1">_xlfn.IFS(G755&lt;$B$11,"Fail",G755&lt;25,"Marginal",G755&lt;35,"Solid",TRUE,"Blowout")</f>
        <v>Solid</v>
      </c>
      <c r="L755" s="226">
        <f ca="1">IF(AND(E755&lt;$B$10,C755&gt;=$B$11),1,0)</f>
        <v>1</v>
      </c>
      <c r="M755" s="217" t="str" cm="1">
        <f t="array" aca="1" ref="M755" ca="1">_xlfn.IFS(C755&lt;$B$11,"Fail",C755&lt;25,"Marginal",C755&lt;35,"Solid",TRUE,"Blowout")</f>
        <v>Blowout</v>
      </c>
    </row>
    <row r="756" spans="1:13" x14ac:dyDescent="0.25">
      <c r="A756" s="169">
        <f t="shared" ca="1" si="110"/>
        <v>38.656194874465172</v>
      </c>
      <c r="B756" s="168">
        <f t="shared" ca="1" si="111"/>
        <v>6.373090632130733</v>
      </c>
      <c r="C756" s="168">
        <f t="shared" ca="1" si="112"/>
        <v>32.283104242334439</v>
      </c>
      <c r="D756" s="184">
        <f t="shared" ca="1" si="113"/>
        <v>4.0799793069492383</v>
      </c>
      <c r="E756" s="230">
        <f t="shared" ca="1" si="114"/>
        <v>3.114668140732558E-5</v>
      </c>
      <c r="F756" s="168">
        <f t="shared" ca="1" si="115"/>
        <v>29.288741512047071</v>
      </c>
      <c r="G756" s="168">
        <f t="shared" ca="1" si="116"/>
        <v>22.915650879916338</v>
      </c>
      <c r="H756" s="184">
        <f t="shared" ca="1" si="117"/>
        <v>2.8961087723629322</v>
      </c>
      <c r="I756" s="184">
        <f t="shared" ca="1" si="118"/>
        <v>2.0728567267673035E-3</v>
      </c>
      <c r="J756" s="223">
        <f t="shared" ca="1" si="119"/>
        <v>1</v>
      </c>
      <c r="K756" s="220" t="str" cm="1">
        <f t="array" aca="1" ref="K756" ca="1">_xlfn.IFS(G756&lt;$B$11,"Fail",G756&lt;25,"Marginal",G756&lt;35,"Solid",TRUE,"Blowout")</f>
        <v>Marginal</v>
      </c>
      <c r="L756" s="226">
        <f ca="1">IF(AND(E756&lt;$B$10,C756&gt;=$B$11),1,0)</f>
        <v>1</v>
      </c>
      <c r="M756" s="217" t="str" cm="1">
        <f t="array" aca="1" ref="M756" ca="1">_xlfn.IFS(C756&lt;$B$11,"Fail",C756&lt;25,"Marginal",C756&lt;35,"Solid",TRUE,"Blowout")</f>
        <v>Solid</v>
      </c>
    </row>
    <row r="757" spans="1:13" x14ac:dyDescent="0.25">
      <c r="A757" s="169">
        <f t="shared" ca="1" si="110"/>
        <v>20.332421942659177</v>
      </c>
      <c r="B757" s="168">
        <f t="shared" ca="1" si="111"/>
        <v>9.2056666700236249</v>
      </c>
      <c r="C757" s="168">
        <f t="shared" ca="1" si="112"/>
        <v>11.126755272635553</v>
      </c>
      <c r="D757" s="184">
        <f t="shared" ca="1" si="113"/>
        <v>1.406213322147321</v>
      </c>
      <c r="E757" s="230">
        <f t="shared" ca="1" si="114"/>
        <v>8.0511098640364057E-2</v>
      </c>
      <c r="F757" s="168">
        <f t="shared" ca="1" si="115"/>
        <v>33.618710835239391</v>
      </c>
      <c r="G757" s="168">
        <f t="shared" ca="1" si="116"/>
        <v>24.413044165215766</v>
      </c>
      <c r="H757" s="184">
        <f t="shared" ca="1" si="117"/>
        <v>3.085351218582677</v>
      </c>
      <c r="I757" s="184">
        <f t="shared" ca="1" si="118"/>
        <v>1.1422282350857136E-3</v>
      </c>
      <c r="J757" s="223">
        <f t="shared" ca="1" si="119"/>
        <v>1</v>
      </c>
      <c r="K757" s="220" t="str" cm="1">
        <f t="array" aca="1" ref="K757" ca="1">_xlfn.IFS(G757&lt;$B$11,"Fail",G757&lt;25,"Marginal",G757&lt;35,"Solid",TRUE,"Blowout")</f>
        <v>Marginal</v>
      </c>
      <c r="L757" s="226">
        <f ca="1">IF(AND(E757&lt;$B$10,C757&gt;=$B$11),1,0)</f>
        <v>0</v>
      </c>
      <c r="M757" s="217" t="str" cm="1">
        <f t="array" aca="1" ref="M757" ca="1">_xlfn.IFS(C757&lt;$B$11,"Fail",C757&lt;25,"Marginal",C757&lt;35,"Solid",TRUE,"Blowout")</f>
        <v>Fail</v>
      </c>
    </row>
    <row r="758" spans="1:13" x14ac:dyDescent="0.25">
      <c r="A758" s="169">
        <f t="shared" ca="1" si="110"/>
        <v>23.891308711601617</v>
      </c>
      <c r="B758" s="168">
        <f t="shared" ca="1" si="111"/>
        <v>10.719631356215258</v>
      </c>
      <c r="C758" s="168">
        <f t="shared" ca="1" si="112"/>
        <v>13.171677355386359</v>
      </c>
      <c r="D758" s="184">
        <f t="shared" ca="1" si="113"/>
        <v>1.6646531462521517</v>
      </c>
      <c r="E758" s="230">
        <f t="shared" ca="1" si="114"/>
        <v>4.8677782743505212E-2</v>
      </c>
      <c r="F758" s="168">
        <f t="shared" ca="1" si="115"/>
        <v>55.24682184316989</v>
      </c>
      <c r="G758" s="168">
        <f t="shared" ca="1" si="116"/>
        <v>44.52719048695463</v>
      </c>
      <c r="H758" s="184">
        <f t="shared" ca="1" si="117"/>
        <v>5.6274023222689014</v>
      </c>
      <c r="I758" s="184">
        <f t="shared" ca="1" si="118"/>
        <v>2.6707298263988635E-8</v>
      </c>
      <c r="J758" s="223">
        <f t="shared" ca="1" si="119"/>
        <v>1</v>
      </c>
      <c r="K758" s="220" t="str" cm="1">
        <f t="array" aca="1" ref="K758" ca="1">_xlfn.IFS(G758&lt;$B$11,"Fail",G758&lt;25,"Marginal",G758&lt;35,"Solid",TRUE,"Blowout")</f>
        <v>Blowout</v>
      </c>
      <c r="L758" s="226">
        <f ca="1">IF(AND(E758&lt;$B$10,C758&gt;=$B$11),1,0)</f>
        <v>0</v>
      </c>
      <c r="M758" s="217" t="str" cm="1">
        <f t="array" aca="1" ref="M758" ca="1">_xlfn.IFS(C758&lt;$B$11,"Fail",C758&lt;25,"Marginal",C758&lt;35,"Solid",TRUE,"Blowout")</f>
        <v>Fail</v>
      </c>
    </row>
    <row r="759" spans="1:13" x14ac:dyDescent="0.25">
      <c r="A759" s="169">
        <f t="shared" ca="1" si="110"/>
        <v>42.045352703383784</v>
      </c>
      <c r="B759" s="168">
        <f t="shared" ca="1" si="111"/>
        <v>2.5464587856654108</v>
      </c>
      <c r="C759" s="168">
        <f t="shared" ca="1" si="112"/>
        <v>39.498893917718377</v>
      </c>
      <c r="D759" s="184">
        <f t="shared" ca="1" si="113"/>
        <v>4.9919198792643975</v>
      </c>
      <c r="E759" s="230">
        <f t="shared" ca="1" si="114"/>
        <v>5.9359328996428965E-7</v>
      </c>
      <c r="F759" s="168">
        <f t="shared" ca="1" si="115"/>
        <v>4.6993720063777946</v>
      </c>
      <c r="G759" s="168">
        <f t="shared" ca="1" si="116"/>
        <v>2.1529132207123838</v>
      </c>
      <c r="H759" s="184">
        <f t="shared" ca="1" si="117"/>
        <v>0.27208787990856453</v>
      </c>
      <c r="I759" s="184">
        <f t="shared" ca="1" si="118"/>
        <v>0.39290033975775884</v>
      </c>
      <c r="J759" s="223">
        <f t="shared" ca="1" si="119"/>
        <v>0</v>
      </c>
      <c r="K759" s="220" t="str" cm="1">
        <f t="array" aca="1" ref="K759" ca="1">_xlfn.IFS(G759&lt;$B$11,"Fail",G759&lt;25,"Marginal",G759&lt;35,"Solid",TRUE,"Blowout")</f>
        <v>Fail</v>
      </c>
      <c r="L759" s="226">
        <f ca="1">IF(AND(E759&lt;$B$10,C759&gt;=$B$11),1,0)</f>
        <v>1</v>
      </c>
      <c r="M759" s="217" t="str" cm="1">
        <f t="array" aca="1" ref="M759" ca="1">_xlfn.IFS(C759&lt;$B$11,"Fail",C759&lt;25,"Marginal",C759&lt;35,"Solid",TRUE,"Blowout")</f>
        <v>Blowout</v>
      </c>
    </row>
    <row r="760" spans="1:13" x14ac:dyDescent="0.25">
      <c r="A760" s="169">
        <f t="shared" ca="1" si="110"/>
        <v>41.244857207450202</v>
      </c>
      <c r="B760" s="168">
        <f t="shared" ca="1" si="111"/>
        <v>5.4177942498971294</v>
      </c>
      <c r="C760" s="168">
        <f t="shared" ca="1" si="112"/>
        <v>35.827062957553075</v>
      </c>
      <c r="D760" s="184">
        <f t="shared" ca="1" si="113"/>
        <v>4.527869265555303</v>
      </c>
      <c r="E760" s="230">
        <f t="shared" ca="1" si="114"/>
        <v>4.8011784124963959E-6</v>
      </c>
      <c r="F760" s="168">
        <f t="shared" ca="1" si="115"/>
        <v>21.708509486765603</v>
      </c>
      <c r="G760" s="168">
        <f t="shared" ca="1" si="116"/>
        <v>16.290715236868472</v>
      </c>
      <c r="H760" s="184">
        <f t="shared" ca="1" si="117"/>
        <v>2.0588410755947733</v>
      </c>
      <c r="I760" s="184">
        <f t="shared" ca="1" si="118"/>
        <v>2.0322922483377744E-2</v>
      </c>
      <c r="J760" s="223">
        <f t="shared" ca="1" si="119"/>
        <v>0</v>
      </c>
      <c r="K760" s="220" t="str" cm="1">
        <f t="array" aca="1" ref="K760" ca="1">_xlfn.IFS(G760&lt;$B$11,"Fail",G760&lt;25,"Marginal",G760&lt;35,"Solid",TRUE,"Blowout")</f>
        <v>Fail</v>
      </c>
      <c r="L760" s="226">
        <f ca="1">IF(AND(E760&lt;$B$10,C760&gt;=$B$11),1,0)</f>
        <v>1</v>
      </c>
      <c r="M760" s="217" t="str" cm="1">
        <f t="array" aca="1" ref="M760" ca="1">_xlfn.IFS(C760&lt;$B$11,"Fail",C760&lt;25,"Marginal",C760&lt;35,"Solid",TRUE,"Blowout")</f>
        <v>Blowout</v>
      </c>
    </row>
    <row r="761" spans="1:13" x14ac:dyDescent="0.25">
      <c r="A761" s="169">
        <f t="shared" ca="1" si="110"/>
        <v>8.1450538975695519</v>
      </c>
      <c r="B761" s="168">
        <f t="shared" ca="1" si="111"/>
        <v>2.3965419487393684</v>
      </c>
      <c r="C761" s="168">
        <f t="shared" ca="1" si="112"/>
        <v>5.748511948830183</v>
      </c>
      <c r="D761" s="184">
        <f t="shared" ca="1" si="113"/>
        <v>0.72650416827702202</v>
      </c>
      <c r="E761" s="230">
        <f t="shared" ca="1" si="114"/>
        <v>0.23413747224904236</v>
      </c>
      <c r="F761" s="168">
        <f t="shared" ca="1" si="115"/>
        <v>24.46341540074738</v>
      </c>
      <c r="G761" s="168">
        <f t="shared" ca="1" si="116"/>
        <v>22.066873452008011</v>
      </c>
      <c r="H761" s="184">
        <f t="shared" ca="1" si="117"/>
        <v>2.7888392137704106</v>
      </c>
      <c r="I761" s="184">
        <f t="shared" ca="1" si="118"/>
        <v>2.8683516755933598E-3</v>
      </c>
      <c r="J761" s="223">
        <f t="shared" ca="1" si="119"/>
        <v>1</v>
      </c>
      <c r="K761" s="220" t="str" cm="1">
        <f t="array" aca="1" ref="K761" ca="1">_xlfn.IFS(G761&lt;$B$11,"Fail",G761&lt;25,"Marginal",G761&lt;35,"Solid",TRUE,"Blowout")</f>
        <v>Marginal</v>
      </c>
      <c r="L761" s="226">
        <f ca="1">IF(AND(E761&lt;$B$10,C761&gt;=$B$11),1,0)</f>
        <v>0</v>
      </c>
      <c r="M761" s="217" t="str" cm="1">
        <f t="array" aca="1" ref="M761" ca="1">_xlfn.IFS(C761&lt;$B$11,"Fail",C761&lt;25,"Marginal",C761&lt;35,"Solid",TRUE,"Blowout")</f>
        <v>Fail</v>
      </c>
    </row>
    <row r="762" spans="1:13" x14ac:dyDescent="0.25">
      <c r="A762" s="169">
        <f t="shared" ca="1" si="110"/>
        <v>7.7652972238255566</v>
      </c>
      <c r="B762" s="168">
        <f t="shared" ca="1" si="111"/>
        <v>5.1849321823372208E-2</v>
      </c>
      <c r="C762" s="168">
        <f t="shared" ca="1" si="112"/>
        <v>7.7134479020021844</v>
      </c>
      <c r="D762" s="184">
        <f t="shared" ca="1" si="113"/>
        <v>0.97483524475105532</v>
      </c>
      <c r="E762" s="230">
        <f t="shared" ca="1" si="114"/>
        <v>0.16533755985233128</v>
      </c>
      <c r="F762" s="168">
        <f t="shared" ca="1" si="115"/>
        <v>56.539990958108731</v>
      </c>
      <c r="G762" s="168">
        <f t="shared" ca="1" si="116"/>
        <v>56.488141636285363</v>
      </c>
      <c r="H762" s="184">
        <f t="shared" ca="1" si="117"/>
        <v>7.1390423682315713</v>
      </c>
      <c r="I762" s="184">
        <f t="shared" ca="1" si="118"/>
        <v>6.2268424844581871E-12</v>
      </c>
      <c r="J762" s="223">
        <f t="shared" ca="1" si="119"/>
        <v>1</v>
      </c>
      <c r="K762" s="220" t="str" cm="1">
        <f t="array" aca="1" ref="K762" ca="1">_xlfn.IFS(G762&lt;$B$11,"Fail",G762&lt;25,"Marginal",G762&lt;35,"Solid",TRUE,"Blowout")</f>
        <v>Blowout</v>
      </c>
      <c r="L762" s="226">
        <f ca="1">IF(AND(E762&lt;$B$10,C762&gt;=$B$11),1,0)</f>
        <v>0</v>
      </c>
      <c r="M762" s="217" t="str" cm="1">
        <f t="array" aca="1" ref="M762" ca="1">_xlfn.IFS(C762&lt;$B$11,"Fail",C762&lt;25,"Marginal",C762&lt;35,"Solid",TRUE,"Blowout")</f>
        <v>Fail</v>
      </c>
    </row>
    <row r="763" spans="1:13" x14ac:dyDescent="0.25">
      <c r="A763" s="169">
        <f t="shared" ca="1" si="110"/>
        <v>9.2297588220582263</v>
      </c>
      <c r="B763" s="168">
        <f t="shared" ca="1" si="111"/>
        <v>11.336777979760923</v>
      </c>
      <c r="C763" s="168">
        <f t="shared" ca="1" si="112"/>
        <v>-2.1070191577026964</v>
      </c>
      <c r="D763" s="184">
        <f t="shared" ca="1" si="113"/>
        <v>-0.26628773051816601</v>
      </c>
      <c r="E763" s="230">
        <f t="shared" ca="1" si="114"/>
        <v>0.60487086055156247</v>
      </c>
      <c r="F763" s="168">
        <f t="shared" ca="1" si="115"/>
        <v>25.392903159530288</v>
      </c>
      <c r="G763" s="168">
        <f t="shared" ca="1" si="116"/>
        <v>14.056125179769365</v>
      </c>
      <c r="H763" s="184">
        <f t="shared" ca="1" si="117"/>
        <v>1.7764307744031302</v>
      </c>
      <c r="I763" s="184">
        <f t="shared" ca="1" si="118"/>
        <v>3.849771619342042E-2</v>
      </c>
      <c r="J763" s="223">
        <f t="shared" ca="1" si="119"/>
        <v>0</v>
      </c>
      <c r="K763" s="220" t="str" cm="1">
        <f t="array" aca="1" ref="K763" ca="1">_xlfn.IFS(G763&lt;$B$11,"Fail",G763&lt;25,"Marginal",G763&lt;35,"Solid",TRUE,"Blowout")</f>
        <v>Fail</v>
      </c>
      <c r="L763" s="226">
        <f ca="1">IF(AND(E763&lt;$B$10,C763&gt;=$B$11),1,0)</f>
        <v>0</v>
      </c>
      <c r="M763" s="217" t="str" cm="1">
        <f t="array" aca="1" ref="M763" ca="1">_xlfn.IFS(C763&lt;$B$11,"Fail",C763&lt;25,"Marginal",C763&lt;35,"Solid",TRUE,"Blowout")</f>
        <v>Fail</v>
      </c>
    </row>
    <row r="764" spans="1:13" x14ac:dyDescent="0.25">
      <c r="A764" s="169">
        <f t="shared" ca="1" si="110"/>
        <v>57.310080484993641</v>
      </c>
      <c r="B764" s="168">
        <f t="shared" ca="1" si="111"/>
        <v>4.7201661429255113</v>
      </c>
      <c r="C764" s="168">
        <f t="shared" ca="1" si="112"/>
        <v>52.589914342068127</v>
      </c>
      <c r="D764" s="184">
        <f t="shared" ca="1" si="113"/>
        <v>6.6463795011540485</v>
      </c>
      <c r="E764" s="230">
        <f t="shared" ca="1" si="114"/>
        <v>1.094055987621608E-10</v>
      </c>
      <c r="F764" s="168">
        <f t="shared" ca="1" si="115"/>
        <v>-4.9300292011277165</v>
      </c>
      <c r="G764" s="168">
        <f t="shared" ca="1" si="116"/>
        <v>-9.6501953440532269</v>
      </c>
      <c r="H764" s="184">
        <f t="shared" ca="1" si="117"/>
        <v>-1.2196038217453637</v>
      </c>
      <c r="I764" s="184">
        <f t="shared" ca="1" si="118"/>
        <v>0.88806239327365188</v>
      </c>
      <c r="J764" s="223">
        <f t="shared" ca="1" si="119"/>
        <v>0</v>
      </c>
      <c r="K764" s="220" t="str" cm="1">
        <f t="array" aca="1" ref="K764" ca="1">_xlfn.IFS(G764&lt;$B$11,"Fail",G764&lt;25,"Marginal",G764&lt;35,"Solid",TRUE,"Blowout")</f>
        <v>Fail</v>
      </c>
      <c r="L764" s="226">
        <f ca="1">IF(AND(E764&lt;$B$10,C764&gt;=$B$11),1,0)</f>
        <v>1</v>
      </c>
      <c r="M764" s="217" t="str" cm="1">
        <f t="array" aca="1" ref="M764" ca="1">_xlfn.IFS(C764&lt;$B$11,"Fail",C764&lt;25,"Marginal",C764&lt;35,"Solid",TRUE,"Blowout")</f>
        <v>Blowout</v>
      </c>
    </row>
    <row r="765" spans="1:13" x14ac:dyDescent="0.25">
      <c r="A765" s="169">
        <f t="shared" ca="1" si="110"/>
        <v>49.690366759643041</v>
      </c>
      <c r="B765" s="168">
        <f t="shared" ca="1" si="111"/>
        <v>-2.6022457779745851</v>
      </c>
      <c r="C765" s="168">
        <f t="shared" ca="1" si="112"/>
        <v>52.292612537617629</v>
      </c>
      <c r="D765" s="184">
        <f t="shared" ca="1" si="113"/>
        <v>6.6088061252800498</v>
      </c>
      <c r="E765" s="230">
        <f t="shared" ca="1" si="114"/>
        <v>1.3541984660727368E-10</v>
      </c>
      <c r="F765" s="168">
        <f t="shared" ca="1" si="115"/>
        <v>56.493156348428663</v>
      </c>
      <c r="G765" s="168">
        <f t="shared" ca="1" si="116"/>
        <v>59.095402126403251</v>
      </c>
      <c r="H765" s="184">
        <f t="shared" ca="1" si="117"/>
        <v>7.4685512273442507</v>
      </c>
      <c r="I765" s="184">
        <f t="shared" ca="1" si="118"/>
        <v>8.5525211747789964E-13</v>
      </c>
      <c r="J765" s="223">
        <f t="shared" ca="1" si="119"/>
        <v>1</v>
      </c>
      <c r="K765" s="220" t="str" cm="1">
        <f t="array" aca="1" ref="K765" ca="1">_xlfn.IFS(G765&lt;$B$11,"Fail",G765&lt;25,"Marginal",G765&lt;35,"Solid",TRUE,"Blowout")</f>
        <v>Blowout</v>
      </c>
      <c r="L765" s="226">
        <f ca="1">IF(AND(E765&lt;$B$10,C765&gt;=$B$11),1,0)</f>
        <v>1</v>
      </c>
      <c r="M765" s="217" t="str" cm="1">
        <f t="array" aca="1" ref="M765" ca="1">_xlfn.IFS(C765&lt;$B$11,"Fail",C765&lt;25,"Marginal",C765&lt;35,"Solid",TRUE,"Blowout")</f>
        <v>Blowout</v>
      </c>
    </row>
    <row r="766" spans="1:13" x14ac:dyDescent="0.25">
      <c r="A766" s="169">
        <f t="shared" ca="1" si="110"/>
        <v>5.743622645689916</v>
      </c>
      <c r="B766" s="168">
        <f t="shared" ca="1" si="111"/>
        <v>8.0453117328234036</v>
      </c>
      <c r="C766" s="168">
        <f t="shared" ca="1" si="112"/>
        <v>-2.3016890871334876</v>
      </c>
      <c r="D766" s="184">
        <f t="shared" ca="1" si="113"/>
        <v>-0.29089036097776594</v>
      </c>
      <c r="E766" s="230">
        <f t="shared" ca="1" si="114"/>
        <v>0.61430019500455801</v>
      </c>
      <c r="F766" s="168">
        <f t="shared" ca="1" si="115"/>
        <v>26.598417025143156</v>
      </c>
      <c r="G766" s="168">
        <f t="shared" ca="1" si="116"/>
        <v>18.553105292319753</v>
      </c>
      <c r="H766" s="184">
        <f t="shared" ca="1" si="117"/>
        <v>2.3447647755339056</v>
      </c>
      <c r="I766" s="184">
        <f t="shared" ca="1" si="118"/>
        <v>9.9490978564393782E-3</v>
      </c>
      <c r="J766" s="223">
        <f t="shared" ca="1" si="119"/>
        <v>0</v>
      </c>
      <c r="K766" s="220" t="str" cm="1">
        <f t="array" aca="1" ref="K766" ca="1">_xlfn.IFS(G766&lt;$B$11,"Fail",G766&lt;25,"Marginal",G766&lt;35,"Solid",TRUE,"Blowout")</f>
        <v>Fail</v>
      </c>
      <c r="L766" s="226">
        <f ca="1">IF(AND(E766&lt;$B$10,C766&gt;=$B$11),1,0)</f>
        <v>0</v>
      </c>
      <c r="M766" s="217" t="str" cm="1">
        <f t="array" aca="1" ref="M766" ca="1">_xlfn.IFS(C766&lt;$B$11,"Fail",C766&lt;25,"Marginal",C766&lt;35,"Solid",TRUE,"Blowout")</f>
        <v>Fail</v>
      </c>
    </row>
    <row r="767" spans="1:13" x14ac:dyDescent="0.25">
      <c r="A767" s="169">
        <f t="shared" ca="1" si="110"/>
        <v>25.359300141388715</v>
      </c>
      <c r="B767" s="168">
        <f t="shared" ca="1" si="111"/>
        <v>15.352712129695114</v>
      </c>
      <c r="C767" s="168">
        <f t="shared" ca="1" si="112"/>
        <v>10.006588011693601</v>
      </c>
      <c r="D767" s="184">
        <f t="shared" ca="1" si="113"/>
        <v>1.2646451752102008</v>
      </c>
      <c r="E767" s="230">
        <f t="shared" ca="1" si="114"/>
        <v>0.10364485113797725</v>
      </c>
      <c r="F767" s="168">
        <f t="shared" ca="1" si="115"/>
        <v>34.451970437384915</v>
      </c>
      <c r="G767" s="168">
        <f t="shared" ca="1" si="116"/>
        <v>19.099258307689801</v>
      </c>
      <c r="H767" s="184">
        <f t="shared" ca="1" si="117"/>
        <v>2.4137882803496429</v>
      </c>
      <c r="I767" s="184">
        <f t="shared" ca="1" si="118"/>
        <v>8.2885752213574283E-3</v>
      </c>
      <c r="J767" s="223">
        <f t="shared" ca="1" si="119"/>
        <v>0</v>
      </c>
      <c r="K767" s="220" t="str" cm="1">
        <f t="array" aca="1" ref="K767" ca="1">_xlfn.IFS(G767&lt;$B$11,"Fail",G767&lt;25,"Marginal",G767&lt;35,"Solid",TRUE,"Blowout")</f>
        <v>Fail</v>
      </c>
      <c r="L767" s="226">
        <f ca="1">IF(AND(E767&lt;$B$10,C767&gt;=$B$11),1,0)</f>
        <v>0</v>
      </c>
      <c r="M767" s="217" t="str" cm="1">
        <f t="array" aca="1" ref="M767" ca="1">_xlfn.IFS(C767&lt;$B$11,"Fail",C767&lt;25,"Marginal",C767&lt;35,"Solid",TRUE,"Blowout")</f>
        <v>Fail</v>
      </c>
    </row>
    <row r="768" spans="1:13" x14ac:dyDescent="0.25">
      <c r="A768" s="169">
        <f t="shared" ca="1" si="110"/>
        <v>-0.42820403788343153</v>
      </c>
      <c r="B768" s="168">
        <f t="shared" ca="1" si="111"/>
        <v>10.260098909766239</v>
      </c>
      <c r="C768" s="168">
        <f t="shared" ca="1" si="112"/>
        <v>-10.688302947649671</v>
      </c>
      <c r="D768" s="184">
        <f t="shared" ca="1" si="113"/>
        <v>-1.350801166005275</v>
      </c>
      <c r="E768" s="230">
        <f t="shared" ca="1" si="114"/>
        <v>0.91095090510178189</v>
      </c>
      <c r="F768" s="168">
        <f t="shared" ca="1" si="115"/>
        <v>25.648809703368116</v>
      </c>
      <c r="G768" s="168">
        <f t="shared" ca="1" si="116"/>
        <v>15.388710793601877</v>
      </c>
      <c r="H768" s="184">
        <f t="shared" ca="1" si="117"/>
        <v>1.9448446198735789</v>
      </c>
      <c r="I768" s="184">
        <f t="shared" ca="1" si="118"/>
        <v>2.6511680584204098E-2</v>
      </c>
      <c r="J768" s="223">
        <f t="shared" ca="1" si="119"/>
        <v>0</v>
      </c>
      <c r="K768" s="220" t="str" cm="1">
        <f t="array" aca="1" ref="K768" ca="1">_xlfn.IFS(G768&lt;$B$11,"Fail",G768&lt;25,"Marginal",G768&lt;35,"Solid",TRUE,"Blowout")</f>
        <v>Fail</v>
      </c>
      <c r="L768" s="226">
        <f ca="1">IF(AND(E768&lt;$B$10,C768&gt;=$B$11),1,0)</f>
        <v>0</v>
      </c>
      <c r="M768" s="217" t="str" cm="1">
        <f t="array" aca="1" ref="M768" ca="1">_xlfn.IFS(C768&lt;$B$11,"Fail",C768&lt;25,"Marginal",C768&lt;35,"Solid",TRUE,"Blowout")</f>
        <v>Fail</v>
      </c>
    </row>
    <row r="769" spans="1:13" x14ac:dyDescent="0.25">
      <c r="A769" s="169">
        <f t="shared" ca="1" si="110"/>
        <v>48.378116386332096</v>
      </c>
      <c r="B769" s="168">
        <f t="shared" ca="1" si="111"/>
        <v>0.81102701723804849</v>
      </c>
      <c r="C769" s="168">
        <f t="shared" ca="1" si="112"/>
        <v>47.567089369094049</v>
      </c>
      <c r="D769" s="184">
        <f t="shared" ca="1" si="113"/>
        <v>6.0115885653651473</v>
      </c>
      <c r="E769" s="230">
        <f t="shared" ca="1" si="114"/>
        <v>3.6126497015554348E-9</v>
      </c>
      <c r="F769" s="168">
        <f t="shared" ca="1" si="115"/>
        <v>36.758271215404918</v>
      </c>
      <c r="G769" s="168">
        <f t="shared" ca="1" si="116"/>
        <v>35.947244198166871</v>
      </c>
      <c r="H769" s="184">
        <f t="shared" ca="1" si="117"/>
        <v>4.5430579218600693</v>
      </c>
      <c r="I769" s="184">
        <f t="shared" ca="1" si="118"/>
        <v>4.4945592518312822E-6</v>
      </c>
      <c r="J769" s="223">
        <f t="shared" ca="1" si="119"/>
        <v>1</v>
      </c>
      <c r="K769" s="220" t="str" cm="1">
        <f t="array" aca="1" ref="K769" ca="1">_xlfn.IFS(G769&lt;$B$11,"Fail",G769&lt;25,"Marginal",G769&lt;35,"Solid",TRUE,"Blowout")</f>
        <v>Blowout</v>
      </c>
      <c r="L769" s="226">
        <f ca="1">IF(AND(E769&lt;$B$10,C769&gt;=$B$11),1,0)</f>
        <v>1</v>
      </c>
      <c r="M769" s="217" t="str" cm="1">
        <f t="array" aca="1" ref="M769" ca="1">_xlfn.IFS(C769&lt;$B$11,"Fail",C769&lt;25,"Marginal",C769&lt;35,"Solid",TRUE,"Blowout")</f>
        <v>Blowout</v>
      </c>
    </row>
    <row r="770" spans="1:13" x14ac:dyDescent="0.25">
      <c r="A770" s="169">
        <f t="shared" ca="1" si="110"/>
        <v>4.1974827698102297</v>
      </c>
      <c r="B770" s="168">
        <f t="shared" ca="1" si="111"/>
        <v>-0.14495122596989951</v>
      </c>
      <c r="C770" s="168">
        <f t="shared" ca="1" si="112"/>
        <v>4.3424339957801292</v>
      </c>
      <c r="D770" s="184">
        <f t="shared" ca="1" si="113"/>
        <v>0.54880226856693004</v>
      </c>
      <c r="E770" s="230">
        <f t="shared" ca="1" si="114"/>
        <v>0.29183908565961891</v>
      </c>
      <c r="F770" s="168">
        <f t="shared" ca="1" si="115"/>
        <v>3.2329350625379032</v>
      </c>
      <c r="G770" s="168">
        <f t="shared" ca="1" si="116"/>
        <v>3.3778862885078027</v>
      </c>
      <c r="H770" s="184">
        <f t="shared" ca="1" si="117"/>
        <v>0.42690151649873753</v>
      </c>
      <c r="I770" s="184">
        <f t="shared" ca="1" si="118"/>
        <v>0.33492694844195148</v>
      </c>
      <c r="J770" s="223">
        <f t="shared" ca="1" si="119"/>
        <v>0</v>
      </c>
      <c r="K770" s="220" t="str" cm="1">
        <f t="array" aca="1" ref="K770" ca="1">_xlfn.IFS(G770&lt;$B$11,"Fail",G770&lt;25,"Marginal",G770&lt;35,"Solid",TRUE,"Blowout")</f>
        <v>Fail</v>
      </c>
      <c r="L770" s="226">
        <f ca="1">IF(AND(E770&lt;$B$10,C770&gt;=$B$11),1,0)</f>
        <v>0</v>
      </c>
      <c r="M770" s="217" t="str" cm="1">
        <f t="array" aca="1" ref="M770" ca="1">_xlfn.IFS(C770&lt;$B$11,"Fail",C770&lt;25,"Marginal",C770&lt;35,"Solid",TRUE,"Blowout")</f>
        <v>Fail</v>
      </c>
    </row>
    <row r="771" spans="1:13" x14ac:dyDescent="0.25">
      <c r="A771" s="169">
        <f t="shared" ca="1" si="110"/>
        <v>2.0837548737098133</v>
      </c>
      <c r="B771" s="168">
        <f t="shared" ca="1" si="111"/>
        <v>-1.5579634705471923</v>
      </c>
      <c r="C771" s="168">
        <f t="shared" ca="1" si="112"/>
        <v>3.6417183442570056</v>
      </c>
      <c r="D771" s="184">
        <f t="shared" ca="1" si="113"/>
        <v>0.46024494344697536</v>
      </c>
      <c r="E771" s="230">
        <f t="shared" ca="1" si="114"/>
        <v>0.32288951880845607</v>
      </c>
      <c r="F771" s="168">
        <f t="shared" ca="1" si="115"/>
        <v>3.0619068351953782</v>
      </c>
      <c r="G771" s="168">
        <f t="shared" ca="1" si="116"/>
        <v>4.6198703057425705</v>
      </c>
      <c r="H771" s="184">
        <f t="shared" ca="1" si="117"/>
        <v>0.58386501826863779</v>
      </c>
      <c r="I771" s="184">
        <f t="shared" ca="1" si="118"/>
        <v>0.2799441527655796</v>
      </c>
      <c r="J771" s="223">
        <f t="shared" ca="1" si="119"/>
        <v>0</v>
      </c>
      <c r="K771" s="220" t="str" cm="1">
        <f t="array" aca="1" ref="K771" ca="1">_xlfn.IFS(G771&lt;$B$11,"Fail",G771&lt;25,"Marginal",G771&lt;35,"Solid",TRUE,"Blowout")</f>
        <v>Fail</v>
      </c>
      <c r="L771" s="226">
        <f ca="1">IF(AND(E771&lt;$B$10,C771&gt;=$B$11),1,0)</f>
        <v>0</v>
      </c>
      <c r="M771" s="217" t="str" cm="1">
        <f t="array" aca="1" ref="M771" ca="1">_xlfn.IFS(C771&lt;$B$11,"Fail",C771&lt;25,"Marginal",C771&lt;35,"Solid",TRUE,"Blowout")</f>
        <v>Fail</v>
      </c>
    </row>
    <row r="772" spans="1:13" x14ac:dyDescent="0.25">
      <c r="A772" s="169">
        <f t="shared" ca="1" si="110"/>
        <v>50.497011396192185</v>
      </c>
      <c r="B772" s="168">
        <f t="shared" ca="1" si="111"/>
        <v>14.109366354672567</v>
      </c>
      <c r="C772" s="168">
        <f t="shared" ca="1" si="112"/>
        <v>36.387645041519619</v>
      </c>
      <c r="D772" s="184">
        <f t="shared" ca="1" si="113"/>
        <v>4.5987163342033881</v>
      </c>
      <c r="E772" s="230">
        <f t="shared" ca="1" si="114"/>
        <v>3.5240521441461575E-6</v>
      </c>
      <c r="F772" s="168">
        <f t="shared" ca="1" si="115"/>
        <v>29.506791940498388</v>
      </c>
      <c r="G772" s="168">
        <f t="shared" ca="1" si="116"/>
        <v>15.397425585825822</v>
      </c>
      <c r="H772" s="184">
        <f t="shared" ca="1" si="117"/>
        <v>1.9459460062728282</v>
      </c>
      <c r="I772" s="184">
        <f t="shared" ca="1" si="118"/>
        <v>2.6445040208947685E-2</v>
      </c>
      <c r="J772" s="223">
        <f t="shared" ca="1" si="119"/>
        <v>0</v>
      </c>
      <c r="K772" s="220" t="str" cm="1">
        <f t="array" aca="1" ref="K772" ca="1">_xlfn.IFS(G772&lt;$B$11,"Fail",G772&lt;25,"Marginal",G772&lt;35,"Solid",TRUE,"Blowout")</f>
        <v>Fail</v>
      </c>
      <c r="L772" s="226">
        <f ca="1">IF(AND(E772&lt;$B$10,C772&gt;=$B$11),1,0)</f>
        <v>1</v>
      </c>
      <c r="M772" s="217" t="str" cm="1">
        <f t="array" aca="1" ref="M772" ca="1">_xlfn.IFS(C772&lt;$B$11,"Fail",C772&lt;25,"Marginal",C772&lt;35,"Solid",TRUE,"Blowout")</f>
        <v>Blowout</v>
      </c>
    </row>
    <row r="773" spans="1:13" x14ac:dyDescent="0.25">
      <c r="A773" s="169">
        <f t="shared" ca="1" si="110"/>
        <v>37.29459718113327</v>
      </c>
      <c r="B773" s="168">
        <f t="shared" ca="1" si="111"/>
        <v>-1.5943655774682695</v>
      </c>
      <c r="C773" s="168">
        <f t="shared" ca="1" si="112"/>
        <v>38.888962758601537</v>
      </c>
      <c r="D773" s="184">
        <f t="shared" ca="1" si="113"/>
        <v>4.9148360124472479</v>
      </c>
      <c r="E773" s="230">
        <f t="shared" ca="1" si="114"/>
        <v>8.4887361603420821E-7</v>
      </c>
      <c r="F773" s="168">
        <f t="shared" ca="1" si="115"/>
        <v>31.257053225004057</v>
      </c>
      <c r="G773" s="168">
        <f t="shared" ca="1" si="116"/>
        <v>32.851418802472324</v>
      </c>
      <c r="H773" s="184">
        <f t="shared" ca="1" si="117"/>
        <v>4.1518036156586797</v>
      </c>
      <c r="I773" s="184">
        <f t="shared" ca="1" si="118"/>
        <v>2.3310582621118348E-5</v>
      </c>
      <c r="J773" s="223">
        <f t="shared" ca="1" si="119"/>
        <v>1</v>
      </c>
      <c r="K773" s="220" t="str" cm="1">
        <f t="array" aca="1" ref="K773" ca="1">_xlfn.IFS(G773&lt;$B$11,"Fail",G773&lt;25,"Marginal",G773&lt;35,"Solid",TRUE,"Blowout")</f>
        <v>Solid</v>
      </c>
      <c r="L773" s="226">
        <f ca="1">IF(AND(E773&lt;$B$10,C773&gt;=$B$11),1,0)</f>
        <v>1</v>
      </c>
      <c r="M773" s="217" t="str" cm="1">
        <f t="array" aca="1" ref="M773" ca="1">_xlfn.IFS(C773&lt;$B$11,"Fail",C773&lt;25,"Marginal",C773&lt;35,"Solid",TRUE,"Blowout")</f>
        <v>Blowout</v>
      </c>
    </row>
    <row r="774" spans="1:13" x14ac:dyDescent="0.25">
      <c r="A774" s="169">
        <f t="shared" ca="1" si="110"/>
        <v>5.1976916724501763</v>
      </c>
      <c r="B774" s="168">
        <f t="shared" ca="1" si="111"/>
        <v>6.9800881596287336</v>
      </c>
      <c r="C774" s="168">
        <f t="shared" ca="1" si="112"/>
        <v>-1.7823964871785574</v>
      </c>
      <c r="D774" s="184">
        <f t="shared" ca="1" si="113"/>
        <v>-0.22526150923650048</v>
      </c>
      <c r="E774" s="230">
        <f t="shared" ca="1" si="114"/>
        <v>0.58901119317859807</v>
      </c>
      <c r="F774" s="168">
        <f t="shared" ca="1" si="115"/>
        <v>37.14127024578022</v>
      </c>
      <c r="G774" s="168">
        <f t="shared" ca="1" si="116"/>
        <v>30.161182086151484</v>
      </c>
      <c r="H774" s="184">
        <f t="shared" ca="1" si="117"/>
        <v>3.811808116744094</v>
      </c>
      <c r="I774" s="184">
        <f t="shared" ca="1" si="118"/>
        <v>8.8771413044897379E-5</v>
      </c>
      <c r="J774" s="223">
        <f t="shared" ca="1" si="119"/>
        <v>1</v>
      </c>
      <c r="K774" s="220" t="str" cm="1">
        <f t="array" aca="1" ref="K774" ca="1">_xlfn.IFS(G774&lt;$B$11,"Fail",G774&lt;25,"Marginal",G774&lt;35,"Solid",TRUE,"Blowout")</f>
        <v>Solid</v>
      </c>
      <c r="L774" s="226">
        <f ca="1">IF(AND(E774&lt;$B$10,C774&gt;=$B$11),1,0)</f>
        <v>0</v>
      </c>
      <c r="M774" s="217" t="str" cm="1">
        <f t="array" aca="1" ref="M774" ca="1">_xlfn.IFS(C774&lt;$B$11,"Fail",C774&lt;25,"Marginal",C774&lt;35,"Solid",TRUE,"Blowout")</f>
        <v>Fail</v>
      </c>
    </row>
    <row r="775" spans="1:13" x14ac:dyDescent="0.25">
      <c r="A775" s="169">
        <f t="shared" ca="1" si="110"/>
        <v>37.749152926422802</v>
      </c>
      <c r="B775" s="168">
        <f t="shared" ca="1" si="111"/>
        <v>3.0491034350333965</v>
      </c>
      <c r="C775" s="168">
        <f t="shared" ca="1" si="112"/>
        <v>34.700049491389407</v>
      </c>
      <c r="D775" s="184">
        <f t="shared" ca="1" si="113"/>
        <v>4.3854358865938377</v>
      </c>
      <c r="E775" s="230">
        <f t="shared" ca="1" si="114"/>
        <v>8.8424142519548106E-6</v>
      </c>
      <c r="F775" s="168">
        <f t="shared" ca="1" si="115"/>
        <v>22.4447027957251</v>
      </c>
      <c r="G775" s="168">
        <f t="shared" ca="1" si="116"/>
        <v>19.395599360691705</v>
      </c>
      <c r="H775" s="184">
        <f t="shared" ca="1" si="117"/>
        <v>2.4512402352475182</v>
      </c>
      <c r="I775" s="184">
        <f t="shared" ca="1" si="118"/>
        <v>7.494306363719571E-3</v>
      </c>
      <c r="J775" s="223">
        <f t="shared" ca="1" si="119"/>
        <v>0</v>
      </c>
      <c r="K775" s="220" t="str" cm="1">
        <f t="array" aca="1" ref="K775" ca="1">_xlfn.IFS(G775&lt;$B$11,"Fail",G775&lt;25,"Marginal",G775&lt;35,"Solid",TRUE,"Blowout")</f>
        <v>Fail</v>
      </c>
      <c r="L775" s="226">
        <f ca="1">IF(AND(E775&lt;$B$10,C775&gt;=$B$11),1,0)</f>
        <v>1</v>
      </c>
      <c r="M775" s="217" t="str" cm="1">
        <f t="array" aca="1" ref="M775" ca="1">_xlfn.IFS(C775&lt;$B$11,"Fail",C775&lt;25,"Marginal",C775&lt;35,"Solid",TRUE,"Blowout")</f>
        <v>Solid</v>
      </c>
    </row>
    <row r="776" spans="1:13" x14ac:dyDescent="0.25">
      <c r="A776" s="169">
        <f t="shared" ca="1" si="110"/>
        <v>2.2106551478817513</v>
      </c>
      <c r="B776" s="168">
        <f t="shared" ca="1" si="111"/>
        <v>7.8440364773748268</v>
      </c>
      <c r="C776" s="168">
        <f t="shared" ca="1" si="112"/>
        <v>-5.6333813294930755</v>
      </c>
      <c r="D776" s="184">
        <f t="shared" ca="1" si="113"/>
        <v>-0.71195381583985873</v>
      </c>
      <c r="E776" s="230">
        <f t="shared" ca="1" si="114"/>
        <v>0.76138938763639374</v>
      </c>
      <c r="F776" s="168">
        <f t="shared" ca="1" si="115"/>
        <v>47.664884598340109</v>
      </c>
      <c r="G776" s="168">
        <f t="shared" ca="1" si="116"/>
        <v>39.82084812096528</v>
      </c>
      <c r="H776" s="184">
        <f t="shared" ca="1" si="117"/>
        <v>5.0326088562962328</v>
      </c>
      <c r="I776" s="184">
        <f t="shared" ca="1" si="118"/>
        <v>4.9064575801858992E-7</v>
      </c>
      <c r="J776" s="223">
        <f t="shared" ca="1" si="119"/>
        <v>1</v>
      </c>
      <c r="K776" s="220" t="str" cm="1">
        <f t="array" aca="1" ref="K776" ca="1">_xlfn.IFS(G776&lt;$B$11,"Fail",G776&lt;25,"Marginal",G776&lt;35,"Solid",TRUE,"Blowout")</f>
        <v>Blowout</v>
      </c>
      <c r="L776" s="226">
        <f ca="1">IF(AND(E776&lt;$B$10,C776&gt;=$B$11),1,0)</f>
        <v>0</v>
      </c>
      <c r="M776" s="217" t="str" cm="1">
        <f t="array" aca="1" ref="M776" ca="1">_xlfn.IFS(C776&lt;$B$11,"Fail",C776&lt;25,"Marginal",C776&lt;35,"Solid",TRUE,"Blowout")</f>
        <v>Fail</v>
      </c>
    </row>
    <row r="777" spans="1:13" x14ac:dyDescent="0.25">
      <c r="A777" s="169">
        <f t="shared" ca="1" si="110"/>
        <v>37.197140453313047</v>
      </c>
      <c r="B777" s="168">
        <f t="shared" ca="1" si="111"/>
        <v>15.062563701171001</v>
      </c>
      <c r="C777" s="168">
        <f t="shared" ca="1" si="112"/>
        <v>22.134576752142046</v>
      </c>
      <c r="D777" s="184">
        <f t="shared" ca="1" si="113"/>
        <v>2.7973956419715376</v>
      </c>
      <c r="E777" s="230">
        <f t="shared" ca="1" si="114"/>
        <v>2.7959593806164392E-3</v>
      </c>
      <c r="F777" s="168">
        <f t="shared" ca="1" si="115"/>
        <v>40.644089773777047</v>
      </c>
      <c r="G777" s="168">
        <f t="shared" ca="1" si="116"/>
        <v>25.581526072606046</v>
      </c>
      <c r="H777" s="184">
        <f t="shared" ca="1" si="117"/>
        <v>3.2330254312888149</v>
      </c>
      <c r="I777" s="184">
        <f t="shared" ca="1" si="118"/>
        <v>7.0310337853999108E-4</v>
      </c>
      <c r="J777" s="223">
        <f t="shared" ca="1" si="119"/>
        <v>1</v>
      </c>
      <c r="K777" s="220" t="str" cm="1">
        <f t="array" aca="1" ref="K777" ca="1">_xlfn.IFS(G777&lt;$B$11,"Fail",G777&lt;25,"Marginal",G777&lt;35,"Solid",TRUE,"Blowout")</f>
        <v>Solid</v>
      </c>
      <c r="L777" s="226">
        <f ca="1">IF(AND(E777&lt;$B$10,C777&gt;=$B$11),1,0)</f>
        <v>1</v>
      </c>
      <c r="M777" s="217" t="str" cm="1">
        <f t="array" aca="1" ref="M777" ca="1">_xlfn.IFS(C777&lt;$B$11,"Fail",C777&lt;25,"Marginal",C777&lt;35,"Solid",TRUE,"Blowout")</f>
        <v>Marginal</v>
      </c>
    </row>
    <row r="778" spans="1:13" x14ac:dyDescent="0.25">
      <c r="A778" s="169">
        <f t="shared" ca="1" si="110"/>
        <v>59.120723304779411</v>
      </c>
      <c r="B778" s="168">
        <f t="shared" ca="1" si="111"/>
        <v>3.69389238278651</v>
      </c>
      <c r="C778" s="168">
        <f t="shared" ca="1" si="112"/>
        <v>55.426830921992902</v>
      </c>
      <c r="D778" s="184">
        <f t="shared" ca="1" si="113"/>
        <v>7.0049125856662862</v>
      </c>
      <c r="E778" s="230">
        <f t="shared" ca="1" si="114"/>
        <v>1.3758400807515224E-11</v>
      </c>
      <c r="F778" s="168">
        <f t="shared" ca="1" si="115"/>
        <v>34.354267917922137</v>
      </c>
      <c r="G778" s="168">
        <f t="shared" ca="1" si="116"/>
        <v>30.660375535135628</v>
      </c>
      <c r="H778" s="184">
        <f t="shared" ca="1" si="117"/>
        <v>3.8748968125129815</v>
      </c>
      <c r="I778" s="184">
        <f t="shared" ca="1" si="118"/>
        <v>6.9729786972584046E-5</v>
      </c>
      <c r="J778" s="223">
        <f t="shared" ca="1" si="119"/>
        <v>1</v>
      </c>
      <c r="K778" s="220" t="str" cm="1">
        <f t="array" aca="1" ref="K778" ca="1">_xlfn.IFS(G778&lt;$B$11,"Fail",G778&lt;25,"Marginal",G778&lt;35,"Solid",TRUE,"Blowout")</f>
        <v>Solid</v>
      </c>
      <c r="L778" s="226">
        <f ca="1">IF(AND(E778&lt;$B$10,C778&gt;=$B$11),1,0)</f>
        <v>1</v>
      </c>
      <c r="M778" s="217" t="str" cm="1">
        <f t="array" aca="1" ref="M778" ca="1">_xlfn.IFS(C778&lt;$B$11,"Fail",C778&lt;25,"Marginal",C778&lt;35,"Solid",TRUE,"Blowout")</f>
        <v>Blowout</v>
      </c>
    </row>
    <row r="779" spans="1:13" x14ac:dyDescent="0.25">
      <c r="A779" s="169">
        <f t="shared" ca="1" si="110"/>
        <v>27.533295221003645</v>
      </c>
      <c r="B779" s="168">
        <f t="shared" ca="1" si="111"/>
        <v>4.5325895734975106</v>
      </c>
      <c r="C779" s="168">
        <f t="shared" ca="1" si="112"/>
        <v>23.000705647506134</v>
      </c>
      <c r="D779" s="184">
        <f t="shared" ca="1" si="113"/>
        <v>2.9068581008388681</v>
      </c>
      <c r="E779" s="230">
        <f t="shared" ca="1" si="114"/>
        <v>2.0054317811780851E-3</v>
      </c>
      <c r="F779" s="168">
        <f t="shared" ca="1" si="115"/>
        <v>35.094163155038316</v>
      </c>
      <c r="G779" s="168">
        <f t="shared" ca="1" si="116"/>
        <v>30.561573581540806</v>
      </c>
      <c r="H779" s="184">
        <f t="shared" ca="1" si="117"/>
        <v>3.8624100973840068</v>
      </c>
      <c r="I779" s="184">
        <f t="shared" ca="1" si="118"/>
        <v>7.3160614543450549E-5</v>
      </c>
      <c r="J779" s="223">
        <f t="shared" ca="1" si="119"/>
        <v>1</v>
      </c>
      <c r="K779" s="220" t="str" cm="1">
        <f t="array" aca="1" ref="K779" ca="1">_xlfn.IFS(G779&lt;$B$11,"Fail",G779&lt;25,"Marginal",G779&lt;35,"Solid",TRUE,"Blowout")</f>
        <v>Solid</v>
      </c>
      <c r="L779" s="226">
        <f ca="1">IF(AND(E779&lt;$B$10,C779&gt;=$B$11),1,0)</f>
        <v>1</v>
      </c>
      <c r="M779" s="217" t="str" cm="1">
        <f t="array" aca="1" ref="M779" ca="1">_xlfn.IFS(C779&lt;$B$11,"Fail",C779&lt;25,"Marginal",C779&lt;35,"Solid",TRUE,"Blowout")</f>
        <v>Marginal</v>
      </c>
    </row>
    <row r="780" spans="1:13" x14ac:dyDescent="0.25">
      <c r="A780" s="169">
        <f t="shared" ca="1" si="110"/>
        <v>-0.14968861403705913</v>
      </c>
      <c r="B780" s="168">
        <f t="shared" ca="1" si="111"/>
        <v>9.9548824435713374</v>
      </c>
      <c r="C780" s="168">
        <f t="shared" ca="1" si="112"/>
        <v>-10.104571057608396</v>
      </c>
      <c r="D780" s="184">
        <f t="shared" ca="1" si="113"/>
        <v>-1.2770283957568787</v>
      </c>
      <c r="E780" s="230">
        <f t="shared" ca="1" si="114"/>
        <v>0.89855439707800699</v>
      </c>
      <c r="F780" s="168">
        <f t="shared" ca="1" si="115"/>
        <v>30.998249452477232</v>
      </c>
      <c r="G780" s="168">
        <f t="shared" ca="1" si="116"/>
        <v>21.043367008905896</v>
      </c>
      <c r="H780" s="184">
        <f t="shared" ca="1" si="117"/>
        <v>2.6594871825332844</v>
      </c>
      <c r="I780" s="184">
        <f t="shared" ca="1" si="118"/>
        <v>4.1905751652663763E-3</v>
      </c>
      <c r="J780" s="223">
        <f t="shared" ca="1" si="119"/>
        <v>1</v>
      </c>
      <c r="K780" s="220" t="str" cm="1">
        <f t="array" aca="1" ref="K780" ca="1">_xlfn.IFS(G780&lt;$B$11,"Fail",G780&lt;25,"Marginal",G780&lt;35,"Solid",TRUE,"Blowout")</f>
        <v>Marginal</v>
      </c>
      <c r="L780" s="226">
        <f ca="1">IF(AND(E780&lt;$B$10,C780&gt;=$B$11),1,0)</f>
        <v>0</v>
      </c>
      <c r="M780" s="217" t="str" cm="1">
        <f t="array" aca="1" ref="M780" ca="1">_xlfn.IFS(C780&lt;$B$11,"Fail",C780&lt;25,"Marginal",C780&lt;35,"Solid",TRUE,"Blowout")</f>
        <v>Fail</v>
      </c>
    </row>
    <row r="781" spans="1:13" x14ac:dyDescent="0.25">
      <c r="A781" s="169">
        <f t="shared" ca="1" si="110"/>
        <v>15.514408159895964</v>
      </c>
      <c r="B781" s="168">
        <f t="shared" ca="1" si="111"/>
        <v>4.0220451892517142</v>
      </c>
      <c r="C781" s="168">
        <f t="shared" ca="1" si="112"/>
        <v>11.492362970644251</v>
      </c>
      <c r="D781" s="184">
        <f t="shared" ca="1" si="113"/>
        <v>1.4524192827370939</v>
      </c>
      <c r="E781" s="230">
        <f t="shared" ca="1" si="114"/>
        <v>7.3879914897043888E-2</v>
      </c>
      <c r="F781" s="168">
        <f t="shared" ca="1" si="115"/>
        <v>3.762666499365606</v>
      </c>
      <c r="G781" s="168">
        <f t="shared" ca="1" si="116"/>
        <v>-0.25937868988610813</v>
      </c>
      <c r="H781" s="184">
        <f t="shared" ca="1" si="117"/>
        <v>-3.278060497079386E-2</v>
      </c>
      <c r="I781" s="184">
        <f t="shared" ca="1" si="118"/>
        <v>0.51306088833067875</v>
      </c>
      <c r="J781" s="223">
        <f t="shared" ca="1" si="119"/>
        <v>0</v>
      </c>
      <c r="K781" s="220" t="str" cm="1">
        <f t="array" aca="1" ref="K781" ca="1">_xlfn.IFS(G781&lt;$B$11,"Fail",G781&lt;25,"Marginal",G781&lt;35,"Solid",TRUE,"Blowout")</f>
        <v>Fail</v>
      </c>
      <c r="L781" s="226">
        <f ca="1">IF(AND(E781&lt;$B$10,C781&gt;=$B$11),1,0)</f>
        <v>0</v>
      </c>
      <c r="M781" s="217" t="str" cm="1">
        <f t="array" aca="1" ref="M781" ca="1">_xlfn.IFS(C781&lt;$B$11,"Fail",C781&lt;25,"Marginal",C781&lt;35,"Solid",TRUE,"Blowout")</f>
        <v>Fail</v>
      </c>
    </row>
    <row r="782" spans="1:13" x14ac:dyDescent="0.25">
      <c r="A782" s="169">
        <f t="shared" ca="1" si="110"/>
        <v>34.188468629772224</v>
      </c>
      <c r="B782" s="168">
        <f t="shared" ca="1" si="111"/>
        <v>7.7609380191978037</v>
      </c>
      <c r="C782" s="168">
        <f t="shared" ca="1" si="112"/>
        <v>26.427530610574422</v>
      </c>
      <c r="D782" s="184">
        <f t="shared" ca="1" si="113"/>
        <v>3.3399445485640915</v>
      </c>
      <c r="E782" s="230">
        <f t="shared" ca="1" si="114"/>
        <v>4.8942227668751382E-4</v>
      </c>
      <c r="F782" s="168">
        <f t="shared" ca="1" si="115"/>
        <v>33.454751086317131</v>
      </c>
      <c r="G782" s="168">
        <f t="shared" ca="1" si="116"/>
        <v>25.693813067119329</v>
      </c>
      <c r="H782" s="184">
        <f t="shared" ca="1" si="117"/>
        <v>3.2472164028451673</v>
      </c>
      <c r="I782" s="184">
        <f t="shared" ca="1" si="118"/>
        <v>6.7044946886634542E-4</v>
      </c>
      <c r="J782" s="223">
        <f t="shared" ca="1" si="119"/>
        <v>1</v>
      </c>
      <c r="K782" s="220" t="str" cm="1">
        <f t="array" aca="1" ref="K782" ca="1">_xlfn.IFS(G782&lt;$B$11,"Fail",G782&lt;25,"Marginal",G782&lt;35,"Solid",TRUE,"Blowout")</f>
        <v>Solid</v>
      </c>
      <c r="L782" s="226">
        <f ca="1">IF(AND(E782&lt;$B$10,C782&gt;=$B$11),1,0)</f>
        <v>1</v>
      </c>
      <c r="M782" s="217" t="str" cm="1">
        <f t="array" aca="1" ref="M782" ca="1">_xlfn.IFS(C782&lt;$B$11,"Fail",C782&lt;25,"Marginal",C782&lt;35,"Solid",TRUE,"Blowout")</f>
        <v>Solid</v>
      </c>
    </row>
    <row r="783" spans="1:13" x14ac:dyDescent="0.25">
      <c r="A783" s="169">
        <f t="shared" ca="1" si="110"/>
        <v>22.905928246626289</v>
      </c>
      <c r="B783" s="168">
        <f t="shared" ca="1" si="111"/>
        <v>4.8692779762876333</v>
      </c>
      <c r="C783" s="168">
        <f t="shared" ca="1" si="112"/>
        <v>18.036650270338654</v>
      </c>
      <c r="D783" s="184">
        <f t="shared" ca="1" si="113"/>
        <v>2.2794945404649458</v>
      </c>
      <c r="E783" s="230">
        <f t="shared" ca="1" si="114"/>
        <v>1.1781346316051254E-2</v>
      </c>
      <c r="F783" s="168">
        <f t="shared" ca="1" si="115"/>
        <v>33.657790950825031</v>
      </c>
      <c r="G783" s="168">
        <f t="shared" ca="1" si="116"/>
        <v>28.788512974537397</v>
      </c>
      <c r="H783" s="184">
        <f t="shared" ca="1" si="117"/>
        <v>3.6383284684229853</v>
      </c>
      <c r="I783" s="184">
        <f t="shared" ca="1" si="118"/>
        <v>1.6970193554370969E-4</v>
      </c>
      <c r="J783" s="223">
        <f t="shared" ca="1" si="119"/>
        <v>1</v>
      </c>
      <c r="K783" s="220" t="str" cm="1">
        <f t="array" aca="1" ref="K783" ca="1">_xlfn.IFS(G783&lt;$B$11,"Fail",G783&lt;25,"Marginal",G783&lt;35,"Solid",TRUE,"Blowout")</f>
        <v>Solid</v>
      </c>
      <c r="L783" s="226">
        <f ca="1">IF(AND(E783&lt;$B$10,C783&gt;=$B$11),1,0)</f>
        <v>0</v>
      </c>
      <c r="M783" s="217" t="str" cm="1">
        <f t="array" aca="1" ref="M783" ca="1">_xlfn.IFS(C783&lt;$B$11,"Fail",C783&lt;25,"Marginal",C783&lt;35,"Solid",TRUE,"Blowout")</f>
        <v>Fail</v>
      </c>
    </row>
    <row r="784" spans="1:13" x14ac:dyDescent="0.25">
      <c r="A784" s="169">
        <f t="shared" ca="1" si="110"/>
        <v>43.490434259486108</v>
      </c>
      <c r="B784" s="168">
        <f t="shared" ca="1" si="111"/>
        <v>3.5572160301789753</v>
      </c>
      <c r="C784" s="168">
        <f t="shared" ca="1" si="112"/>
        <v>39.93321822930713</v>
      </c>
      <c r="D784" s="184">
        <f t="shared" ca="1" si="113"/>
        <v>5.0468103318827469</v>
      </c>
      <c r="E784" s="230">
        <f t="shared" ca="1" si="114"/>
        <v>4.5896584905352832E-7</v>
      </c>
      <c r="F784" s="168">
        <f t="shared" ca="1" si="115"/>
        <v>28.141928903850818</v>
      </c>
      <c r="G784" s="168">
        <f t="shared" ca="1" si="116"/>
        <v>24.584712873671844</v>
      </c>
      <c r="H784" s="184">
        <f t="shared" ca="1" si="117"/>
        <v>3.1070469258137376</v>
      </c>
      <c r="I784" s="184">
        <f t="shared" ca="1" si="118"/>
        <v>1.0648114359459275E-3</v>
      </c>
      <c r="J784" s="223">
        <f t="shared" ca="1" si="119"/>
        <v>1</v>
      </c>
      <c r="K784" s="220" t="str" cm="1">
        <f t="array" aca="1" ref="K784" ca="1">_xlfn.IFS(G784&lt;$B$11,"Fail",G784&lt;25,"Marginal",G784&lt;35,"Solid",TRUE,"Blowout")</f>
        <v>Marginal</v>
      </c>
      <c r="L784" s="226">
        <f ca="1">IF(AND(E784&lt;$B$10,C784&gt;=$B$11),1,0)</f>
        <v>1</v>
      </c>
      <c r="M784" s="217" t="str" cm="1">
        <f t="array" aca="1" ref="M784" ca="1">_xlfn.IFS(C784&lt;$B$11,"Fail",C784&lt;25,"Marginal",C784&lt;35,"Solid",TRUE,"Blowout")</f>
        <v>Blowout</v>
      </c>
    </row>
    <row r="785" spans="1:13" x14ac:dyDescent="0.25">
      <c r="A785" s="169">
        <f t="shared" ref="A785:A848" ca="1" si="120">NORMINV(RAND(), MAX(0, NORMINV(RAND(), $B$6, $B$12)), $B$7/SQRT($B$9))</f>
        <v>46.693513549289392</v>
      </c>
      <c r="B785" s="168">
        <f t="shared" ref="B785:B848" ca="1" si="121">NORMINV(RAND(), $B$8, $B$7/SQRT($B$9))</f>
        <v>2.3491299651349098</v>
      </c>
      <c r="C785" s="168">
        <f t="shared" ref="C785:C848" ca="1" si="122">A785-B785</f>
        <v>44.344383584154485</v>
      </c>
      <c r="D785" s="184">
        <f t="shared" ref="D785:D848" ca="1" si="123">C785/($B$7*SQRT(2/$B$9))</f>
        <v>5.6042989560314629</v>
      </c>
      <c r="E785" s="230">
        <f t="shared" ref="E785:E848" ca="1" si="124">_xlfn.T.DIST.RT(D785, 2*$B$9-2)</f>
        <v>3.0033227834721103E-8</v>
      </c>
      <c r="F785" s="168">
        <f t="shared" ref="F785:F848" ca="1" si="125">NORMINV(RAND(), MAX(0, NORMINV(RAND(), $N$7, $N$8)), $B$7/SQRT($B$9))</f>
        <v>26.552421897842525</v>
      </c>
      <c r="G785" s="168">
        <f t="shared" ref="G785:G848" ca="1" si="126">F785-B785</f>
        <v>24.203291932707614</v>
      </c>
      <c r="H785" s="184">
        <f t="shared" ref="H785:H848" ca="1" si="127">G785/($B$7*SQRT(2/$B$9))</f>
        <v>3.0588424676956598</v>
      </c>
      <c r="I785" s="184">
        <f t="shared" ref="I785:I848" ca="1" si="128">_xlfn.T.DIST.RT(H785, 2*$B$9-2)</f>
        <v>1.2438551908848712E-3</v>
      </c>
      <c r="J785" s="223">
        <f t="shared" ref="J785:J848" ca="1" si="129">IF(AND(I785&lt;$B$10, G785&gt;=$B$11), 1, 0)</f>
        <v>1</v>
      </c>
      <c r="K785" s="220" t="str" cm="1">
        <f t="array" aca="1" ref="K785" ca="1">_xlfn.IFS(G785&lt;$B$11,"Fail",G785&lt;25,"Marginal",G785&lt;35,"Solid",TRUE,"Blowout")</f>
        <v>Marginal</v>
      </c>
      <c r="L785" s="226">
        <f ca="1">IF(AND(E785&lt;$B$10,C785&gt;=$B$11),1,0)</f>
        <v>1</v>
      </c>
      <c r="M785" s="217" t="str" cm="1">
        <f t="array" aca="1" ref="M785" ca="1">_xlfn.IFS(C785&lt;$B$11,"Fail",C785&lt;25,"Marginal",C785&lt;35,"Solid",TRUE,"Blowout")</f>
        <v>Blowout</v>
      </c>
    </row>
    <row r="786" spans="1:13" x14ac:dyDescent="0.25">
      <c r="A786" s="169">
        <f t="shared" ca="1" si="120"/>
        <v>24.75351453193624</v>
      </c>
      <c r="B786" s="168">
        <f t="shared" ca="1" si="121"/>
        <v>-1.0328641517932962</v>
      </c>
      <c r="C786" s="168">
        <f t="shared" ca="1" si="122"/>
        <v>25.786378683729538</v>
      </c>
      <c r="D786" s="184">
        <f t="shared" ca="1" si="123"/>
        <v>3.2589149618644511</v>
      </c>
      <c r="E786" s="230">
        <f t="shared" ca="1" si="124"/>
        <v>6.4459572281738296E-4</v>
      </c>
      <c r="F786" s="168">
        <f t="shared" ca="1" si="125"/>
        <v>1.3907747295952098</v>
      </c>
      <c r="G786" s="168">
        <f t="shared" ca="1" si="126"/>
        <v>2.4236388813885057</v>
      </c>
      <c r="H786" s="184">
        <f t="shared" ca="1" si="127"/>
        <v>0.30630252931549118</v>
      </c>
      <c r="I786" s="184">
        <f t="shared" ca="1" si="128"/>
        <v>0.37982691646249916</v>
      </c>
      <c r="J786" s="223">
        <f t="shared" ca="1" si="129"/>
        <v>0</v>
      </c>
      <c r="K786" s="220" t="str" cm="1">
        <f t="array" aca="1" ref="K786" ca="1">_xlfn.IFS(G786&lt;$B$11,"Fail",G786&lt;25,"Marginal",G786&lt;35,"Solid",TRUE,"Blowout")</f>
        <v>Fail</v>
      </c>
      <c r="L786" s="226">
        <f ca="1">IF(AND(E786&lt;$B$10,C786&gt;=$B$11),1,0)</f>
        <v>1</v>
      </c>
      <c r="M786" s="217" t="str" cm="1">
        <f t="array" aca="1" ref="M786" ca="1">_xlfn.IFS(C786&lt;$B$11,"Fail",C786&lt;25,"Marginal",C786&lt;35,"Solid",TRUE,"Blowout")</f>
        <v>Solid</v>
      </c>
    </row>
    <row r="787" spans="1:13" x14ac:dyDescent="0.25">
      <c r="A787" s="169">
        <f t="shared" ca="1" si="120"/>
        <v>37.815594941157848</v>
      </c>
      <c r="B787" s="168">
        <f t="shared" ca="1" si="121"/>
        <v>5.3612361751291164</v>
      </c>
      <c r="C787" s="168">
        <f t="shared" ca="1" si="122"/>
        <v>32.454358766028733</v>
      </c>
      <c r="D787" s="184">
        <f t="shared" ca="1" si="123"/>
        <v>4.1016226689893083</v>
      </c>
      <c r="E787" s="230">
        <f t="shared" ca="1" si="124"/>
        <v>2.855378616837637E-5</v>
      </c>
      <c r="F787" s="168">
        <f t="shared" ca="1" si="125"/>
        <v>38.355264936295235</v>
      </c>
      <c r="G787" s="168">
        <f t="shared" ca="1" si="126"/>
        <v>32.99402876116612</v>
      </c>
      <c r="H787" s="184">
        <f t="shared" ca="1" si="127"/>
        <v>4.1698268415562865</v>
      </c>
      <c r="I787" s="184">
        <f t="shared" ca="1" si="128"/>
        <v>2.1662379239796502E-5</v>
      </c>
      <c r="J787" s="223">
        <f t="shared" ca="1" si="129"/>
        <v>1</v>
      </c>
      <c r="K787" s="220" t="str" cm="1">
        <f t="array" aca="1" ref="K787" ca="1">_xlfn.IFS(G787&lt;$B$11,"Fail",G787&lt;25,"Marginal",G787&lt;35,"Solid",TRUE,"Blowout")</f>
        <v>Solid</v>
      </c>
      <c r="L787" s="226">
        <f ca="1">IF(AND(E787&lt;$B$10,C787&gt;=$B$11),1,0)</f>
        <v>1</v>
      </c>
      <c r="M787" s="217" t="str" cm="1">
        <f t="array" aca="1" ref="M787" ca="1">_xlfn.IFS(C787&lt;$B$11,"Fail",C787&lt;25,"Marginal",C787&lt;35,"Solid",TRUE,"Blowout")</f>
        <v>Solid</v>
      </c>
    </row>
    <row r="788" spans="1:13" x14ac:dyDescent="0.25">
      <c r="A788" s="169">
        <f t="shared" ca="1" si="120"/>
        <v>51.662110668849351</v>
      </c>
      <c r="B788" s="168">
        <f t="shared" ca="1" si="121"/>
        <v>12.15007865033396</v>
      </c>
      <c r="C788" s="168">
        <f t="shared" ca="1" si="122"/>
        <v>39.512032018515391</v>
      </c>
      <c r="D788" s="184">
        <f t="shared" ca="1" si="123"/>
        <v>4.9935802889629839</v>
      </c>
      <c r="E788" s="230">
        <f t="shared" ca="1" si="124"/>
        <v>5.8901048143177314E-7</v>
      </c>
      <c r="F788" s="168">
        <f t="shared" ca="1" si="125"/>
        <v>30.864862650004582</v>
      </c>
      <c r="G788" s="168">
        <f t="shared" ca="1" si="126"/>
        <v>18.714783999670622</v>
      </c>
      <c r="H788" s="184">
        <f t="shared" ca="1" si="127"/>
        <v>2.365197933863854</v>
      </c>
      <c r="I788" s="184">
        <f t="shared" ca="1" si="128"/>
        <v>9.429446188350267E-3</v>
      </c>
      <c r="J788" s="223">
        <f t="shared" ca="1" si="129"/>
        <v>0</v>
      </c>
      <c r="K788" s="220" t="str" cm="1">
        <f t="array" aca="1" ref="K788" ca="1">_xlfn.IFS(G788&lt;$B$11,"Fail",G788&lt;25,"Marginal",G788&lt;35,"Solid",TRUE,"Blowout")</f>
        <v>Fail</v>
      </c>
      <c r="L788" s="226">
        <f ca="1">IF(AND(E788&lt;$B$10,C788&gt;=$B$11),1,0)</f>
        <v>1</v>
      </c>
      <c r="M788" s="217" t="str" cm="1">
        <f t="array" aca="1" ref="M788" ca="1">_xlfn.IFS(C788&lt;$B$11,"Fail",C788&lt;25,"Marginal",C788&lt;35,"Solid",TRUE,"Blowout")</f>
        <v>Blowout</v>
      </c>
    </row>
    <row r="789" spans="1:13" x14ac:dyDescent="0.25">
      <c r="A789" s="169">
        <f t="shared" ca="1" si="120"/>
        <v>38.548567858410749</v>
      </c>
      <c r="B789" s="168">
        <f t="shared" ca="1" si="121"/>
        <v>9.1973783226218551</v>
      </c>
      <c r="C789" s="168">
        <f t="shared" ca="1" si="122"/>
        <v>29.351189535788894</v>
      </c>
      <c r="D789" s="184">
        <f t="shared" ca="1" si="123"/>
        <v>3.709440239743941</v>
      </c>
      <c r="E789" s="230">
        <f t="shared" ca="1" si="124"/>
        <v>1.3048567979959041E-4</v>
      </c>
      <c r="F789" s="168">
        <f t="shared" ca="1" si="125"/>
        <v>-10.525116957314783</v>
      </c>
      <c r="G789" s="168">
        <f t="shared" ca="1" si="126"/>
        <v>-19.722495279936638</v>
      </c>
      <c r="H789" s="184">
        <f t="shared" ca="1" si="127"/>
        <v>-2.4925537525609025</v>
      </c>
      <c r="I789" s="184">
        <f t="shared" ca="1" si="128"/>
        <v>0.99330290519196296</v>
      </c>
      <c r="J789" s="223">
        <f t="shared" ca="1" si="129"/>
        <v>0</v>
      </c>
      <c r="K789" s="220" t="str" cm="1">
        <f t="array" aca="1" ref="K789" ca="1">_xlfn.IFS(G789&lt;$B$11,"Fail",G789&lt;25,"Marginal",G789&lt;35,"Solid",TRUE,"Blowout")</f>
        <v>Fail</v>
      </c>
      <c r="L789" s="226">
        <f ca="1">IF(AND(E789&lt;$B$10,C789&gt;=$B$11),1,0)</f>
        <v>1</v>
      </c>
      <c r="M789" s="217" t="str" cm="1">
        <f t="array" aca="1" ref="M789" ca="1">_xlfn.IFS(C789&lt;$B$11,"Fail",C789&lt;25,"Marginal",C789&lt;35,"Solid",TRUE,"Blowout")</f>
        <v>Solid</v>
      </c>
    </row>
    <row r="790" spans="1:13" x14ac:dyDescent="0.25">
      <c r="A790" s="169">
        <f t="shared" ca="1" si="120"/>
        <v>4.3744399360355946</v>
      </c>
      <c r="B790" s="168">
        <f t="shared" ca="1" si="121"/>
        <v>1.448214548591793</v>
      </c>
      <c r="C790" s="168">
        <f t="shared" ca="1" si="122"/>
        <v>2.9262253874438016</v>
      </c>
      <c r="D790" s="184">
        <f t="shared" ca="1" si="123"/>
        <v>0.36982004390346401</v>
      </c>
      <c r="E790" s="230">
        <f t="shared" ca="1" si="124"/>
        <v>0.3559299269954323</v>
      </c>
      <c r="F790" s="168">
        <f t="shared" ca="1" si="125"/>
        <v>41.12018043849946</v>
      </c>
      <c r="G790" s="168">
        <f t="shared" ca="1" si="126"/>
        <v>39.671965889907668</v>
      </c>
      <c r="H790" s="184">
        <f t="shared" ca="1" si="127"/>
        <v>5.0137929327305271</v>
      </c>
      <c r="I790" s="184">
        <f t="shared" ca="1" si="128"/>
        <v>5.3589814521228855E-7</v>
      </c>
      <c r="J790" s="223">
        <f t="shared" ca="1" si="129"/>
        <v>1</v>
      </c>
      <c r="K790" s="220" t="str" cm="1">
        <f t="array" aca="1" ref="K790" ca="1">_xlfn.IFS(G790&lt;$B$11,"Fail",G790&lt;25,"Marginal",G790&lt;35,"Solid",TRUE,"Blowout")</f>
        <v>Blowout</v>
      </c>
      <c r="L790" s="226">
        <f ca="1">IF(AND(E790&lt;$B$10,C790&gt;=$B$11),1,0)</f>
        <v>0</v>
      </c>
      <c r="M790" s="217" t="str" cm="1">
        <f t="array" aca="1" ref="M790" ca="1">_xlfn.IFS(C790&lt;$B$11,"Fail",C790&lt;25,"Marginal",C790&lt;35,"Solid",TRUE,"Blowout")</f>
        <v>Fail</v>
      </c>
    </row>
    <row r="791" spans="1:13" x14ac:dyDescent="0.25">
      <c r="A791" s="169">
        <f t="shared" ca="1" si="120"/>
        <v>67.759418509324703</v>
      </c>
      <c r="B791" s="168">
        <f t="shared" ca="1" si="121"/>
        <v>11.380641156402442</v>
      </c>
      <c r="C791" s="168">
        <f t="shared" ca="1" si="122"/>
        <v>56.378777352922263</v>
      </c>
      <c r="D791" s="184">
        <f t="shared" ca="1" si="123"/>
        <v>7.1252207725853989</v>
      </c>
      <c r="E791" s="230">
        <f t="shared" ca="1" si="124"/>
        <v>6.7597163265383133E-12</v>
      </c>
      <c r="F791" s="168">
        <f t="shared" ca="1" si="125"/>
        <v>11.720366054033093</v>
      </c>
      <c r="G791" s="168">
        <f t="shared" ca="1" si="126"/>
        <v>0.33972489763065106</v>
      </c>
      <c r="H791" s="184">
        <f t="shared" ca="1" si="127"/>
        <v>4.2934859732939847E-2</v>
      </c>
      <c r="I791" s="184">
        <f t="shared" ca="1" si="128"/>
        <v>0.48289551835179689</v>
      </c>
      <c r="J791" s="223">
        <f t="shared" ca="1" si="129"/>
        <v>0</v>
      </c>
      <c r="K791" s="220" t="str" cm="1">
        <f t="array" aca="1" ref="K791" ca="1">_xlfn.IFS(G791&lt;$B$11,"Fail",G791&lt;25,"Marginal",G791&lt;35,"Solid",TRUE,"Blowout")</f>
        <v>Fail</v>
      </c>
      <c r="L791" s="226">
        <f ca="1">IF(AND(E791&lt;$B$10,C791&gt;=$B$11),1,0)</f>
        <v>1</v>
      </c>
      <c r="M791" s="217" t="str" cm="1">
        <f t="array" aca="1" ref="M791" ca="1">_xlfn.IFS(C791&lt;$B$11,"Fail",C791&lt;25,"Marginal",C791&lt;35,"Solid",TRUE,"Blowout")</f>
        <v>Blowout</v>
      </c>
    </row>
    <row r="792" spans="1:13" x14ac:dyDescent="0.25">
      <c r="A792" s="169">
        <f t="shared" ca="1" si="120"/>
        <v>37.520233076540151</v>
      </c>
      <c r="B792" s="168">
        <f t="shared" ca="1" si="121"/>
        <v>16.017648641622664</v>
      </c>
      <c r="C792" s="168">
        <f t="shared" ca="1" si="122"/>
        <v>21.502584434917487</v>
      </c>
      <c r="D792" s="184">
        <f t="shared" ca="1" si="123"/>
        <v>2.7175236582530151</v>
      </c>
      <c r="E792" s="230">
        <f t="shared" ca="1" si="124"/>
        <v>3.5411467541253032E-3</v>
      </c>
      <c r="F792" s="168">
        <f t="shared" ca="1" si="125"/>
        <v>35.691925897920854</v>
      </c>
      <c r="G792" s="168">
        <f t="shared" ca="1" si="126"/>
        <v>19.67427725629819</v>
      </c>
      <c r="H792" s="184">
        <f t="shared" ca="1" si="127"/>
        <v>2.4864598981040911</v>
      </c>
      <c r="I792" s="184">
        <f t="shared" ca="1" si="128"/>
        <v>6.8097290626390897E-3</v>
      </c>
      <c r="J792" s="223">
        <f t="shared" ca="1" si="129"/>
        <v>0</v>
      </c>
      <c r="K792" s="220" t="str" cm="1">
        <f t="array" aca="1" ref="K792" ca="1">_xlfn.IFS(G792&lt;$B$11,"Fail",G792&lt;25,"Marginal",G792&lt;35,"Solid",TRUE,"Blowout")</f>
        <v>Fail</v>
      </c>
      <c r="L792" s="226">
        <f ca="1">IF(AND(E792&lt;$B$10,C792&gt;=$B$11),1,0)</f>
        <v>1</v>
      </c>
      <c r="M792" s="217" t="str" cm="1">
        <f t="array" aca="1" ref="M792" ca="1">_xlfn.IFS(C792&lt;$B$11,"Fail",C792&lt;25,"Marginal",C792&lt;35,"Solid",TRUE,"Blowout")</f>
        <v>Marginal</v>
      </c>
    </row>
    <row r="793" spans="1:13" x14ac:dyDescent="0.25">
      <c r="A793" s="169">
        <f t="shared" ca="1" si="120"/>
        <v>-5.366988964800159</v>
      </c>
      <c r="B793" s="168">
        <f t="shared" ca="1" si="121"/>
        <v>4.6041369489956558</v>
      </c>
      <c r="C793" s="168">
        <f t="shared" ca="1" si="122"/>
        <v>-9.9711259137958148</v>
      </c>
      <c r="D793" s="184">
        <f t="shared" ca="1" si="123"/>
        <v>-1.2601634306878062</v>
      </c>
      <c r="E793" s="230">
        <f t="shared" ca="1" si="124"/>
        <v>0.89555067375432773</v>
      </c>
      <c r="F793" s="168">
        <f t="shared" ca="1" si="125"/>
        <v>23.207909235267316</v>
      </c>
      <c r="G793" s="168">
        <f t="shared" ca="1" si="126"/>
        <v>18.60377228627166</v>
      </c>
      <c r="H793" s="184">
        <f t="shared" ca="1" si="127"/>
        <v>2.3511681339382693</v>
      </c>
      <c r="I793" s="184">
        <f t="shared" ca="1" si="128"/>
        <v>9.7836048889974655E-3</v>
      </c>
      <c r="J793" s="223">
        <f t="shared" ca="1" si="129"/>
        <v>0</v>
      </c>
      <c r="K793" s="220" t="str" cm="1">
        <f t="array" aca="1" ref="K793" ca="1">_xlfn.IFS(G793&lt;$B$11,"Fail",G793&lt;25,"Marginal",G793&lt;35,"Solid",TRUE,"Blowout")</f>
        <v>Fail</v>
      </c>
      <c r="L793" s="226">
        <f ca="1">IF(AND(E793&lt;$B$10,C793&gt;=$B$11),1,0)</f>
        <v>0</v>
      </c>
      <c r="M793" s="217" t="str" cm="1">
        <f t="array" aca="1" ref="M793" ca="1">_xlfn.IFS(C793&lt;$B$11,"Fail",C793&lt;25,"Marginal",C793&lt;35,"Solid",TRUE,"Blowout")</f>
        <v>Fail</v>
      </c>
    </row>
    <row r="794" spans="1:13" x14ac:dyDescent="0.25">
      <c r="A794" s="169">
        <f t="shared" ca="1" si="120"/>
        <v>19.109521970789856</v>
      </c>
      <c r="B794" s="168">
        <f t="shared" ca="1" si="121"/>
        <v>-0.53288723877696142</v>
      </c>
      <c r="C794" s="168">
        <f t="shared" ca="1" si="122"/>
        <v>19.642409209566818</v>
      </c>
      <c r="D794" s="184">
        <f t="shared" ca="1" si="123"/>
        <v>2.4824323742872711</v>
      </c>
      <c r="E794" s="230">
        <f t="shared" ca="1" si="124"/>
        <v>6.8850923023050315E-3</v>
      </c>
      <c r="F794" s="168">
        <f t="shared" ca="1" si="125"/>
        <v>28.042829707880532</v>
      </c>
      <c r="G794" s="168">
        <f t="shared" ca="1" si="126"/>
        <v>28.575716946657494</v>
      </c>
      <c r="H794" s="184">
        <f t="shared" ca="1" si="127"/>
        <v>3.6114350388496148</v>
      </c>
      <c r="I794" s="184">
        <f t="shared" ca="1" si="128"/>
        <v>1.8724001608712615E-4</v>
      </c>
      <c r="J794" s="223">
        <f t="shared" ca="1" si="129"/>
        <v>1</v>
      </c>
      <c r="K794" s="220" t="str" cm="1">
        <f t="array" aca="1" ref="K794" ca="1">_xlfn.IFS(G794&lt;$B$11,"Fail",G794&lt;25,"Marginal",G794&lt;35,"Solid",TRUE,"Blowout")</f>
        <v>Solid</v>
      </c>
      <c r="L794" s="226">
        <f ca="1">IF(AND(E794&lt;$B$10,C794&gt;=$B$11),1,0)</f>
        <v>0</v>
      </c>
      <c r="M794" s="217" t="str" cm="1">
        <f t="array" aca="1" ref="M794" ca="1">_xlfn.IFS(C794&lt;$B$11,"Fail",C794&lt;25,"Marginal",C794&lt;35,"Solid",TRUE,"Blowout")</f>
        <v>Fail</v>
      </c>
    </row>
    <row r="795" spans="1:13" x14ac:dyDescent="0.25">
      <c r="A795" s="169">
        <f t="shared" ca="1" si="120"/>
        <v>59.179870598721209</v>
      </c>
      <c r="B795" s="168">
        <f t="shared" ca="1" si="121"/>
        <v>9.2136824659982128</v>
      </c>
      <c r="C795" s="168">
        <f t="shared" ca="1" si="122"/>
        <v>49.966188132722998</v>
      </c>
      <c r="D795" s="184">
        <f t="shared" ca="1" si="123"/>
        <v>6.314789683741421</v>
      </c>
      <c r="E795" s="230">
        <f t="shared" ca="1" si="124"/>
        <v>6.9966122915023078E-10</v>
      </c>
      <c r="F795" s="168">
        <f t="shared" ca="1" si="125"/>
        <v>59.228735504672606</v>
      </c>
      <c r="G795" s="168">
        <f t="shared" ca="1" si="126"/>
        <v>50.015053038674395</v>
      </c>
      <c r="H795" s="184">
        <f t="shared" ca="1" si="127"/>
        <v>6.3209652919983332</v>
      </c>
      <c r="I795" s="184">
        <f t="shared" ca="1" si="128"/>
        <v>6.7627789056240803E-10</v>
      </c>
      <c r="J795" s="223">
        <f t="shared" ca="1" si="129"/>
        <v>1</v>
      </c>
      <c r="K795" s="220" t="str" cm="1">
        <f t="array" aca="1" ref="K795" ca="1">_xlfn.IFS(G795&lt;$B$11,"Fail",G795&lt;25,"Marginal",G795&lt;35,"Solid",TRUE,"Blowout")</f>
        <v>Blowout</v>
      </c>
      <c r="L795" s="226">
        <f ca="1">IF(AND(E795&lt;$B$10,C795&gt;=$B$11),1,0)</f>
        <v>1</v>
      </c>
      <c r="M795" s="217" t="str" cm="1">
        <f t="array" aca="1" ref="M795" ca="1">_xlfn.IFS(C795&lt;$B$11,"Fail",C795&lt;25,"Marginal",C795&lt;35,"Solid",TRUE,"Blowout")</f>
        <v>Blowout</v>
      </c>
    </row>
    <row r="796" spans="1:13" x14ac:dyDescent="0.25">
      <c r="A796" s="169">
        <f t="shared" ca="1" si="120"/>
        <v>41.552464342368246</v>
      </c>
      <c r="B796" s="168">
        <f t="shared" ca="1" si="121"/>
        <v>1.8736003973934521</v>
      </c>
      <c r="C796" s="168">
        <f t="shared" ca="1" si="122"/>
        <v>39.678863944974793</v>
      </c>
      <c r="D796" s="184">
        <f t="shared" ca="1" si="123"/>
        <v>5.0146647176035302</v>
      </c>
      <c r="E796" s="230">
        <f t="shared" ca="1" si="124"/>
        <v>5.3371498627699112E-7</v>
      </c>
      <c r="F796" s="168">
        <f t="shared" ca="1" si="125"/>
        <v>29.826959531190592</v>
      </c>
      <c r="G796" s="168">
        <f t="shared" ca="1" si="126"/>
        <v>27.953359133797139</v>
      </c>
      <c r="H796" s="184">
        <f t="shared" ca="1" si="127"/>
        <v>3.5327806759070746</v>
      </c>
      <c r="I796" s="184">
        <f t="shared" ca="1" si="128"/>
        <v>2.488279831598694E-4</v>
      </c>
      <c r="J796" s="223">
        <f t="shared" ca="1" si="129"/>
        <v>1</v>
      </c>
      <c r="K796" s="220" t="str" cm="1">
        <f t="array" aca="1" ref="K796" ca="1">_xlfn.IFS(G796&lt;$B$11,"Fail",G796&lt;25,"Marginal",G796&lt;35,"Solid",TRUE,"Blowout")</f>
        <v>Solid</v>
      </c>
      <c r="L796" s="226">
        <f ca="1">IF(AND(E796&lt;$B$10,C796&gt;=$B$11),1,0)</f>
        <v>1</v>
      </c>
      <c r="M796" s="217" t="str" cm="1">
        <f t="array" aca="1" ref="M796" ca="1">_xlfn.IFS(C796&lt;$B$11,"Fail",C796&lt;25,"Marginal",C796&lt;35,"Solid",TRUE,"Blowout")</f>
        <v>Blowout</v>
      </c>
    </row>
    <row r="797" spans="1:13" x14ac:dyDescent="0.25">
      <c r="A797" s="169">
        <f t="shared" ca="1" si="120"/>
        <v>57.989247380813836</v>
      </c>
      <c r="B797" s="168">
        <f t="shared" ca="1" si="121"/>
        <v>9.6434015690222807</v>
      </c>
      <c r="C797" s="168">
        <f t="shared" ca="1" si="122"/>
        <v>48.345845811791555</v>
      </c>
      <c r="D797" s="184">
        <f t="shared" ca="1" si="123"/>
        <v>6.1100087838022787</v>
      </c>
      <c r="E797" s="230">
        <f t="shared" ca="1" si="124"/>
        <v>2.1329388453254058E-9</v>
      </c>
      <c r="F797" s="168">
        <f t="shared" ca="1" si="125"/>
        <v>24.896282531773949</v>
      </c>
      <c r="G797" s="168">
        <f t="shared" ca="1" si="126"/>
        <v>15.252880962751668</v>
      </c>
      <c r="H797" s="184">
        <f t="shared" ca="1" si="127"/>
        <v>1.9276782750581833</v>
      </c>
      <c r="I797" s="184">
        <f t="shared" ca="1" si="128"/>
        <v>2.7568733826225853E-2</v>
      </c>
      <c r="J797" s="223">
        <f t="shared" ca="1" si="129"/>
        <v>0</v>
      </c>
      <c r="K797" s="220" t="str" cm="1">
        <f t="array" aca="1" ref="K797" ca="1">_xlfn.IFS(G797&lt;$B$11,"Fail",G797&lt;25,"Marginal",G797&lt;35,"Solid",TRUE,"Blowout")</f>
        <v>Fail</v>
      </c>
      <c r="L797" s="226">
        <f ca="1">IF(AND(E797&lt;$B$10,C797&gt;=$B$11),1,0)</f>
        <v>1</v>
      </c>
      <c r="M797" s="217" t="str" cm="1">
        <f t="array" aca="1" ref="M797" ca="1">_xlfn.IFS(C797&lt;$B$11,"Fail",C797&lt;25,"Marginal",C797&lt;35,"Solid",TRUE,"Blowout")</f>
        <v>Blowout</v>
      </c>
    </row>
    <row r="798" spans="1:13" x14ac:dyDescent="0.25">
      <c r="A798" s="169">
        <f t="shared" ca="1" si="120"/>
        <v>0.87395396222850785</v>
      </c>
      <c r="B798" s="168">
        <f t="shared" ca="1" si="121"/>
        <v>2.0103545720294553</v>
      </c>
      <c r="C798" s="168">
        <f t="shared" ca="1" si="122"/>
        <v>-1.1364006098009476</v>
      </c>
      <c r="D798" s="184">
        <f t="shared" ca="1" si="123"/>
        <v>-0.14361973797774691</v>
      </c>
      <c r="E798" s="230">
        <f t="shared" ca="1" si="124"/>
        <v>0.55703619617725708</v>
      </c>
      <c r="F798" s="168">
        <f t="shared" ca="1" si="125"/>
        <v>29.77628615984446</v>
      </c>
      <c r="G798" s="168">
        <f t="shared" ca="1" si="126"/>
        <v>27.765931587815004</v>
      </c>
      <c r="H798" s="184">
        <f t="shared" ca="1" si="127"/>
        <v>3.5090933469742946</v>
      </c>
      <c r="I798" s="184">
        <f t="shared" ca="1" si="128"/>
        <v>2.7081774408112079E-4</v>
      </c>
      <c r="J798" s="223">
        <f t="shared" ca="1" si="129"/>
        <v>1</v>
      </c>
      <c r="K798" s="220" t="str" cm="1">
        <f t="array" aca="1" ref="K798" ca="1">_xlfn.IFS(G798&lt;$B$11,"Fail",G798&lt;25,"Marginal",G798&lt;35,"Solid",TRUE,"Blowout")</f>
        <v>Solid</v>
      </c>
      <c r="L798" s="226">
        <f ca="1">IF(AND(E798&lt;$B$10,C798&gt;=$B$11),1,0)</f>
        <v>0</v>
      </c>
      <c r="M798" s="217" t="str" cm="1">
        <f t="array" aca="1" ref="M798" ca="1">_xlfn.IFS(C798&lt;$B$11,"Fail",C798&lt;25,"Marginal",C798&lt;35,"Solid",TRUE,"Blowout")</f>
        <v>Fail</v>
      </c>
    </row>
    <row r="799" spans="1:13" x14ac:dyDescent="0.25">
      <c r="A799" s="169">
        <f t="shared" ca="1" si="120"/>
        <v>36.939007535019542</v>
      </c>
      <c r="B799" s="168">
        <f t="shared" ca="1" si="121"/>
        <v>6.6497062660948059</v>
      </c>
      <c r="C799" s="168">
        <f t="shared" ca="1" si="122"/>
        <v>30.289301268924735</v>
      </c>
      <c r="D799" s="184">
        <f t="shared" ca="1" si="123"/>
        <v>3.8279999801601479</v>
      </c>
      <c r="E799" s="230">
        <f t="shared" ca="1" si="124"/>
        <v>8.3462075784683387E-5</v>
      </c>
      <c r="F799" s="168">
        <f t="shared" ca="1" si="125"/>
        <v>18.134836329707017</v>
      </c>
      <c r="G799" s="168">
        <f t="shared" ca="1" si="126"/>
        <v>11.48513006361221</v>
      </c>
      <c r="H799" s="184">
        <f t="shared" ca="1" si="127"/>
        <v>1.451505178851721</v>
      </c>
      <c r="I799" s="184">
        <f t="shared" ca="1" si="128"/>
        <v>7.4006897944928915E-2</v>
      </c>
      <c r="J799" s="223">
        <f t="shared" ca="1" si="129"/>
        <v>0</v>
      </c>
      <c r="K799" s="220" t="str" cm="1">
        <f t="array" aca="1" ref="K799" ca="1">_xlfn.IFS(G799&lt;$B$11,"Fail",G799&lt;25,"Marginal",G799&lt;35,"Solid",TRUE,"Blowout")</f>
        <v>Fail</v>
      </c>
      <c r="L799" s="226">
        <f ca="1">IF(AND(E799&lt;$B$10,C799&gt;=$B$11),1,0)</f>
        <v>1</v>
      </c>
      <c r="M799" s="217" t="str" cm="1">
        <f t="array" aca="1" ref="M799" ca="1">_xlfn.IFS(C799&lt;$B$11,"Fail",C799&lt;25,"Marginal",C799&lt;35,"Solid",TRUE,"Blowout")</f>
        <v>Solid</v>
      </c>
    </row>
    <row r="800" spans="1:13" x14ac:dyDescent="0.25">
      <c r="A800" s="169">
        <f t="shared" ca="1" si="120"/>
        <v>27.792715498234486</v>
      </c>
      <c r="B800" s="168">
        <f t="shared" ca="1" si="121"/>
        <v>10.972613973578394</v>
      </c>
      <c r="C800" s="168">
        <f t="shared" ca="1" si="122"/>
        <v>16.820101524656092</v>
      </c>
      <c r="D800" s="184">
        <f t="shared" ca="1" si="123"/>
        <v>2.1257455802961456</v>
      </c>
      <c r="E800" s="230">
        <f t="shared" ca="1" si="124"/>
        <v>1.7299950638025426E-2</v>
      </c>
      <c r="F800" s="168">
        <f t="shared" ca="1" si="125"/>
        <v>31.838630625286683</v>
      </c>
      <c r="G800" s="168">
        <f t="shared" ca="1" si="126"/>
        <v>20.866016651708289</v>
      </c>
      <c r="H800" s="184">
        <f t="shared" ca="1" si="127"/>
        <v>2.6370734213901592</v>
      </c>
      <c r="I800" s="184">
        <f t="shared" ca="1" si="128"/>
        <v>4.4688267095907468E-3</v>
      </c>
      <c r="J800" s="223">
        <f t="shared" ca="1" si="129"/>
        <v>1</v>
      </c>
      <c r="K800" s="220" t="str" cm="1">
        <f t="array" aca="1" ref="K800" ca="1">_xlfn.IFS(G800&lt;$B$11,"Fail",G800&lt;25,"Marginal",G800&lt;35,"Solid",TRUE,"Blowout")</f>
        <v>Marginal</v>
      </c>
      <c r="L800" s="226">
        <f ca="1">IF(AND(E800&lt;$B$10,C800&gt;=$B$11),1,0)</f>
        <v>0</v>
      </c>
      <c r="M800" s="217" t="str" cm="1">
        <f t="array" aca="1" ref="M800" ca="1">_xlfn.IFS(C800&lt;$B$11,"Fail",C800&lt;25,"Marginal",C800&lt;35,"Solid",TRUE,"Blowout")</f>
        <v>Fail</v>
      </c>
    </row>
    <row r="801" spans="1:13" x14ac:dyDescent="0.25">
      <c r="A801" s="169">
        <f t="shared" ca="1" si="120"/>
        <v>7.3100464791760764</v>
      </c>
      <c r="B801" s="168">
        <f t="shared" ca="1" si="121"/>
        <v>1.3009856853412085</v>
      </c>
      <c r="C801" s="168">
        <f t="shared" ca="1" si="122"/>
        <v>6.0090607938348679</v>
      </c>
      <c r="D801" s="184">
        <f t="shared" ca="1" si="123"/>
        <v>0.75943265892305567</v>
      </c>
      <c r="E801" s="230">
        <f t="shared" ca="1" si="124"/>
        <v>0.22418912236242383</v>
      </c>
      <c r="F801" s="168">
        <f t="shared" ca="1" si="125"/>
        <v>17.745030582547752</v>
      </c>
      <c r="G801" s="168">
        <f t="shared" ca="1" si="126"/>
        <v>16.444044897206545</v>
      </c>
      <c r="H801" s="184">
        <f t="shared" ca="1" si="127"/>
        <v>2.0782190708651456</v>
      </c>
      <c r="I801" s="184">
        <f t="shared" ca="1" si="128"/>
        <v>1.9404156846722313E-2</v>
      </c>
      <c r="J801" s="223">
        <f t="shared" ca="1" si="129"/>
        <v>0</v>
      </c>
      <c r="K801" s="220" t="str" cm="1">
        <f t="array" aca="1" ref="K801" ca="1">_xlfn.IFS(G801&lt;$B$11,"Fail",G801&lt;25,"Marginal",G801&lt;35,"Solid",TRUE,"Blowout")</f>
        <v>Fail</v>
      </c>
      <c r="L801" s="226">
        <f ca="1">IF(AND(E801&lt;$B$10,C801&gt;=$B$11),1,0)</f>
        <v>0</v>
      </c>
      <c r="M801" s="217" t="str" cm="1">
        <f t="array" aca="1" ref="M801" ca="1">_xlfn.IFS(C801&lt;$B$11,"Fail",C801&lt;25,"Marginal",C801&lt;35,"Solid",TRUE,"Blowout")</f>
        <v>Fail</v>
      </c>
    </row>
    <row r="802" spans="1:13" x14ac:dyDescent="0.25">
      <c r="A802" s="169">
        <f t="shared" ca="1" si="120"/>
        <v>19.141786142173782</v>
      </c>
      <c r="B802" s="168">
        <f t="shared" ca="1" si="121"/>
        <v>-2.4577936041976614</v>
      </c>
      <c r="C802" s="168">
        <f t="shared" ca="1" si="122"/>
        <v>21.599579746371443</v>
      </c>
      <c r="D802" s="184">
        <f t="shared" ca="1" si="123"/>
        <v>2.729782047676554</v>
      </c>
      <c r="E802" s="230">
        <f t="shared" ca="1" si="124"/>
        <v>3.4162008674405229E-3</v>
      </c>
      <c r="F802" s="168">
        <f t="shared" ca="1" si="125"/>
        <v>47.052053758040195</v>
      </c>
      <c r="G802" s="168">
        <f t="shared" ca="1" si="126"/>
        <v>49.509847362237856</v>
      </c>
      <c r="H802" s="184">
        <f t="shared" ca="1" si="127"/>
        <v>6.2571167633642322</v>
      </c>
      <c r="I802" s="184">
        <f t="shared" ca="1" si="128"/>
        <v>9.600498403842797E-10</v>
      </c>
      <c r="J802" s="223">
        <f t="shared" ca="1" si="129"/>
        <v>1</v>
      </c>
      <c r="K802" s="220" t="str" cm="1">
        <f t="array" aca="1" ref="K802" ca="1">_xlfn.IFS(G802&lt;$B$11,"Fail",G802&lt;25,"Marginal",G802&lt;35,"Solid",TRUE,"Blowout")</f>
        <v>Blowout</v>
      </c>
      <c r="L802" s="226">
        <f ca="1">IF(AND(E802&lt;$B$10,C802&gt;=$B$11),1,0)</f>
        <v>1</v>
      </c>
      <c r="M802" s="217" t="str" cm="1">
        <f t="array" aca="1" ref="M802" ca="1">_xlfn.IFS(C802&lt;$B$11,"Fail",C802&lt;25,"Marginal",C802&lt;35,"Solid",TRUE,"Blowout")</f>
        <v>Marginal</v>
      </c>
    </row>
    <row r="803" spans="1:13" x14ac:dyDescent="0.25">
      <c r="A803" s="169">
        <f t="shared" ca="1" si="120"/>
        <v>19.707182725894491</v>
      </c>
      <c r="B803" s="168">
        <f t="shared" ca="1" si="121"/>
        <v>-7.1390082555716745</v>
      </c>
      <c r="C803" s="168">
        <f t="shared" ca="1" si="122"/>
        <v>26.846190981466165</v>
      </c>
      <c r="D803" s="184">
        <f t="shared" ca="1" si="123"/>
        <v>3.3928553726613</v>
      </c>
      <c r="E803" s="230">
        <f t="shared" ca="1" si="124"/>
        <v>4.0771194417827582E-4</v>
      </c>
      <c r="F803" s="168">
        <f t="shared" ca="1" si="125"/>
        <v>-1.5341523678282734</v>
      </c>
      <c r="G803" s="168">
        <f t="shared" ca="1" si="126"/>
        <v>5.6048558877434012</v>
      </c>
      <c r="H803" s="184">
        <f t="shared" ca="1" si="127"/>
        <v>0.70834873464361992</v>
      </c>
      <c r="I803" s="184">
        <f t="shared" ca="1" si="128"/>
        <v>0.23972613755926653</v>
      </c>
      <c r="J803" s="223">
        <f t="shared" ca="1" si="129"/>
        <v>0</v>
      </c>
      <c r="K803" s="220" t="str" cm="1">
        <f t="array" aca="1" ref="K803" ca="1">_xlfn.IFS(G803&lt;$B$11,"Fail",G803&lt;25,"Marginal",G803&lt;35,"Solid",TRUE,"Blowout")</f>
        <v>Fail</v>
      </c>
      <c r="L803" s="226">
        <f ca="1">IF(AND(E803&lt;$B$10,C803&gt;=$B$11),1,0)</f>
        <v>1</v>
      </c>
      <c r="M803" s="217" t="str" cm="1">
        <f t="array" aca="1" ref="M803" ca="1">_xlfn.IFS(C803&lt;$B$11,"Fail",C803&lt;25,"Marginal",C803&lt;35,"Solid",TRUE,"Blowout")</f>
        <v>Solid</v>
      </c>
    </row>
    <row r="804" spans="1:13" x14ac:dyDescent="0.25">
      <c r="A804" s="169">
        <f t="shared" ca="1" si="120"/>
        <v>50.366237617160465</v>
      </c>
      <c r="B804" s="168">
        <f t="shared" ca="1" si="121"/>
        <v>2.6346398802812669</v>
      </c>
      <c r="C804" s="168">
        <f t="shared" ca="1" si="122"/>
        <v>47.731597736879195</v>
      </c>
      <c r="D804" s="184">
        <f t="shared" ca="1" si="123"/>
        <v>6.0323793397387977</v>
      </c>
      <c r="E804" s="230">
        <f t="shared" ca="1" si="124"/>
        <v>3.2336434499892445E-9</v>
      </c>
      <c r="F804" s="168">
        <f t="shared" ca="1" si="125"/>
        <v>38.383988021165159</v>
      </c>
      <c r="G804" s="168">
        <f t="shared" ca="1" si="126"/>
        <v>35.749348140883889</v>
      </c>
      <c r="H804" s="184">
        <f t="shared" ca="1" si="127"/>
        <v>4.5180475693059732</v>
      </c>
      <c r="I804" s="184">
        <f t="shared" ca="1" si="128"/>
        <v>5.0100561283580592E-6</v>
      </c>
      <c r="J804" s="223">
        <f t="shared" ca="1" si="129"/>
        <v>1</v>
      </c>
      <c r="K804" s="220" t="str" cm="1">
        <f t="array" aca="1" ref="K804" ca="1">_xlfn.IFS(G804&lt;$B$11,"Fail",G804&lt;25,"Marginal",G804&lt;35,"Solid",TRUE,"Blowout")</f>
        <v>Blowout</v>
      </c>
      <c r="L804" s="226">
        <f ca="1">IF(AND(E804&lt;$B$10,C804&gt;=$B$11),1,0)</f>
        <v>1</v>
      </c>
      <c r="M804" s="217" t="str" cm="1">
        <f t="array" aca="1" ref="M804" ca="1">_xlfn.IFS(C804&lt;$B$11,"Fail",C804&lt;25,"Marginal",C804&lt;35,"Solid",TRUE,"Blowout")</f>
        <v>Blowout</v>
      </c>
    </row>
    <row r="805" spans="1:13" x14ac:dyDescent="0.25">
      <c r="A805" s="169">
        <f t="shared" ca="1" si="120"/>
        <v>-2.1997911680384803</v>
      </c>
      <c r="B805" s="168">
        <f t="shared" ca="1" si="121"/>
        <v>11.710771135262636</v>
      </c>
      <c r="C805" s="168">
        <f t="shared" ca="1" si="122"/>
        <v>-13.910562303301116</v>
      </c>
      <c r="D805" s="184">
        <f t="shared" ca="1" si="123"/>
        <v>-1.758034355044187</v>
      </c>
      <c r="E805" s="230">
        <f t="shared" ca="1" si="124"/>
        <v>0.95995826125326544</v>
      </c>
      <c r="F805" s="168">
        <f t="shared" ca="1" si="125"/>
        <v>-0.45664331101193145</v>
      </c>
      <c r="G805" s="168">
        <f t="shared" ca="1" si="126"/>
        <v>-12.167414446274567</v>
      </c>
      <c r="H805" s="184">
        <f t="shared" ca="1" si="127"/>
        <v>-1.5377331370375587</v>
      </c>
      <c r="I805" s="184">
        <f t="shared" ca="1" si="128"/>
        <v>0.93724975986916148</v>
      </c>
      <c r="J805" s="223">
        <f t="shared" ca="1" si="129"/>
        <v>0</v>
      </c>
      <c r="K805" s="220" t="str" cm="1">
        <f t="array" aca="1" ref="K805" ca="1">_xlfn.IFS(G805&lt;$B$11,"Fail",G805&lt;25,"Marginal",G805&lt;35,"Solid",TRUE,"Blowout")</f>
        <v>Fail</v>
      </c>
      <c r="L805" s="226">
        <f ca="1">IF(AND(E805&lt;$B$10,C805&gt;=$B$11),1,0)</f>
        <v>0</v>
      </c>
      <c r="M805" s="217" t="str" cm="1">
        <f t="array" aca="1" ref="M805" ca="1">_xlfn.IFS(C805&lt;$B$11,"Fail",C805&lt;25,"Marginal",C805&lt;35,"Solid",TRUE,"Blowout")</f>
        <v>Fail</v>
      </c>
    </row>
    <row r="806" spans="1:13" x14ac:dyDescent="0.25">
      <c r="A806" s="169">
        <f t="shared" ca="1" si="120"/>
        <v>19.956418463155334</v>
      </c>
      <c r="B806" s="168">
        <f t="shared" ca="1" si="121"/>
        <v>6.2014081497521545</v>
      </c>
      <c r="C806" s="168">
        <f t="shared" ca="1" si="122"/>
        <v>13.755010313403179</v>
      </c>
      <c r="D806" s="184">
        <f t="shared" ca="1" si="123"/>
        <v>1.73837549896968</v>
      </c>
      <c r="E806" s="230">
        <f t="shared" ca="1" si="124"/>
        <v>4.1747325019595986E-2</v>
      </c>
      <c r="F806" s="168">
        <f t="shared" ca="1" si="125"/>
        <v>46.242113371943418</v>
      </c>
      <c r="G806" s="168">
        <f t="shared" ca="1" si="126"/>
        <v>40.040705222191264</v>
      </c>
      <c r="H806" s="184">
        <f t="shared" ca="1" si="127"/>
        <v>5.0603946731976803</v>
      </c>
      <c r="I806" s="184">
        <f t="shared" ca="1" si="128"/>
        <v>4.3052300407906037E-7</v>
      </c>
      <c r="J806" s="223">
        <f t="shared" ca="1" si="129"/>
        <v>1</v>
      </c>
      <c r="K806" s="220" t="str" cm="1">
        <f t="array" aca="1" ref="K806" ca="1">_xlfn.IFS(G806&lt;$B$11,"Fail",G806&lt;25,"Marginal",G806&lt;35,"Solid",TRUE,"Blowout")</f>
        <v>Blowout</v>
      </c>
      <c r="L806" s="226">
        <f ca="1">IF(AND(E806&lt;$B$10,C806&gt;=$B$11),1,0)</f>
        <v>0</v>
      </c>
      <c r="M806" s="217" t="str" cm="1">
        <f t="array" aca="1" ref="M806" ca="1">_xlfn.IFS(C806&lt;$B$11,"Fail",C806&lt;25,"Marginal",C806&lt;35,"Solid",TRUE,"Blowout")</f>
        <v>Fail</v>
      </c>
    </row>
    <row r="807" spans="1:13" x14ac:dyDescent="0.25">
      <c r="A807" s="169">
        <f t="shared" ca="1" si="120"/>
        <v>51.504400997054717</v>
      </c>
      <c r="B807" s="168">
        <f t="shared" ca="1" si="121"/>
        <v>1.866908264006089</v>
      </c>
      <c r="C807" s="168">
        <f t="shared" ca="1" si="122"/>
        <v>49.637492733048624</v>
      </c>
      <c r="D807" s="184">
        <f t="shared" ca="1" si="123"/>
        <v>6.2732487458286954</v>
      </c>
      <c r="E807" s="230">
        <f t="shared" ca="1" si="124"/>
        <v>8.7890736324167589E-10</v>
      </c>
      <c r="F807" s="168">
        <f t="shared" ca="1" si="125"/>
        <v>17.647230801900527</v>
      </c>
      <c r="G807" s="168">
        <f t="shared" ca="1" si="126"/>
        <v>15.780322537894438</v>
      </c>
      <c r="H807" s="184">
        <f t="shared" ca="1" si="127"/>
        <v>1.9943370045302165</v>
      </c>
      <c r="I807" s="184">
        <f t="shared" ca="1" si="128"/>
        <v>2.3653146362146379E-2</v>
      </c>
      <c r="J807" s="223">
        <f t="shared" ca="1" si="129"/>
        <v>0</v>
      </c>
      <c r="K807" s="220" t="str" cm="1">
        <f t="array" aca="1" ref="K807" ca="1">_xlfn.IFS(G807&lt;$B$11,"Fail",G807&lt;25,"Marginal",G807&lt;35,"Solid",TRUE,"Blowout")</f>
        <v>Fail</v>
      </c>
      <c r="L807" s="226">
        <f ca="1">IF(AND(E807&lt;$B$10,C807&gt;=$B$11),1,0)</f>
        <v>1</v>
      </c>
      <c r="M807" s="217" t="str" cm="1">
        <f t="array" aca="1" ref="M807" ca="1">_xlfn.IFS(C807&lt;$B$11,"Fail",C807&lt;25,"Marginal",C807&lt;35,"Solid",TRUE,"Blowout")</f>
        <v>Blowout</v>
      </c>
    </row>
    <row r="808" spans="1:13" x14ac:dyDescent="0.25">
      <c r="A808" s="169">
        <f t="shared" ca="1" si="120"/>
        <v>10.271821720427857</v>
      </c>
      <c r="B808" s="168">
        <f t="shared" ca="1" si="121"/>
        <v>9.3581039023503685</v>
      </c>
      <c r="C808" s="168">
        <f t="shared" ca="1" si="122"/>
        <v>0.91371781807748853</v>
      </c>
      <c r="D808" s="184">
        <f t="shared" ca="1" si="123"/>
        <v>0.1154768067582025</v>
      </c>
      <c r="E808" s="230">
        <f t="shared" ca="1" si="124"/>
        <v>0.45408442045696773</v>
      </c>
      <c r="F808" s="168">
        <f t="shared" ca="1" si="125"/>
        <v>14.047050039517233</v>
      </c>
      <c r="G808" s="168">
        <f t="shared" ca="1" si="126"/>
        <v>4.6889461371668641</v>
      </c>
      <c r="H808" s="184">
        <f t="shared" ca="1" si="127"/>
        <v>0.59259490870004983</v>
      </c>
      <c r="I808" s="184">
        <f t="shared" ca="1" si="128"/>
        <v>0.27701977595844129</v>
      </c>
      <c r="J808" s="223">
        <f t="shared" ca="1" si="129"/>
        <v>0</v>
      </c>
      <c r="K808" s="220" t="str" cm="1">
        <f t="array" aca="1" ref="K808" ca="1">_xlfn.IFS(G808&lt;$B$11,"Fail",G808&lt;25,"Marginal",G808&lt;35,"Solid",TRUE,"Blowout")</f>
        <v>Fail</v>
      </c>
      <c r="L808" s="226">
        <f ca="1">IF(AND(E808&lt;$B$10,C808&gt;=$B$11),1,0)</f>
        <v>0</v>
      </c>
      <c r="M808" s="217" t="str" cm="1">
        <f t="array" aca="1" ref="M808" ca="1">_xlfn.IFS(C808&lt;$B$11,"Fail",C808&lt;25,"Marginal",C808&lt;35,"Solid",TRUE,"Blowout")</f>
        <v>Fail</v>
      </c>
    </row>
    <row r="809" spans="1:13" x14ac:dyDescent="0.25">
      <c r="A809" s="169">
        <f t="shared" ca="1" si="120"/>
        <v>19.442474598619746</v>
      </c>
      <c r="B809" s="168">
        <f t="shared" ca="1" si="121"/>
        <v>11.41939226761683</v>
      </c>
      <c r="C809" s="168">
        <f t="shared" ca="1" si="122"/>
        <v>8.0230823310029162</v>
      </c>
      <c r="D809" s="184">
        <f t="shared" ca="1" si="123"/>
        <v>1.0139672332227649</v>
      </c>
      <c r="E809" s="230">
        <f t="shared" ca="1" si="124"/>
        <v>0.15583659456483509</v>
      </c>
      <c r="F809" s="168">
        <f t="shared" ca="1" si="125"/>
        <v>46.828211113322936</v>
      </c>
      <c r="G809" s="168">
        <f t="shared" ca="1" si="126"/>
        <v>35.408818845706108</v>
      </c>
      <c r="H809" s="184">
        <f t="shared" ca="1" si="127"/>
        <v>4.4750110487995771</v>
      </c>
      <c r="I809" s="184">
        <f t="shared" ca="1" si="128"/>
        <v>6.0328700701328736E-6</v>
      </c>
      <c r="J809" s="223">
        <f t="shared" ca="1" si="129"/>
        <v>1</v>
      </c>
      <c r="K809" s="220" t="str" cm="1">
        <f t="array" aca="1" ref="K809" ca="1">_xlfn.IFS(G809&lt;$B$11,"Fail",G809&lt;25,"Marginal",G809&lt;35,"Solid",TRUE,"Blowout")</f>
        <v>Blowout</v>
      </c>
      <c r="L809" s="226">
        <f ca="1">IF(AND(E809&lt;$B$10,C809&gt;=$B$11),1,0)</f>
        <v>0</v>
      </c>
      <c r="M809" s="217" t="str" cm="1">
        <f t="array" aca="1" ref="M809" ca="1">_xlfn.IFS(C809&lt;$B$11,"Fail",C809&lt;25,"Marginal",C809&lt;35,"Solid",TRUE,"Blowout")</f>
        <v>Fail</v>
      </c>
    </row>
    <row r="810" spans="1:13" x14ac:dyDescent="0.25">
      <c r="A810" s="169">
        <f t="shared" ca="1" si="120"/>
        <v>33.476978287047714</v>
      </c>
      <c r="B810" s="168">
        <f t="shared" ca="1" si="121"/>
        <v>-1.5817586860462338</v>
      </c>
      <c r="C810" s="168">
        <f t="shared" ca="1" si="122"/>
        <v>35.05873697309395</v>
      </c>
      <c r="D810" s="184">
        <f t="shared" ca="1" si="123"/>
        <v>4.4307672615456051</v>
      </c>
      <c r="E810" s="230">
        <f t="shared" ca="1" si="124"/>
        <v>7.2921898807822383E-6</v>
      </c>
      <c r="F810" s="168">
        <f t="shared" ca="1" si="125"/>
        <v>46.871887693068587</v>
      </c>
      <c r="G810" s="168">
        <f t="shared" ca="1" si="126"/>
        <v>48.453646379114822</v>
      </c>
      <c r="H810" s="184">
        <f t="shared" ca="1" si="127"/>
        <v>6.123632755049119</v>
      </c>
      <c r="I810" s="184">
        <f t="shared" ca="1" si="128"/>
        <v>1.9819967150981201E-9</v>
      </c>
      <c r="J810" s="223">
        <f t="shared" ca="1" si="129"/>
        <v>1</v>
      </c>
      <c r="K810" s="220" t="str" cm="1">
        <f t="array" aca="1" ref="K810" ca="1">_xlfn.IFS(G810&lt;$B$11,"Fail",G810&lt;25,"Marginal",G810&lt;35,"Solid",TRUE,"Blowout")</f>
        <v>Blowout</v>
      </c>
      <c r="L810" s="226">
        <f ca="1">IF(AND(E810&lt;$B$10,C810&gt;=$B$11),1,0)</f>
        <v>1</v>
      </c>
      <c r="M810" s="217" t="str" cm="1">
        <f t="array" aca="1" ref="M810" ca="1">_xlfn.IFS(C810&lt;$B$11,"Fail",C810&lt;25,"Marginal",C810&lt;35,"Solid",TRUE,"Blowout")</f>
        <v>Blowout</v>
      </c>
    </row>
    <row r="811" spans="1:13" x14ac:dyDescent="0.25">
      <c r="A811" s="169">
        <f t="shared" ca="1" si="120"/>
        <v>51.856722018891119</v>
      </c>
      <c r="B811" s="168">
        <f t="shared" ca="1" si="121"/>
        <v>0.66684880557606885</v>
      </c>
      <c r="C811" s="168">
        <f t="shared" ca="1" si="122"/>
        <v>51.189873213315053</v>
      </c>
      <c r="D811" s="184">
        <f t="shared" ca="1" si="123"/>
        <v>6.4694405428893162</v>
      </c>
      <c r="E811" s="230">
        <f t="shared" ca="1" si="124"/>
        <v>2.9673274669820495E-10</v>
      </c>
      <c r="F811" s="168">
        <f t="shared" ca="1" si="125"/>
        <v>15.864952292016099</v>
      </c>
      <c r="G811" s="168">
        <f t="shared" ca="1" si="126"/>
        <v>15.198103486440029</v>
      </c>
      <c r="H811" s="184">
        <f t="shared" ca="1" si="127"/>
        <v>1.9207554287246729</v>
      </c>
      <c r="I811" s="184">
        <f t="shared" ca="1" si="128"/>
        <v>2.8004917821169439E-2</v>
      </c>
      <c r="J811" s="223">
        <f t="shared" ca="1" si="129"/>
        <v>0</v>
      </c>
      <c r="K811" s="220" t="str" cm="1">
        <f t="array" aca="1" ref="K811" ca="1">_xlfn.IFS(G811&lt;$B$11,"Fail",G811&lt;25,"Marginal",G811&lt;35,"Solid",TRUE,"Blowout")</f>
        <v>Fail</v>
      </c>
      <c r="L811" s="226">
        <f ca="1">IF(AND(E811&lt;$B$10,C811&gt;=$B$11),1,0)</f>
        <v>1</v>
      </c>
      <c r="M811" s="217" t="str" cm="1">
        <f t="array" aca="1" ref="M811" ca="1">_xlfn.IFS(C811&lt;$B$11,"Fail",C811&lt;25,"Marginal",C811&lt;35,"Solid",TRUE,"Blowout")</f>
        <v>Blowout</v>
      </c>
    </row>
    <row r="812" spans="1:13" x14ac:dyDescent="0.25">
      <c r="A812" s="169">
        <f t="shared" ca="1" si="120"/>
        <v>63.083707477304259</v>
      </c>
      <c r="B812" s="168">
        <f t="shared" ca="1" si="121"/>
        <v>9.9479507339608926</v>
      </c>
      <c r="C812" s="168">
        <f t="shared" ca="1" si="122"/>
        <v>53.135756743343364</v>
      </c>
      <c r="D812" s="184">
        <f t="shared" ca="1" si="123"/>
        <v>6.7153637501699173</v>
      </c>
      <c r="E812" s="230">
        <f t="shared" ca="1" si="124"/>
        <v>7.3804519484490578E-11</v>
      </c>
      <c r="F812" s="168">
        <f t="shared" ca="1" si="125"/>
        <v>2.1621618042268977</v>
      </c>
      <c r="G812" s="168">
        <f t="shared" ca="1" si="126"/>
        <v>-7.7857889297339948</v>
      </c>
      <c r="H812" s="184">
        <f t="shared" ca="1" si="127"/>
        <v>-0.98397779479747194</v>
      </c>
      <c r="I812" s="184">
        <f t="shared" ca="1" si="128"/>
        <v>0.83691528223484346</v>
      </c>
      <c r="J812" s="223">
        <f t="shared" ca="1" si="129"/>
        <v>0</v>
      </c>
      <c r="K812" s="220" t="str" cm="1">
        <f t="array" aca="1" ref="K812" ca="1">_xlfn.IFS(G812&lt;$B$11,"Fail",G812&lt;25,"Marginal",G812&lt;35,"Solid",TRUE,"Blowout")</f>
        <v>Fail</v>
      </c>
      <c r="L812" s="226">
        <f ca="1">IF(AND(E812&lt;$B$10,C812&gt;=$B$11),1,0)</f>
        <v>1</v>
      </c>
      <c r="M812" s="217" t="str" cm="1">
        <f t="array" aca="1" ref="M812" ca="1">_xlfn.IFS(C812&lt;$B$11,"Fail",C812&lt;25,"Marginal",C812&lt;35,"Solid",TRUE,"Blowout")</f>
        <v>Blowout</v>
      </c>
    </row>
    <row r="813" spans="1:13" x14ac:dyDescent="0.25">
      <c r="A813" s="169">
        <f t="shared" ca="1" si="120"/>
        <v>-0.82342893653343818</v>
      </c>
      <c r="B813" s="168">
        <f t="shared" ca="1" si="121"/>
        <v>5.3520188487567291</v>
      </c>
      <c r="C813" s="168">
        <f t="shared" ca="1" si="122"/>
        <v>-6.1754477852901672</v>
      </c>
      <c r="D813" s="184">
        <f t="shared" ca="1" si="123"/>
        <v>-0.78046085611832239</v>
      </c>
      <c r="E813" s="230">
        <f t="shared" ca="1" si="124"/>
        <v>0.78203541524221287</v>
      </c>
      <c r="F813" s="168">
        <f t="shared" ca="1" si="125"/>
        <v>18.283187231690746</v>
      </c>
      <c r="G813" s="168">
        <f t="shared" ca="1" si="126"/>
        <v>12.931168382934018</v>
      </c>
      <c r="H813" s="184">
        <f t="shared" ca="1" si="127"/>
        <v>1.6342573198974362</v>
      </c>
      <c r="I813" s="184">
        <f t="shared" ca="1" si="128"/>
        <v>5.179239980845135E-2</v>
      </c>
      <c r="J813" s="223">
        <f t="shared" ca="1" si="129"/>
        <v>0</v>
      </c>
      <c r="K813" s="220" t="str" cm="1">
        <f t="array" aca="1" ref="K813" ca="1">_xlfn.IFS(G813&lt;$B$11,"Fail",G813&lt;25,"Marginal",G813&lt;35,"Solid",TRUE,"Blowout")</f>
        <v>Fail</v>
      </c>
      <c r="L813" s="226">
        <f ca="1">IF(AND(E813&lt;$B$10,C813&gt;=$B$11),1,0)</f>
        <v>0</v>
      </c>
      <c r="M813" s="217" t="str" cm="1">
        <f t="array" aca="1" ref="M813" ca="1">_xlfn.IFS(C813&lt;$B$11,"Fail",C813&lt;25,"Marginal",C813&lt;35,"Solid",TRUE,"Blowout")</f>
        <v>Fail</v>
      </c>
    </row>
    <row r="814" spans="1:13" x14ac:dyDescent="0.25">
      <c r="A814" s="169">
        <f t="shared" ca="1" si="120"/>
        <v>2.2800303483821569</v>
      </c>
      <c r="B814" s="168">
        <f t="shared" ca="1" si="121"/>
        <v>4.6796154813617834</v>
      </c>
      <c r="C814" s="168">
        <f t="shared" ca="1" si="122"/>
        <v>-2.3995851329796265</v>
      </c>
      <c r="D814" s="184">
        <f t="shared" ca="1" si="123"/>
        <v>-0.3032625863463731</v>
      </c>
      <c r="E814" s="230">
        <f t="shared" ca="1" si="124"/>
        <v>0.61901685555292985</v>
      </c>
      <c r="F814" s="168">
        <f t="shared" ca="1" si="125"/>
        <v>39.012611976866495</v>
      </c>
      <c r="G814" s="168">
        <f t="shared" ca="1" si="126"/>
        <v>34.332996495504709</v>
      </c>
      <c r="H814" s="184">
        <f t="shared" ca="1" si="127"/>
        <v>4.3390472674411766</v>
      </c>
      <c r="I814" s="184">
        <f t="shared" ca="1" si="128"/>
        <v>1.0753682468331231E-5</v>
      </c>
      <c r="J814" s="223">
        <f t="shared" ca="1" si="129"/>
        <v>1</v>
      </c>
      <c r="K814" s="220" t="str" cm="1">
        <f t="array" aca="1" ref="K814" ca="1">_xlfn.IFS(G814&lt;$B$11,"Fail",G814&lt;25,"Marginal",G814&lt;35,"Solid",TRUE,"Blowout")</f>
        <v>Solid</v>
      </c>
      <c r="L814" s="226">
        <f ca="1">IF(AND(E814&lt;$B$10,C814&gt;=$B$11),1,0)</f>
        <v>0</v>
      </c>
      <c r="M814" s="217" t="str" cm="1">
        <f t="array" aca="1" ref="M814" ca="1">_xlfn.IFS(C814&lt;$B$11,"Fail",C814&lt;25,"Marginal",C814&lt;35,"Solid",TRUE,"Blowout")</f>
        <v>Fail</v>
      </c>
    </row>
    <row r="815" spans="1:13" x14ac:dyDescent="0.25">
      <c r="A815" s="169">
        <f t="shared" ca="1" si="120"/>
        <v>51.259455973127082</v>
      </c>
      <c r="B815" s="168">
        <f t="shared" ca="1" si="121"/>
        <v>12.941412591651623</v>
      </c>
      <c r="C815" s="168">
        <f t="shared" ca="1" si="122"/>
        <v>38.318043381475462</v>
      </c>
      <c r="D815" s="184">
        <f t="shared" ca="1" si="123"/>
        <v>4.8426825036915391</v>
      </c>
      <c r="E815" s="230">
        <f t="shared" ca="1" si="124"/>
        <v>1.1820555320984277E-6</v>
      </c>
      <c r="F815" s="168">
        <f t="shared" ca="1" si="125"/>
        <v>18.126293148139187</v>
      </c>
      <c r="G815" s="168">
        <f t="shared" ca="1" si="126"/>
        <v>5.1848805564875633</v>
      </c>
      <c r="H815" s="184">
        <f t="shared" ca="1" si="127"/>
        <v>0.65527172420216473</v>
      </c>
      <c r="I815" s="184">
        <f t="shared" ca="1" si="128"/>
        <v>0.2564767051109717</v>
      </c>
      <c r="J815" s="223">
        <f t="shared" ca="1" si="129"/>
        <v>0</v>
      </c>
      <c r="K815" s="220" t="str" cm="1">
        <f t="array" aca="1" ref="K815" ca="1">_xlfn.IFS(G815&lt;$B$11,"Fail",G815&lt;25,"Marginal",G815&lt;35,"Solid",TRUE,"Blowout")</f>
        <v>Fail</v>
      </c>
      <c r="L815" s="226">
        <f ca="1">IF(AND(E815&lt;$B$10,C815&gt;=$B$11),1,0)</f>
        <v>1</v>
      </c>
      <c r="M815" s="217" t="str" cm="1">
        <f t="array" aca="1" ref="M815" ca="1">_xlfn.IFS(C815&lt;$B$11,"Fail",C815&lt;25,"Marginal",C815&lt;35,"Solid",TRUE,"Blowout")</f>
        <v>Blowout</v>
      </c>
    </row>
    <row r="816" spans="1:13" x14ac:dyDescent="0.25">
      <c r="A816" s="169">
        <f t="shared" ca="1" si="120"/>
        <v>20.877695959972304</v>
      </c>
      <c r="B816" s="168">
        <f t="shared" ca="1" si="121"/>
        <v>-2.0830142026883971</v>
      </c>
      <c r="C816" s="168">
        <f t="shared" ca="1" si="122"/>
        <v>22.9607101626607</v>
      </c>
      <c r="D816" s="184">
        <f t="shared" ca="1" si="123"/>
        <v>2.9018034211737453</v>
      </c>
      <c r="E816" s="230">
        <f t="shared" ca="1" si="124"/>
        <v>2.0368835163528634E-3</v>
      </c>
      <c r="F816" s="168">
        <f t="shared" ca="1" si="125"/>
        <v>29.097884881817066</v>
      </c>
      <c r="G816" s="168">
        <f t="shared" ca="1" si="126"/>
        <v>31.180899084505462</v>
      </c>
      <c r="H816" s="184">
        <f t="shared" ca="1" si="127"/>
        <v>3.9406812331890992</v>
      </c>
      <c r="I816" s="184">
        <f t="shared" ca="1" si="128"/>
        <v>5.4033920129430571E-5</v>
      </c>
      <c r="J816" s="223">
        <f t="shared" ca="1" si="129"/>
        <v>1</v>
      </c>
      <c r="K816" s="220" t="str" cm="1">
        <f t="array" aca="1" ref="K816" ca="1">_xlfn.IFS(G816&lt;$B$11,"Fail",G816&lt;25,"Marginal",G816&lt;35,"Solid",TRUE,"Blowout")</f>
        <v>Solid</v>
      </c>
      <c r="L816" s="226">
        <f ca="1">IF(AND(E816&lt;$B$10,C816&gt;=$B$11),1,0)</f>
        <v>1</v>
      </c>
      <c r="M816" s="217" t="str" cm="1">
        <f t="array" aca="1" ref="M816" ca="1">_xlfn.IFS(C816&lt;$B$11,"Fail",C816&lt;25,"Marginal",C816&lt;35,"Solid",TRUE,"Blowout")</f>
        <v>Marginal</v>
      </c>
    </row>
    <row r="817" spans="1:13" x14ac:dyDescent="0.25">
      <c r="A817" s="169">
        <f t="shared" ca="1" si="120"/>
        <v>53.395253148526052</v>
      </c>
      <c r="B817" s="168">
        <f t="shared" ca="1" si="121"/>
        <v>8.0684058198849495</v>
      </c>
      <c r="C817" s="168">
        <f t="shared" ca="1" si="122"/>
        <v>45.326847328641101</v>
      </c>
      <c r="D817" s="184">
        <f t="shared" ca="1" si="123"/>
        <v>5.7284639594104378</v>
      </c>
      <c r="E817" s="230">
        <f t="shared" ca="1" si="124"/>
        <v>1.5919881686945191E-8</v>
      </c>
      <c r="F817" s="168">
        <f t="shared" ca="1" si="125"/>
        <v>39.295159766441138</v>
      </c>
      <c r="G817" s="168">
        <f t="shared" ca="1" si="126"/>
        <v>31.226753946556187</v>
      </c>
      <c r="H817" s="184">
        <f t="shared" ca="1" si="127"/>
        <v>3.9464764283130127</v>
      </c>
      <c r="I817" s="184">
        <f t="shared" ca="1" si="128"/>
        <v>5.2825165733335831E-5</v>
      </c>
      <c r="J817" s="223">
        <f t="shared" ca="1" si="129"/>
        <v>1</v>
      </c>
      <c r="K817" s="220" t="str" cm="1">
        <f t="array" aca="1" ref="K817" ca="1">_xlfn.IFS(G817&lt;$B$11,"Fail",G817&lt;25,"Marginal",G817&lt;35,"Solid",TRUE,"Blowout")</f>
        <v>Solid</v>
      </c>
      <c r="L817" s="226">
        <f ca="1">IF(AND(E817&lt;$B$10,C817&gt;=$B$11),1,0)</f>
        <v>1</v>
      </c>
      <c r="M817" s="217" t="str" cm="1">
        <f t="array" aca="1" ref="M817" ca="1">_xlfn.IFS(C817&lt;$B$11,"Fail",C817&lt;25,"Marginal",C817&lt;35,"Solid",TRUE,"Blowout")</f>
        <v>Blowout</v>
      </c>
    </row>
    <row r="818" spans="1:13" x14ac:dyDescent="0.25">
      <c r="A818" s="169">
        <f t="shared" ca="1" si="120"/>
        <v>-4.3742021978854222</v>
      </c>
      <c r="B818" s="168">
        <f t="shared" ca="1" si="121"/>
        <v>-4.0533038486740001</v>
      </c>
      <c r="C818" s="168">
        <f t="shared" ca="1" si="122"/>
        <v>-0.32089834921142213</v>
      </c>
      <c r="D818" s="184">
        <f t="shared" ca="1" si="123"/>
        <v>-4.0555536871199539E-2</v>
      </c>
      <c r="E818" s="230">
        <f t="shared" ca="1" si="124"/>
        <v>0.51615713904248206</v>
      </c>
      <c r="F818" s="168">
        <f t="shared" ca="1" si="125"/>
        <v>43.414255939066749</v>
      </c>
      <c r="G818" s="168">
        <f t="shared" ca="1" si="126"/>
        <v>47.467559787740747</v>
      </c>
      <c r="H818" s="184">
        <f t="shared" ca="1" si="127"/>
        <v>5.9990098917251364</v>
      </c>
      <c r="I818" s="184">
        <f t="shared" ca="1" si="128"/>
        <v>3.8627148667642309E-9</v>
      </c>
      <c r="J818" s="223">
        <f t="shared" ca="1" si="129"/>
        <v>1</v>
      </c>
      <c r="K818" s="220" t="str" cm="1">
        <f t="array" aca="1" ref="K818" ca="1">_xlfn.IFS(G818&lt;$B$11,"Fail",G818&lt;25,"Marginal",G818&lt;35,"Solid",TRUE,"Blowout")</f>
        <v>Blowout</v>
      </c>
      <c r="L818" s="226">
        <f ca="1">IF(AND(E818&lt;$B$10,C818&gt;=$B$11),1,0)</f>
        <v>0</v>
      </c>
      <c r="M818" s="217" t="str" cm="1">
        <f t="array" aca="1" ref="M818" ca="1">_xlfn.IFS(C818&lt;$B$11,"Fail",C818&lt;25,"Marginal",C818&lt;35,"Solid",TRUE,"Blowout")</f>
        <v>Fail</v>
      </c>
    </row>
    <row r="819" spans="1:13" x14ac:dyDescent="0.25">
      <c r="A819" s="169">
        <f t="shared" ca="1" si="120"/>
        <v>-3.4135967944928174</v>
      </c>
      <c r="B819" s="168">
        <f t="shared" ca="1" si="121"/>
        <v>-5.9107512558727286</v>
      </c>
      <c r="C819" s="168">
        <f t="shared" ca="1" si="122"/>
        <v>2.4971544613799113</v>
      </c>
      <c r="D819" s="184">
        <f t="shared" ca="1" si="123"/>
        <v>0.31559352075335845</v>
      </c>
      <c r="E819" s="230">
        <f t="shared" ca="1" si="124"/>
        <v>0.37629986970253793</v>
      </c>
      <c r="F819" s="168">
        <f t="shared" ca="1" si="125"/>
        <v>32.014184714937414</v>
      </c>
      <c r="G819" s="168">
        <f t="shared" ca="1" si="126"/>
        <v>37.924935970810139</v>
      </c>
      <c r="H819" s="184">
        <f t="shared" ca="1" si="127"/>
        <v>4.7930010948380595</v>
      </c>
      <c r="I819" s="184">
        <f t="shared" ca="1" si="128"/>
        <v>1.4815930929144869E-6</v>
      </c>
      <c r="J819" s="223">
        <f t="shared" ca="1" si="129"/>
        <v>1</v>
      </c>
      <c r="K819" s="220" t="str" cm="1">
        <f t="array" aca="1" ref="K819" ca="1">_xlfn.IFS(G819&lt;$B$11,"Fail",G819&lt;25,"Marginal",G819&lt;35,"Solid",TRUE,"Blowout")</f>
        <v>Blowout</v>
      </c>
      <c r="L819" s="226">
        <f ca="1">IF(AND(E819&lt;$B$10,C819&gt;=$B$11),1,0)</f>
        <v>0</v>
      </c>
      <c r="M819" s="217" t="str" cm="1">
        <f t="array" aca="1" ref="M819" ca="1">_xlfn.IFS(C819&lt;$B$11,"Fail",C819&lt;25,"Marginal",C819&lt;35,"Solid",TRUE,"Blowout")</f>
        <v>Fail</v>
      </c>
    </row>
    <row r="820" spans="1:13" x14ac:dyDescent="0.25">
      <c r="A820" s="169">
        <f t="shared" ca="1" si="120"/>
        <v>19.437505497337192</v>
      </c>
      <c r="B820" s="168">
        <f t="shared" ca="1" si="121"/>
        <v>4.9315410158849735</v>
      </c>
      <c r="C820" s="168">
        <f t="shared" ca="1" si="122"/>
        <v>14.505964481452217</v>
      </c>
      <c r="D820" s="184">
        <f t="shared" ca="1" si="123"/>
        <v>1.8332820309781335</v>
      </c>
      <c r="E820" s="230">
        <f t="shared" ca="1" si="124"/>
        <v>3.4032208237977271E-2</v>
      </c>
      <c r="F820" s="168">
        <f t="shared" ca="1" si="125"/>
        <v>0.73145755866437234</v>
      </c>
      <c r="G820" s="168">
        <f t="shared" ca="1" si="126"/>
        <v>-4.2000834572206012</v>
      </c>
      <c r="H820" s="184">
        <f t="shared" ca="1" si="127"/>
        <v>-0.5308118285120873</v>
      </c>
      <c r="I820" s="184">
        <f t="shared" ca="1" si="128"/>
        <v>0.70196707874817355</v>
      </c>
      <c r="J820" s="223">
        <f t="shared" ca="1" si="129"/>
        <v>0</v>
      </c>
      <c r="K820" s="220" t="str" cm="1">
        <f t="array" aca="1" ref="K820" ca="1">_xlfn.IFS(G820&lt;$B$11,"Fail",G820&lt;25,"Marginal",G820&lt;35,"Solid",TRUE,"Blowout")</f>
        <v>Fail</v>
      </c>
      <c r="L820" s="226">
        <f ca="1">IF(AND(E820&lt;$B$10,C820&gt;=$B$11),1,0)</f>
        <v>0</v>
      </c>
      <c r="M820" s="217" t="str" cm="1">
        <f t="array" aca="1" ref="M820" ca="1">_xlfn.IFS(C820&lt;$B$11,"Fail",C820&lt;25,"Marginal",C820&lt;35,"Solid",TRUE,"Blowout")</f>
        <v>Fail</v>
      </c>
    </row>
    <row r="821" spans="1:13" x14ac:dyDescent="0.25">
      <c r="A821" s="169">
        <f t="shared" ca="1" si="120"/>
        <v>43.029049780936475</v>
      </c>
      <c r="B821" s="168">
        <f t="shared" ca="1" si="121"/>
        <v>7.214580702476745</v>
      </c>
      <c r="C821" s="168">
        <f t="shared" ca="1" si="122"/>
        <v>35.81446907845973</v>
      </c>
      <c r="D821" s="184">
        <f t="shared" ca="1" si="123"/>
        <v>4.5262776352799312</v>
      </c>
      <c r="E821" s="230">
        <f t="shared" ca="1" si="124"/>
        <v>4.8344494701437279E-6</v>
      </c>
      <c r="F821" s="168">
        <f t="shared" ca="1" si="125"/>
        <v>31.545559766395073</v>
      </c>
      <c r="G821" s="168">
        <f t="shared" ca="1" si="126"/>
        <v>24.330979063918328</v>
      </c>
      <c r="H821" s="184">
        <f t="shared" ca="1" si="127"/>
        <v>3.0749797278919782</v>
      </c>
      <c r="I821" s="184">
        <f t="shared" ca="1" si="128"/>
        <v>1.1810415583224654E-3</v>
      </c>
      <c r="J821" s="223">
        <f t="shared" ca="1" si="129"/>
        <v>1</v>
      </c>
      <c r="K821" s="220" t="str" cm="1">
        <f t="array" aca="1" ref="K821" ca="1">_xlfn.IFS(G821&lt;$B$11,"Fail",G821&lt;25,"Marginal",G821&lt;35,"Solid",TRUE,"Blowout")</f>
        <v>Marginal</v>
      </c>
      <c r="L821" s="226">
        <f ca="1">IF(AND(E821&lt;$B$10,C821&gt;=$B$11),1,0)</f>
        <v>1</v>
      </c>
      <c r="M821" s="217" t="str" cm="1">
        <f t="array" aca="1" ref="M821" ca="1">_xlfn.IFS(C821&lt;$B$11,"Fail",C821&lt;25,"Marginal",C821&lt;35,"Solid",TRUE,"Blowout")</f>
        <v>Blowout</v>
      </c>
    </row>
    <row r="822" spans="1:13" x14ac:dyDescent="0.25">
      <c r="A822" s="169">
        <f t="shared" ca="1" si="120"/>
        <v>2.1984656849068998</v>
      </c>
      <c r="B822" s="168">
        <f t="shared" ca="1" si="121"/>
        <v>1.2212401679840439</v>
      </c>
      <c r="C822" s="168">
        <f t="shared" ca="1" si="122"/>
        <v>0.97722551692285586</v>
      </c>
      <c r="D822" s="184">
        <f t="shared" ca="1" si="123"/>
        <v>0.12350298959291513</v>
      </c>
      <c r="E822" s="230">
        <f t="shared" ca="1" si="124"/>
        <v>0.45090880528100585</v>
      </c>
      <c r="F822" s="168">
        <f t="shared" ca="1" si="125"/>
        <v>12.93789290335735</v>
      </c>
      <c r="G822" s="168">
        <f t="shared" ca="1" si="126"/>
        <v>11.716652735373305</v>
      </c>
      <c r="H822" s="184">
        <f t="shared" ca="1" si="127"/>
        <v>1.4807653052256946</v>
      </c>
      <c r="I822" s="184">
        <f t="shared" ca="1" si="128"/>
        <v>7.0024841205442112E-2</v>
      </c>
      <c r="J822" s="223">
        <f t="shared" ca="1" si="129"/>
        <v>0</v>
      </c>
      <c r="K822" s="220" t="str" cm="1">
        <f t="array" aca="1" ref="K822" ca="1">_xlfn.IFS(G822&lt;$B$11,"Fail",G822&lt;25,"Marginal",G822&lt;35,"Solid",TRUE,"Blowout")</f>
        <v>Fail</v>
      </c>
      <c r="L822" s="226">
        <f ca="1">IF(AND(E822&lt;$B$10,C822&gt;=$B$11),1,0)</f>
        <v>0</v>
      </c>
      <c r="M822" s="217" t="str" cm="1">
        <f t="array" aca="1" ref="M822" ca="1">_xlfn.IFS(C822&lt;$B$11,"Fail",C822&lt;25,"Marginal",C822&lt;35,"Solid",TRUE,"Blowout")</f>
        <v>Fail</v>
      </c>
    </row>
    <row r="823" spans="1:13" x14ac:dyDescent="0.25">
      <c r="A823" s="169">
        <f t="shared" ca="1" si="120"/>
        <v>6.7383975765870154</v>
      </c>
      <c r="B823" s="168">
        <f t="shared" ca="1" si="121"/>
        <v>7.490096656755548</v>
      </c>
      <c r="C823" s="168">
        <f t="shared" ca="1" si="122"/>
        <v>-0.7516990801685326</v>
      </c>
      <c r="D823" s="184">
        <f t="shared" ca="1" si="123"/>
        <v>-9.5000674938768404E-2</v>
      </c>
      <c r="E823" s="230">
        <f t="shared" ca="1" si="124"/>
        <v>0.53780113469481872</v>
      </c>
      <c r="F823" s="168">
        <f t="shared" ca="1" si="125"/>
        <v>12.955395260370942</v>
      </c>
      <c r="G823" s="168">
        <f t="shared" ca="1" si="126"/>
        <v>5.4652986036153939</v>
      </c>
      <c r="H823" s="184">
        <f t="shared" ca="1" si="127"/>
        <v>0.69071130959607341</v>
      </c>
      <c r="I823" s="184">
        <f t="shared" ca="1" si="128"/>
        <v>0.2452247763770814</v>
      </c>
      <c r="J823" s="223">
        <f t="shared" ca="1" si="129"/>
        <v>0</v>
      </c>
      <c r="K823" s="220" t="str" cm="1">
        <f t="array" aca="1" ref="K823" ca="1">_xlfn.IFS(G823&lt;$B$11,"Fail",G823&lt;25,"Marginal",G823&lt;35,"Solid",TRUE,"Blowout")</f>
        <v>Fail</v>
      </c>
      <c r="L823" s="226">
        <f ca="1">IF(AND(E823&lt;$B$10,C823&gt;=$B$11),1,0)</f>
        <v>0</v>
      </c>
      <c r="M823" s="217" t="str" cm="1">
        <f t="array" aca="1" ref="M823" ca="1">_xlfn.IFS(C823&lt;$B$11,"Fail",C823&lt;25,"Marginal",C823&lt;35,"Solid",TRUE,"Blowout")</f>
        <v>Fail</v>
      </c>
    </row>
    <row r="824" spans="1:13" x14ac:dyDescent="0.25">
      <c r="A824" s="169">
        <f t="shared" ca="1" si="120"/>
        <v>57.978607233654607</v>
      </c>
      <c r="B824" s="168">
        <f t="shared" ca="1" si="121"/>
        <v>-8.9495494223376095</v>
      </c>
      <c r="C824" s="168">
        <f t="shared" ca="1" si="122"/>
        <v>66.928156655992211</v>
      </c>
      <c r="D824" s="184">
        <f t="shared" ca="1" si="123"/>
        <v>8.4584645937059779</v>
      </c>
      <c r="E824" s="230">
        <f t="shared" ca="1" si="124"/>
        <v>1.6382329652909172E-15</v>
      </c>
      <c r="F824" s="168">
        <f t="shared" ca="1" si="125"/>
        <v>61.657227455625957</v>
      </c>
      <c r="G824" s="168">
        <f t="shared" ca="1" si="126"/>
        <v>70.606776877963568</v>
      </c>
      <c r="H824" s="184">
        <f t="shared" ca="1" si="127"/>
        <v>8.923373242858947</v>
      </c>
      <c r="I824" s="184">
        <f t="shared" ca="1" si="128"/>
        <v>7.5779390071693449E-17</v>
      </c>
      <c r="J824" s="223">
        <f t="shared" ca="1" si="129"/>
        <v>1</v>
      </c>
      <c r="K824" s="220" t="str" cm="1">
        <f t="array" aca="1" ref="K824" ca="1">_xlfn.IFS(G824&lt;$B$11,"Fail",G824&lt;25,"Marginal",G824&lt;35,"Solid",TRUE,"Blowout")</f>
        <v>Blowout</v>
      </c>
      <c r="L824" s="226">
        <f ca="1">IF(AND(E824&lt;$B$10,C824&gt;=$B$11),1,0)</f>
        <v>1</v>
      </c>
      <c r="M824" s="217" t="str" cm="1">
        <f t="array" aca="1" ref="M824" ca="1">_xlfn.IFS(C824&lt;$B$11,"Fail",C824&lt;25,"Marginal",C824&lt;35,"Solid",TRUE,"Blowout")</f>
        <v>Blowout</v>
      </c>
    </row>
    <row r="825" spans="1:13" x14ac:dyDescent="0.25">
      <c r="A825" s="169">
        <f t="shared" ca="1" si="120"/>
        <v>13.394468631096247</v>
      </c>
      <c r="B825" s="168">
        <f t="shared" ca="1" si="121"/>
        <v>-1.5307627945123956</v>
      </c>
      <c r="C825" s="168">
        <f t="shared" ca="1" si="122"/>
        <v>14.925231425608644</v>
      </c>
      <c r="D825" s="184">
        <f t="shared" ca="1" si="123"/>
        <v>1.8862695145672386</v>
      </c>
      <c r="E825" s="230">
        <f t="shared" ca="1" si="124"/>
        <v>3.0264828838487308E-2</v>
      </c>
      <c r="F825" s="168">
        <f t="shared" ca="1" si="125"/>
        <v>3.9894597092753585</v>
      </c>
      <c r="G825" s="168">
        <f t="shared" ca="1" si="126"/>
        <v>5.5202225037877541</v>
      </c>
      <c r="H825" s="184">
        <f t="shared" ca="1" si="127"/>
        <v>0.69765266116121549</v>
      </c>
      <c r="I825" s="184">
        <f t="shared" ca="1" si="128"/>
        <v>0.24305263227411011</v>
      </c>
      <c r="J825" s="223">
        <f t="shared" ca="1" si="129"/>
        <v>0</v>
      </c>
      <c r="K825" s="220" t="str" cm="1">
        <f t="array" aca="1" ref="K825" ca="1">_xlfn.IFS(G825&lt;$B$11,"Fail",G825&lt;25,"Marginal",G825&lt;35,"Solid",TRUE,"Blowout")</f>
        <v>Fail</v>
      </c>
      <c r="L825" s="226">
        <f ca="1">IF(AND(E825&lt;$B$10,C825&gt;=$B$11),1,0)</f>
        <v>0</v>
      </c>
      <c r="M825" s="217" t="str" cm="1">
        <f t="array" aca="1" ref="M825" ca="1">_xlfn.IFS(C825&lt;$B$11,"Fail",C825&lt;25,"Marginal",C825&lt;35,"Solid",TRUE,"Blowout")</f>
        <v>Fail</v>
      </c>
    </row>
    <row r="826" spans="1:13" x14ac:dyDescent="0.25">
      <c r="A826" s="169">
        <f t="shared" ca="1" si="120"/>
        <v>14.6953254891309</v>
      </c>
      <c r="B826" s="168">
        <f t="shared" ca="1" si="121"/>
        <v>8.6648913974071036</v>
      </c>
      <c r="C826" s="168">
        <f t="shared" ca="1" si="122"/>
        <v>6.0304340917237962</v>
      </c>
      <c r="D826" s="184">
        <f t="shared" ca="1" si="123"/>
        <v>0.76213384318506161</v>
      </c>
      <c r="E826" s="230">
        <f t="shared" ca="1" si="124"/>
        <v>0.22338390369327887</v>
      </c>
      <c r="F826" s="168">
        <f t="shared" ca="1" si="125"/>
        <v>19.455104949332174</v>
      </c>
      <c r="G826" s="168">
        <f t="shared" ca="1" si="126"/>
        <v>10.790213551925071</v>
      </c>
      <c r="H826" s="184">
        <f t="shared" ca="1" si="127"/>
        <v>1.3636807563160813</v>
      </c>
      <c r="I826" s="184">
        <f t="shared" ca="1" si="128"/>
        <v>8.7006459933116717E-2</v>
      </c>
      <c r="J826" s="223">
        <f t="shared" ca="1" si="129"/>
        <v>0</v>
      </c>
      <c r="K826" s="220" t="str" cm="1">
        <f t="array" aca="1" ref="K826" ca="1">_xlfn.IFS(G826&lt;$B$11,"Fail",G826&lt;25,"Marginal",G826&lt;35,"Solid",TRUE,"Blowout")</f>
        <v>Fail</v>
      </c>
      <c r="L826" s="226">
        <f ca="1">IF(AND(E826&lt;$B$10,C826&gt;=$B$11),1,0)</f>
        <v>0</v>
      </c>
      <c r="M826" s="217" t="str" cm="1">
        <f t="array" aca="1" ref="M826" ca="1">_xlfn.IFS(C826&lt;$B$11,"Fail",C826&lt;25,"Marginal",C826&lt;35,"Solid",TRUE,"Blowout")</f>
        <v>Fail</v>
      </c>
    </row>
    <row r="827" spans="1:13" x14ac:dyDescent="0.25">
      <c r="A827" s="169">
        <f t="shared" ca="1" si="120"/>
        <v>4.7315520391127981</v>
      </c>
      <c r="B827" s="168">
        <f t="shared" ca="1" si="121"/>
        <v>-11.465613088028761</v>
      </c>
      <c r="C827" s="168">
        <f t="shared" ca="1" si="122"/>
        <v>16.19716512714156</v>
      </c>
      <c r="D827" s="184">
        <f t="shared" ca="1" si="123"/>
        <v>2.0470180950974974</v>
      </c>
      <c r="E827" s="230">
        <f t="shared" ca="1" si="124"/>
        <v>2.0901518871331567E-2</v>
      </c>
      <c r="F827" s="168">
        <f t="shared" ca="1" si="125"/>
        <v>1.2019811165112544</v>
      </c>
      <c r="G827" s="168">
        <f t="shared" ca="1" si="126"/>
        <v>12.667594204540015</v>
      </c>
      <c r="H827" s="184">
        <f t="shared" ca="1" si="127"/>
        <v>1.6009464838136036</v>
      </c>
      <c r="I827" s="184">
        <f t="shared" ca="1" si="128"/>
        <v>5.538669930316014E-2</v>
      </c>
      <c r="J827" s="223">
        <f t="shared" ca="1" si="129"/>
        <v>0</v>
      </c>
      <c r="K827" s="220" t="str" cm="1">
        <f t="array" aca="1" ref="K827" ca="1">_xlfn.IFS(G827&lt;$B$11,"Fail",G827&lt;25,"Marginal",G827&lt;35,"Solid",TRUE,"Blowout")</f>
        <v>Fail</v>
      </c>
      <c r="L827" s="226">
        <f ca="1">IF(AND(E827&lt;$B$10,C827&gt;=$B$11),1,0)</f>
        <v>0</v>
      </c>
      <c r="M827" s="217" t="str" cm="1">
        <f t="array" aca="1" ref="M827" ca="1">_xlfn.IFS(C827&lt;$B$11,"Fail",C827&lt;25,"Marginal",C827&lt;35,"Solid",TRUE,"Blowout")</f>
        <v>Fail</v>
      </c>
    </row>
    <row r="828" spans="1:13" x14ac:dyDescent="0.25">
      <c r="A828" s="169">
        <f t="shared" ca="1" si="120"/>
        <v>22.825254764350486</v>
      </c>
      <c r="B828" s="168">
        <f t="shared" ca="1" si="121"/>
        <v>14.310366278871854</v>
      </c>
      <c r="C828" s="168">
        <f t="shared" ca="1" si="122"/>
        <v>8.5148884854786324</v>
      </c>
      <c r="D828" s="184">
        <f t="shared" ca="1" si="123"/>
        <v>1.076122313422887</v>
      </c>
      <c r="E828" s="230">
        <f t="shared" ca="1" si="124"/>
        <v>0.14150496600880508</v>
      </c>
      <c r="F828" s="168">
        <f t="shared" ca="1" si="125"/>
        <v>-1.3260832346432636</v>
      </c>
      <c r="G828" s="168">
        <f t="shared" ca="1" si="126"/>
        <v>-15.636449513515117</v>
      </c>
      <c r="H828" s="184">
        <f t="shared" ca="1" si="127"/>
        <v>-1.9761541508030935</v>
      </c>
      <c r="I828" s="184">
        <f t="shared" ca="1" si="128"/>
        <v>0.97532853510049877</v>
      </c>
      <c r="J828" s="223">
        <f t="shared" ca="1" si="129"/>
        <v>0</v>
      </c>
      <c r="K828" s="220" t="str" cm="1">
        <f t="array" aca="1" ref="K828" ca="1">_xlfn.IFS(G828&lt;$B$11,"Fail",G828&lt;25,"Marginal",G828&lt;35,"Solid",TRUE,"Blowout")</f>
        <v>Fail</v>
      </c>
      <c r="L828" s="226">
        <f ca="1">IF(AND(E828&lt;$B$10,C828&gt;=$B$11),1,0)</f>
        <v>0</v>
      </c>
      <c r="M828" s="217" t="str" cm="1">
        <f t="array" aca="1" ref="M828" ca="1">_xlfn.IFS(C828&lt;$B$11,"Fail",C828&lt;25,"Marginal",C828&lt;35,"Solid",TRUE,"Blowout")</f>
        <v>Fail</v>
      </c>
    </row>
    <row r="829" spans="1:13" x14ac:dyDescent="0.25">
      <c r="A829" s="169">
        <f t="shared" ca="1" si="120"/>
        <v>45.143694246033263</v>
      </c>
      <c r="B829" s="168">
        <f t="shared" ca="1" si="121"/>
        <v>-2.3615500948284396</v>
      </c>
      <c r="C829" s="168">
        <f t="shared" ca="1" si="122"/>
        <v>47.505244340861701</v>
      </c>
      <c r="D829" s="184">
        <f t="shared" ca="1" si="123"/>
        <v>6.0037725129331516</v>
      </c>
      <c r="E829" s="230">
        <f t="shared" ca="1" si="124"/>
        <v>3.7661016995728263E-9</v>
      </c>
      <c r="F829" s="168">
        <f t="shared" ca="1" si="125"/>
        <v>48.246715253307222</v>
      </c>
      <c r="G829" s="168">
        <f t="shared" ca="1" si="126"/>
        <v>50.60826534813566</v>
      </c>
      <c r="H829" s="184">
        <f t="shared" ca="1" si="127"/>
        <v>6.3959362095737156</v>
      </c>
      <c r="I829" s="184">
        <f t="shared" ca="1" si="128"/>
        <v>4.4684365233795533E-10</v>
      </c>
      <c r="J829" s="223">
        <f t="shared" ca="1" si="129"/>
        <v>1</v>
      </c>
      <c r="K829" s="220" t="str" cm="1">
        <f t="array" aca="1" ref="K829" ca="1">_xlfn.IFS(G829&lt;$B$11,"Fail",G829&lt;25,"Marginal",G829&lt;35,"Solid",TRUE,"Blowout")</f>
        <v>Blowout</v>
      </c>
      <c r="L829" s="226">
        <f ca="1">IF(AND(E829&lt;$B$10,C829&gt;=$B$11),1,0)</f>
        <v>1</v>
      </c>
      <c r="M829" s="217" t="str" cm="1">
        <f t="array" aca="1" ref="M829" ca="1">_xlfn.IFS(C829&lt;$B$11,"Fail",C829&lt;25,"Marginal",C829&lt;35,"Solid",TRUE,"Blowout")</f>
        <v>Blowout</v>
      </c>
    </row>
    <row r="830" spans="1:13" x14ac:dyDescent="0.25">
      <c r="A830" s="169">
        <f t="shared" ca="1" si="120"/>
        <v>17.744490504394953</v>
      </c>
      <c r="B830" s="168">
        <f t="shared" ca="1" si="121"/>
        <v>7.905972138126705</v>
      </c>
      <c r="C830" s="168">
        <f t="shared" ca="1" si="122"/>
        <v>9.8385183662682483</v>
      </c>
      <c r="D830" s="184">
        <f t="shared" ca="1" si="123"/>
        <v>1.2434043220904281</v>
      </c>
      <c r="E830" s="230">
        <f t="shared" ca="1" si="124"/>
        <v>0.10749794200206912</v>
      </c>
      <c r="F830" s="168">
        <f t="shared" ca="1" si="125"/>
        <v>33.156660876153495</v>
      </c>
      <c r="G830" s="168">
        <f t="shared" ca="1" si="126"/>
        <v>25.250688738026788</v>
      </c>
      <c r="H830" s="184">
        <f t="shared" ca="1" si="127"/>
        <v>3.1912137929495397</v>
      </c>
      <c r="I830" s="184">
        <f t="shared" ca="1" si="128"/>
        <v>8.0809285740612619E-4</v>
      </c>
      <c r="J830" s="223">
        <f t="shared" ca="1" si="129"/>
        <v>1</v>
      </c>
      <c r="K830" s="220" t="str" cm="1">
        <f t="array" aca="1" ref="K830" ca="1">_xlfn.IFS(G830&lt;$B$11,"Fail",G830&lt;25,"Marginal",G830&lt;35,"Solid",TRUE,"Blowout")</f>
        <v>Solid</v>
      </c>
      <c r="L830" s="226">
        <f ca="1">IF(AND(E830&lt;$B$10,C830&gt;=$B$11),1,0)</f>
        <v>0</v>
      </c>
      <c r="M830" s="217" t="str" cm="1">
        <f t="array" aca="1" ref="M830" ca="1">_xlfn.IFS(C830&lt;$B$11,"Fail",C830&lt;25,"Marginal",C830&lt;35,"Solid",TRUE,"Blowout")</f>
        <v>Fail</v>
      </c>
    </row>
    <row r="831" spans="1:13" x14ac:dyDescent="0.25">
      <c r="A831" s="169">
        <f t="shared" ca="1" si="120"/>
        <v>33.897719088944243</v>
      </c>
      <c r="B831" s="168">
        <f t="shared" ca="1" si="121"/>
        <v>4.2989911227377089</v>
      </c>
      <c r="C831" s="168">
        <f t="shared" ca="1" si="122"/>
        <v>29.598727966206532</v>
      </c>
      <c r="D831" s="184">
        <f t="shared" ca="1" si="123"/>
        <v>3.7407244578351571</v>
      </c>
      <c r="E831" s="230">
        <f t="shared" ca="1" si="124"/>
        <v>1.1609496183352292E-4</v>
      </c>
      <c r="F831" s="168">
        <f t="shared" ca="1" si="125"/>
        <v>39.06160265210918</v>
      </c>
      <c r="G831" s="168">
        <f t="shared" ca="1" si="126"/>
        <v>34.762611529371469</v>
      </c>
      <c r="H831" s="184">
        <f t="shared" ca="1" si="127"/>
        <v>4.3933425556195713</v>
      </c>
      <c r="I831" s="184">
        <f t="shared" ca="1" si="128"/>
        <v>8.5509987358194418E-6</v>
      </c>
      <c r="J831" s="223">
        <f t="shared" ca="1" si="129"/>
        <v>1</v>
      </c>
      <c r="K831" s="220" t="str" cm="1">
        <f t="array" aca="1" ref="K831" ca="1">_xlfn.IFS(G831&lt;$B$11,"Fail",G831&lt;25,"Marginal",G831&lt;35,"Solid",TRUE,"Blowout")</f>
        <v>Solid</v>
      </c>
      <c r="L831" s="226">
        <f ca="1">IF(AND(E831&lt;$B$10,C831&gt;=$B$11),1,0)</f>
        <v>1</v>
      </c>
      <c r="M831" s="217" t="str" cm="1">
        <f t="array" aca="1" ref="M831" ca="1">_xlfn.IFS(C831&lt;$B$11,"Fail",C831&lt;25,"Marginal",C831&lt;35,"Solid",TRUE,"Blowout")</f>
        <v>Solid</v>
      </c>
    </row>
    <row r="832" spans="1:13" x14ac:dyDescent="0.25">
      <c r="A832" s="169">
        <f t="shared" ca="1" si="120"/>
        <v>-2.2949045783986408</v>
      </c>
      <c r="B832" s="168">
        <f t="shared" ca="1" si="121"/>
        <v>-2.033058660646704</v>
      </c>
      <c r="C832" s="168">
        <f t="shared" ca="1" si="122"/>
        <v>-0.26184591775193677</v>
      </c>
      <c r="D832" s="184">
        <f t="shared" ca="1" si="123"/>
        <v>-3.3092416330771729E-2</v>
      </c>
      <c r="E832" s="230">
        <f t="shared" ca="1" si="124"/>
        <v>0.51318507906700472</v>
      </c>
      <c r="F832" s="168">
        <f t="shared" ca="1" si="125"/>
        <v>25.971636096277695</v>
      </c>
      <c r="G832" s="168">
        <f t="shared" ca="1" si="126"/>
        <v>28.004694756924401</v>
      </c>
      <c r="H832" s="184">
        <f t="shared" ca="1" si="127"/>
        <v>3.5392685365073544</v>
      </c>
      <c r="I832" s="184">
        <f t="shared" ca="1" si="128"/>
        <v>2.4310412144073137E-4</v>
      </c>
      <c r="J832" s="223">
        <f t="shared" ca="1" si="129"/>
        <v>1</v>
      </c>
      <c r="K832" s="220" t="str" cm="1">
        <f t="array" aca="1" ref="K832" ca="1">_xlfn.IFS(G832&lt;$B$11,"Fail",G832&lt;25,"Marginal",G832&lt;35,"Solid",TRUE,"Blowout")</f>
        <v>Solid</v>
      </c>
      <c r="L832" s="226">
        <f ca="1">IF(AND(E832&lt;$B$10,C832&gt;=$B$11),1,0)</f>
        <v>0</v>
      </c>
      <c r="M832" s="217" t="str" cm="1">
        <f t="array" aca="1" ref="M832" ca="1">_xlfn.IFS(C832&lt;$B$11,"Fail",C832&lt;25,"Marginal",C832&lt;35,"Solid",TRUE,"Blowout")</f>
        <v>Fail</v>
      </c>
    </row>
    <row r="833" spans="1:13" x14ac:dyDescent="0.25">
      <c r="A833" s="169">
        <f t="shared" ca="1" si="120"/>
        <v>53.329863624100085</v>
      </c>
      <c r="B833" s="168">
        <f t="shared" ca="1" si="121"/>
        <v>3.1612314251301097</v>
      </c>
      <c r="C833" s="168">
        <f t="shared" ca="1" si="122"/>
        <v>50.168632198969974</v>
      </c>
      <c r="D833" s="184">
        <f t="shared" ca="1" si="123"/>
        <v>6.3403748193870566</v>
      </c>
      <c r="E833" s="230">
        <f t="shared" ca="1" si="124"/>
        <v>6.0766685946185998E-10</v>
      </c>
      <c r="F833" s="168">
        <f t="shared" ca="1" si="125"/>
        <v>52.207519854104355</v>
      </c>
      <c r="G833" s="168">
        <f t="shared" ca="1" si="126"/>
        <v>49.046288428974243</v>
      </c>
      <c r="H833" s="184">
        <f t="shared" ca="1" si="127"/>
        <v>6.1985316024989752</v>
      </c>
      <c r="I833" s="184">
        <f t="shared" ca="1" si="128"/>
        <v>1.3213496826529831E-9</v>
      </c>
      <c r="J833" s="223">
        <f t="shared" ca="1" si="129"/>
        <v>1</v>
      </c>
      <c r="K833" s="220" t="str" cm="1">
        <f t="array" aca="1" ref="K833" ca="1">_xlfn.IFS(G833&lt;$B$11,"Fail",G833&lt;25,"Marginal",G833&lt;35,"Solid",TRUE,"Blowout")</f>
        <v>Blowout</v>
      </c>
      <c r="L833" s="226">
        <f ca="1">IF(AND(E833&lt;$B$10,C833&gt;=$B$11),1,0)</f>
        <v>1</v>
      </c>
      <c r="M833" s="217" t="str" cm="1">
        <f t="array" aca="1" ref="M833" ca="1">_xlfn.IFS(C833&lt;$B$11,"Fail",C833&lt;25,"Marginal",C833&lt;35,"Solid",TRUE,"Blowout")</f>
        <v>Blowout</v>
      </c>
    </row>
    <row r="834" spans="1:13" x14ac:dyDescent="0.25">
      <c r="A834" s="169">
        <f t="shared" ca="1" si="120"/>
        <v>39.730941263690823</v>
      </c>
      <c r="B834" s="168">
        <f t="shared" ca="1" si="121"/>
        <v>-2.7957518173080746</v>
      </c>
      <c r="C834" s="168">
        <f t="shared" ca="1" si="122"/>
        <v>42.526693080998896</v>
      </c>
      <c r="D834" s="184">
        <f t="shared" ca="1" si="123"/>
        <v>5.3745769446770586</v>
      </c>
      <c r="E834" s="230">
        <f t="shared" ca="1" si="124"/>
        <v>9.4695747054322088E-8</v>
      </c>
      <c r="F834" s="168">
        <f t="shared" ca="1" si="125"/>
        <v>15.36135199035003</v>
      </c>
      <c r="G834" s="168">
        <f t="shared" ca="1" si="126"/>
        <v>18.157103807658103</v>
      </c>
      <c r="H834" s="184">
        <f t="shared" ca="1" si="127"/>
        <v>2.294717609969759</v>
      </c>
      <c r="I834" s="184">
        <f t="shared" ca="1" si="128"/>
        <v>1.1329494570630922E-2</v>
      </c>
      <c r="J834" s="223">
        <f t="shared" ca="1" si="129"/>
        <v>0</v>
      </c>
      <c r="K834" s="220" t="str" cm="1">
        <f t="array" aca="1" ref="K834" ca="1">_xlfn.IFS(G834&lt;$B$11,"Fail",G834&lt;25,"Marginal",G834&lt;35,"Solid",TRUE,"Blowout")</f>
        <v>Fail</v>
      </c>
      <c r="L834" s="226">
        <f ca="1">IF(AND(E834&lt;$B$10,C834&gt;=$B$11),1,0)</f>
        <v>1</v>
      </c>
      <c r="M834" s="217" t="str" cm="1">
        <f t="array" aca="1" ref="M834" ca="1">_xlfn.IFS(C834&lt;$B$11,"Fail",C834&lt;25,"Marginal",C834&lt;35,"Solid",TRUE,"Blowout")</f>
        <v>Blowout</v>
      </c>
    </row>
    <row r="835" spans="1:13" x14ac:dyDescent="0.25">
      <c r="A835" s="169">
        <f t="shared" ca="1" si="120"/>
        <v>63.150876604083514</v>
      </c>
      <c r="B835" s="168">
        <f t="shared" ca="1" si="121"/>
        <v>3.2624978858450211</v>
      </c>
      <c r="C835" s="168">
        <f t="shared" ca="1" si="122"/>
        <v>59.888378718238492</v>
      </c>
      <c r="D835" s="184">
        <f t="shared" ca="1" si="123"/>
        <v>7.5687686061098365</v>
      </c>
      <c r="E835" s="230">
        <f t="shared" ca="1" si="124"/>
        <v>4.6282775106644813E-13</v>
      </c>
      <c r="F835" s="168">
        <f t="shared" ca="1" si="125"/>
        <v>23.083977013116666</v>
      </c>
      <c r="G835" s="168">
        <f t="shared" ca="1" si="126"/>
        <v>19.821479127271644</v>
      </c>
      <c r="H835" s="184">
        <f t="shared" ca="1" si="127"/>
        <v>2.5050634556494753</v>
      </c>
      <c r="I835" s="184">
        <f t="shared" ca="1" si="128"/>
        <v>6.4710548359145212E-3</v>
      </c>
      <c r="J835" s="223">
        <f t="shared" ca="1" si="129"/>
        <v>0</v>
      </c>
      <c r="K835" s="220" t="str" cm="1">
        <f t="array" aca="1" ref="K835" ca="1">_xlfn.IFS(G835&lt;$B$11,"Fail",G835&lt;25,"Marginal",G835&lt;35,"Solid",TRUE,"Blowout")</f>
        <v>Fail</v>
      </c>
      <c r="L835" s="226">
        <f ca="1">IF(AND(E835&lt;$B$10,C835&gt;=$B$11),1,0)</f>
        <v>1</v>
      </c>
      <c r="M835" s="217" t="str" cm="1">
        <f t="array" aca="1" ref="M835" ca="1">_xlfn.IFS(C835&lt;$B$11,"Fail",C835&lt;25,"Marginal",C835&lt;35,"Solid",TRUE,"Blowout")</f>
        <v>Blowout</v>
      </c>
    </row>
    <row r="836" spans="1:13" x14ac:dyDescent="0.25">
      <c r="A836" s="169">
        <f t="shared" ca="1" si="120"/>
        <v>13.04165369834781</v>
      </c>
      <c r="B836" s="168">
        <f t="shared" ca="1" si="121"/>
        <v>5.7077344062600615</v>
      </c>
      <c r="C836" s="168">
        <f t="shared" ca="1" si="122"/>
        <v>7.3339192920877485</v>
      </c>
      <c r="D836" s="184">
        <f t="shared" ca="1" si="123"/>
        <v>0.92686994181046878</v>
      </c>
      <c r="E836" s="230">
        <f t="shared" ca="1" si="124"/>
        <v>0.17748707529061136</v>
      </c>
      <c r="F836" s="168">
        <f t="shared" ca="1" si="125"/>
        <v>19.873573333853525</v>
      </c>
      <c r="G836" s="168">
        <f t="shared" ca="1" si="126"/>
        <v>14.165838927593462</v>
      </c>
      <c r="H836" s="184">
        <f t="shared" ca="1" si="127"/>
        <v>1.7902965358073004</v>
      </c>
      <c r="I836" s="184">
        <f t="shared" ca="1" si="128"/>
        <v>3.7366521488314958E-2</v>
      </c>
      <c r="J836" s="223">
        <f t="shared" ca="1" si="129"/>
        <v>0</v>
      </c>
      <c r="K836" s="220" t="str" cm="1">
        <f t="array" aca="1" ref="K836" ca="1">_xlfn.IFS(G836&lt;$B$11,"Fail",G836&lt;25,"Marginal",G836&lt;35,"Solid",TRUE,"Blowout")</f>
        <v>Fail</v>
      </c>
      <c r="L836" s="226">
        <f ca="1">IF(AND(E836&lt;$B$10,C836&gt;=$B$11),1,0)</f>
        <v>0</v>
      </c>
      <c r="M836" s="217" t="str" cm="1">
        <f t="array" aca="1" ref="M836" ca="1">_xlfn.IFS(C836&lt;$B$11,"Fail",C836&lt;25,"Marginal",C836&lt;35,"Solid",TRUE,"Blowout")</f>
        <v>Fail</v>
      </c>
    </row>
    <row r="837" spans="1:13" x14ac:dyDescent="0.25">
      <c r="A837" s="169">
        <f t="shared" ca="1" si="120"/>
        <v>29.344569002774104</v>
      </c>
      <c r="B837" s="168">
        <f t="shared" ca="1" si="121"/>
        <v>11.792538869426924</v>
      </c>
      <c r="C837" s="168">
        <f t="shared" ca="1" si="122"/>
        <v>17.552030133347181</v>
      </c>
      <c r="D837" s="184">
        <f t="shared" ca="1" si="123"/>
        <v>2.2182476381901868</v>
      </c>
      <c r="E837" s="230">
        <f t="shared" ca="1" si="124"/>
        <v>1.3762049018112201E-2</v>
      </c>
      <c r="F837" s="168">
        <f t="shared" ca="1" si="125"/>
        <v>15.12052953366187</v>
      </c>
      <c r="G837" s="168">
        <f t="shared" ca="1" si="126"/>
        <v>3.3279906642349459</v>
      </c>
      <c r="H837" s="184">
        <f t="shared" ca="1" si="127"/>
        <v>0.42059564476433303</v>
      </c>
      <c r="I837" s="184">
        <f t="shared" ca="1" si="128"/>
        <v>0.3372232621961152</v>
      </c>
      <c r="J837" s="223">
        <f t="shared" ca="1" si="129"/>
        <v>0</v>
      </c>
      <c r="K837" s="220" t="str" cm="1">
        <f t="array" aca="1" ref="K837" ca="1">_xlfn.IFS(G837&lt;$B$11,"Fail",G837&lt;25,"Marginal",G837&lt;35,"Solid",TRUE,"Blowout")</f>
        <v>Fail</v>
      </c>
      <c r="L837" s="226">
        <f ca="1">IF(AND(E837&lt;$B$10,C837&gt;=$B$11),1,0)</f>
        <v>0</v>
      </c>
      <c r="M837" s="217" t="str" cm="1">
        <f t="array" aca="1" ref="M837" ca="1">_xlfn.IFS(C837&lt;$B$11,"Fail",C837&lt;25,"Marginal",C837&lt;35,"Solid",TRUE,"Blowout")</f>
        <v>Fail</v>
      </c>
    </row>
    <row r="838" spans="1:13" x14ac:dyDescent="0.25">
      <c r="A838" s="169">
        <f t="shared" ca="1" si="120"/>
        <v>38.459272714496244</v>
      </c>
      <c r="B838" s="168">
        <f t="shared" ca="1" si="121"/>
        <v>8.8445373391975988</v>
      </c>
      <c r="C838" s="168">
        <f t="shared" ca="1" si="122"/>
        <v>29.614735375298643</v>
      </c>
      <c r="D838" s="184">
        <f t="shared" ca="1" si="123"/>
        <v>3.742747494323948</v>
      </c>
      <c r="E838" s="230">
        <f t="shared" ca="1" si="124"/>
        <v>1.1521796468846402E-4</v>
      </c>
      <c r="F838" s="168">
        <f t="shared" ca="1" si="125"/>
        <v>40.030399066679216</v>
      </c>
      <c r="G838" s="168">
        <f t="shared" ca="1" si="126"/>
        <v>31.185861727481615</v>
      </c>
      <c r="H838" s="184">
        <f t="shared" ca="1" si="127"/>
        <v>3.941308418248457</v>
      </c>
      <c r="I838" s="184">
        <f t="shared" ca="1" si="128"/>
        <v>5.3901845958612397E-5</v>
      </c>
      <c r="J838" s="223">
        <f t="shared" ca="1" si="129"/>
        <v>1</v>
      </c>
      <c r="K838" s="220" t="str" cm="1">
        <f t="array" aca="1" ref="K838" ca="1">_xlfn.IFS(G838&lt;$B$11,"Fail",G838&lt;25,"Marginal",G838&lt;35,"Solid",TRUE,"Blowout")</f>
        <v>Solid</v>
      </c>
      <c r="L838" s="226">
        <f ca="1">IF(AND(E838&lt;$B$10,C838&gt;=$B$11),1,0)</f>
        <v>1</v>
      </c>
      <c r="M838" s="217" t="str" cm="1">
        <f t="array" aca="1" ref="M838" ca="1">_xlfn.IFS(C838&lt;$B$11,"Fail",C838&lt;25,"Marginal",C838&lt;35,"Solid",TRUE,"Blowout")</f>
        <v>Solid</v>
      </c>
    </row>
    <row r="839" spans="1:13" x14ac:dyDescent="0.25">
      <c r="A839" s="169">
        <f t="shared" ca="1" si="120"/>
        <v>23.483854606845728</v>
      </c>
      <c r="B839" s="168">
        <f t="shared" ca="1" si="121"/>
        <v>1.9914924509327965</v>
      </c>
      <c r="C839" s="168">
        <f t="shared" ca="1" si="122"/>
        <v>21.492362155912932</v>
      </c>
      <c r="D839" s="184">
        <f t="shared" ca="1" si="123"/>
        <v>2.7162317537789171</v>
      </c>
      <c r="E839" s="230">
        <f t="shared" ca="1" si="124"/>
        <v>3.5545524403566703E-3</v>
      </c>
      <c r="F839" s="168">
        <f t="shared" ca="1" si="125"/>
        <v>23.73018131873992</v>
      </c>
      <c r="G839" s="168">
        <f t="shared" ca="1" si="126"/>
        <v>21.738688867807124</v>
      </c>
      <c r="H839" s="184">
        <f t="shared" ca="1" si="127"/>
        <v>2.7473628333595244</v>
      </c>
      <c r="I839" s="184">
        <f t="shared" ca="1" si="128"/>
        <v>3.2439608748451388E-3</v>
      </c>
      <c r="J839" s="223">
        <f t="shared" ca="1" si="129"/>
        <v>1</v>
      </c>
      <c r="K839" s="220" t="str" cm="1">
        <f t="array" aca="1" ref="K839" ca="1">_xlfn.IFS(G839&lt;$B$11,"Fail",G839&lt;25,"Marginal",G839&lt;35,"Solid",TRUE,"Blowout")</f>
        <v>Marginal</v>
      </c>
      <c r="L839" s="226">
        <f ca="1">IF(AND(E839&lt;$B$10,C839&gt;=$B$11),1,0)</f>
        <v>1</v>
      </c>
      <c r="M839" s="217" t="str" cm="1">
        <f t="array" aca="1" ref="M839" ca="1">_xlfn.IFS(C839&lt;$B$11,"Fail",C839&lt;25,"Marginal",C839&lt;35,"Solid",TRUE,"Blowout")</f>
        <v>Marginal</v>
      </c>
    </row>
    <row r="840" spans="1:13" x14ac:dyDescent="0.25">
      <c r="A840" s="169">
        <f t="shared" ca="1" si="120"/>
        <v>28.196698718361137</v>
      </c>
      <c r="B840" s="168">
        <f t="shared" ca="1" si="121"/>
        <v>0.89852031529864718</v>
      </c>
      <c r="C840" s="168">
        <f t="shared" ca="1" si="122"/>
        <v>27.29817840306249</v>
      </c>
      <c r="D840" s="184">
        <f t="shared" ca="1" si="123"/>
        <v>3.4499781113320158</v>
      </c>
      <c r="E840" s="230">
        <f t="shared" ca="1" si="124"/>
        <v>3.3390303882528454E-4</v>
      </c>
      <c r="F840" s="168">
        <f t="shared" ca="1" si="125"/>
        <v>3.0039267795835936</v>
      </c>
      <c r="G840" s="168">
        <f t="shared" ca="1" si="126"/>
        <v>2.1054064642849464</v>
      </c>
      <c r="H840" s="184">
        <f t="shared" ca="1" si="127"/>
        <v>0.26608391629622863</v>
      </c>
      <c r="I840" s="184">
        <f t="shared" ca="1" si="128"/>
        <v>0.39520752162624495</v>
      </c>
      <c r="J840" s="223">
        <f t="shared" ca="1" si="129"/>
        <v>0</v>
      </c>
      <c r="K840" s="220" t="str" cm="1">
        <f t="array" aca="1" ref="K840" ca="1">_xlfn.IFS(G840&lt;$B$11,"Fail",G840&lt;25,"Marginal",G840&lt;35,"Solid",TRUE,"Blowout")</f>
        <v>Fail</v>
      </c>
      <c r="L840" s="226">
        <f ca="1">IF(AND(E840&lt;$B$10,C840&gt;=$B$11),1,0)</f>
        <v>1</v>
      </c>
      <c r="M840" s="217" t="str" cm="1">
        <f t="array" aca="1" ref="M840" ca="1">_xlfn.IFS(C840&lt;$B$11,"Fail",C840&lt;25,"Marginal",C840&lt;35,"Solid",TRUE,"Blowout")</f>
        <v>Solid</v>
      </c>
    </row>
    <row r="841" spans="1:13" x14ac:dyDescent="0.25">
      <c r="A841" s="169">
        <f t="shared" ca="1" si="120"/>
        <v>38.290989121177581</v>
      </c>
      <c r="B841" s="168">
        <f t="shared" ca="1" si="121"/>
        <v>-2.1193490357507727E-2</v>
      </c>
      <c r="C841" s="168">
        <f t="shared" ca="1" si="122"/>
        <v>38.312182611535093</v>
      </c>
      <c r="D841" s="184">
        <f t="shared" ca="1" si="123"/>
        <v>4.8419418122171383</v>
      </c>
      <c r="E841" s="230">
        <f t="shared" ca="1" si="124"/>
        <v>1.1860577127729066E-6</v>
      </c>
      <c r="F841" s="168">
        <f t="shared" ca="1" si="125"/>
        <v>23.95509139887205</v>
      </c>
      <c r="G841" s="168">
        <f t="shared" ca="1" si="126"/>
        <v>23.976284889229557</v>
      </c>
      <c r="H841" s="184">
        <f t="shared" ca="1" si="127"/>
        <v>3.0301530321020511</v>
      </c>
      <c r="I841" s="184">
        <f t="shared" ca="1" si="128"/>
        <v>1.3631780674015364E-3</v>
      </c>
      <c r="J841" s="223">
        <f t="shared" ca="1" si="129"/>
        <v>1</v>
      </c>
      <c r="K841" s="220" t="str" cm="1">
        <f t="array" aca="1" ref="K841" ca="1">_xlfn.IFS(G841&lt;$B$11,"Fail",G841&lt;25,"Marginal",G841&lt;35,"Solid",TRUE,"Blowout")</f>
        <v>Marginal</v>
      </c>
      <c r="L841" s="226">
        <f ca="1">IF(AND(E841&lt;$B$10,C841&gt;=$B$11),1,0)</f>
        <v>1</v>
      </c>
      <c r="M841" s="217" t="str" cm="1">
        <f t="array" aca="1" ref="M841" ca="1">_xlfn.IFS(C841&lt;$B$11,"Fail",C841&lt;25,"Marginal",C841&lt;35,"Solid",TRUE,"Blowout")</f>
        <v>Blowout</v>
      </c>
    </row>
    <row r="842" spans="1:13" x14ac:dyDescent="0.25">
      <c r="A842" s="169">
        <f t="shared" ca="1" si="120"/>
        <v>28.697597245009547</v>
      </c>
      <c r="B842" s="168">
        <f t="shared" ca="1" si="121"/>
        <v>17.648921530256821</v>
      </c>
      <c r="C842" s="168">
        <f t="shared" ca="1" si="122"/>
        <v>11.048675714752726</v>
      </c>
      <c r="D842" s="184">
        <f t="shared" ca="1" si="123"/>
        <v>1.3963455294447862</v>
      </c>
      <c r="E842" s="230">
        <f t="shared" ca="1" si="124"/>
        <v>8.1984198602995426E-2</v>
      </c>
      <c r="F842" s="168">
        <f t="shared" ca="1" si="125"/>
        <v>-1.7246898208499599</v>
      </c>
      <c r="G842" s="168">
        <f t="shared" ca="1" si="126"/>
        <v>-19.373611351106781</v>
      </c>
      <c r="H842" s="184">
        <f t="shared" ca="1" si="127"/>
        <v>-2.4484613629484335</v>
      </c>
      <c r="I842" s="184">
        <f t="shared" ca="1" si="128"/>
        <v>0.99244916721023357</v>
      </c>
      <c r="J842" s="223">
        <f t="shared" ca="1" si="129"/>
        <v>0</v>
      </c>
      <c r="K842" s="220" t="str" cm="1">
        <f t="array" aca="1" ref="K842" ca="1">_xlfn.IFS(G842&lt;$B$11,"Fail",G842&lt;25,"Marginal",G842&lt;35,"Solid",TRUE,"Blowout")</f>
        <v>Fail</v>
      </c>
      <c r="L842" s="226">
        <f ca="1">IF(AND(E842&lt;$B$10,C842&gt;=$B$11),1,0)</f>
        <v>0</v>
      </c>
      <c r="M842" s="217" t="str" cm="1">
        <f t="array" aca="1" ref="M842" ca="1">_xlfn.IFS(C842&lt;$B$11,"Fail",C842&lt;25,"Marginal",C842&lt;35,"Solid",TRUE,"Blowout")</f>
        <v>Fail</v>
      </c>
    </row>
    <row r="843" spans="1:13" x14ac:dyDescent="0.25">
      <c r="A843" s="169">
        <f t="shared" ca="1" si="120"/>
        <v>14.975574150505985</v>
      </c>
      <c r="B843" s="168">
        <f t="shared" ca="1" si="121"/>
        <v>3.3792714892883478</v>
      </c>
      <c r="C843" s="168">
        <f t="shared" ca="1" si="122"/>
        <v>11.596302661217637</v>
      </c>
      <c r="D843" s="184">
        <f t="shared" ca="1" si="123"/>
        <v>1.4655553115256146</v>
      </c>
      <c r="E843" s="230">
        <f t="shared" ca="1" si="124"/>
        <v>7.2073577790137969E-2</v>
      </c>
      <c r="F843" s="168">
        <f t="shared" ca="1" si="125"/>
        <v>-2.8987178709330368</v>
      </c>
      <c r="G843" s="168">
        <f t="shared" ca="1" si="126"/>
        <v>-6.277989360221385</v>
      </c>
      <c r="H843" s="184">
        <f t="shared" ca="1" si="127"/>
        <v>-0.79342018929399416</v>
      </c>
      <c r="I843" s="184">
        <f t="shared" ca="1" si="128"/>
        <v>0.78582101536506344</v>
      </c>
      <c r="J843" s="223">
        <f t="shared" ca="1" si="129"/>
        <v>0</v>
      </c>
      <c r="K843" s="220" t="str" cm="1">
        <f t="array" aca="1" ref="K843" ca="1">_xlfn.IFS(G843&lt;$B$11,"Fail",G843&lt;25,"Marginal",G843&lt;35,"Solid",TRUE,"Blowout")</f>
        <v>Fail</v>
      </c>
      <c r="L843" s="226">
        <f ca="1">IF(AND(E843&lt;$B$10,C843&gt;=$B$11),1,0)</f>
        <v>0</v>
      </c>
      <c r="M843" s="217" t="str" cm="1">
        <f t="array" aca="1" ref="M843" ca="1">_xlfn.IFS(C843&lt;$B$11,"Fail",C843&lt;25,"Marginal",C843&lt;35,"Solid",TRUE,"Blowout")</f>
        <v>Fail</v>
      </c>
    </row>
    <row r="844" spans="1:13" x14ac:dyDescent="0.25">
      <c r="A844" s="169">
        <f t="shared" ca="1" si="120"/>
        <v>55.19358610061591</v>
      </c>
      <c r="B844" s="168">
        <f t="shared" ca="1" si="121"/>
        <v>2.8120920705447867</v>
      </c>
      <c r="C844" s="168">
        <f t="shared" ca="1" si="122"/>
        <v>52.381494030071124</v>
      </c>
      <c r="D844" s="184">
        <f t="shared" ca="1" si="123"/>
        <v>6.6200390800559878</v>
      </c>
      <c r="E844" s="230">
        <f t="shared" ca="1" si="124"/>
        <v>1.2706350084976549E-10</v>
      </c>
      <c r="F844" s="168">
        <f t="shared" ca="1" si="125"/>
        <v>48.263372333963325</v>
      </c>
      <c r="G844" s="168">
        <f t="shared" ca="1" si="126"/>
        <v>45.451280263418539</v>
      </c>
      <c r="H844" s="184">
        <f t="shared" ca="1" si="127"/>
        <v>5.7441899501696891</v>
      </c>
      <c r="I844" s="184">
        <f t="shared" ca="1" si="128"/>
        <v>1.4679994559977091E-8</v>
      </c>
      <c r="J844" s="223">
        <f t="shared" ca="1" si="129"/>
        <v>1</v>
      </c>
      <c r="K844" s="220" t="str" cm="1">
        <f t="array" aca="1" ref="K844" ca="1">_xlfn.IFS(G844&lt;$B$11,"Fail",G844&lt;25,"Marginal",G844&lt;35,"Solid",TRUE,"Blowout")</f>
        <v>Blowout</v>
      </c>
      <c r="L844" s="226">
        <f ca="1">IF(AND(E844&lt;$B$10,C844&gt;=$B$11),1,0)</f>
        <v>1</v>
      </c>
      <c r="M844" s="217" t="str" cm="1">
        <f t="array" aca="1" ref="M844" ca="1">_xlfn.IFS(C844&lt;$B$11,"Fail",C844&lt;25,"Marginal",C844&lt;35,"Solid",TRUE,"Blowout")</f>
        <v>Blowout</v>
      </c>
    </row>
    <row r="845" spans="1:13" x14ac:dyDescent="0.25">
      <c r="A845" s="169">
        <f t="shared" ca="1" si="120"/>
        <v>40.466814326603178</v>
      </c>
      <c r="B845" s="168">
        <f t="shared" ca="1" si="121"/>
        <v>1.8511072852974904</v>
      </c>
      <c r="C845" s="168">
        <f t="shared" ca="1" si="122"/>
        <v>38.61570704130569</v>
      </c>
      <c r="D845" s="184">
        <f t="shared" ca="1" si="123"/>
        <v>4.880301611303425</v>
      </c>
      <c r="E845" s="230">
        <f t="shared" ca="1" si="124"/>
        <v>9.9509217534598744E-7</v>
      </c>
      <c r="F845" s="168">
        <f t="shared" ca="1" si="125"/>
        <v>6.2525597221118128</v>
      </c>
      <c r="G845" s="168">
        <f t="shared" ca="1" si="126"/>
        <v>4.4014524368143224</v>
      </c>
      <c r="H845" s="184">
        <f t="shared" ca="1" si="127"/>
        <v>0.55626109335466978</v>
      </c>
      <c r="I845" s="184">
        <f t="shared" ca="1" si="128"/>
        <v>0.28928894462864796</v>
      </c>
      <c r="J845" s="223">
        <f t="shared" ca="1" si="129"/>
        <v>0</v>
      </c>
      <c r="K845" s="220" t="str" cm="1">
        <f t="array" aca="1" ref="K845" ca="1">_xlfn.IFS(G845&lt;$B$11,"Fail",G845&lt;25,"Marginal",G845&lt;35,"Solid",TRUE,"Blowout")</f>
        <v>Fail</v>
      </c>
      <c r="L845" s="226">
        <f ca="1">IF(AND(E845&lt;$B$10,C845&gt;=$B$11),1,0)</f>
        <v>1</v>
      </c>
      <c r="M845" s="217" t="str" cm="1">
        <f t="array" aca="1" ref="M845" ca="1">_xlfn.IFS(C845&lt;$B$11,"Fail",C845&lt;25,"Marginal",C845&lt;35,"Solid",TRUE,"Blowout")</f>
        <v>Blowout</v>
      </c>
    </row>
    <row r="846" spans="1:13" x14ac:dyDescent="0.25">
      <c r="A846" s="169">
        <f t="shared" ca="1" si="120"/>
        <v>28.583632548082953</v>
      </c>
      <c r="B846" s="168">
        <f t="shared" ca="1" si="121"/>
        <v>3.2979537251459083</v>
      </c>
      <c r="C846" s="168">
        <f t="shared" ca="1" si="122"/>
        <v>25.285678822937044</v>
      </c>
      <c r="D846" s="184">
        <f t="shared" ca="1" si="123"/>
        <v>3.1956358838770607</v>
      </c>
      <c r="E846" s="230">
        <f t="shared" ca="1" si="124"/>
        <v>7.9633850351257035E-4</v>
      </c>
      <c r="F846" s="168">
        <f t="shared" ca="1" si="125"/>
        <v>15.93943079209285</v>
      </c>
      <c r="G846" s="168">
        <f t="shared" ca="1" si="126"/>
        <v>12.641477066946941</v>
      </c>
      <c r="H846" s="184">
        <f t="shared" ca="1" si="127"/>
        <v>1.5976457671248798</v>
      </c>
      <c r="I846" s="184">
        <f t="shared" ca="1" si="128"/>
        <v>5.5753393700767817E-2</v>
      </c>
      <c r="J846" s="223">
        <f t="shared" ca="1" si="129"/>
        <v>0</v>
      </c>
      <c r="K846" s="220" t="str" cm="1">
        <f t="array" aca="1" ref="K846" ca="1">_xlfn.IFS(G846&lt;$B$11,"Fail",G846&lt;25,"Marginal",G846&lt;35,"Solid",TRUE,"Blowout")</f>
        <v>Fail</v>
      </c>
      <c r="L846" s="226">
        <f ca="1">IF(AND(E846&lt;$B$10,C846&gt;=$B$11),1,0)</f>
        <v>1</v>
      </c>
      <c r="M846" s="217" t="str" cm="1">
        <f t="array" aca="1" ref="M846" ca="1">_xlfn.IFS(C846&lt;$B$11,"Fail",C846&lt;25,"Marginal",C846&lt;35,"Solid",TRUE,"Blowout")</f>
        <v>Solid</v>
      </c>
    </row>
    <row r="847" spans="1:13" x14ac:dyDescent="0.25">
      <c r="A847" s="169">
        <f t="shared" ca="1" si="120"/>
        <v>55.55660598195</v>
      </c>
      <c r="B847" s="168">
        <f t="shared" ca="1" si="121"/>
        <v>1.3959367401614289</v>
      </c>
      <c r="C847" s="168">
        <f t="shared" ca="1" si="122"/>
        <v>54.160669241788568</v>
      </c>
      <c r="D847" s="184">
        <f t="shared" ca="1" si="123"/>
        <v>6.8448934804492785</v>
      </c>
      <c r="E847" s="230">
        <f t="shared" ca="1" si="124"/>
        <v>3.5002127808455081E-11</v>
      </c>
      <c r="F847" s="168">
        <f t="shared" ca="1" si="125"/>
        <v>34.892952014384726</v>
      </c>
      <c r="G847" s="168">
        <f t="shared" ca="1" si="126"/>
        <v>33.497015274223294</v>
      </c>
      <c r="H847" s="184">
        <f t="shared" ca="1" si="127"/>
        <v>4.2333949095321257</v>
      </c>
      <c r="I847" s="184">
        <f t="shared" ca="1" si="128"/>
        <v>1.6693136493285259E-5</v>
      </c>
      <c r="J847" s="223">
        <f t="shared" ca="1" si="129"/>
        <v>1</v>
      </c>
      <c r="K847" s="220" t="str" cm="1">
        <f t="array" aca="1" ref="K847" ca="1">_xlfn.IFS(G847&lt;$B$11,"Fail",G847&lt;25,"Marginal",G847&lt;35,"Solid",TRUE,"Blowout")</f>
        <v>Solid</v>
      </c>
      <c r="L847" s="226">
        <f ca="1">IF(AND(E847&lt;$B$10,C847&gt;=$B$11),1,0)</f>
        <v>1</v>
      </c>
      <c r="M847" s="217" t="str" cm="1">
        <f t="array" aca="1" ref="M847" ca="1">_xlfn.IFS(C847&lt;$B$11,"Fail",C847&lt;25,"Marginal",C847&lt;35,"Solid",TRUE,"Blowout")</f>
        <v>Blowout</v>
      </c>
    </row>
    <row r="848" spans="1:13" x14ac:dyDescent="0.25">
      <c r="A848" s="169">
        <f t="shared" ca="1" si="120"/>
        <v>26.629615941870178</v>
      </c>
      <c r="B848" s="168">
        <f t="shared" ca="1" si="121"/>
        <v>9.4316572819853413</v>
      </c>
      <c r="C848" s="168">
        <f t="shared" ca="1" si="122"/>
        <v>17.197958659884836</v>
      </c>
      <c r="D848" s="184">
        <f t="shared" ca="1" si="123"/>
        <v>2.1734996401642408</v>
      </c>
      <c r="E848" s="230">
        <f t="shared" ca="1" si="124"/>
        <v>1.5386333863715646E-2</v>
      </c>
      <c r="F848" s="168">
        <f t="shared" ca="1" si="125"/>
        <v>-0.22724237440998163</v>
      </c>
      <c r="G848" s="168">
        <f t="shared" ca="1" si="126"/>
        <v>-9.6588996563953238</v>
      </c>
      <c r="H848" s="184">
        <f t="shared" ca="1" si="127"/>
        <v>-1.2207038836839679</v>
      </c>
      <c r="I848" s="184">
        <f t="shared" ca="1" si="128"/>
        <v>0.88827046120184816</v>
      </c>
      <c r="J848" s="223">
        <f t="shared" ca="1" si="129"/>
        <v>0</v>
      </c>
      <c r="K848" s="220" t="str" cm="1">
        <f t="array" aca="1" ref="K848" ca="1">_xlfn.IFS(G848&lt;$B$11,"Fail",G848&lt;25,"Marginal",G848&lt;35,"Solid",TRUE,"Blowout")</f>
        <v>Fail</v>
      </c>
      <c r="L848" s="226">
        <f ca="1">IF(AND(E848&lt;$B$10,C848&gt;=$B$11),1,0)</f>
        <v>0</v>
      </c>
      <c r="M848" s="217" t="str" cm="1">
        <f t="array" aca="1" ref="M848" ca="1">_xlfn.IFS(C848&lt;$B$11,"Fail",C848&lt;25,"Marginal",C848&lt;35,"Solid",TRUE,"Blowout")</f>
        <v>Fail</v>
      </c>
    </row>
    <row r="849" spans="1:13" x14ac:dyDescent="0.25">
      <c r="A849" s="169">
        <f t="shared" ref="A849:A912" ca="1" si="130">NORMINV(RAND(), MAX(0, NORMINV(RAND(), $B$6, $B$12)), $B$7/SQRT($B$9))</f>
        <v>71.900336668644414</v>
      </c>
      <c r="B849" s="168">
        <f t="shared" ref="B849:B912" ca="1" si="131">NORMINV(RAND(), $B$8, $B$7/SQRT($B$9))</f>
        <v>14.812201496712254</v>
      </c>
      <c r="C849" s="168">
        <f t="shared" ref="C849:C912" ca="1" si="132">A849-B849</f>
        <v>57.088135171932159</v>
      </c>
      <c r="D849" s="184">
        <f t="shared" ref="D849:D912" ca="1" si="133">C849/($B$7*SQRT(2/$B$9))</f>
        <v>7.2148703056990007</v>
      </c>
      <c r="E849" s="230">
        <f t="shared" ref="E849:E912" ca="1" si="134">_xlfn.T.DIST.RT(D849, 2*$B$9-2)</f>
        <v>3.9618088062211266E-12</v>
      </c>
      <c r="F849" s="168">
        <f t="shared" ref="F849:F912" ca="1" si="135">NORMINV(RAND(), MAX(0, NORMINV(RAND(), $N$7, $N$8)), $B$7/SQRT($B$9))</f>
        <v>15.669923297061716</v>
      </c>
      <c r="G849" s="168">
        <f t="shared" ref="G849:G912" ca="1" si="136">F849-B849</f>
        <v>0.85772180034946288</v>
      </c>
      <c r="H849" s="184">
        <f t="shared" ref="H849:H912" ca="1" si="137">G849/($B$7*SQRT(2/$B$9))</f>
        <v>0.10839995962829382</v>
      </c>
      <c r="I849" s="184">
        <f t="shared" ref="I849:I912" ca="1" si="138">_xlfn.T.DIST.RT(H849, 2*$B$9-2)</f>
        <v>0.45688688434813696</v>
      </c>
      <c r="J849" s="223">
        <f t="shared" ref="J849:J912" ca="1" si="139">IF(AND(I849&lt;$B$10, G849&gt;=$B$11), 1, 0)</f>
        <v>0</v>
      </c>
      <c r="K849" s="220" t="str" cm="1">
        <f t="array" aca="1" ref="K849" ca="1">_xlfn.IFS(G849&lt;$B$11,"Fail",G849&lt;25,"Marginal",G849&lt;35,"Solid",TRUE,"Blowout")</f>
        <v>Fail</v>
      </c>
      <c r="L849" s="226">
        <f ca="1">IF(AND(E849&lt;$B$10,C849&gt;=$B$11),1,0)</f>
        <v>1</v>
      </c>
      <c r="M849" s="217" t="str" cm="1">
        <f t="array" aca="1" ref="M849" ca="1">_xlfn.IFS(C849&lt;$B$11,"Fail",C849&lt;25,"Marginal",C849&lt;35,"Solid",TRUE,"Blowout")</f>
        <v>Blowout</v>
      </c>
    </row>
    <row r="850" spans="1:13" x14ac:dyDescent="0.25">
      <c r="A850" s="169">
        <f t="shared" ca="1" si="130"/>
        <v>13.635382733631422</v>
      </c>
      <c r="B850" s="168">
        <f t="shared" ca="1" si="131"/>
        <v>6.6885842954676775</v>
      </c>
      <c r="C850" s="168">
        <f t="shared" ca="1" si="132"/>
        <v>6.9467984381637446</v>
      </c>
      <c r="D850" s="184">
        <f t="shared" ca="1" si="133"/>
        <v>0.87794512152545878</v>
      </c>
      <c r="E850" s="230">
        <f t="shared" ca="1" si="134"/>
        <v>0.19044885678622292</v>
      </c>
      <c r="F850" s="168">
        <f t="shared" ca="1" si="135"/>
        <v>19.95505753982912</v>
      </c>
      <c r="G850" s="168">
        <f t="shared" ca="1" si="136"/>
        <v>13.266473244361443</v>
      </c>
      <c r="H850" s="184">
        <f t="shared" ca="1" si="137"/>
        <v>1.676633569897255</v>
      </c>
      <c r="I850" s="184">
        <f t="shared" ca="1" si="138"/>
        <v>4.7492342825678283E-2</v>
      </c>
      <c r="J850" s="223">
        <f t="shared" ca="1" si="139"/>
        <v>0</v>
      </c>
      <c r="K850" s="220" t="str" cm="1">
        <f t="array" aca="1" ref="K850" ca="1">_xlfn.IFS(G850&lt;$B$11,"Fail",G850&lt;25,"Marginal",G850&lt;35,"Solid",TRUE,"Blowout")</f>
        <v>Fail</v>
      </c>
      <c r="L850" s="226">
        <f ca="1">IF(AND(E850&lt;$B$10,C850&gt;=$B$11),1,0)</f>
        <v>0</v>
      </c>
      <c r="M850" s="217" t="str" cm="1">
        <f t="array" aca="1" ref="M850" ca="1">_xlfn.IFS(C850&lt;$B$11,"Fail",C850&lt;25,"Marginal",C850&lt;35,"Solid",TRUE,"Blowout")</f>
        <v>Fail</v>
      </c>
    </row>
    <row r="851" spans="1:13" x14ac:dyDescent="0.25">
      <c r="A851" s="169">
        <f t="shared" ca="1" si="130"/>
        <v>26.494132063183802</v>
      </c>
      <c r="B851" s="168">
        <f t="shared" ca="1" si="131"/>
        <v>3.9343605956728673</v>
      </c>
      <c r="C851" s="168">
        <f t="shared" ca="1" si="132"/>
        <v>22.559771467510934</v>
      </c>
      <c r="D851" s="184">
        <f t="shared" ca="1" si="133"/>
        <v>2.8511322847400584</v>
      </c>
      <c r="E851" s="230">
        <f t="shared" ca="1" si="134"/>
        <v>2.3780097109096995E-3</v>
      </c>
      <c r="F851" s="168">
        <f t="shared" ca="1" si="135"/>
        <v>22.751665726018938</v>
      </c>
      <c r="G851" s="168">
        <f t="shared" ca="1" si="136"/>
        <v>18.817305130346071</v>
      </c>
      <c r="H851" s="184">
        <f t="shared" ca="1" si="137"/>
        <v>2.3781546832687748</v>
      </c>
      <c r="I851" s="184">
        <f t="shared" ca="1" si="138"/>
        <v>9.1124498558748483E-3</v>
      </c>
      <c r="J851" s="223">
        <f t="shared" ca="1" si="139"/>
        <v>0</v>
      </c>
      <c r="K851" s="220" t="str" cm="1">
        <f t="array" aca="1" ref="K851" ca="1">_xlfn.IFS(G851&lt;$B$11,"Fail",G851&lt;25,"Marginal",G851&lt;35,"Solid",TRUE,"Blowout")</f>
        <v>Fail</v>
      </c>
      <c r="L851" s="226">
        <f ca="1">IF(AND(E851&lt;$B$10,C851&gt;=$B$11),1,0)</f>
        <v>1</v>
      </c>
      <c r="M851" s="217" t="str" cm="1">
        <f t="array" aca="1" ref="M851" ca="1">_xlfn.IFS(C851&lt;$B$11,"Fail",C851&lt;25,"Marginal",C851&lt;35,"Solid",TRUE,"Blowout")</f>
        <v>Marginal</v>
      </c>
    </row>
    <row r="852" spans="1:13" x14ac:dyDescent="0.25">
      <c r="A852" s="169">
        <f t="shared" ca="1" si="130"/>
        <v>28.472074851720159</v>
      </c>
      <c r="B852" s="168">
        <f t="shared" ca="1" si="131"/>
        <v>2.3081320917725683</v>
      </c>
      <c r="C852" s="168">
        <f t="shared" ca="1" si="132"/>
        <v>26.163942759947592</v>
      </c>
      <c r="D852" s="184">
        <f t="shared" ca="1" si="133"/>
        <v>3.3066319845662826</v>
      </c>
      <c r="E852" s="230">
        <f t="shared" ca="1" si="134"/>
        <v>5.4844285876532426E-4</v>
      </c>
      <c r="F852" s="168">
        <f t="shared" ca="1" si="135"/>
        <v>24.619762298505027</v>
      </c>
      <c r="G852" s="168">
        <f t="shared" ca="1" si="136"/>
        <v>22.31163020673246</v>
      </c>
      <c r="H852" s="184">
        <f t="shared" ca="1" si="137"/>
        <v>2.8197718801898399</v>
      </c>
      <c r="I852" s="184">
        <f t="shared" ca="1" si="138"/>
        <v>2.6144202034753226E-3</v>
      </c>
      <c r="J852" s="223">
        <f t="shared" ca="1" si="139"/>
        <v>1</v>
      </c>
      <c r="K852" s="220" t="str" cm="1">
        <f t="array" aca="1" ref="K852" ca="1">_xlfn.IFS(G852&lt;$B$11,"Fail",G852&lt;25,"Marginal",G852&lt;35,"Solid",TRUE,"Blowout")</f>
        <v>Marginal</v>
      </c>
      <c r="L852" s="226">
        <f ca="1">IF(AND(E852&lt;$B$10,C852&gt;=$B$11),1,0)</f>
        <v>1</v>
      </c>
      <c r="M852" s="217" t="str" cm="1">
        <f t="array" aca="1" ref="M852" ca="1">_xlfn.IFS(C852&lt;$B$11,"Fail",C852&lt;25,"Marginal",C852&lt;35,"Solid",TRUE,"Blowout")</f>
        <v>Solid</v>
      </c>
    </row>
    <row r="853" spans="1:13" x14ac:dyDescent="0.25">
      <c r="A853" s="169">
        <f t="shared" ca="1" si="130"/>
        <v>34.874715745101199</v>
      </c>
      <c r="B853" s="168">
        <f t="shared" ca="1" si="131"/>
        <v>6.3641899931274164</v>
      </c>
      <c r="C853" s="168">
        <f t="shared" ca="1" si="132"/>
        <v>28.51052575197378</v>
      </c>
      <c r="D853" s="184">
        <f t="shared" ca="1" si="133"/>
        <v>3.6031960936940228</v>
      </c>
      <c r="E853" s="230">
        <f t="shared" ca="1" si="134"/>
        <v>1.929453597529834E-4</v>
      </c>
      <c r="F853" s="168">
        <f t="shared" ca="1" si="135"/>
        <v>28.338007893153005</v>
      </c>
      <c r="G853" s="168">
        <f t="shared" ca="1" si="136"/>
        <v>21.973817900025587</v>
      </c>
      <c r="H853" s="184">
        <f t="shared" ca="1" si="137"/>
        <v>2.7770787361027409</v>
      </c>
      <c r="I853" s="184">
        <f t="shared" ca="1" si="138"/>
        <v>2.9706289322727888E-3</v>
      </c>
      <c r="J853" s="223">
        <f t="shared" ca="1" si="139"/>
        <v>1</v>
      </c>
      <c r="K853" s="220" t="str" cm="1">
        <f t="array" aca="1" ref="K853" ca="1">_xlfn.IFS(G853&lt;$B$11,"Fail",G853&lt;25,"Marginal",G853&lt;35,"Solid",TRUE,"Blowout")</f>
        <v>Marginal</v>
      </c>
      <c r="L853" s="226">
        <f ca="1">IF(AND(E853&lt;$B$10,C853&gt;=$B$11),1,0)</f>
        <v>1</v>
      </c>
      <c r="M853" s="217" t="str" cm="1">
        <f t="array" aca="1" ref="M853" ca="1">_xlfn.IFS(C853&lt;$B$11,"Fail",C853&lt;25,"Marginal",C853&lt;35,"Solid",TRUE,"Blowout")</f>
        <v>Solid</v>
      </c>
    </row>
    <row r="854" spans="1:13" x14ac:dyDescent="0.25">
      <c r="A854" s="169">
        <f t="shared" ca="1" si="130"/>
        <v>-7.4296150788936464</v>
      </c>
      <c r="B854" s="168">
        <f t="shared" ca="1" si="131"/>
        <v>4.2119744795134419</v>
      </c>
      <c r="C854" s="168">
        <f t="shared" ca="1" si="132"/>
        <v>-11.641589558407087</v>
      </c>
      <c r="D854" s="184">
        <f t="shared" ca="1" si="133"/>
        <v>-1.4712787265362008</v>
      </c>
      <c r="E854" s="230">
        <f t="shared" ca="1" si="134"/>
        <v>0.92870270971564728</v>
      </c>
      <c r="F854" s="168">
        <f t="shared" ca="1" si="135"/>
        <v>4.5192225971638322</v>
      </c>
      <c r="G854" s="168">
        <f t="shared" ca="1" si="136"/>
        <v>0.30724811765039028</v>
      </c>
      <c r="H854" s="184">
        <f t="shared" ca="1" si="137"/>
        <v>3.8830403442703443E-2</v>
      </c>
      <c r="I854" s="184">
        <f t="shared" ca="1" si="138"/>
        <v>0.48452979158811732</v>
      </c>
      <c r="J854" s="223">
        <f t="shared" ca="1" si="139"/>
        <v>0</v>
      </c>
      <c r="K854" s="220" t="str" cm="1">
        <f t="array" aca="1" ref="K854" ca="1">_xlfn.IFS(G854&lt;$B$11,"Fail",G854&lt;25,"Marginal",G854&lt;35,"Solid",TRUE,"Blowout")</f>
        <v>Fail</v>
      </c>
      <c r="L854" s="226">
        <f ca="1">IF(AND(E854&lt;$B$10,C854&gt;=$B$11),1,0)</f>
        <v>0</v>
      </c>
      <c r="M854" s="217" t="str" cm="1">
        <f t="array" aca="1" ref="M854" ca="1">_xlfn.IFS(C854&lt;$B$11,"Fail",C854&lt;25,"Marginal",C854&lt;35,"Solid",TRUE,"Blowout")</f>
        <v>Fail</v>
      </c>
    </row>
    <row r="855" spans="1:13" x14ac:dyDescent="0.25">
      <c r="A855" s="169">
        <f t="shared" ca="1" si="130"/>
        <v>28.464338526702967</v>
      </c>
      <c r="B855" s="168">
        <f t="shared" ca="1" si="131"/>
        <v>2.6843186644087145</v>
      </c>
      <c r="C855" s="168">
        <f t="shared" ca="1" si="132"/>
        <v>25.780019862294253</v>
      </c>
      <c r="D855" s="184">
        <f t="shared" ca="1" si="133"/>
        <v>3.2581113260158725</v>
      </c>
      <c r="E855" s="230">
        <f t="shared" ca="1" si="134"/>
        <v>6.4634168927627726E-4</v>
      </c>
      <c r="F855" s="168">
        <f t="shared" ca="1" si="135"/>
        <v>46.710911008331919</v>
      </c>
      <c r="G855" s="168">
        <f t="shared" ca="1" si="136"/>
        <v>44.026592343923205</v>
      </c>
      <c r="H855" s="184">
        <f t="shared" ca="1" si="137"/>
        <v>5.5641360995000548</v>
      </c>
      <c r="I855" s="184">
        <f t="shared" ca="1" si="138"/>
        <v>3.6801072167847205E-8</v>
      </c>
      <c r="J855" s="223">
        <f t="shared" ca="1" si="139"/>
        <v>1</v>
      </c>
      <c r="K855" s="220" t="str" cm="1">
        <f t="array" aca="1" ref="K855" ca="1">_xlfn.IFS(G855&lt;$B$11,"Fail",G855&lt;25,"Marginal",G855&lt;35,"Solid",TRUE,"Blowout")</f>
        <v>Blowout</v>
      </c>
      <c r="L855" s="226">
        <f ca="1">IF(AND(E855&lt;$B$10,C855&gt;=$B$11),1,0)</f>
        <v>1</v>
      </c>
      <c r="M855" s="217" t="str" cm="1">
        <f t="array" aca="1" ref="M855" ca="1">_xlfn.IFS(C855&lt;$B$11,"Fail",C855&lt;25,"Marginal",C855&lt;35,"Solid",TRUE,"Blowout")</f>
        <v>Solid</v>
      </c>
    </row>
    <row r="856" spans="1:13" x14ac:dyDescent="0.25">
      <c r="A856" s="169">
        <f t="shared" ca="1" si="130"/>
        <v>25.113342196235163</v>
      </c>
      <c r="B856" s="168">
        <f t="shared" ca="1" si="131"/>
        <v>8.4227153067265093</v>
      </c>
      <c r="C856" s="168">
        <f t="shared" ca="1" si="132"/>
        <v>16.690626889508653</v>
      </c>
      <c r="D856" s="184">
        <f t="shared" ca="1" si="133"/>
        <v>2.109382413104695</v>
      </c>
      <c r="E856" s="230">
        <f t="shared" ca="1" si="134"/>
        <v>1.8001139077104607E-2</v>
      </c>
      <c r="F856" s="168">
        <f t="shared" ca="1" si="135"/>
        <v>-2.6281087303057298</v>
      </c>
      <c r="G856" s="168">
        <f t="shared" ca="1" si="136"/>
        <v>-11.050824037032239</v>
      </c>
      <c r="H856" s="184">
        <f t="shared" ca="1" si="137"/>
        <v>-1.3966170371157733</v>
      </c>
      <c r="I856" s="184">
        <f t="shared" ca="1" si="138"/>
        <v>0.91805660471380313</v>
      </c>
      <c r="J856" s="223">
        <f t="shared" ca="1" si="139"/>
        <v>0</v>
      </c>
      <c r="K856" s="220" t="str" cm="1">
        <f t="array" aca="1" ref="K856" ca="1">_xlfn.IFS(G856&lt;$B$11,"Fail",G856&lt;25,"Marginal",G856&lt;35,"Solid",TRUE,"Blowout")</f>
        <v>Fail</v>
      </c>
      <c r="L856" s="226">
        <f ca="1">IF(AND(E856&lt;$B$10,C856&gt;=$B$11),1,0)</f>
        <v>0</v>
      </c>
      <c r="M856" s="217" t="str" cm="1">
        <f t="array" aca="1" ref="M856" ca="1">_xlfn.IFS(C856&lt;$B$11,"Fail",C856&lt;25,"Marginal",C856&lt;35,"Solid",TRUE,"Blowout")</f>
        <v>Fail</v>
      </c>
    </row>
    <row r="857" spans="1:13" x14ac:dyDescent="0.25">
      <c r="A857" s="169">
        <f t="shared" ca="1" si="130"/>
        <v>2.3043230166501889</v>
      </c>
      <c r="B857" s="168">
        <f t="shared" ca="1" si="131"/>
        <v>4.2290848587176537</v>
      </c>
      <c r="C857" s="168">
        <f t="shared" ca="1" si="132"/>
        <v>-1.9247618420674648</v>
      </c>
      <c r="D857" s="184">
        <f t="shared" ca="1" si="133"/>
        <v>-0.24325382179768015</v>
      </c>
      <c r="E857" s="230">
        <f t="shared" ca="1" si="134"/>
        <v>0.5959862565968812</v>
      </c>
      <c r="F857" s="168">
        <f t="shared" ca="1" si="135"/>
        <v>8.6657218691756874</v>
      </c>
      <c r="G857" s="168">
        <f t="shared" ca="1" si="136"/>
        <v>4.4366370104580337</v>
      </c>
      <c r="H857" s="184">
        <f t="shared" ca="1" si="137"/>
        <v>0.56070776401287514</v>
      </c>
      <c r="I857" s="184">
        <f t="shared" ca="1" si="138"/>
        <v>0.28777367912346141</v>
      </c>
      <c r="J857" s="223">
        <f t="shared" ca="1" si="139"/>
        <v>0</v>
      </c>
      <c r="K857" s="220" t="str" cm="1">
        <f t="array" aca="1" ref="K857" ca="1">_xlfn.IFS(G857&lt;$B$11,"Fail",G857&lt;25,"Marginal",G857&lt;35,"Solid",TRUE,"Blowout")</f>
        <v>Fail</v>
      </c>
      <c r="L857" s="226">
        <f ca="1">IF(AND(E857&lt;$B$10,C857&gt;=$B$11),1,0)</f>
        <v>0</v>
      </c>
      <c r="M857" s="217" t="str" cm="1">
        <f t="array" aca="1" ref="M857" ca="1">_xlfn.IFS(C857&lt;$B$11,"Fail",C857&lt;25,"Marginal",C857&lt;35,"Solid",TRUE,"Blowout")</f>
        <v>Fail</v>
      </c>
    </row>
    <row r="858" spans="1:13" x14ac:dyDescent="0.25">
      <c r="A858" s="169">
        <f t="shared" ca="1" si="130"/>
        <v>57.788278610241029</v>
      </c>
      <c r="B858" s="168">
        <f t="shared" ca="1" si="131"/>
        <v>-3.3503890650703028E-2</v>
      </c>
      <c r="C858" s="168">
        <f t="shared" ca="1" si="132"/>
        <v>57.821782500891729</v>
      </c>
      <c r="D858" s="184">
        <f t="shared" ca="1" si="133"/>
        <v>7.3075895776216928</v>
      </c>
      <c r="E858" s="230">
        <f t="shared" ca="1" si="134"/>
        <v>2.270426234030737E-12</v>
      </c>
      <c r="F858" s="168">
        <f t="shared" ca="1" si="135"/>
        <v>10.019420214610468</v>
      </c>
      <c r="G858" s="168">
        <f t="shared" ca="1" si="136"/>
        <v>10.052924105261171</v>
      </c>
      <c r="H858" s="184">
        <f t="shared" ca="1" si="137"/>
        <v>1.2705011889783142</v>
      </c>
      <c r="I858" s="184">
        <f t="shared" ca="1" si="138"/>
        <v>0.10260052650317139</v>
      </c>
      <c r="J858" s="223">
        <f t="shared" ca="1" si="139"/>
        <v>0</v>
      </c>
      <c r="K858" s="220" t="str" cm="1">
        <f t="array" aca="1" ref="K858" ca="1">_xlfn.IFS(G858&lt;$B$11,"Fail",G858&lt;25,"Marginal",G858&lt;35,"Solid",TRUE,"Blowout")</f>
        <v>Fail</v>
      </c>
      <c r="L858" s="226">
        <f ca="1">IF(AND(E858&lt;$B$10,C858&gt;=$B$11),1,0)</f>
        <v>1</v>
      </c>
      <c r="M858" s="217" t="str" cm="1">
        <f t="array" aca="1" ref="M858" ca="1">_xlfn.IFS(C858&lt;$B$11,"Fail",C858&lt;25,"Marginal",C858&lt;35,"Solid",TRUE,"Blowout")</f>
        <v>Blowout</v>
      </c>
    </row>
    <row r="859" spans="1:13" x14ac:dyDescent="0.25">
      <c r="A859" s="169">
        <f t="shared" ca="1" si="130"/>
        <v>7.9138140355375981</v>
      </c>
      <c r="B859" s="168">
        <f t="shared" ca="1" si="131"/>
        <v>8.4970354208193886</v>
      </c>
      <c r="C859" s="168">
        <f t="shared" ca="1" si="132"/>
        <v>-0.58322138528179046</v>
      </c>
      <c r="D859" s="184">
        <f t="shared" ca="1" si="133"/>
        <v>-7.3708252014983627E-2</v>
      </c>
      <c r="E859" s="230">
        <f t="shared" ca="1" si="134"/>
        <v>0.5293464217144227</v>
      </c>
      <c r="F859" s="168">
        <f t="shared" ca="1" si="135"/>
        <v>28.784374795898454</v>
      </c>
      <c r="G859" s="168">
        <f t="shared" ca="1" si="136"/>
        <v>20.287339375079064</v>
      </c>
      <c r="H859" s="184">
        <f t="shared" ca="1" si="137"/>
        <v>2.5639394595404528</v>
      </c>
      <c r="I859" s="184">
        <f t="shared" ca="1" si="138"/>
        <v>5.495918050370148E-3</v>
      </c>
      <c r="J859" s="223">
        <f t="shared" ca="1" si="139"/>
        <v>1</v>
      </c>
      <c r="K859" s="220" t="str" cm="1">
        <f t="array" aca="1" ref="K859" ca="1">_xlfn.IFS(G859&lt;$B$11,"Fail",G859&lt;25,"Marginal",G859&lt;35,"Solid",TRUE,"Blowout")</f>
        <v>Marginal</v>
      </c>
      <c r="L859" s="226">
        <f ca="1">IF(AND(E859&lt;$B$10,C859&gt;=$B$11),1,0)</f>
        <v>0</v>
      </c>
      <c r="M859" s="217" t="str" cm="1">
        <f t="array" aca="1" ref="M859" ca="1">_xlfn.IFS(C859&lt;$B$11,"Fail",C859&lt;25,"Marginal",C859&lt;35,"Solid",TRUE,"Blowout")</f>
        <v>Fail</v>
      </c>
    </row>
    <row r="860" spans="1:13" x14ac:dyDescent="0.25">
      <c r="A860" s="169">
        <f t="shared" ca="1" si="130"/>
        <v>46.392288299657309</v>
      </c>
      <c r="B860" s="168">
        <f t="shared" ca="1" si="131"/>
        <v>1.3004404551837263</v>
      </c>
      <c r="C860" s="168">
        <f t="shared" ca="1" si="132"/>
        <v>45.091847844473584</v>
      </c>
      <c r="D860" s="184">
        <f t="shared" ca="1" si="133"/>
        <v>5.6987644291127939</v>
      </c>
      <c r="E860" s="230">
        <f t="shared" ca="1" si="134"/>
        <v>1.8546428228627702E-8</v>
      </c>
      <c r="F860" s="168">
        <f t="shared" ca="1" si="135"/>
        <v>80.381098238181963</v>
      </c>
      <c r="G860" s="168">
        <f t="shared" ca="1" si="136"/>
        <v>79.08065778299823</v>
      </c>
      <c r="H860" s="184">
        <f t="shared" ca="1" si="137"/>
        <v>9.994312966702358</v>
      </c>
      <c r="I860" s="184">
        <f t="shared" ca="1" si="138"/>
        <v>4.8695298930974097E-20</v>
      </c>
      <c r="J860" s="223">
        <f t="shared" ca="1" si="139"/>
        <v>1</v>
      </c>
      <c r="K860" s="220" t="str" cm="1">
        <f t="array" aca="1" ref="K860" ca="1">_xlfn.IFS(G860&lt;$B$11,"Fail",G860&lt;25,"Marginal",G860&lt;35,"Solid",TRUE,"Blowout")</f>
        <v>Blowout</v>
      </c>
      <c r="L860" s="226">
        <f ca="1">IF(AND(E860&lt;$B$10,C860&gt;=$B$11),1,0)</f>
        <v>1</v>
      </c>
      <c r="M860" s="217" t="str" cm="1">
        <f t="array" aca="1" ref="M860" ca="1">_xlfn.IFS(C860&lt;$B$11,"Fail",C860&lt;25,"Marginal",C860&lt;35,"Solid",TRUE,"Blowout")</f>
        <v>Blowout</v>
      </c>
    </row>
    <row r="861" spans="1:13" x14ac:dyDescent="0.25">
      <c r="A861" s="169">
        <f t="shared" ca="1" si="130"/>
        <v>13.125252717212332</v>
      </c>
      <c r="B861" s="168">
        <f t="shared" ca="1" si="131"/>
        <v>-1.4959775635865178</v>
      </c>
      <c r="C861" s="168">
        <f t="shared" ca="1" si="132"/>
        <v>14.62123028079885</v>
      </c>
      <c r="D861" s="184">
        <f t="shared" ca="1" si="133"/>
        <v>1.847849467634876</v>
      </c>
      <c r="E861" s="230">
        <f t="shared" ca="1" si="134"/>
        <v>3.2959679286003296E-2</v>
      </c>
      <c r="F861" s="168">
        <f t="shared" ca="1" si="135"/>
        <v>16.534408105022649</v>
      </c>
      <c r="G861" s="168">
        <f t="shared" ca="1" si="136"/>
        <v>18.030385668609167</v>
      </c>
      <c r="H861" s="184">
        <f t="shared" ca="1" si="137"/>
        <v>2.2787028122212578</v>
      </c>
      <c r="I861" s="184">
        <f t="shared" ca="1" si="138"/>
        <v>1.180527115015022E-2</v>
      </c>
      <c r="J861" s="223">
        <f t="shared" ca="1" si="139"/>
        <v>0</v>
      </c>
      <c r="K861" s="220" t="str" cm="1">
        <f t="array" aca="1" ref="K861" ca="1">_xlfn.IFS(G861&lt;$B$11,"Fail",G861&lt;25,"Marginal",G861&lt;35,"Solid",TRUE,"Blowout")</f>
        <v>Fail</v>
      </c>
      <c r="L861" s="226">
        <f ca="1">IF(AND(E861&lt;$B$10,C861&gt;=$B$11),1,0)</f>
        <v>0</v>
      </c>
      <c r="M861" s="217" t="str" cm="1">
        <f t="array" aca="1" ref="M861" ca="1">_xlfn.IFS(C861&lt;$B$11,"Fail",C861&lt;25,"Marginal",C861&lt;35,"Solid",TRUE,"Blowout")</f>
        <v>Fail</v>
      </c>
    </row>
    <row r="862" spans="1:13" x14ac:dyDescent="0.25">
      <c r="A862" s="169">
        <f t="shared" ca="1" si="130"/>
        <v>50.496462359097613</v>
      </c>
      <c r="B862" s="168">
        <f t="shared" ca="1" si="131"/>
        <v>-3.9309227418248209</v>
      </c>
      <c r="C862" s="168">
        <f t="shared" ca="1" si="132"/>
        <v>54.427385100922436</v>
      </c>
      <c r="D862" s="184">
        <f t="shared" ca="1" si="133"/>
        <v>6.8786013660953671</v>
      </c>
      <c r="E862" s="230">
        <f t="shared" ca="1" si="134"/>
        <v>2.8783984481026599E-11</v>
      </c>
      <c r="F862" s="168">
        <f t="shared" ca="1" si="135"/>
        <v>-1.573935403063095</v>
      </c>
      <c r="G862" s="168">
        <f t="shared" ca="1" si="136"/>
        <v>2.3569873387617259</v>
      </c>
      <c r="H862" s="184">
        <f t="shared" ca="1" si="137"/>
        <v>0.2978790235506118</v>
      </c>
      <c r="I862" s="184">
        <f t="shared" ca="1" si="138"/>
        <v>0.38303337801847959</v>
      </c>
      <c r="J862" s="223">
        <f t="shared" ca="1" si="139"/>
        <v>0</v>
      </c>
      <c r="K862" s="220" t="str" cm="1">
        <f t="array" aca="1" ref="K862" ca="1">_xlfn.IFS(G862&lt;$B$11,"Fail",G862&lt;25,"Marginal",G862&lt;35,"Solid",TRUE,"Blowout")</f>
        <v>Fail</v>
      </c>
      <c r="L862" s="226">
        <f ca="1">IF(AND(E862&lt;$B$10,C862&gt;=$B$11),1,0)</f>
        <v>1</v>
      </c>
      <c r="M862" s="217" t="str" cm="1">
        <f t="array" aca="1" ref="M862" ca="1">_xlfn.IFS(C862&lt;$B$11,"Fail",C862&lt;25,"Marginal",C862&lt;35,"Solid",TRUE,"Blowout")</f>
        <v>Blowout</v>
      </c>
    </row>
    <row r="863" spans="1:13" x14ac:dyDescent="0.25">
      <c r="A863" s="169">
        <f t="shared" ca="1" si="130"/>
        <v>25.749072258406578</v>
      </c>
      <c r="B863" s="168">
        <f t="shared" ca="1" si="131"/>
        <v>13.150900213735053</v>
      </c>
      <c r="C863" s="168">
        <f t="shared" ca="1" si="132"/>
        <v>12.598172044671525</v>
      </c>
      <c r="D863" s="184">
        <f t="shared" ca="1" si="133"/>
        <v>1.5921728239579405</v>
      </c>
      <c r="E863" s="230">
        <f t="shared" ca="1" si="134"/>
        <v>5.6365659199238867E-2</v>
      </c>
      <c r="F863" s="168">
        <f t="shared" ca="1" si="135"/>
        <v>15.878680955400093</v>
      </c>
      <c r="G863" s="168">
        <f t="shared" ca="1" si="136"/>
        <v>2.7277807416650397</v>
      </c>
      <c r="H863" s="184">
        <f t="shared" ca="1" si="137"/>
        <v>0.34474036004547598</v>
      </c>
      <c r="I863" s="184">
        <f t="shared" ca="1" si="138"/>
        <v>0.36530368062187907</v>
      </c>
      <c r="J863" s="223">
        <f t="shared" ca="1" si="139"/>
        <v>0</v>
      </c>
      <c r="K863" s="220" t="str" cm="1">
        <f t="array" aca="1" ref="K863" ca="1">_xlfn.IFS(G863&lt;$B$11,"Fail",G863&lt;25,"Marginal",G863&lt;35,"Solid",TRUE,"Blowout")</f>
        <v>Fail</v>
      </c>
      <c r="L863" s="226">
        <f ca="1">IF(AND(E863&lt;$B$10,C863&gt;=$B$11),1,0)</f>
        <v>0</v>
      </c>
      <c r="M863" s="217" t="str" cm="1">
        <f t="array" aca="1" ref="M863" ca="1">_xlfn.IFS(C863&lt;$B$11,"Fail",C863&lt;25,"Marginal",C863&lt;35,"Solid",TRUE,"Blowout")</f>
        <v>Fail</v>
      </c>
    </row>
    <row r="864" spans="1:13" x14ac:dyDescent="0.25">
      <c r="A864" s="169">
        <f t="shared" ca="1" si="130"/>
        <v>42.930250693457332</v>
      </c>
      <c r="B864" s="168">
        <f t="shared" ca="1" si="131"/>
        <v>9.08454732460131</v>
      </c>
      <c r="C864" s="168">
        <f t="shared" ca="1" si="132"/>
        <v>33.845703368856022</v>
      </c>
      <c r="D864" s="184">
        <f t="shared" ca="1" si="133"/>
        <v>4.2774625493725198</v>
      </c>
      <c r="E864" s="230">
        <f t="shared" ca="1" si="134"/>
        <v>1.3909681461159568E-5</v>
      </c>
      <c r="F864" s="168">
        <f t="shared" ca="1" si="135"/>
        <v>26.410718206664214</v>
      </c>
      <c r="G864" s="168">
        <f t="shared" ca="1" si="136"/>
        <v>17.326170882062904</v>
      </c>
      <c r="H864" s="184">
        <f t="shared" ca="1" si="137"/>
        <v>2.1897032620172632</v>
      </c>
      <c r="I864" s="184">
        <f t="shared" ca="1" si="138"/>
        <v>1.477997621744102E-2</v>
      </c>
      <c r="J864" s="223">
        <f t="shared" ca="1" si="139"/>
        <v>0</v>
      </c>
      <c r="K864" s="220" t="str" cm="1">
        <f t="array" aca="1" ref="K864" ca="1">_xlfn.IFS(G864&lt;$B$11,"Fail",G864&lt;25,"Marginal",G864&lt;35,"Solid",TRUE,"Blowout")</f>
        <v>Fail</v>
      </c>
      <c r="L864" s="226">
        <f ca="1">IF(AND(E864&lt;$B$10,C864&gt;=$B$11),1,0)</f>
        <v>1</v>
      </c>
      <c r="M864" s="217" t="str" cm="1">
        <f t="array" aca="1" ref="M864" ca="1">_xlfn.IFS(C864&lt;$B$11,"Fail",C864&lt;25,"Marginal",C864&lt;35,"Solid",TRUE,"Blowout")</f>
        <v>Solid</v>
      </c>
    </row>
    <row r="865" spans="1:13" x14ac:dyDescent="0.25">
      <c r="A865" s="169">
        <f t="shared" ca="1" si="130"/>
        <v>23.448054151603593</v>
      </c>
      <c r="B865" s="168">
        <f t="shared" ca="1" si="131"/>
        <v>-6.9069903985405237</v>
      </c>
      <c r="C865" s="168">
        <f t="shared" ca="1" si="132"/>
        <v>30.355044550144115</v>
      </c>
      <c r="D865" s="184">
        <f t="shared" ca="1" si="133"/>
        <v>3.8363086987063113</v>
      </c>
      <c r="E865" s="230">
        <f t="shared" ca="1" si="134"/>
        <v>8.0855778966601818E-5</v>
      </c>
      <c r="F865" s="168">
        <f t="shared" ca="1" si="135"/>
        <v>30.940823215909493</v>
      </c>
      <c r="G865" s="168">
        <f t="shared" ca="1" si="136"/>
        <v>37.847813614450018</v>
      </c>
      <c r="H865" s="184">
        <f t="shared" ca="1" si="137"/>
        <v>4.7832542744675504</v>
      </c>
      <c r="I865" s="184">
        <f t="shared" ca="1" si="138"/>
        <v>1.5484054559246331E-6</v>
      </c>
      <c r="J865" s="223">
        <f t="shared" ca="1" si="139"/>
        <v>1</v>
      </c>
      <c r="K865" s="220" t="str" cm="1">
        <f t="array" aca="1" ref="K865" ca="1">_xlfn.IFS(G865&lt;$B$11,"Fail",G865&lt;25,"Marginal",G865&lt;35,"Solid",TRUE,"Blowout")</f>
        <v>Blowout</v>
      </c>
      <c r="L865" s="226">
        <f ca="1">IF(AND(E865&lt;$B$10,C865&gt;=$B$11),1,0)</f>
        <v>1</v>
      </c>
      <c r="M865" s="217" t="str" cm="1">
        <f t="array" aca="1" ref="M865" ca="1">_xlfn.IFS(C865&lt;$B$11,"Fail",C865&lt;25,"Marginal",C865&lt;35,"Solid",TRUE,"Blowout")</f>
        <v>Solid</v>
      </c>
    </row>
    <row r="866" spans="1:13" x14ac:dyDescent="0.25">
      <c r="A866" s="169">
        <f t="shared" ca="1" si="130"/>
        <v>28.342608483788172</v>
      </c>
      <c r="B866" s="168">
        <f t="shared" ca="1" si="131"/>
        <v>12.347080190293099</v>
      </c>
      <c r="C866" s="168">
        <f t="shared" ca="1" si="132"/>
        <v>15.995528293495074</v>
      </c>
      <c r="D866" s="184">
        <f t="shared" ca="1" si="133"/>
        <v>2.0215349785229266</v>
      </c>
      <c r="E866" s="230">
        <f t="shared" ca="1" si="134"/>
        <v>2.2196483877474703E-2</v>
      </c>
      <c r="F866" s="168">
        <f t="shared" ca="1" si="135"/>
        <v>9.14572053279751</v>
      </c>
      <c r="G866" s="168">
        <f t="shared" ca="1" si="136"/>
        <v>-3.2013596574955887</v>
      </c>
      <c r="H866" s="184">
        <f t="shared" ca="1" si="137"/>
        <v>-0.40459185890667643</v>
      </c>
      <c r="I866" s="184">
        <f t="shared" ca="1" si="138"/>
        <v>0.65692157851235522</v>
      </c>
      <c r="J866" s="223">
        <f t="shared" ca="1" si="139"/>
        <v>0</v>
      </c>
      <c r="K866" s="220" t="str" cm="1">
        <f t="array" aca="1" ref="K866" ca="1">_xlfn.IFS(G866&lt;$B$11,"Fail",G866&lt;25,"Marginal",G866&lt;35,"Solid",TRUE,"Blowout")</f>
        <v>Fail</v>
      </c>
      <c r="L866" s="226">
        <f ca="1">IF(AND(E866&lt;$B$10,C866&gt;=$B$11),1,0)</f>
        <v>0</v>
      </c>
      <c r="M866" s="217" t="str" cm="1">
        <f t="array" aca="1" ref="M866" ca="1">_xlfn.IFS(C866&lt;$B$11,"Fail",C866&lt;25,"Marginal",C866&lt;35,"Solid",TRUE,"Blowout")</f>
        <v>Fail</v>
      </c>
    </row>
    <row r="867" spans="1:13" x14ac:dyDescent="0.25">
      <c r="A867" s="169">
        <f t="shared" ca="1" si="130"/>
        <v>49.364140862242515</v>
      </c>
      <c r="B867" s="168">
        <f t="shared" ca="1" si="131"/>
        <v>8.269753117056851</v>
      </c>
      <c r="C867" s="168">
        <f t="shared" ca="1" si="132"/>
        <v>41.094387745185664</v>
      </c>
      <c r="D867" s="184">
        <f t="shared" ca="1" si="133"/>
        <v>5.1935603953550231</v>
      </c>
      <c r="E867" s="230">
        <f t="shared" ca="1" si="134"/>
        <v>2.2842930510572753E-7</v>
      </c>
      <c r="F867" s="168">
        <f t="shared" ca="1" si="135"/>
        <v>0.91236307339010325</v>
      </c>
      <c r="G867" s="168">
        <f t="shared" ca="1" si="136"/>
        <v>-7.3573900436667481</v>
      </c>
      <c r="H867" s="184">
        <f t="shared" ca="1" si="137"/>
        <v>-0.9298362049071659</v>
      </c>
      <c r="I867" s="184">
        <f t="shared" ca="1" si="138"/>
        <v>0.82328034099196523</v>
      </c>
      <c r="J867" s="223">
        <f t="shared" ca="1" si="139"/>
        <v>0</v>
      </c>
      <c r="K867" s="220" t="str" cm="1">
        <f t="array" aca="1" ref="K867" ca="1">_xlfn.IFS(G867&lt;$B$11,"Fail",G867&lt;25,"Marginal",G867&lt;35,"Solid",TRUE,"Blowout")</f>
        <v>Fail</v>
      </c>
      <c r="L867" s="226">
        <f ca="1">IF(AND(E867&lt;$B$10,C867&gt;=$B$11),1,0)</f>
        <v>1</v>
      </c>
      <c r="M867" s="217" t="str" cm="1">
        <f t="array" aca="1" ref="M867" ca="1">_xlfn.IFS(C867&lt;$B$11,"Fail",C867&lt;25,"Marginal",C867&lt;35,"Solid",TRUE,"Blowout")</f>
        <v>Blowout</v>
      </c>
    </row>
    <row r="868" spans="1:13" x14ac:dyDescent="0.25">
      <c r="A868" s="169">
        <f t="shared" ca="1" si="130"/>
        <v>28.201998608925642</v>
      </c>
      <c r="B868" s="168">
        <f t="shared" ca="1" si="131"/>
        <v>6.0037975126307996</v>
      </c>
      <c r="C868" s="168">
        <f t="shared" ca="1" si="132"/>
        <v>22.198201096294842</v>
      </c>
      <c r="D868" s="184">
        <f t="shared" ca="1" si="133"/>
        <v>2.8054365665868728</v>
      </c>
      <c r="E868" s="230">
        <f t="shared" ca="1" si="134"/>
        <v>2.7294450708114319E-3</v>
      </c>
      <c r="F868" s="168">
        <f t="shared" ca="1" si="135"/>
        <v>16.509660877518947</v>
      </c>
      <c r="G868" s="168">
        <f t="shared" ca="1" si="136"/>
        <v>10.505863364888146</v>
      </c>
      <c r="H868" s="184">
        <f t="shared" ca="1" si="137"/>
        <v>1.3277442221361855</v>
      </c>
      <c r="I868" s="184">
        <f t="shared" ca="1" si="138"/>
        <v>9.2795194437290743E-2</v>
      </c>
      <c r="J868" s="223">
        <f t="shared" ca="1" si="139"/>
        <v>0</v>
      </c>
      <c r="K868" s="220" t="str" cm="1">
        <f t="array" aca="1" ref="K868" ca="1">_xlfn.IFS(G868&lt;$B$11,"Fail",G868&lt;25,"Marginal",G868&lt;35,"Solid",TRUE,"Blowout")</f>
        <v>Fail</v>
      </c>
      <c r="L868" s="226">
        <f ca="1">IF(AND(E868&lt;$B$10,C868&gt;=$B$11),1,0)</f>
        <v>1</v>
      </c>
      <c r="M868" s="217" t="str" cm="1">
        <f t="array" aca="1" ref="M868" ca="1">_xlfn.IFS(C868&lt;$B$11,"Fail",C868&lt;25,"Marginal",C868&lt;35,"Solid",TRUE,"Blowout")</f>
        <v>Marginal</v>
      </c>
    </row>
    <row r="869" spans="1:13" x14ac:dyDescent="0.25">
      <c r="A869" s="169">
        <f t="shared" ca="1" si="130"/>
        <v>18.561697347077615</v>
      </c>
      <c r="B869" s="168">
        <f t="shared" ca="1" si="131"/>
        <v>8.6627125751349894</v>
      </c>
      <c r="C869" s="168">
        <f t="shared" ca="1" si="132"/>
        <v>9.8989847719426258</v>
      </c>
      <c r="D869" s="184">
        <f t="shared" ca="1" si="133"/>
        <v>1.2510461424700663</v>
      </c>
      <c r="E869" s="230">
        <f t="shared" ca="1" si="134"/>
        <v>0.10609992006711905</v>
      </c>
      <c r="F869" s="168">
        <f t="shared" ca="1" si="135"/>
        <v>34.804529910396582</v>
      </c>
      <c r="G869" s="168">
        <f t="shared" ca="1" si="136"/>
        <v>26.141817335261592</v>
      </c>
      <c r="H869" s="184">
        <f t="shared" ca="1" si="137"/>
        <v>3.303835745573938</v>
      </c>
      <c r="I869" s="184">
        <f t="shared" ca="1" si="138"/>
        <v>5.5368714211680387E-4</v>
      </c>
      <c r="J869" s="223">
        <f t="shared" ca="1" si="139"/>
        <v>1</v>
      </c>
      <c r="K869" s="220" t="str" cm="1">
        <f t="array" aca="1" ref="K869" ca="1">_xlfn.IFS(G869&lt;$B$11,"Fail",G869&lt;25,"Marginal",G869&lt;35,"Solid",TRUE,"Blowout")</f>
        <v>Solid</v>
      </c>
      <c r="L869" s="226">
        <f ca="1">IF(AND(E869&lt;$B$10,C869&gt;=$B$11),1,0)</f>
        <v>0</v>
      </c>
      <c r="M869" s="217" t="str" cm="1">
        <f t="array" aca="1" ref="M869" ca="1">_xlfn.IFS(C869&lt;$B$11,"Fail",C869&lt;25,"Marginal",C869&lt;35,"Solid",TRUE,"Blowout")</f>
        <v>Fail</v>
      </c>
    </row>
    <row r="870" spans="1:13" x14ac:dyDescent="0.25">
      <c r="A870" s="169">
        <f t="shared" ca="1" si="130"/>
        <v>49.975139252269884</v>
      </c>
      <c r="B870" s="168">
        <f t="shared" ca="1" si="131"/>
        <v>8.9342080428892743</v>
      </c>
      <c r="C870" s="168">
        <f t="shared" ca="1" si="132"/>
        <v>41.040931209380609</v>
      </c>
      <c r="D870" s="184">
        <f t="shared" ca="1" si="133"/>
        <v>5.1868044911436861</v>
      </c>
      <c r="E870" s="230">
        <f t="shared" ca="1" si="134"/>
        <v>2.3596142348749076E-7</v>
      </c>
      <c r="F870" s="168">
        <f t="shared" ca="1" si="135"/>
        <v>9.6429684379124616</v>
      </c>
      <c r="G870" s="168">
        <f t="shared" ca="1" si="136"/>
        <v>0.70876039502318733</v>
      </c>
      <c r="H870" s="184">
        <f t="shared" ca="1" si="137"/>
        <v>8.9574029918960074E-2</v>
      </c>
      <c r="I870" s="184">
        <f t="shared" ca="1" si="138"/>
        <v>0.46435217868968837</v>
      </c>
      <c r="J870" s="223">
        <f t="shared" ca="1" si="139"/>
        <v>0</v>
      </c>
      <c r="K870" s="220" t="str" cm="1">
        <f t="array" aca="1" ref="K870" ca="1">_xlfn.IFS(G870&lt;$B$11,"Fail",G870&lt;25,"Marginal",G870&lt;35,"Solid",TRUE,"Blowout")</f>
        <v>Fail</v>
      </c>
      <c r="L870" s="226">
        <f ca="1">IF(AND(E870&lt;$B$10,C870&gt;=$B$11),1,0)</f>
        <v>1</v>
      </c>
      <c r="M870" s="217" t="str" cm="1">
        <f t="array" aca="1" ref="M870" ca="1">_xlfn.IFS(C870&lt;$B$11,"Fail",C870&lt;25,"Marginal",C870&lt;35,"Solid",TRUE,"Blowout")</f>
        <v>Blowout</v>
      </c>
    </row>
    <row r="871" spans="1:13" x14ac:dyDescent="0.25">
      <c r="A871" s="169">
        <f t="shared" ca="1" si="130"/>
        <v>56.591395610756791</v>
      </c>
      <c r="B871" s="168">
        <f t="shared" ca="1" si="131"/>
        <v>3.6427291868496479</v>
      </c>
      <c r="C871" s="168">
        <f t="shared" ca="1" si="132"/>
        <v>52.948666423907142</v>
      </c>
      <c r="D871" s="184">
        <f t="shared" ca="1" si="133"/>
        <v>6.691719040352039</v>
      </c>
      <c r="E871" s="230">
        <f t="shared" ca="1" si="134"/>
        <v>8.4489915792251237E-11</v>
      </c>
      <c r="F871" s="168">
        <f t="shared" ca="1" si="135"/>
        <v>23.677234918080345</v>
      </c>
      <c r="G871" s="168">
        <f t="shared" ca="1" si="136"/>
        <v>20.034505731230695</v>
      </c>
      <c r="H871" s="184">
        <f t="shared" ca="1" si="137"/>
        <v>2.531986025717655</v>
      </c>
      <c r="I871" s="184">
        <f t="shared" ca="1" si="138"/>
        <v>6.0074879671420337E-3</v>
      </c>
      <c r="J871" s="223">
        <f t="shared" ca="1" si="139"/>
        <v>1</v>
      </c>
      <c r="K871" s="220" t="str" cm="1">
        <f t="array" aca="1" ref="K871" ca="1">_xlfn.IFS(G871&lt;$B$11,"Fail",G871&lt;25,"Marginal",G871&lt;35,"Solid",TRUE,"Blowout")</f>
        <v>Marginal</v>
      </c>
      <c r="L871" s="226">
        <f ca="1">IF(AND(E871&lt;$B$10,C871&gt;=$B$11),1,0)</f>
        <v>1</v>
      </c>
      <c r="M871" s="217" t="str" cm="1">
        <f t="array" aca="1" ref="M871" ca="1">_xlfn.IFS(C871&lt;$B$11,"Fail",C871&lt;25,"Marginal",C871&lt;35,"Solid",TRUE,"Blowout")</f>
        <v>Blowout</v>
      </c>
    </row>
    <row r="872" spans="1:13" x14ac:dyDescent="0.25">
      <c r="A872" s="169">
        <f t="shared" ca="1" si="130"/>
        <v>46.545348236572195</v>
      </c>
      <c r="B872" s="168">
        <f t="shared" ca="1" si="131"/>
        <v>2.8107037541548179</v>
      </c>
      <c r="C872" s="168">
        <f t="shared" ca="1" si="132"/>
        <v>43.73464448241738</v>
      </c>
      <c r="D872" s="184">
        <f t="shared" ca="1" si="133"/>
        <v>5.5272393616674567</v>
      </c>
      <c r="E872" s="230">
        <f t="shared" ca="1" si="134"/>
        <v>4.4314589464282854E-8</v>
      </c>
      <c r="F872" s="168">
        <f t="shared" ca="1" si="135"/>
        <v>47.109982106402768</v>
      </c>
      <c r="G872" s="168">
        <f t="shared" ca="1" si="136"/>
        <v>44.299278352247953</v>
      </c>
      <c r="H872" s="184">
        <f t="shared" ca="1" si="137"/>
        <v>5.5985985001077578</v>
      </c>
      <c r="I872" s="184">
        <f t="shared" ca="1" si="138"/>
        <v>3.091405960152286E-8</v>
      </c>
      <c r="J872" s="223">
        <f t="shared" ca="1" si="139"/>
        <v>1</v>
      </c>
      <c r="K872" s="220" t="str" cm="1">
        <f t="array" aca="1" ref="K872" ca="1">_xlfn.IFS(G872&lt;$B$11,"Fail",G872&lt;25,"Marginal",G872&lt;35,"Solid",TRUE,"Blowout")</f>
        <v>Blowout</v>
      </c>
      <c r="L872" s="226">
        <f ca="1">IF(AND(E872&lt;$B$10,C872&gt;=$B$11),1,0)</f>
        <v>1</v>
      </c>
      <c r="M872" s="217" t="str" cm="1">
        <f t="array" aca="1" ref="M872" ca="1">_xlfn.IFS(C872&lt;$B$11,"Fail",C872&lt;25,"Marginal",C872&lt;35,"Solid",TRUE,"Blowout")</f>
        <v>Blowout</v>
      </c>
    </row>
    <row r="873" spans="1:13" x14ac:dyDescent="0.25">
      <c r="A873" s="169">
        <f t="shared" ca="1" si="130"/>
        <v>32.446503520816449</v>
      </c>
      <c r="B873" s="168">
        <f t="shared" ca="1" si="131"/>
        <v>-2.602456418495156</v>
      </c>
      <c r="C873" s="168">
        <f t="shared" ca="1" si="132"/>
        <v>35.048959939311608</v>
      </c>
      <c r="D873" s="184">
        <f t="shared" ca="1" si="133"/>
        <v>4.4295316277225423</v>
      </c>
      <c r="E873" s="230">
        <f t="shared" ca="1" si="134"/>
        <v>7.3307509727141722E-6</v>
      </c>
      <c r="F873" s="168">
        <f t="shared" ca="1" si="135"/>
        <v>26.216955244941481</v>
      </c>
      <c r="G873" s="168">
        <f t="shared" ca="1" si="136"/>
        <v>28.819411663436636</v>
      </c>
      <c r="H873" s="184">
        <f t="shared" ca="1" si="137"/>
        <v>3.6422334835781087</v>
      </c>
      <c r="I873" s="184">
        <f t="shared" ca="1" si="138"/>
        <v>1.6728785322742441E-4</v>
      </c>
      <c r="J873" s="223">
        <f t="shared" ca="1" si="139"/>
        <v>1</v>
      </c>
      <c r="K873" s="220" t="str" cm="1">
        <f t="array" aca="1" ref="K873" ca="1">_xlfn.IFS(G873&lt;$B$11,"Fail",G873&lt;25,"Marginal",G873&lt;35,"Solid",TRUE,"Blowout")</f>
        <v>Solid</v>
      </c>
      <c r="L873" s="226">
        <f ca="1">IF(AND(E873&lt;$B$10,C873&gt;=$B$11),1,0)</f>
        <v>1</v>
      </c>
      <c r="M873" s="217" t="str" cm="1">
        <f t="array" aca="1" ref="M873" ca="1">_xlfn.IFS(C873&lt;$B$11,"Fail",C873&lt;25,"Marginal",C873&lt;35,"Solid",TRUE,"Blowout")</f>
        <v>Blowout</v>
      </c>
    </row>
    <row r="874" spans="1:13" x14ac:dyDescent="0.25">
      <c r="A874" s="169">
        <f t="shared" ca="1" si="130"/>
        <v>0.85101451867036459</v>
      </c>
      <c r="B874" s="168">
        <f t="shared" ca="1" si="131"/>
        <v>-1.369837155831382</v>
      </c>
      <c r="C874" s="168">
        <f t="shared" ca="1" si="132"/>
        <v>2.2208516745017466</v>
      </c>
      <c r="D874" s="184">
        <f t="shared" ca="1" si="133"/>
        <v>0.28067402712433437</v>
      </c>
      <c r="E874" s="230">
        <f t="shared" ca="1" si="134"/>
        <v>0.38960747496396031</v>
      </c>
      <c r="F874" s="168">
        <f t="shared" ca="1" si="135"/>
        <v>-2.5150325081923173</v>
      </c>
      <c r="G874" s="168">
        <f t="shared" ca="1" si="136"/>
        <v>-1.1451953523609353</v>
      </c>
      <c r="H874" s="184">
        <f t="shared" ca="1" si="137"/>
        <v>-0.14473122860099499</v>
      </c>
      <c r="I874" s="184">
        <f t="shared" ca="1" si="138"/>
        <v>0.55747453134108471</v>
      </c>
      <c r="J874" s="223">
        <f t="shared" ca="1" si="139"/>
        <v>0</v>
      </c>
      <c r="K874" s="220" t="str" cm="1">
        <f t="array" aca="1" ref="K874" ca="1">_xlfn.IFS(G874&lt;$B$11,"Fail",G874&lt;25,"Marginal",G874&lt;35,"Solid",TRUE,"Blowout")</f>
        <v>Fail</v>
      </c>
      <c r="L874" s="226">
        <f ca="1">IF(AND(E874&lt;$B$10,C874&gt;=$B$11),1,0)</f>
        <v>0</v>
      </c>
      <c r="M874" s="217" t="str" cm="1">
        <f t="array" aca="1" ref="M874" ca="1">_xlfn.IFS(C874&lt;$B$11,"Fail",C874&lt;25,"Marginal",C874&lt;35,"Solid",TRUE,"Blowout")</f>
        <v>Fail</v>
      </c>
    </row>
    <row r="875" spans="1:13" x14ac:dyDescent="0.25">
      <c r="A875" s="169">
        <f t="shared" ca="1" si="130"/>
        <v>47.223387587438253</v>
      </c>
      <c r="B875" s="168">
        <f t="shared" ca="1" si="131"/>
        <v>5.4435572644543395</v>
      </c>
      <c r="C875" s="168">
        <f t="shared" ca="1" si="132"/>
        <v>41.779830322983912</v>
      </c>
      <c r="D875" s="184">
        <f t="shared" ca="1" si="133"/>
        <v>5.280187490213252</v>
      </c>
      <c r="E875" s="230">
        <f t="shared" ca="1" si="134"/>
        <v>1.5028619423832629E-7</v>
      </c>
      <c r="F875" s="168">
        <f t="shared" ca="1" si="135"/>
        <v>28.727391472224944</v>
      </c>
      <c r="G875" s="168">
        <f t="shared" ca="1" si="136"/>
        <v>23.283834207770603</v>
      </c>
      <c r="H875" s="184">
        <f t="shared" ca="1" si="137"/>
        <v>2.9426402442911868</v>
      </c>
      <c r="I875" s="184">
        <f t="shared" ca="1" si="138"/>
        <v>1.7951735319535918E-3</v>
      </c>
      <c r="J875" s="223">
        <f t="shared" ca="1" si="139"/>
        <v>1</v>
      </c>
      <c r="K875" s="220" t="str" cm="1">
        <f t="array" aca="1" ref="K875" ca="1">_xlfn.IFS(G875&lt;$B$11,"Fail",G875&lt;25,"Marginal",G875&lt;35,"Solid",TRUE,"Blowout")</f>
        <v>Marginal</v>
      </c>
      <c r="L875" s="226">
        <f ca="1">IF(AND(E875&lt;$B$10,C875&gt;=$B$11),1,0)</f>
        <v>1</v>
      </c>
      <c r="M875" s="217" t="str" cm="1">
        <f t="array" aca="1" ref="M875" ca="1">_xlfn.IFS(C875&lt;$B$11,"Fail",C875&lt;25,"Marginal",C875&lt;35,"Solid",TRUE,"Blowout")</f>
        <v>Blowout</v>
      </c>
    </row>
    <row r="876" spans="1:13" x14ac:dyDescent="0.25">
      <c r="A876" s="169">
        <f t="shared" ca="1" si="130"/>
        <v>51.271500506335727</v>
      </c>
      <c r="B876" s="168">
        <f t="shared" ca="1" si="131"/>
        <v>-1.9728780661222212</v>
      </c>
      <c r="C876" s="168">
        <f t="shared" ca="1" si="132"/>
        <v>53.244378572457947</v>
      </c>
      <c r="D876" s="184">
        <f t="shared" ca="1" si="133"/>
        <v>6.7290915135145992</v>
      </c>
      <c r="E876" s="230">
        <f t="shared" ca="1" si="134"/>
        <v>6.822287751866561E-11</v>
      </c>
      <c r="F876" s="168">
        <f t="shared" ca="1" si="135"/>
        <v>73.313819729145777</v>
      </c>
      <c r="G876" s="168">
        <f t="shared" ca="1" si="136"/>
        <v>75.286697795267997</v>
      </c>
      <c r="H876" s="184">
        <f t="shared" ca="1" si="137"/>
        <v>9.5148275329244623</v>
      </c>
      <c r="I876" s="184">
        <f t="shared" ca="1" si="138"/>
        <v>1.3650252506600338E-18</v>
      </c>
      <c r="J876" s="223">
        <f t="shared" ca="1" si="139"/>
        <v>1</v>
      </c>
      <c r="K876" s="220" t="str" cm="1">
        <f t="array" aca="1" ref="K876" ca="1">_xlfn.IFS(G876&lt;$B$11,"Fail",G876&lt;25,"Marginal",G876&lt;35,"Solid",TRUE,"Blowout")</f>
        <v>Blowout</v>
      </c>
      <c r="L876" s="226">
        <f ca="1">IF(AND(E876&lt;$B$10,C876&gt;=$B$11),1,0)</f>
        <v>1</v>
      </c>
      <c r="M876" s="217" t="str" cm="1">
        <f t="array" aca="1" ref="M876" ca="1">_xlfn.IFS(C876&lt;$B$11,"Fail",C876&lt;25,"Marginal",C876&lt;35,"Solid",TRUE,"Blowout")</f>
        <v>Blowout</v>
      </c>
    </row>
    <row r="877" spans="1:13" x14ac:dyDescent="0.25">
      <c r="A877" s="169">
        <f t="shared" ca="1" si="130"/>
        <v>0.38164909601083918</v>
      </c>
      <c r="B877" s="168">
        <f t="shared" ca="1" si="131"/>
        <v>8.3922470845448203</v>
      </c>
      <c r="C877" s="168">
        <f t="shared" ca="1" si="132"/>
        <v>-8.0105979885339806</v>
      </c>
      <c r="D877" s="184">
        <f t="shared" ca="1" si="133"/>
        <v>-1.012389446323718</v>
      </c>
      <c r="E877" s="230">
        <f t="shared" ca="1" si="134"/>
        <v>0.84378748251130198</v>
      </c>
      <c r="F877" s="168">
        <f t="shared" ca="1" si="135"/>
        <v>17.217958767182605</v>
      </c>
      <c r="G877" s="168">
        <f t="shared" ca="1" si="136"/>
        <v>8.8257116826377846</v>
      </c>
      <c r="H877" s="184">
        <f t="shared" ca="1" si="137"/>
        <v>1.1154045399092158</v>
      </c>
      <c r="I877" s="184">
        <f t="shared" ca="1" si="138"/>
        <v>0.13292567780412859</v>
      </c>
      <c r="J877" s="223">
        <f t="shared" ca="1" si="139"/>
        <v>0</v>
      </c>
      <c r="K877" s="220" t="str" cm="1">
        <f t="array" aca="1" ref="K877" ca="1">_xlfn.IFS(G877&lt;$B$11,"Fail",G877&lt;25,"Marginal",G877&lt;35,"Solid",TRUE,"Blowout")</f>
        <v>Fail</v>
      </c>
      <c r="L877" s="226">
        <f ca="1">IF(AND(E877&lt;$B$10,C877&gt;=$B$11),1,0)</f>
        <v>0</v>
      </c>
      <c r="M877" s="217" t="str" cm="1">
        <f t="array" aca="1" ref="M877" ca="1">_xlfn.IFS(C877&lt;$B$11,"Fail",C877&lt;25,"Marginal",C877&lt;35,"Solid",TRUE,"Blowout")</f>
        <v>Fail</v>
      </c>
    </row>
    <row r="878" spans="1:13" x14ac:dyDescent="0.25">
      <c r="A878" s="169">
        <f t="shared" ca="1" si="130"/>
        <v>15.604093660850584</v>
      </c>
      <c r="B878" s="168">
        <f t="shared" ca="1" si="131"/>
        <v>2.3093430847281065</v>
      </c>
      <c r="C878" s="168">
        <f t="shared" ca="1" si="132"/>
        <v>13.294750576122478</v>
      </c>
      <c r="D878" s="184">
        <f t="shared" ca="1" si="133"/>
        <v>1.6802072946411559</v>
      </c>
      <c r="E878" s="230">
        <f t="shared" ca="1" si="134"/>
        <v>4.7143272705886162E-2</v>
      </c>
      <c r="F878" s="168">
        <f t="shared" ca="1" si="135"/>
        <v>4.1339265205611833</v>
      </c>
      <c r="G878" s="168">
        <f t="shared" ca="1" si="136"/>
        <v>1.8245834358330768</v>
      </c>
      <c r="H878" s="184">
        <f t="shared" ca="1" si="137"/>
        <v>0.23059314885336413</v>
      </c>
      <c r="I878" s="184">
        <f t="shared" ca="1" si="138"/>
        <v>0.4089188323502026</v>
      </c>
      <c r="J878" s="223">
        <f t="shared" ca="1" si="139"/>
        <v>0</v>
      </c>
      <c r="K878" s="220" t="str" cm="1">
        <f t="array" aca="1" ref="K878" ca="1">_xlfn.IFS(G878&lt;$B$11,"Fail",G878&lt;25,"Marginal",G878&lt;35,"Solid",TRUE,"Blowout")</f>
        <v>Fail</v>
      </c>
      <c r="L878" s="226">
        <f ca="1">IF(AND(E878&lt;$B$10,C878&gt;=$B$11),1,0)</f>
        <v>0</v>
      </c>
      <c r="M878" s="217" t="str" cm="1">
        <f t="array" aca="1" ref="M878" ca="1">_xlfn.IFS(C878&lt;$B$11,"Fail",C878&lt;25,"Marginal",C878&lt;35,"Solid",TRUE,"Blowout")</f>
        <v>Fail</v>
      </c>
    </row>
    <row r="879" spans="1:13" x14ac:dyDescent="0.25">
      <c r="A879" s="169">
        <f t="shared" ca="1" si="130"/>
        <v>-2.1446833612547436</v>
      </c>
      <c r="B879" s="168">
        <f t="shared" ca="1" si="131"/>
        <v>4.7535683204123007</v>
      </c>
      <c r="C879" s="168">
        <f t="shared" ca="1" si="132"/>
        <v>-6.8982516816670447</v>
      </c>
      <c r="D879" s="184">
        <f t="shared" ca="1" si="133"/>
        <v>-0.87180972139667257</v>
      </c>
      <c r="E879" s="230">
        <f t="shared" ca="1" si="134"/>
        <v>0.80788535252951932</v>
      </c>
      <c r="F879" s="168">
        <f t="shared" ca="1" si="135"/>
        <v>20.710510440985626</v>
      </c>
      <c r="G879" s="168">
        <f t="shared" ca="1" si="136"/>
        <v>15.956942120573325</v>
      </c>
      <c r="H879" s="184">
        <f t="shared" ca="1" si="137"/>
        <v>2.0166584094707893</v>
      </c>
      <c r="I879" s="184">
        <f t="shared" ca="1" si="138"/>
        <v>2.2451911065132283E-2</v>
      </c>
      <c r="J879" s="223">
        <f t="shared" ca="1" si="139"/>
        <v>0</v>
      </c>
      <c r="K879" s="220" t="str" cm="1">
        <f t="array" aca="1" ref="K879" ca="1">_xlfn.IFS(G879&lt;$B$11,"Fail",G879&lt;25,"Marginal",G879&lt;35,"Solid",TRUE,"Blowout")</f>
        <v>Fail</v>
      </c>
      <c r="L879" s="226">
        <f ca="1">IF(AND(E879&lt;$B$10,C879&gt;=$B$11),1,0)</f>
        <v>0</v>
      </c>
      <c r="M879" s="217" t="str" cm="1">
        <f t="array" aca="1" ref="M879" ca="1">_xlfn.IFS(C879&lt;$B$11,"Fail",C879&lt;25,"Marginal",C879&lt;35,"Solid",TRUE,"Blowout")</f>
        <v>Fail</v>
      </c>
    </row>
    <row r="880" spans="1:13" x14ac:dyDescent="0.25">
      <c r="A880" s="169">
        <f t="shared" ca="1" si="130"/>
        <v>32.355961487782913</v>
      </c>
      <c r="B880" s="168">
        <f t="shared" ca="1" si="131"/>
        <v>5.177692320247627</v>
      </c>
      <c r="C880" s="168">
        <f t="shared" ca="1" si="132"/>
        <v>27.178269167535287</v>
      </c>
      <c r="D880" s="184">
        <f t="shared" ca="1" si="133"/>
        <v>3.4348238313721122</v>
      </c>
      <c r="E880" s="230">
        <f t="shared" ca="1" si="134"/>
        <v>3.5215991235529591E-4</v>
      </c>
      <c r="F880" s="168">
        <f t="shared" ca="1" si="135"/>
        <v>37.508408016176674</v>
      </c>
      <c r="G880" s="168">
        <f t="shared" ca="1" si="136"/>
        <v>32.330715695929044</v>
      </c>
      <c r="H880" s="184">
        <f t="shared" ca="1" si="137"/>
        <v>4.0859965023212066</v>
      </c>
      <c r="I880" s="184">
        <f t="shared" ca="1" si="138"/>
        <v>3.0404134783237823E-5</v>
      </c>
      <c r="J880" s="223">
        <f t="shared" ca="1" si="139"/>
        <v>1</v>
      </c>
      <c r="K880" s="220" t="str" cm="1">
        <f t="array" aca="1" ref="K880" ca="1">_xlfn.IFS(G880&lt;$B$11,"Fail",G880&lt;25,"Marginal",G880&lt;35,"Solid",TRUE,"Blowout")</f>
        <v>Solid</v>
      </c>
      <c r="L880" s="226">
        <f ca="1">IF(AND(E880&lt;$B$10,C880&gt;=$B$11),1,0)</f>
        <v>1</v>
      </c>
      <c r="M880" s="217" t="str" cm="1">
        <f t="array" aca="1" ref="M880" ca="1">_xlfn.IFS(C880&lt;$B$11,"Fail",C880&lt;25,"Marginal",C880&lt;35,"Solid",TRUE,"Blowout")</f>
        <v>Solid</v>
      </c>
    </row>
    <row r="881" spans="1:13" x14ac:dyDescent="0.25">
      <c r="A881" s="169">
        <f t="shared" ca="1" si="130"/>
        <v>73.073024946956124</v>
      </c>
      <c r="B881" s="168">
        <f t="shared" ca="1" si="131"/>
        <v>-5.4214602789638384</v>
      </c>
      <c r="C881" s="168">
        <f t="shared" ca="1" si="132"/>
        <v>78.494485225919959</v>
      </c>
      <c r="D881" s="184">
        <f t="shared" ca="1" si="133"/>
        <v>9.9202317418849297</v>
      </c>
      <c r="E881" s="230">
        <f t="shared" ca="1" si="134"/>
        <v>8.1835862710272891E-20</v>
      </c>
      <c r="F881" s="168">
        <f t="shared" ca="1" si="135"/>
        <v>22.574304403270645</v>
      </c>
      <c r="G881" s="168">
        <f t="shared" ca="1" si="136"/>
        <v>27.995764682234483</v>
      </c>
      <c r="H881" s="184">
        <f t="shared" ca="1" si="137"/>
        <v>3.5381399424393591</v>
      </c>
      <c r="I881" s="184">
        <f t="shared" ca="1" si="138"/>
        <v>2.4409085089296029E-4</v>
      </c>
      <c r="J881" s="223">
        <f t="shared" ca="1" si="139"/>
        <v>1</v>
      </c>
      <c r="K881" s="220" t="str" cm="1">
        <f t="array" aca="1" ref="K881" ca="1">_xlfn.IFS(G881&lt;$B$11,"Fail",G881&lt;25,"Marginal",G881&lt;35,"Solid",TRUE,"Blowout")</f>
        <v>Solid</v>
      </c>
      <c r="L881" s="226">
        <f ca="1">IF(AND(E881&lt;$B$10,C881&gt;=$B$11),1,0)</f>
        <v>1</v>
      </c>
      <c r="M881" s="217" t="str" cm="1">
        <f t="array" aca="1" ref="M881" ca="1">_xlfn.IFS(C881&lt;$B$11,"Fail",C881&lt;25,"Marginal",C881&lt;35,"Solid",TRUE,"Blowout")</f>
        <v>Blowout</v>
      </c>
    </row>
    <row r="882" spans="1:13" x14ac:dyDescent="0.25">
      <c r="A882" s="169">
        <f t="shared" ca="1" si="130"/>
        <v>33.892187688206334</v>
      </c>
      <c r="B882" s="168">
        <f t="shared" ca="1" si="131"/>
        <v>5.3044133671321898</v>
      </c>
      <c r="C882" s="168">
        <f t="shared" ca="1" si="132"/>
        <v>28.587774321074143</v>
      </c>
      <c r="D882" s="184">
        <f t="shared" ca="1" si="133"/>
        <v>3.6129588649893436</v>
      </c>
      <c r="E882" s="230">
        <f t="shared" ca="1" si="134"/>
        <v>1.8620233928755048E-4</v>
      </c>
      <c r="F882" s="168">
        <f t="shared" ca="1" si="135"/>
        <v>9.774385687144818</v>
      </c>
      <c r="G882" s="168">
        <f t="shared" ca="1" si="136"/>
        <v>4.4699723200126282</v>
      </c>
      <c r="H882" s="184">
        <f t="shared" ca="1" si="137"/>
        <v>0.56492072235023172</v>
      </c>
      <c r="I882" s="184">
        <f t="shared" ca="1" si="138"/>
        <v>0.28634154549140872</v>
      </c>
      <c r="J882" s="223">
        <f t="shared" ca="1" si="139"/>
        <v>0</v>
      </c>
      <c r="K882" s="220" t="str" cm="1">
        <f t="array" aca="1" ref="K882" ca="1">_xlfn.IFS(G882&lt;$B$11,"Fail",G882&lt;25,"Marginal",G882&lt;35,"Solid",TRUE,"Blowout")</f>
        <v>Fail</v>
      </c>
      <c r="L882" s="226">
        <f ca="1">IF(AND(E882&lt;$B$10,C882&gt;=$B$11),1,0)</f>
        <v>1</v>
      </c>
      <c r="M882" s="217" t="str" cm="1">
        <f t="array" aca="1" ref="M882" ca="1">_xlfn.IFS(C882&lt;$B$11,"Fail",C882&lt;25,"Marginal",C882&lt;35,"Solid",TRUE,"Blowout")</f>
        <v>Solid</v>
      </c>
    </row>
    <row r="883" spans="1:13" x14ac:dyDescent="0.25">
      <c r="A883" s="169">
        <f t="shared" ca="1" si="130"/>
        <v>47.712472363740524</v>
      </c>
      <c r="B883" s="168">
        <f t="shared" ca="1" si="131"/>
        <v>-3.0560480545167987</v>
      </c>
      <c r="C883" s="168">
        <f t="shared" ca="1" si="132"/>
        <v>50.768520418257324</v>
      </c>
      <c r="D883" s="184">
        <f t="shared" ca="1" si="133"/>
        <v>6.416189446840554</v>
      </c>
      <c r="E883" s="230">
        <f t="shared" ca="1" si="134"/>
        <v>3.9930019244033162E-10</v>
      </c>
      <c r="F883" s="168">
        <f t="shared" ca="1" si="135"/>
        <v>16.16196126961831</v>
      </c>
      <c r="G883" s="168">
        <f t="shared" ca="1" si="136"/>
        <v>19.21800932413511</v>
      </c>
      <c r="H883" s="184">
        <f t="shared" ca="1" si="137"/>
        <v>2.4287961831256313</v>
      </c>
      <c r="I883" s="184">
        <f t="shared" ca="1" si="138"/>
        <v>7.9617673823044327E-3</v>
      </c>
      <c r="J883" s="223">
        <f t="shared" ca="1" si="139"/>
        <v>0</v>
      </c>
      <c r="K883" s="220" t="str" cm="1">
        <f t="array" aca="1" ref="K883" ca="1">_xlfn.IFS(G883&lt;$B$11,"Fail",G883&lt;25,"Marginal",G883&lt;35,"Solid",TRUE,"Blowout")</f>
        <v>Fail</v>
      </c>
      <c r="L883" s="226">
        <f ca="1">IF(AND(E883&lt;$B$10,C883&gt;=$B$11),1,0)</f>
        <v>1</v>
      </c>
      <c r="M883" s="217" t="str" cm="1">
        <f t="array" aca="1" ref="M883" ca="1">_xlfn.IFS(C883&lt;$B$11,"Fail",C883&lt;25,"Marginal",C883&lt;35,"Solid",TRUE,"Blowout")</f>
        <v>Blowout</v>
      </c>
    </row>
    <row r="884" spans="1:13" x14ac:dyDescent="0.25">
      <c r="A884" s="169">
        <f t="shared" ca="1" si="130"/>
        <v>11.230988450756719</v>
      </c>
      <c r="B884" s="168">
        <f t="shared" ca="1" si="131"/>
        <v>6.4172053731761078</v>
      </c>
      <c r="C884" s="168">
        <f t="shared" ca="1" si="132"/>
        <v>4.8137830775806112</v>
      </c>
      <c r="D884" s="184">
        <f t="shared" ca="1" si="133"/>
        <v>0.60837195819961531</v>
      </c>
      <c r="E884" s="230">
        <f t="shared" ca="1" si="134"/>
        <v>0.27177319400624178</v>
      </c>
      <c r="F884" s="168">
        <f t="shared" ca="1" si="135"/>
        <v>23.957995512127539</v>
      </c>
      <c r="G884" s="168">
        <f t="shared" ca="1" si="136"/>
        <v>17.540790138951429</v>
      </c>
      <c r="H884" s="184">
        <f t="shared" ca="1" si="137"/>
        <v>2.2168271135652731</v>
      </c>
      <c r="I884" s="184">
        <f t="shared" ca="1" si="138"/>
        <v>1.3811228731094433E-2</v>
      </c>
      <c r="J884" s="223">
        <f t="shared" ca="1" si="139"/>
        <v>0</v>
      </c>
      <c r="K884" s="220" t="str" cm="1">
        <f t="array" aca="1" ref="K884" ca="1">_xlfn.IFS(G884&lt;$B$11,"Fail",G884&lt;25,"Marginal",G884&lt;35,"Solid",TRUE,"Blowout")</f>
        <v>Fail</v>
      </c>
      <c r="L884" s="226">
        <f ca="1">IF(AND(E884&lt;$B$10,C884&gt;=$B$11),1,0)</f>
        <v>0</v>
      </c>
      <c r="M884" s="217" t="str" cm="1">
        <f t="array" aca="1" ref="M884" ca="1">_xlfn.IFS(C884&lt;$B$11,"Fail",C884&lt;25,"Marginal",C884&lt;35,"Solid",TRUE,"Blowout")</f>
        <v>Fail</v>
      </c>
    </row>
    <row r="885" spans="1:13" x14ac:dyDescent="0.25">
      <c r="A885" s="169">
        <f t="shared" ca="1" si="130"/>
        <v>19.367155220398971</v>
      </c>
      <c r="B885" s="168">
        <f t="shared" ca="1" si="131"/>
        <v>0.94096680794221221</v>
      </c>
      <c r="C885" s="168">
        <f t="shared" ca="1" si="132"/>
        <v>18.42618841245676</v>
      </c>
      <c r="D885" s="184">
        <f t="shared" ca="1" si="133"/>
        <v>2.3287248606714268</v>
      </c>
      <c r="E885" s="230">
        <f t="shared" ca="1" si="134"/>
        <v>1.0374487347198695E-2</v>
      </c>
      <c r="F885" s="168">
        <f t="shared" ca="1" si="135"/>
        <v>2.2341170742230361</v>
      </c>
      <c r="G885" s="168">
        <f t="shared" ca="1" si="136"/>
        <v>1.2931502662808239</v>
      </c>
      <c r="H885" s="184">
        <f t="shared" ca="1" si="137"/>
        <v>0.16342995666082641</v>
      </c>
      <c r="I885" s="184">
        <f t="shared" ca="1" si="138"/>
        <v>0.43516234431038681</v>
      </c>
      <c r="J885" s="223">
        <f t="shared" ca="1" si="139"/>
        <v>0</v>
      </c>
      <c r="K885" s="220" t="str" cm="1">
        <f t="array" aca="1" ref="K885" ca="1">_xlfn.IFS(G885&lt;$B$11,"Fail",G885&lt;25,"Marginal",G885&lt;35,"Solid",TRUE,"Blowout")</f>
        <v>Fail</v>
      </c>
      <c r="L885" s="226">
        <f ca="1">IF(AND(E885&lt;$B$10,C885&gt;=$B$11),1,0)</f>
        <v>0</v>
      </c>
      <c r="M885" s="217" t="str" cm="1">
        <f t="array" aca="1" ref="M885" ca="1">_xlfn.IFS(C885&lt;$B$11,"Fail",C885&lt;25,"Marginal",C885&lt;35,"Solid",TRUE,"Blowout")</f>
        <v>Fail</v>
      </c>
    </row>
    <row r="886" spans="1:13" x14ac:dyDescent="0.25">
      <c r="A886" s="169">
        <f t="shared" ca="1" si="130"/>
        <v>14.467748759615175</v>
      </c>
      <c r="B886" s="168">
        <f t="shared" ca="1" si="131"/>
        <v>4.9685833082423461</v>
      </c>
      <c r="C886" s="168">
        <f t="shared" ca="1" si="132"/>
        <v>9.4991654513728285</v>
      </c>
      <c r="D886" s="184">
        <f t="shared" ca="1" si="133"/>
        <v>1.2005164740032981</v>
      </c>
      <c r="E886" s="230">
        <f t="shared" ca="1" si="134"/>
        <v>0.11559231089924514</v>
      </c>
      <c r="F886" s="168">
        <f t="shared" ca="1" si="135"/>
        <v>8.0631610738873185</v>
      </c>
      <c r="G886" s="168">
        <f t="shared" ca="1" si="136"/>
        <v>3.0945777656449724</v>
      </c>
      <c r="H886" s="184">
        <f t="shared" ca="1" si="137"/>
        <v>0.39109662914695298</v>
      </c>
      <c r="I886" s="184">
        <f t="shared" ca="1" si="138"/>
        <v>0.34804551720283028</v>
      </c>
      <c r="J886" s="223">
        <f t="shared" ca="1" si="139"/>
        <v>0</v>
      </c>
      <c r="K886" s="220" t="str" cm="1">
        <f t="array" aca="1" ref="K886" ca="1">_xlfn.IFS(G886&lt;$B$11,"Fail",G886&lt;25,"Marginal",G886&lt;35,"Solid",TRUE,"Blowout")</f>
        <v>Fail</v>
      </c>
      <c r="L886" s="226">
        <f ca="1">IF(AND(E886&lt;$B$10,C886&gt;=$B$11),1,0)</f>
        <v>0</v>
      </c>
      <c r="M886" s="217" t="str" cm="1">
        <f t="array" aca="1" ref="M886" ca="1">_xlfn.IFS(C886&lt;$B$11,"Fail",C886&lt;25,"Marginal",C886&lt;35,"Solid",TRUE,"Blowout")</f>
        <v>Fail</v>
      </c>
    </row>
    <row r="887" spans="1:13" x14ac:dyDescent="0.25">
      <c r="A887" s="169">
        <f t="shared" ca="1" si="130"/>
        <v>58.649594705189948</v>
      </c>
      <c r="B887" s="168">
        <f t="shared" ca="1" si="131"/>
        <v>7.5744707798403672</v>
      </c>
      <c r="C887" s="168">
        <f t="shared" ca="1" si="132"/>
        <v>51.07512392534958</v>
      </c>
      <c r="D887" s="184">
        <f t="shared" ca="1" si="133"/>
        <v>6.4549383835903864</v>
      </c>
      <c r="E887" s="230">
        <f t="shared" ca="1" si="134"/>
        <v>3.2177127430459687E-10</v>
      </c>
      <c r="F887" s="168">
        <f t="shared" ca="1" si="135"/>
        <v>20.117052004487494</v>
      </c>
      <c r="G887" s="168">
        <f t="shared" ca="1" si="136"/>
        <v>12.542581224647126</v>
      </c>
      <c r="H887" s="184">
        <f t="shared" ca="1" si="137"/>
        <v>1.5851471862233122</v>
      </c>
      <c r="I887" s="184">
        <f t="shared" ca="1" si="138"/>
        <v>5.7159432590524618E-2</v>
      </c>
      <c r="J887" s="223">
        <f t="shared" ca="1" si="139"/>
        <v>0</v>
      </c>
      <c r="K887" s="220" t="str" cm="1">
        <f t="array" aca="1" ref="K887" ca="1">_xlfn.IFS(G887&lt;$B$11,"Fail",G887&lt;25,"Marginal",G887&lt;35,"Solid",TRUE,"Blowout")</f>
        <v>Fail</v>
      </c>
      <c r="L887" s="226">
        <f ca="1">IF(AND(E887&lt;$B$10,C887&gt;=$B$11),1,0)</f>
        <v>1</v>
      </c>
      <c r="M887" s="217" t="str" cm="1">
        <f t="array" aca="1" ref="M887" ca="1">_xlfn.IFS(C887&lt;$B$11,"Fail",C887&lt;25,"Marginal",C887&lt;35,"Solid",TRUE,"Blowout")</f>
        <v>Blowout</v>
      </c>
    </row>
    <row r="888" spans="1:13" x14ac:dyDescent="0.25">
      <c r="A888" s="169">
        <f t="shared" ca="1" si="130"/>
        <v>31.35842562077433</v>
      </c>
      <c r="B888" s="168">
        <f t="shared" ca="1" si="131"/>
        <v>7.5452609821296655</v>
      </c>
      <c r="C888" s="168">
        <f t="shared" ca="1" si="132"/>
        <v>23.813164638644665</v>
      </c>
      <c r="D888" s="184">
        <f t="shared" ca="1" si="133"/>
        <v>3.0095376897255894</v>
      </c>
      <c r="E888" s="230">
        <f t="shared" ca="1" si="134"/>
        <v>1.4553243052025733E-3</v>
      </c>
      <c r="F888" s="168">
        <f t="shared" ca="1" si="135"/>
        <v>16.393166095375115</v>
      </c>
      <c r="G888" s="168">
        <f t="shared" ca="1" si="136"/>
        <v>8.8479051132454494</v>
      </c>
      <c r="H888" s="184">
        <f t="shared" ca="1" si="137"/>
        <v>1.1182093735754512</v>
      </c>
      <c r="I888" s="184">
        <f t="shared" ca="1" si="138"/>
        <v>0.13232718919398201</v>
      </c>
      <c r="J888" s="223">
        <f t="shared" ca="1" si="139"/>
        <v>0</v>
      </c>
      <c r="K888" s="220" t="str" cm="1">
        <f t="array" aca="1" ref="K888" ca="1">_xlfn.IFS(G888&lt;$B$11,"Fail",G888&lt;25,"Marginal",G888&lt;35,"Solid",TRUE,"Blowout")</f>
        <v>Fail</v>
      </c>
      <c r="L888" s="226">
        <f ca="1">IF(AND(E888&lt;$B$10,C888&gt;=$B$11),1,0)</f>
        <v>1</v>
      </c>
      <c r="M888" s="217" t="str" cm="1">
        <f t="array" aca="1" ref="M888" ca="1">_xlfn.IFS(C888&lt;$B$11,"Fail",C888&lt;25,"Marginal",C888&lt;35,"Solid",TRUE,"Blowout")</f>
        <v>Marginal</v>
      </c>
    </row>
    <row r="889" spans="1:13" x14ac:dyDescent="0.25">
      <c r="A889" s="169">
        <f t="shared" ca="1" si="130"/>
        <v>77.729673551635258</v>
      </c>
      <c r="B889" s="168">
        <f t="shared" ca="1" si="131"/>
        <v>-5.1366687688227284</v>
      </c>
      <c r="C889" s="168">
        <f t="shared" ca="1" si="132"/>
        <v>82.866342320457989</v>
      </c>
      <c r="D889" s="184">
        <f t="shared" ca="1" si="133"/>
        <v>10.472752538669512</v>
      </c>
      <c r="E889" s="230">
        <f t="shared" ca="1" si="134"/>
        <v>1.6481371219370197E-21</v>
      </c>
      <c r="F889" s="168">
        <f t="shared" ca="1" si="135"/>
        <v>32.538955267885015</v>
      </c>
      <c r="G889" s="168">
        <f t="shared" ca="1" si="136"/>
        <v>37.675624036707745</v>
      </c>
      <c r="H889" s="184">
        <f t="shared" ca="1" si="137"/>
        <v>4.7614927391211594</v>
      </c>
      <c r="I889" s="184">
        <f t="shared" ca="1" si="138"/>
        <v>1.7082381054291637E-6</v>
      </c>
      <c r="J889" s="223">
        <f t="shared" ca="1" si="139"/>
        <v>1</v>
      </c>
      <c r="K889" s="220" t="str" cm="1">
        <f t="array" aca="1" ref="K889" ca="1">_xlfn.IFS(G889&lt;$B$11,"Fail",G889&lt;25,"Marginal",G889&lt;35,"Solid",TRUE,"Blowout")</f>
        <v>Blowout</v>
      </c>
      <c r="L889" s="226">
        <f ca="1">IF(AND(E889&lt;$B$10,C889&gt;=$B$11),1,0)</f>
        <v>1</v>
      </c>
      <c r="M889" s="217" t="str" cm="1">
        <f t="array" aca="1" ref="M889" ca="1">_xlfn.IFS(C889&lt;$B$11,"Fail",C889&lt;25,"Marginal",C889&lt;35,"Solid",TRUE,"Blowout")</f>
        <v>Blowout</v>
      </c>
    </row>
    <row r="890" spans="1:13" x14ac:dyDescent="0.25">
      <c r="A890" s="169">
        <f t="shared" ca="1" si="130"/>
        <v>54.968850710790413</v>
      </c>
      <c r="B890" s="168">
        <f t="shared" ca="1" si="131"/>
        <v>6.1587673852765086</v>
      </c>
      <c r="C890" s="168">
        <f t="shared" ca="1" si="132"/>
        <v>48.810083325513901</v>
      </c>
      <c r="D890" s="184">
        <f t="shared" ca="1" si="133"/>
        <v>6.1686797045191577</v>
      </c>
      <c r="E890" s="230">
        <f t="shared" ca="1" si="134"/>
        <v>1.5537104905693347E-9</v>
      </c>
      <c r="F890" s="168">
        <f t="shared" ca="1" si="135"/>
        <v>3.5186885012810016</v>
      </c>
      <c r="G890" s="168">
        <f t="shared" ca="1" si="136"/>
        <v>-2.6400788839955069</v>
      </c>
      <c r="H890" s="184">
        <f t="shared" ca="1" si="137"/>
        <v>-0.33365648899680922</v>
      </c>
      <c r="I890" s="184">
        <f t="shared" ca="1" si="138"/>
        <v>0.63052727891128124</v>
      </c>
      <c r="J890" s="223">
        <f t="shared" ca="1" si="139"/>
        <v>0</v>
      </c>
      <c r="K890" s="220" t="str" cm="1">
        <f t="array" aca="1" ref="K890" ca="1">_xlfn.IFS(G890&lt;$B$11,"Fail",G890&lt;25,"Marginal",G890&lt;35,"Solid",TRUE,"Blowout")</f>
        <v>Fail</v>
      </c>
      <c r="L890" s="226">
        <f ca="1">IF(AND(E890&lt;$B$10,C890&gt;=$B$11),1,0)</f>
        <v>1</v>
      </c>
      <c r="M890" s="217" t="str" cm="1">
        <f t="array" aca="1" ref="M890" ca="1">_xlfn.IFS(C890&lt;$B$11,"Fail",C890&lt;25,"Marginal",C890&lt;35,"Solid",TRUE,"Blowout")</f>
        <v>Blowout</v>
      </c>
    </row>
    <row r="891" spans="1:13" x14ac:dyDescent="0.25">
      <c r="A891" s="169">
        <f t="shared" ca="1" si="130"/>
        <v>29.878825970200555</v>
      </c>
      <c r="B891" s="168">
        <f t="shared" ca="1" si="131"/>
        <v>6.5897956927347359</v>
      </c>
      <c r="C891" s="168">
        <f t="shared" ca="1" si="132"/>
        <v>23.28903027746582</v>
      </c>
      <c r="D891" s="184">
        <f t="shared" ca="1" si="133"/>
        <v>2.9432969301128109</v>
      </c>
      <c r="E891" s="230">
        <f t="shared" ca="1" si="134"/>
        <v>1.7915107466235636E-3</v>
      </c>
      <c r="F891" s="168">
        <f t="shared" ca="1" si="135"/>
        <v>-3.9151611218204252</v>
      </c>
      <c r="G891" s="168">
        <f t="shared" ca="1" si="136"/>
        <v>-10.504956814555161</v>
      </c>
      <c r="H891" s="184">
        <f t="shared" ca="1" si="137"/>
        <v>-1.3276296511652057</v>
      </c>
      <c r="I891" s="184">
        <f t="shared" ca="1" si="138"/>
        <v>0.90718590253721032</v>
      </c>
      <c r="J891" s="223">
        <f t="shared" ca="1" si="139"/>
        <v>0</v>
      </c>
      <c r="K891" s="220" t="str" cm="1">
        <f t="array" aca="1" ref="K891" ca="1">_xlfn.IFS(G891&lt;$B$11,"Fail",G891&lt;25,"Marginal",G891&lt;35,"Solid",TRUE,"Blowout")</f>
        <v>Fail</v>
      </c>
      <c r="L891" s="226">
        <f ca="1">IF(AND(E891&lt;$B$10,C891&gt;=$B$11),1,0)</f>
        <v>1</v>
      </c>
      <c r="M891" s="217" t="str" cm="1">
        <f t="array" aca="1" ref="M891" ca="1">_xlfn.IFS(C891&lt;$B$11,"Fail",C891&lt;25,"Marginal",C891&lt;35,"Solid",TRUE,"Blowout")</f>
        <v>Marginal</v>
      </c>
    </row>
    <row r="892" spans="1:13" x14ac:dyDescent="0.25">
      <c r="A892" s="169">
        <f t="shared" ca="1" si="130"/>
        <v>44.261360719315526</v>
      </c>
      <c r="B892" s="168">
        <f t="shared" ca="1" si="131"/>
        <v>4.6945345243776559</v>
      </c>
      <c r="C892" s="168">
        <f t="shared" ca="1" si="132"/>
        <v>39.566826194937867</v>
      </c>
      <c r="D892" s="184">
        <f t="shared" ca="1" si="133"/>
        <v>5.0005052458775001</v>
      </c>
      <c r="E892" s="230">
        <f t="shared" ca="1" si="134"/>
        <v>5.7026401636795787E-7</v>
      </c>
      <c r="F892" s="168">
        <f t="shared" ca="1" si="135"/>
        <v>13.838611443311235</v>
      </c>
      <c r="G892" s="168">
        <f t="shared" ca="1" si="136"/>
        <v>9.1440769189335782</v>
      </c>
      <c r="H892" s="184">
        <f t="shared" ca="1" si="137"/>
        <v>1.155639938785</v>
      </c>
      <c r="I892" s="184">
        <f t="shared" ca="1" si="138"/>
        <v>0.12451902502554638</v>
      </c>
      <c r="J892" s="223">
        <f t="shared" ca="1" si="139"/>
        <v>0</v>
      </c>
      <c r="K892" s="220" t="str" cm="1">
        <f t="array" aca="1" ref="K892" ca="1">_xlfn.IFS(G892&lt;$B$11,"Fail",G892&lt;25,"Marginal",G892&lt;35,"Solid",TRUE,"Blowout")</f>
        <v>Fail</v>
      </c>
      <c r="L892" s="226">
        <f ca="1">IF(AND(E892&lt;$B$10,C892&gt;=$B$11),1,0)</f>
        <v>1</v>
      </c>
      <c r="M892" s="217" t="str" cm="1">
        <f t="array" aca="1" ref="M892" ca="1">_xlfn.IFS(C892&lt;$B$11,"Fail",C892&lt;25,"Marginal",C892&lt;35,"Solid",TRUE,"Blowout")</f>
        <v>Blowout</v>
      </c>
    </row>
    <row r="893" spans="1:13" x14ac:dyDescent="0.25">
      <c r="A893" s="169">
        <f t="shared" ca="1" si="130"/>
        <v>-7.5905816253702341</v>
      </c>
      <c r="B893" s="168">
        <f t="shared" ca="1" si="131"/>
        <v>5.7149867426034486</v>
      </c>
      <c r="C893" s="168">
        <f t="shared" ca="1" si="132"/>
        <v>-13.305568367973683</v>
      </c>
      <c r="D893" s="184">
        <f t="shared" ca="1" si="133"/>
        <v>-1.681574460777612</v>
      </c>
      <c r="E893" s="230">
        <f t="shared" ca="1" si="134"/>
        <v>0.95298971902181107</v>
      </c>
      <c r="F893" s="168">
        <f t="shared" ca="1" si="135"/>
        <v>38.992324798999157</v>
      </c>
      <c r="G893" s="168">
        <f t="shared" ca="1" si="136"/>
        <v>33.277338056395706</v>
      </c>
      <c r="H893" s="184">
        <f t="shared" ca="1" si="137"/>
        <v>4.2056318265207526</v>
      </c>
      <c r="I893" s="184">
        <f t="shared" ca="1" si="138"/>
        <v>1.8712210994740908E-5</v>
      </c>
      <c r="J893" s="223">
        <f t="shared" ca="1" si="139"/>
        <v>1</v>
      </c>
      <c r="K893" s="220" t="str" cm="1">
        <f t="array" aca="1" ref="K893" ca="1">_xlfn.IFS(G893&lt;$B$11,"Fail",G893&lt;25,"Marginal",G893&lt;35,"Solid",TRUE,"Blowout")</f>
        <v>Solid</v>
      </c>
      <c r="L893" s="226">
        <f ca="1">IF(AND(E893&lt;$B$10,C893&gt;=$B$11),1,0)</f>
        <v>0</v>
      </c>
      <c r="M893" s="217" t="str" cm="1">
        <f t="array" aca="1" ref="M893" ca="1">_xlfn.IFS(C893&lt;$B$11,"Fail",C893&lt;25,"Marginal",C893&lt;35,"Solid",TRUE,"Blowout")</f>
        <v>Fail</v>
      </c>
    </row>
    <row r="894" spans="1:13" x14ac:dyDescent="0.25">
      <c r="A894" s="169">
        <f t="shared" ca="1" si="130"/>
        <v>82.572347342854457</v>
      </c>
      <c r="B894" s="168">
        <f t="shared" ca="1" si="131"/>
        <v>0.18663486053192102</v>
      </c>
      <c r="C894" s="168">
        <f t="shared" ca="1" si="132"/>
        <v>82.385712482322532</v>
      </c>
      <c r="D894" s="184">
        <f t="shared" ca="1" si="133"/>
        <v>10.412009935381581</v>
      </c>
      <c r="E894" s="230">
        <f t="shared" ca="1" si="134"/>
        <v>2.5410119714887166E-21</v>
      </c>
      <c r="F894" s="168">
        <f t="shared" ca="1" si="135"/>
        <v>18.504052740351554</v>
      </c>
      <c r="G894" s="168">
        <f t="shared" ca="1" si="136"/>
        <v>18.317417879819633</v>
      </c>
      <c r="H894" s="184">
        <f t="shared" ca="1" si="137"/>
        <v>2.3149783039885854</v>
      </c>
      <c r="I894" s="184">
        <f t="shared" ca="1" si="138"/>
        <v>1.0751671498538156E-2</v>
      </c>
      <c r="J894" s="223">
        <f t="shared" ca="1" si="139"/>
        <v>0</v>
      </c>
      <c r="K894" s="220" t="str" cm="1">
        <f t="array" aca="1" ref="K894" ca="1">_xlfn.IFS(G894&lt;$B$11,"Fail",G894&lt;25,"Marginal",G894&lt;35,"Solid",TRUE,"Blowout")</f>
        <v>Fail</v>
      </c>
      <c r="L894" s="226">
        <f ca="1">IF(AND(E894&lt;$B$10,C894&gt;=$B$11),1,0)</f>
        <v>1</v>
      </c>
      <c r="M894" s="217" t="str" cm="1">
        <f t="array" aca="1" ref="M894" ca="1">_xlfn.IFS(C894&lt;$B$11,"Fail",C894&lt;25,"Marginal",C894&lt;35,"Solid",TRUE,"Blowout")</f>
        <v>Blowout</v>
      </c>
    </row>
    <row r="895" spans="1:13" x14ac:dyDescent="0.25">
      <c r="A895" s="169">
        <f t="shared" ca="1" si="130"/>
        <v>37.859760263036996</v>
      </c>
      <c r="B895" s="168">
        <f t="shared" ca="1" si="131"/>
        <v>5.4818866907494481</v>
      </c>
      <c r="C895" s="168">
        <f t="shared" ca="1" si="132"/>
        <v>32.377873572287548</v>
      </c>
      <c r="D895" s="184">
        <f t="shared" ca="1" si="133"/>
        <v>4.0919563740317484</v>
      </c>
      <c r="E895" s="230">
        <f t="shared" ca="1" si="134"/>
        <v>2.9685312994915736E-5</v>
      </c>
      <c r="F895" s="168">
        <f t="shared" ca="1" si="135"/>
        <v>51.153789147263424</v>
      </c>
      <c r="G895" s="168">
        <f t="shared" ca="1" si="136"/>
        <v>45.671902456513976</v>
      </c>
      <c r="H895" s="184">
        <f t="shared" ca="1" si="137"/>
        <v>5.772072460343626</v>
      </c>
      <c r="I895" s="184">
        <f t="shared" ca="1" si="138"/>
        <v>1.2709433509176521E-8</v>
      </c>
      <c r="J895" s="223">
        <f t="shared" ca="1" si="139"/>
        <v>1</v>
      </c>
      <c r="K895" s="220" t="str" cm="1">
        <f t="array" aca="1" ref="K895" ca="1">_xlfn.IFS(G895&lt;$B$11,"Fail",G895&lt;25,"Marginal",G895&lt;35,"Solid",TRUE,"Blowout")</f>
        <v>Blowout</v>
      </c>
      <c r="L895" s="226">
        <f ca="1">IF(AND(E895&lt;$B$10,C895&gt;=$B$11),1,0)</f>
        <v>1</v>
      </c>
      <c r="M895" s="217" t="str" cm="1">
        <f t="array" aca="1" ref="M895" ca="1">_xlfn.IFS(C895&lt;$B$11,"Fail",C895&lt;25,"Marginal",C895&lt;35,"Solid",TRUE,"Blowout")</f>
        <v>Solid</v>
      </c>
    </row>
    <row r="896" spans="1:13" x14ac:dyDescent="0.25">
      <c r="A896" s="169">
        <f t="shared" ca="1" si="130"/>
        <v>73.667496328355043</v>
      </c>
      <c r="B896" s="168">
        <f t="shared" ca="1" si="131"/>
        <v>3.8766285663666826</v>
      </c>
      <c r="C896" s="168">
        <f t="shared" ca="1" si="132"/>
        <v>69.790867761988366</v>
      </c>
      <c r="D896" s="184">
        <f t="shared" ca="1" si="133"/>
        <v>8.8202576228571772</v>
      </c>
      <c r="E896" s="230">
        <f t="shared" ca="1" si="134"/>
        <v>1.5084358288877688E-16</v>
      </c>
      <c r="F896" s="168">
        <f t="shared" ca="1" si="135"/>
        <v>51.435022079423149</v>
      </c>
      <c r="G896" s="168">
        <f t="shared" ca="1" si="136"/>
        <v>47.558393513056465</v>
      </c>
      <c r="H896" s="184">
        <f t="shared" ca="1" si="137"/>
        <v>6.010489572144941</v>
      </c>
      <c r="I896" s="184">
        <f t="shared" ca="1" si="138"/>
        <v>3.6338504632672627E-9</v>
      </c>
      <c r="J896" s="223">
        <f t="shared" ca="1" si="139"/>
        <v>1</v>
      </c>
      <c r="K896" s="220" t="str" cm="1">
        <f t="array" aca="1" ref="K896" ca="1">_xlfn.IFS(G896&lt;$B$11,"Fail",G896&lt;25,"Marginal",G896&lt;35,"Solid",TRUE,"Blowout")</f>
        <v>Blowout</v>
      </c>
      <c r="L896" s="226">
        <f ca="1">IF(AND(E896&lt;$B$10,C896&gt;=$B$11),1,0)</f>
        <v>1</v>
      </c>
      <c r="M896" s="217" t="str" cm="1">
        <f t="array" aca="1" ref="M896" ca="1">_xlfn.IFS(C896&lt;$B$11,"Fail",C896&lt;25,"Marginal",C896&lt;35,"Solid",TRUE,"Blowout")</f>
        <v>Blowout</v>
      </c>
    </row>
    <row r="897" spans="1:13" x14ac:dyDescent="0.25">
      <c r="A897" s="169">
        <f t="shared" ca="1" si="130"/>
        <v>4.2136606071930958</v>
      </c>
      <c r="B897" s="168">
        <f t="shared" ca="1" si="131"/>
        <v>4.8924199335131444</v>
      </c>
      <c r="C897" s="168">
        <f t="shared" ca="1" si="132"/>
        <v>-0.67875932632004865</v>
      </c>
      <c r="D897" s="184">
        <f t="shared" ca="1" si="133"/>
        <v>-8.5782457132887846E-2</v>
      </c>
      <c r="E897" s="230">
        <f t="shared" ca="1" si="134"/>
        <v>0.53414268304036772</v>
      </c>
      <c r="F897" s="168">
        <f t="shared" ca="1" si="135"/>
        <v>8.9102487121775713</v>
      </c>
      <c r="G897" s="168">
        <f t="shared" ca="1" si="136"/>
        <v>4.0178287786644269</v>
      </c>
      <c r="H897" s="184">
        <f t="shared" ca="1" si="137"/>
        <v>0.50777825306896862</v>
      </c>
      <c r="I897" s="184">
        <f t="shared" ca="1" si="138"/>
        <v>0.30604986111719668</v>
      </c>
      <c r="J897" s="223">
        <f t="shared" ca="1" si="139"/>
        <v>0</v>
      </c>
      <c r="K897" s="220" t="str" cm="1">
        <f t="array" aca="1" ref="K897" ca="1">_xlfn.IFS(G897&lt;$B$11,"Fail",G897&lt;25,"Marginal",G897&lt;35,"Solid",TRUE,"Blowout")</f>
        <v>Fail</v>
      </c>
      <c r="L897" s="226">
        <f ca="1">IF(AND(E897&lt;$B$10,C897&gt;=$B$11),1,0)</f>
        <v>0</v>
      </c>
      <c r="M897" s="217" t="str" cm="1">
        <f t="array" aca="1" ref="M897" ca="1">_xlfn.IFS(C897&lt;$B$11,"Fail",C897&lt;25,"Marginal",C897&lt;35,"Solid",TRUE,"Blowout")</f>
        <v>Fail</v>
      </c>
    </row>
    <row r="898" spans="1:13" x14ac:dyDescent="0.25">
      <c r="A898" s="169">
        <f t="shared" ca="1" si="130"/>
        <v>33.920778579148376</v>
      </c>
      <c r="B898" s="168">
        <f t="shared" ca="1" si="131"/>
        <v>12.596482917636697</v>
      </c>
      <c r="C898" s="168">
        <f t="shared" ca="1" si="132"/>
        <v>21.324295661511677</v>
      </c>
      <c r="D898" s="184">
        <f t="shared" ca="1" si="133"/>
        <v>2.6949912988895321</v>
      </c>
      <c r="E898" s="230">
        <f t="shared" ca="1" si="134"/>
        <v>3.7816325710032903E-3</v>
      </c>
      <c r="F898" s="168">
        <f t="shared" ca="1" si="135"/>
        <v>46.103285468450181</v>
      </c>
      <c r="G898" s="168">
        <f t="shared" ca="1" si="136"/>
        <v>33.506802550813482</v>
      </c>
      <c r="H898" s="184">
        <f t="shared" ca="1" si="137"/>
        <v>4.2346318378541241</v>
      </c>
      <c r="I898" s="184">
        <f t="shared" ca="1" si="138"/>
        <v>1.6608211805675948E-5</v>
      </c>
      <c r="J898" s="223">
        <f t="shared" ca="1" si="139"/>
        <v>1</v>
      </c>
      <c r="K898" s="220" t="str" cm="1">
        <f t="array" aca="1" ref="K898" ca="1">_xlfn.IFS(G898&lt;$B$11,"Fail",G898&lt;25,"Marginal",G898&lt;35,"Solid",TRUE,"Blowout")</f>
        <v>Solid</v>
      </c>
      <c r="L898" s="226">
        <f ca="1">IF(AND(E898&lt;$B$10,C898&gt;=$B$11),1,0)</f>
        <v>1</v>
      </c>
      <c r="M898" s="217" t="str" cm="1">
        <f t="array" aca="1" ref="M898" ca="1">_xlfn.IFS(C898&lt;$B$11,"Fail",C898&lt;25,"Marginal",C898&lt;35,"Solid",TRUE,"Blowout")</f>
        <v>Marginal</v>
      </c>
    </row>
    <row r="899" spans="1:13" x14ac:dyDescent="0.25">
      <c r="A899" s="169">
        <f t="shared" ca="1" si="130"/>
        <v>34.489636003666376</v>
      </c>
      <c r="B899" s="168">
        <f t="shared" ca="1" si="131"/>
        <v>4.8679525633860239</v>
      </c>
      <c r="C899" s="168">
        <f t="shared" ca="1" si="132"/>
        <v>29.621683440280353</v>
      </c>
      <c r="D899" s="184">
        <f t="shared" ca="1" si="133"/>
        <v>3.7436255995128396</v>
      </c>
      <c r="E899" s="230">
        <f t="shared" ca="1" si="134"/>
        <v>1.1483925243811151E-4</v>
      </c>
      <c r="F899" s="168">
        <f t="shared" ca="1" si="135"/>
        <v>34.911699880989879</v>
      </c>
      <c r="G899" s="168">
        <f t="shared" ca="1" si="136"/>
        <v>30.043747317603856</v>
      </c>
      <c r="H899" s="184">
        <f t="shared" ca="1" si="137"/>
        <v>3.7969665630324658</v>
      </c>
      <c r="I899" s="184">
        <f t="shared" ca="1" si="138"/>
        <v>9.3917406518914372E-5</v>
      </c>
      <c r="J899" s="223">
        <f t="shared" ca="1" si="139"/>
        <v>1</v>
      </c>
      <c r="K899" s="220" t="str" cm="1">
        <f t="array" aca="1" ref="K899" ca="1">_xlfn.IFS(G899&lt;$B$11,"Fail",G899&lt;25,"Marginal",G899&lt;35,"Solid",TRUE,"Blowout")</f>
        <v>Solid</v>
      </c>
      <c r="L899" s="226">
        <f ca="1">IF(AND(E899&lt;$B$10,C899&gt;=$B$11),1,0)</f>
        <v>1</v>
      </c>
      <c r="M899" s="217" t="str" cm="1">
        <f t="array" aca="1" ref="M899" ca="1">_xlfn.IFS(C899&lt;$B$11,"Fail",C899&lt;25,"Marginal",C899&lt;35,"Solid",TRUE,"Blowout")</f>
        <v>Solid</v>
      </c>
    </row>
    <row r="900" spans="1:13" x14ac:dyDescent="0.25">
      <c r="A900" s="169">
        <f t="shared" ca="1" si="130"/>
        <v>35.781240560478679</v>
      </c>
      <c r="B900" s="168">
        <f t="shared" ca="1" si="131"/>
        <v>12.688035180630898</v>
      </c>
      <c r="C900" s="168">
        <f t="shared" ca="1" si="132"/>
        <v>23.093205379847781</v>
      </c>
      <c r="D900" s="184">
        <f t="shared" ca="1" si="133"/>
        <v>2.9185483333214486</v>
      </c>
      <c r="E900" s="230">
        <f t="shared" ca="1" si="134"/>
        <v>1.9343846963330829E-3</v>
      </c>
      <c r="F900" s="168">
        <f t="shared" ca="1" si="135"/>
        <v>63.110462770519739</v>
      </c>
      <c r="G900" s="168">
        <f t="shared" ca="1" si="136"/>
        <v>50.422427589888841</v>
      </c>
      <c r="H900" s="184">
        <f t="shared" ca="1" si="137"/>
        <v>6.3724498000139258</v>
      </c>
      <c r="I900" s="184">
        <f t="shared" ca="1" si="138"/>
        <v>5.0896119363088158E-10</v>
      </c>
      <c r="J900" s="223">
        <f t="shared" ca="1" si="139"/>
        <v>1</v>
      </c>
      <c r="K900" s="220" t="str" cm="1">
        <f t="array" aca="1" ref="K900" ca="1">_xlfn.IFS(G900&lt;$B$11,"Fail",G900&lt;25,"Marginal",G900&lt;35,"Solid",TRUE,"Blowout")</f>
        <v>Blowout</v>
      </c>
      <c r="L900" s="226">
        <f ca="1">IF(AND(E900&lt;$B$10,C900&gt;=$B$11),1,0)</f>
        <v>1</v>
      </c>
      <c r="M900" s="217" t="str" cm="1">
        <f t="array" aca="1" ref="M900" ca="1">_xlfn.IFS(C900&lt;$B$11,"Fail",C900&lt;25,"Marginal",C900&lt;35,"Solid",TRUE,"Blowout")</f>
        <v>Marginal</v>
      </c>
    </row>
    <row r="901" spans="1:13" x14ac:dyDescent="0.25">
      <c r="A901" s="169">
        <f t="shared" ca="1" si="130"/>
        <v>65.653011382849414</v>
      </c>
      <c r="B901" s="168">
        <f t="shared" ca="1" si="131"/>
        <v>12.20971422672806</v>
      </c>
      <c r="C901" s="168">
        <f t="shared" ca="1" si="132"/>
        <v>53.443297156121353</v>
      </c>
      <c r="D901" s="184">
        <f t="shared" ca="1" si="133"/>
        <v>6.7542310942383788</v>
      </c>
      <c r="E901" s="230">
        <f t="shared" ca="1" si="134"/>
        <v>5.9057132915987097E-11</v>
      </c>
      <c r="F901" s="168">
        <f t="shared" ca="1" si="135"/>
        <v>26.092800362888362</v>
      </c>
      <c r="G901" s="168">
        <f t="shared" ca="1" si="136"/>
        <v>13.883086136160301</v>
      </c>
      <c r="H901" s="184">
        <f t="shared" ca="1" si="137"/>
        <v>1.7545618824923748</v>
      </c>
      <c r="I901" s="184">
        <f t="shared" ca="1" si="138"/>
        <v>4.0338793697311658E-2</v>
      </c>
      <c r="J901" s="223">
        <f t="shared" ca="1" si="139"/>
        <v>0</v>
      </c>
      <c r="K901" s="220" t="str" cm="1">
        <f t="array" aca="1" ref="K901" ca="1">_xlfn.IFS(G901&lt;$B$11,"Fail",G901&lt;25,"Marginal",G901&lt;35,"Solid",TRUE,"Blowout")</f>
        <v>Fail</v>
      </c>
      <c r="L901" s="226">
        <f ca="1">IF(AND(E901&lt;$B$10,C901&gt;=$B$11),1,0)</f>
        <v>1</v>
      </c>
      <c r="M901" s="217" t="str" cm="1">
        <f t="array" aca="1" ref="M901" ca="1">_xlfn.IFS(C901&lt;$B$11,"Fail",C901&lt;25,"Marginal",C901&lt;35,"Solid",TRUE,"Blowout")</f>
        <v>Blowout</v>
      </c>
    </row>
    <row r="902" spans="1:13" x14ac:dyDescent="0.25">
      <c r="A902" s="169">
        <f t="shared" ca="1" si="130"/>
        <v>30.532897157860948</v>
      </c>
      <c r="B902" s="168">
        <f t="shared" ca="1" si="131"/>
        <v>9.7795806209085363</v>
      </c>
      <c r="C902" s="168">
        <f t="shared" ca="1" si="132"/>
        <v>20.753316536952411</v>
      </c>
      <c r="D902" s="184">
        <f t="shared" ca="1" si="133"/>
        <v>2.6228302391780902</v>
      </c>
      <c r="E902" s="230">
        <f t="shared" ca="1" si="134"/>
        <v>4.6541680781861652E-3</v>
      </c>
      <c r="F902" s="168">
        <f t="shared" ca="1" si="135"/>
        <v>12.208957971903157</v>
      </c>
      <c r="G902" s="168">
        <f t="shared" ca="1" si="136"/>
        <v>2.4293773509946206</v>
      </c>
      <c r="H902" s="184">
        <f t="shared" ca="1" si="137"/>
        <v>0.30702776431986856</v>
      </c>
      <c r="I902" s="184">
        <f t="shared" ca="1" si="138"/>
        <v>0.37955123599984941</v>
      </c>
      <c r="J902" s="223">
        <f t="shared" ca="1" si="139"/>
        <v>0</v>
      </c>
      <c r="K902" s="220" t="str" cm="1">
        <f t="array" aca="1" ref="K902" ca="1">_xlfn.IFS(G902&lt;$B$11,"Fail",G902&lt;25,"Marginal",G902&lt;35,"Solid",TRUE,"Blowout")</f>
        <v>Fail</v>
      </c>
      <c r="L902" s="226">
        <f ca="1">IF(AND(E902&lt;$B$10,C902&gt;=$B$11),1,0)</f>
        <v>1</v>
      </c>
      <c r="M902" s="217" t="str" cm="1">
        <f t="array" aca="1" ref="M902" ca="1">_xlfn.IFS(C902&lt;$B$11,"Fail",C902&lt;25,"Marginal",C902&lt;35,"Solid",TRUE,"Blowout")</f>
        <v>Marginal</v>
      </c>
    </row>
    <row r="903" spans="1:13" x14ac:dyDescent="0.25">
      <c r="A903" s="169">
        <f t="shared" ca="1" si="130"/>
        <v>55.218520839022723</v>
      </c>
      <c r="B903" s="168">
        <f t="shared" ca="1" si="131"/>
        <v>7.1432535095533272</v>
      </c>
      <c r="C903" s="168">
        <f t="shared" ca="1" si="132"/>
        <v>48.075267329469398</v>
      </c>
      <c r="D903" s="184">
        <f t="shared" ca="1" si="133"/>
        <v>6.0758127349807882</v>
      </c>
      <c r="E903" s="230">
        <f t="shared" ca="1" si="134"/>
        <v>2.5631575430250246E-9</v>
      </c>
      <c r="F903" s="168">
        <f t="shared" ca="1" si="135"/>
        <v>8.0380656767847505</v>
      </c>
      <c r="G903" s="168">
        <f t="shared" ca="1" si="136"/>
        <v>0.89481216723142332</v>
      </c>
      <c r="H903" s="184">
        <f t="shared" ca="1" si="137"/>
        <v>0.11308748683229516</v>
      </c>
      <c r="I903" s="184">
        <f t="shared" ca="1" si="138"/>
        <v>0.45503035194157504</v>
      </c>
      <c r="J903" s="223">
        <f t="shared" ca="1" si="139"/>
        <v>0</v>
      </c>
      <c r="K903" s="220" t="str" cm="1">
        <f t="array" aca="1" ref="K903" ca="1">_xlfn.IFS(G903&lt;$B$11,"Fail",G903&lt;25,"Marginal",G903&lt;35,"Solid",TRUE,"Blowout")</f>
        <v>Fail</v>
      </c>
      <c r="L903" s="226">
        <f ca="1">IF(AND(E903&lt;$B$10,C903&gt;=$B$11),1,0)</f>
        <v>1</v>
      </c>
      <c r="M903" s="217" t="str" cm="1">
        <f t="array" aca="1" ref="M903" ca="1">_xlfn.IFS(C903&lt;$B$11,"Fail",C903&lt;25,"Marginal",C903&lt;35,"Solid",TRUE,"Blowout")</f>
        <v>Blowout</v>
      </c>
    </row>
    <row r="904" spans="1:13" x14ac:dyDescent="0.25">
      <c r="A904" s="169">
        <f t="shared" ca="1" si="130"/>
        <v>19.075091320544843</v>
      </c>
      <c r="B904" s="168">
        <f t="shared" ca="1" si="131"/>
        <v>1.0340051981611529</v>
      </c>
      <c r="C904" s="168">
        <f t="shared" ca="1" si="132"/>
        <v>18.041086122383689</v>
      </c>
      <c r="D904" s="184">
        <f t="shared" ca="1" si="133"/>
        <v>2.2800551490240415</v>
      </c>
      <c r="E904" s="230">
        <f t="shared" ca="1" si="134"/>
        <v>1.1764431192626313E-2</v>
      </c>
      <c r="F904" s="168">
        <f t="shared" ca="1" si="135"/>
        <v>20.57909223042601</v>
      </c>
      <c r="G904" s="168">
        <f t="shared" ca="1" si="136"/>
        <v>19.545087032264856</v>
      </c>
      <c r="H904" s="184">
        <f t="shared" ca="1" si="137"/>
        <v>2.4701326751468597</v>
      </c>
      <c r="I904" s="184">
        <f t="shared" ca="1" si="138"/>
        <v>7.119854628476808E-3</v>
      </c>
      <c r="J904" s="223">
        <f t="shared" ca="1" si="139"/>
        <v>0</v>
      </c>
      <c r="K904" s="220" t="str" cm="1">
        <f t="array" aca="1" ref="K904" ca="1">_xlfn.IFS(G904&lt;$B$11,"Fail",G904&lt;25,"Marginal",G904&lt;35,"Solid",TRUE,"Blowout")</f>
        <v>Fail</v>
      </c>
      <c r="L904" s="226">
        <f ca="1">IF(AND(E904&lt;$B$10,C904&gt;=$B$11),1,0)</f>
        <v>0</v>
      </c>
      <c r="M904" s="217" t="str" cm="1">
        <f t="array" aca="1" ref="M904" ca="1">_xlfn.IFS(C904&lt;$B$11,"Fail",C904&lt;25,"Marginal",C904&lt;35,"Solid",TRUE,"Blowout")</f>
        <v>Fail</v>
      </c>
    </row>
    <row r="905" spans="1:13" x14ac:dyDescent="0.25">
      <c r="A905" s="169">
        <f t="shared" ca="1" si="130"/>
        <v>11.253640656490305</v>
      </c>
      <c r="B905" s="168">
        <f t="shared" ca="1" si="131"/>
        <v>-7.9956023681617054</v>
      </c>
      <c r="C905" s="168">
        <f t="shared" ca="1" si="132"/>
        <v>19.24924302465201</v>
      </c>
      <c r="D905" s="184">
        <f t="shared" ca="1" si="133"/>
        <v>2.4327435374702389</v>
      </c>
      <c r="E905" s="230">
        <f t="shared" ca="1" si="134"/>
        <v>7.8777278481751162E-3</v>
      </c>
      <c r="F905" s="168">
        <f t="shared" ca="1" si="135"/>
        <v>-2.6300444880724543</v>
      </c>
      <c r="G905" s="168">
        <f t="shared" ca="1" si="136"/>
        <v>5.3655578800892512</v>
      </c>
      <c r="H905" s="184">
        <f t="shared" ca="1" si="137"/>
        <v>0.67810595154276798</v>
      </c>
      <c r="I905" s="184">
        <f t="shared" ca="1" si="138"/>
        <v>0.24919606228160929</v>
      </c>
      <c r="J905" s="223">
        <f t="shared" ca="1" si="139"/>
        <v>0</v>
      </c>
      <c r="K905" s="220" t="str" cm="1">
        <f t="array" aca="1" ref="K905" ca="1">_xlfn.IFS(G905&lt;$B$11,"Fail",G905&lt;25,"Marginal",G905&lt;35,"Solid",TRUE,"Blowout")</f>
        <v>Fail</v>
      </c>
      <c r="L905" s="226">
        <f ca="1">IF(AND(E905&lt;$B$10,C905&gt;=$B$11),1,0)</f>
        <v>0</v>
      </c>
      <c r="M905" s="217" t="str" cm="1">
        <f t="array" aca="1" ref="M905" ca="1">_xlfn.IFS(C905&lt;$B$11,"Fail",C905&lt;25,"Marginal",C905&lt;35,"Solid",TRUE,"Blowout")</f>
        <v>Fail</v>
      </c>
    </row>
    <row r="906" spans="1:13" x14ac:dyDescent="0.25">
      <c r="A906" s="169">
        <f t="shared" ca="1" si="130"/>
        <v>52.416207362919863</v>
      </c>
      <c r="B906" s="168">
        <f t="shared" ca="1" si="131"/>
        <v>3.3003168775727665</v>
      </c>
      <c r="C906" s="168">
        <f t="shared" ca="1" si="132"/>
        <v>49.115890485347094</v>
      </c>
      <c r="D906" s="184">
        <f t="shared" ca="1" si="133"/>
        <v>6.2073279979010616</v>
      </c>
      <c r="E906" s="230">
        <f t="shared" ca="1" si="134"/>
        <v>1.2596330954153559E-9</v>
      </c>
      <c r="F906" s="168">
        <f t="shared" ca="1" si="135"/>
        <v>53.043252912398771</v>
      </c>
      <c r="G906" s="168">
        <f t="shared" ca="1" si="136"/>
        <v>49.742936034826002</v>
      </c>
      <c r="H906" s="184">
        <f t="shared" ca="1" si="137"/>
        <v>6.2865748028918187</v>
      </c>
      <c r="I906" s="184">
        <f t="shared" ca="1" si="138"/>
        <v>8.1698444718931367E-10</v>
      </c>
      <c r="J906" s="223">
        <f t="shared" ca="1" si="139"/>
        <v>1</v>
      </c>
      <c r="K906" s="220" t="str" cm="1">
        <f t="array" aca="1" ref="K906" ca="1">_xlfn.IFS(G906&lt;$B$11,"Fail",G906&lt;25,"Marginal",G906&lt;35,"Solid",TRUE,"Blowout")</f>
        <v>Blowout</v>
      </c>
      <c r="L906" s="226">
        <f ca="1">IF(AND(E906&lt;$B$10,C906&gt;=$B$11),1,0)</f>
        <v>1</v>
      </c>
      <c r="M906" s="217" t="str" cm="1">
        <f t="array" aca="1" ref="M906" ca="1">_xlfn.IFS(C906&lt;$B$11,"Fail",C906&lt;25,"Marginal",C906&lt;35,"Solid",TRUE,"Blowout")</f>
        <v>Blowout</v>
      </c>
    </row>
    <row r="907" spans="1:13" x14ac:dyDescent="0.25">
      <c r="A907" s="169">
        <f t="shared" ca="1" si="130"/>
        <v>23.65470026436634</v>
      </c>
      <c r="B907" s="168">
        <f t="shared" ca="1" si="131"/>
        <v>16.16456799488364</v>
      </c>
      <c r="C907" s="168">
        <f t="shared" ca="1" si="132"/>
        <v>7.4901322694827002</v>
      </c>
      <c r="D907" s="184">
        <f t="shared" ca="1" si="133"/>
        <v>0.94661233431597469</v>
      </c>
      <c r="E907" s="230">
        <f t="shared" ca="1" si="134"/>
        <v>0.17241925466173325</v>
      </c>
      <c r="F907" s="168">
        <f t="shared" ca="1" si="135"/>
        <v>1.6165701038833307</v>
      </c>
      <c r="G907" s="168">
        <f t="shared" ca="1" si="136"/>
        <v>-14.54799789100031</v>
      </c>
      <c r="H907" s="184">
        <f t="shared" ca="1" si="137"/>
        <v>-1.8385942661296668</v>
      </c>
      <c r="I907" s="184">
        <f t="shared" ca="1" si="138"/>
        <v>0.96636220523640781</v>
      </c>
      <c r="J907" s="223">
        <f t="shared" ca="1" si="139"/>
        <v>0</v>
      </c>
      <c r="K907" s="220" t="str" cm="1">
        <f t="array" aca="1" ref="K907" ca="1">_xlfn.IFS(G907&lt;$B$11,"Fail",G907&lt;25,"Marginal",G907&lt;35,"Solid",TRUE,"Blowout")</f>
        <v>Fail</v>
      </c>
      <c r="L907" s="226">
        <f ca="1">IF(AND(E907&lt;$B$10,C907&gt;=$B$11),1,0)</f>
        <v>0</v>
      </c>
      <c r="M907" s="217" t="str" cm="1">
        <f t="array" aca="1" ref="M907" ca="1">_xlfn.IFS(C907&lt;$B$11,"Fail",C907&lt;25,"Marginal",C907&lt;35,"Solid",TRUE,"Blowout")</f>
        <v>Fail</v>
      </c>
    </row>
    <row r="908" spans="1:13" x14ac:dyDescent="0.25">
      <c r="A908" s="169">
        <f t="shared" ca="1" si="130"/>
        <v>-2.8335339943203586</v>
      </c>
      <c r="B908" s="168">
        <f t="shared" ca="1" si="131"/>
        <v>6.8254257042519777</v>
      </c>
      <c r="C908" s="168">
        <f t="shared" ca="1" si="132"/>
        <v>-9.6589596985723354</v>
      </c>
      <c r="D908" s="184">
        <f t="shared" ca="1" si="133"/>
        <v>-1.2207114718897956</v>
      </c>
      <c r="E908" s="230">
        <f t="shared" ca="1" si="134"/>
        <v>0.88827189548263208</v>
      </c>
      <c r="F908" s="168">
        <f t="shared" ca="1" si="135"/>
        <v>28.317274572456661</v>
      </c>
      <c r="G908" s="168">
        <f t="shared" ca="1" si="136"/>
        <v>21.491848868204684</v>
      </c>
      <c r="H908" s="184">
        <f t="shared" ca="1" si="137"/>
        <v>2.7161668838329405</v>
      </c>
      <c r="I908" s="184">
        <f t="shared" ca="1" si="138"/>
        <v>3.5552267830485005E-3</v>
      </c>
      <c r="J908" s="223">
        <f t="shared" ca="1" si="139"/>
        <v>1</v>
      </c>
      <c r="K908" s="220" t="str" cm="1">
        <f t="array" aca="1" ref="K908" ca="1">_xlfn.IFS(G908&lt;$B$11,"Fail",G908&lt;25,"Marginal",G908&lt;35,"Solid",TRUE,"Blowout")</f>
        <v>Marginal</v>
      </c>
      <c r="L908" s="226">
        <f ca="1">IF(AND(E908&lt;$B$10,C908&gt;=$B$11),1,0)</f>
        <v>0</v>
      </c>
      <c r="M908" s="217" t="str" cm="1">
        <f t="array" aca="1" ref="M908" ca="1">_xlfn.IFS(C908&lt;$B$11,"Fail",C908&lt;25,"Marginal",C908&lt;35,"Solid",TRUE,"Blowout")</f>
        <v>Fail</v>
      </c>
    </row>
    <row r="909" spans="1:13" x14ac:dyDescent="0.25">
      <c r="A909" s="169">
        <f t="shared" ca="1" si="130"/>
        <v>-7.5948773217792844</v>
      </c>
      <c r="B909" s="168">
        <f t="shared" ca="1" si="131"/>
        <v>3.5882227725589013</v>
      </c>
      <c r="C909" s="168">
        <f t="shared" ca="1" si="132"/>
        <v>-11.183100094338187</v>
      </c>
      <c r="D909" s="184">
        <f t="shared" ca="1" si="133"/>
        <v>-1.413334251562127</v>
      </c>
      <c r="E909" s="230">
        <f t="shared" ca="1" si="134"/>
        <v>0.9205393746548568</v>
      </c>
      <c r="F909" s="168">
        <f t="shared" ca="1" si="135"/>
        <v>57.446222456441326</v>
      </c>
      <c r="G909" s="168">
        <f t="shared" ca="1" si="136"/>
        <v>53.857999683882426</v>
      </c>
      <c r="H909" s="184">
        <f t="shared" ca="1" si="137"/>
        <v>6.8066417211441372</v>
      </c>
      <c r="I909" s="184">
        <f t="shared" ca="1" si="138"/>
        <v>4.3669119452193486E-11</v>
      </c>
      <c r="J909" s="223">
        <f t="shared" ca="1" si="139"/>
        <v>1</v>
      </c>
      <c r="K909" s="220" t="str" cm="1">
        <f t="array" aca="1" ref="K909" ca="1">_xlfn.IFS(G909&lt;$B$11,"Fail",G909&lt;25,"Marginal",G909&lt;35,"Solid",TRUE,"Blowout")</f>
        <v>Blowout</v>
      </c>
      <c r="L909" s="226">
        <f ca="1">IF(AND(E909&lt;$B$10,C909&gt;=$B$11),1,0)</f>
        <v>0</v>
      </c>
      <c r="M909" s="217" t="str" cm="1">
        <f t="array" aca="1" ref="M909" ca="1">_xlfn.IFS(C909&lt;$B$11,"Fail",C909&lt;25,"Marginal",C909&lt;35,"Solid",TRUE,"Blowout")</f>
        <v>Fail</v>
      </c>
    </row>
    <row r="910" spans="1:13" x14ac:dyDescent="0.25">
      <c r="A910" s="169">
        <f t="shared" ca="1" si="130"/>
        <v>39.008524619991682</v>
      </c>
      <c r="B910" s="168">
        <f t="shared" ca="1" si="131"/>
        <v>2.4658936832300546</v>
      </c>
      <c r="C910" s="168">
        <f t="shared" ca="1" si="132"/>
        <v>36.542630936761626</v>
      </c>
      <c r="D910" s="184">
        <f t="shared" ca="1" si="133"/>
        <v>4.6183036465234713</v>
      </c>
      <c r="E910" s="230">
        <f t="shared" ca="1" si="134"/>
        <v>3.2332064183395675E-6</v>
      </c>
      <c r="F910" s="168">
        <f t="shared" ca="1" si="135"/>
        <v>17.503905010803756</v>
      </c>
      <c r="G910" s="168">
        <f t="shared" ca="1" si="136"/>
        <v>15.038011327573701</v>
      </c>
      <c r="H910" s="184">
        <f t="shared" ca="1" si="137"/>
        <v>1.9005227803871281</v>
      </c>
      <c r="I910" s="184">
        <f t="shared" ca="1" si="138"/>
        <v>2.9312987094940655E-2</v>
      </c>
      <c r="J910" s="223">
        <f t="shared" ca="1" si="139"/>
        <v>0</v>
      </c>
      <c r="K910" s="220" t="str" cm="1">
        <f t="array" aca="1" ref="K910" ca="1">_xlfn.IFS(G910&lt;$B$11,"Fail",G910&lt;25,"Marginal",G910&lt;35,"Solid",TRUE,"Blowout")</f>
        <v>Fail</v>
      </c>
      <c r="L910" s="226">
        <f ca="1">IF(AND(E910&lt;$B$10,C910&gt;=$B$11),1,0)</f>
        <v>1</v>
      </c>
      <c r="M910" s="217" t="str" cm="1">
        <f t="array" aca="1" ref="M910" ca="1">_xlfn.IFS(C910&lt;$B$11,"Fail",C910&lt;25,"Marginal",C910&lt;35,"Solid",TRUE,"Blowout")</f>
        <v>Blowout</v>
      </c>
    </row>
    <row r="911" spans="1:13" x14ac:dyDescent="0.25">
      <c r="A911" s="169">
        <f t="shared" ca="1" si="130"/>
        <v>55.527514997318079</v>
      </c>
      <c r="B911" s="168">
        <f t="shared" ca="1" si="131"/>
        <v>6.9709460581981437</v>
      </c>
      <c r="C911" s="168">
        <f t="shared" ca="1" si="132"/>
        <v>48.556568939119934</v>
      </c>
      <c r="D911" s="184">
        <f t="shared" ca="1" si="133"/>
        <v>6.1366402375974802</v>
      </c>
      <c r="E911" s="230">
        <f t="shared" ca="1" si="134"/>
        <v>1.8476743351518723E-9</v>
      </c>
      <c r="F911" s="168">
        <f t="shared" ca="1" si="135"/>
        <v>22.281284890398208</v>
      </c>
      <c r="G911" s="168">
        <f t="shared" ca="1" si="136"/>
        <v>15.310338832200063</v>
      </c>
      <c r="H911" s="184">
        <f t="shared" ca="1" si="137"/>
        <v>1.934939872846646</v>
      </c>
      <c r="I911" s="184">
        <f t="shared" ca="1" si="138"/>
        <v>2.7117346503484591E-2</v>
      </c>
      <c r="J911" s="223">
        <f t="shared" ca="1" si="139"/>
        <v>0</v>
      </c>
      <c r="K911" s="220" t="str" cm="1">
        <f t="array" aca="1" ref="K911" ca="1">_xlfn.IFS(G911&lt;$B$11,"Fail",G911&lt;25,"Marginal",G911&lt;35,"Solid",TRUE,"Blowout")</f>
        <v>Fail</v>
      </c>
      <c r="L911" s="226">
        <f ca="1">IF(AND(E911&lt;$B$10,C911&gt;=$B$11),1,0)</f>
        <v>1</v>
      </c>
      <c r="M911" s="217" t="str" cm="1">
        <f t="array" aca="1" ref="M911" ca="1">_xlfn.IFS(C911&lt;$B$11,"Fail",C911&lt;25,"Marginal",C911&lt;35,"Solid",TRUE,"Blowout")</f>
        <v>Blowout</v>
      </c>
    </row>
    <row r="912" spans="1:13" x14ac:dyDescent="0.25">
      <c r="A912" s="169">
        <f t="shared" ca="1" si="130"/>
        <v>55.209231179201304</v>
      </c>
      <c r="B912" s="168">
        <f t="shared" ca="1" si="131"/>
        <v>2.4511802525071036</v>
      </c>
      <c r="C912" s="168">
        <f t="shared" ca="1" si="132"/>
        <v>52.758050926694203</v>
      </c>
      <c r="D912" s="184">
        <f t="shared" ca="1" si="133"/>
        <v>6.6676288141341775</v>
      </c>
      <c r="E912" s="230">
        <f t="shared" ca="1" si="134"/>
        <v>9.6939016754185818E-11</v>
      </c>
      <c r="F912" s="168">
        <f t="shared" ca="1" si="135"/>
        <v>-3.0269012211788864</v>
      </c>
      <c r="G912" s="168">
        <f t="shared" ca="1" si="136"/>
        <v>-5.4780814736859895</v>
      </c>
      <c r="H912" s="184">
        <f t="shared" ca="1" si="137"/>
        <v>-0.69232682478878704</v>
      </c>
      <c r="I912" s="184">
        <f t="shared" ca="1" si="138"/>
        <v>0.75528169996203487</v>
      </c>
      <c r="J912" s="223">
        <f t="shared" ca="1" si="139"/>
        <v>0</v>
      </c>
      <c r="K912" s="220" t="str" cm="1">
        <f t="array" aca="1" ref="K912" ca="1">_xlfn.IFS(G912&lt;$B$11,"Fail",G912&lt;25,"Marginal",G912&lt;35,"Solid",TRUE,"Blowout")</f>
        <v>Fail</v>
      </c>
      <c r="L912" s="226">
        <f ca="1">IF(AND(E912&lt;$B$10,C912&gt;=$B$11),1,0)</f>
        <v>1</v>
      </c>
      <c r="M912" s="217" t="str" cm="1">
        <f t="array" aca="1" ref="M912" ca="1">_xlfn.IFS(C912&lt;$B$11,"Fail",C912&lt;25,"Marginal",C912&lt;35,"Solid",TRUE,"Blowout")</f>
        <v>Blowout</v>
      </c>
    </row>
    <row r="913" spans="1:13" x14ac:dyDescent="0.25">
      <c r="A913" s="169">
        <f t="shared" ref="A913:A976" ca="1" si="140">NORMINV(RAND(), MAX(0, NORMINV(RAND(), $B$6, $B$12)), $B$7/SQRT($B$9))</f>
        <v>17.746156073322059</v>
      </c>
      <c r="B913" s="168">
        <f t="shared" ref="B913:B976" ca="1" si="141">NORMINV(RAND(), $B$8, $B$7/SQRT($B$9))</f>
        <v>-0.14720821801379813</v>
      </c>
      <c r="C913" s="168">
        <f t="shared" ref="C913:C976" ca="1" si="142">A913-B913</f>
        <v>17.893364291335857</v>
      </c>
      <c r="D913" s="184">
        <f t="shared" ref="D913:D976" ca="1" si="143">C913/($B$7*SQRT(2/$B$9))</f>
        <v>2.2613858782706591</v>
      </c>
      <c r="E913" s="230">
        <f t="shared" ref="E913:E976" ca="1" si="144">_xlfn.T.DIST.RT(D913, 2*$B$9-2)</f>
        <v>1.2339281544597484E-2</v>
      </c>
      <c r="F913" s="168">
        <f t="shared" ref="F913:F976" ca="1" si="145">NORMINV(RAND(), MAX(0, NORMINV(RAND(), $N$7, $N$8)), $B$7/SQRT($B$9))</f>
        <v>6.4347881136630392</v>
      </c>
      <c r="G913" s="168">
        <f t="shared" ref="G913:G976" ca="1" si="146">F913-B913</f>
        <v>6.5819963316768373</v>
      </c>
      <c r="H913" s="184">
        <f t="shared" ref="H913:H976" ca="1" si="147">G913/($B$7*SQRT(2/$B$9))</f>
        <v>0.83184097260516132</v>
      </c>
      <c r="I913" s="184">
        <f t="shared" ref="I913:I976" ca="1" si="148">_xlfn.T.DIST.RT(H913, 2*$B$9-2)</f>
        <v>0.20318454179266882</v>
      </c>
      <c r="J913" s="223">
        <f t="shared" ref="J913:J976" ca="1" si="149">IF(AND(I913&lt;$B$10, G913&gt;=$B$11), 1, 0)</f>
        <v>0</v>
      </c>
      <c r="K913" s="220" t="str" cm="1">
        <f t="array" aca="1" ref="K913" ca="1">_xlfn.IFS(G913&lt;$B$11,"Fail",G913&lt;25,"Marginal",G913&lt;35,"Solid",TRUE,"Blowout")</f>
        <v>Fail</v>
      </c>
      <c r="L913" s="226">
        <f ca="1">IF(AND(E913&lt;$B$10,C913&gt;=$B$11),1,0)</f>
        <v>0</v>
      </c>
      <c r="M913" s="217" t="str" cm="1">
        <f t="array" aca="1" ref="M913" ca="1">_xlfn.IFS(C913&lt;$B$11,"Fail",C913&lt;25,"Marginal",C913&lt;35,"Solid",TRUE,"Blowout")</f>
        <v>Fail</v>
      </c>
    </row>
    <row r="914" spans="1:13" x14ac:dyDescent="0.25">
      <c r="A914" s="169">
        <f t="shared" ca="1" si="140"/>
        <v>29.738258672901512</v>
      </c>
      <c r="B914" s="168">
        <f t="shared" ca="1" si="141"/>
        <v>1.3253244333409961</v>
      </c>
      <c r="C914" s="168">
        <f t="shared" ca="1" si="142"/>
        <v>28.412934239560517</v>
      </c>
      <c r="D914" s="184">
        <f t="shared" ca="1" si="143"/>
        <v>3.590862355643583</v>
      </c>
      <c r="E914" s="230">
        <f t="shared" ca="1" si="144"/>
        <v>2.017927185495564E-4</v>
      </c>
      <c r="F914" s="168">
        <f t="shared" ca="1" si="145"/>
        <v>28.865027349685814</v>
      </c>
      <c r="G914" s="168">
        <f t="shared" ca="1" si="146"/>
        <v>27.539702916344819</v>
      </c>
      <c r="H914" s="184">
        <f t="shared" ca="1" si="147"/>
        <v>3.4805022830137671</v>
      </c>
      <c r="I914" s="184">
        <f t="shared" ca="1" si="148"/>
        <v>2.9978644139210816E-4</v>
      </c>
      <c r="J914" s="223">
        <f t="shared" ca="1" si="149"/>
        <v>1</v>
      </c>
      <c r="K914" s="220" t="str" cm="1">
        <f t="array" aca="1" ref="K914" ca="1">_xlfn.IFS(G914&lt;$B$11,"Fail",G914&lt;25,"Marginal",G914&lt;35,"Solid",TRUE,"Blowout")</f>
        <v>Solid</v>
      </c>
      <c r="L914" s="226">
        <f ca="1">IF(AND(E914&lt;$B$10,C914&gt;=$B$11),1,0)</f>
        <v>1</v>
      </c>
      <c r="M914" s="217" t="str" cm="1">
        <f t="array" aca="1" ref="M914" ca="1">_xlfn.IFS(C914&lt;$B$11,"Fail",C914&lt;25,"Marginal",C914&lt;35,"Solid",TRUE,"Blowout")</f>
        <v>Solid</v>
      </c>
    </row>
    <row r="915" spans="1:13" x14ac:dyDescent="0.25">
      <c r="A915" s="169">
        <f t="shared" ca="1" si="140"/>
        <v>51.607759923604902</v>
      </c>
      <c r="B915" s="168">
        <f t="shared" ca="1" si="141"/>
        <v>6.5532549696289992</v>
      </c>
      <c r="C915" s="168">
        <f t="shared" ca="1" si="142"/>
        <v>45.054504953975901</v>
      </c>
      <c r="D915" s="184">
        <f t="shared" ca="1" si="143"/>
        <v>5.6940449876567136</v>
      </c>
      <c r="E915" s="230">
        <f t="shared" ca="1" si="144"/>
        <v>1.9001019111617692E-8</v>
      </c>
      <c r="F915" s="168">
        <f t="shared" ca="1" si="145"/>
        <v>12.078010139984778</v>
      </c>
      <c r="G915" s="168">
        <f t="shared" ca="1" si="146"/>
        <v>5.5247551703557791</v>
      </c>
      <c r="H915" s="184">
        <f t="shared" ca="1" si="147"/>
        <v>0.69822550526146132</v>
      </c>
      <c r="I915" s="184">
        <f t="shared" ca="1" si="148"/>
        <v>0.24287384229775549</v>
      </c>
      <c r="J915" s="223">
        <f t="shared" ca="1" si="149"/>
        <v>0</v>
      </c>
      <c r="K915" s="220" t="str" cm="1">
        <f t="array" aca="1" ref="K915" ca="1">_xlfn.IFS(G915&lt;$B$11,"Fail",G915&lt;25,"Marginal",G915&lt;35,"Solid",TRUE,"Blowout")</f>
        <v>Fail</v>
      </c>
      <c r="L915" s="226">
        <f ca="1">IF(AND(E915&lt;$B$10,C915&gt;=$B$11),1,0)</f>
        <v>1</v>
      </c>
      <c r="M915" s="217" t="str" cm="1">
        <f t="array" aca="1" ref="M915" ca="1">_xlfn.IFS(C915&lt;$B$11,"Fail",C915&lt;25,"Marginal",C915&lt;35,"Solid",TRUE,"Blowout")</f>
        <v>Blowout</v>
      </c>
    </row>
    <row r="916" spans="1:13" x14ac:dyDescent="0.25">
      <c r="A916" s="169">
        <f t="shared" ca="1" si="140"/>
        <v>12.177663517195846</v>
      </c>
      <c r="B916" s="168">
        <f t="shared" ca="1" si="141"/>
        <v>3.0926003291332074</v>
      </c>
      <c r="C916" s="168">
        <f t="shared" ca="1" si="142"/>
        <v>9.0850631880626391</v>
      </c>
      <c r="D916" s="184">
        <f t="shared" ca="1" si="143"/>
        <v>1.1481817092736148</v>
      </c>
      <c r="E916" s="230">
        <f t="shared" ca="1" si="144"/>
        <v>0.12604839550538152</v>
      </c>
      <c r="F916" s="168">
        <f t="shared" ca="1" si="145"/>
        <v>18.280827418267144</v>
      </c>
      <c r="G916" s="168">
        <f t="shared" ca="1" si="146"/>
        <v>15.188227089133937</v>
      </c>
      <c r="H916" s="184">
        <f t="shared" ca="1" si="147"/>
        <v>1.9195072372145383</v>
      </c>
      <c r="I916" s="184">
        <f t="shared" ca="1" si="148"/>
        <v>2.8084174324492093E-2</v>
      </c>
      <c r="J916" s="223">
        <f t="shared" ca="1" si="149"/>
        <v>0</v>
      </c>
      <c r="K916" s="220" t="str" cm="1">
        <f t="array" aca="1" ref="K916" ca="1">_xlfn.IFS(G916&lt;$B$11,"Fail",G916&lt;25,"Marginal",G916&lt;35,"Solid",TRUE,"Blowout")</f>
        <v>Fail</v>
      </c>
      <c r="L916" s="226">
        <f ca="1">IF(AND(E916&lt;$B$10,C916&gt;=$B$11),1,0)</f>
        <v>0</v>
      </c>
      <c r="M916" s="217" t="str" cm="1">
        <f t="array" aca="1" ref="M916" ca="1">_xlfn.IFS(C916&lt;$B$11,"Fail",C916&lt;25,"Marginal",C916&lt;35,"Solid",TRUE,"Blowout")</f>
        <v>Fail</v>
      </c>
    </row>
    <row r="917" spans="1:13" x14ac:dyDescent="0.25">
      <c r="A917" s="169">
        <f t="shared" ca="1" si="140"/>
        <v>-0.15424140948276044</v>
      </c>
      <c r="B917" s="168">
        <f t="shared" ca="1" si="141"/>
        <v>5.6304938219859935</v>
      </c>
      <c r="C917" s="168">
        <f t="shared" ca="1" si="142"/>
        <v>-5.7847352314687539</v>
      </c>
      <c r="D917" s="184">
        <f t="shared" ca="1" si="143"/>
        <v>-0.73108211228407138</v>
      </c>
      <c r="E917" s="230">
        <f t="shared" ca="1" si="144"/>
        <v>0.7672601749761685</v>
      </c>
      <c r="F917" s="168">
        <f t="shared" ca="1" si="145"/>
        <v>27.378552031520911</v>
      </c>
      <c r="G917" s="168">
        <f t="shared" ca="1" si="146"/>
        <v>21.748058209534918</v>
      </c>
      <c r="H917" s="184">
        <f t="shared" ca="1" si="147"/>
        <v>2.7485469425481011</v>
      </c>
      <c r="I917" s="184">
        <f t="shared" ca="1" si="148"/>
        <v>3.2326476958079121E-3</v>
      </c>
      <c r="J917" s="223">
        <f t="shared" ca="1" si="149"/>
        <v>1</v>
      </c>
      <c r="K917" s="220" t="str" cm="1">
        <f t="array" aca="1" ref="K917" ca="1">_xlfn.IFS(G917&lt;$B$11,"Fail",G917&lt;25,"Marginal",G917&lt;35,"Solid",TRUE,"Blowout")</f>
        <v>Marginal</v>
      </c>
      <c r="L917" s="226">
        <f ca="1">IF(AND(E917&lt;$B$10,C917&gt;=$B$11),1,0)</f>
        <v>0</v>
      </c>
      <c r="M917" s="217" t="str" cm="1">
        <f t="array" aca="1" ref="M917" ca="1">_xlfn.IFS(C917&lt;$B$11,"Fail",C917&lt;25,"Marginal",C917&lt;35,"Solid",TRUE,"Blowout")</f>
        <v>Fail</v>
      </c>
    </row>
    <row r="918" spans="1:13" x14ac:dyDescent="0.25">
      <c r="A918" s="169">
        <f t="shared" ca="1" si="140"/>
        <v>-6.7548023089981823</v>
      </c>
      <c r="B918" s="168">
        <f t="shared" ca="1" si="141"/>
        <v>10.200655011560681</v>
      </c>
      <c r="C918" s="168">
        <f t="shared" ca="1" si="142"/>
        <v>-16.955457320558864</v>
      </c>
      <c r="D918" s="184">
        <f t="shared" ca="1" si="143"/>
        <v>-2.142852015978832</v>
      </c>
      <c r="E918" s="230">
        <f t="shared" ca="1" si="144"/>
        <v>0.98340785132799136</v>
      </c>
      <c r="F918" s="168">
        <f t="shared" ca="1" si="145"/>
        <v>25.603147770396511</v>
      </c>
      <c r="G918" s="168">
        <f t="shared" ca="1" si="146"/>
        <v>15.40249275883583</v>
      </c>
      <c r="H918" s="184">
        <f t="shared" ca="1" si="147"/>
        <v>1.9465864019693009</v>
      </c>
      <c r="I918" s="184">
        <f t="shared" ca="1" si="148"/>
        <v>2.6406357313113981E-2</v>
      </c>
      <c r="J918" s="223">
        <f t="shared" ca="1" si="149"/>
        <v>0</v>
      </c>
      <c r="K918" s="220" t="str" cm="1">
        <f t="array" aca="1" ref="K918" ca="1">_xlfn.IFS(G918&lt;$B$11,"Fail",G918&lt;25,"Marginal",G918&lt;35,"Solid",TRUE,"Blowout")</f>
        <v>Fail</v>
      </c>
      <c r="L918" s="226">
        <f ca="1">IF(AND(E918&lt;$B$10,C918&gt;=$B$11),1,0)</f>
        <v>0</v>
      </c>
      <c r="M918" s="217" t="str" cm="1">
        <f t="array" aca="1" ref="M918" ca="1">_xlfn.IFS(C918&lt;$B$11,"Fail",C918&lt;25,"Marginal",C918&lt;35,"Solid",TRUE,"Blowout")</f>
        <v>Fail</v>
      </c>
    </row>
    <row r="919" spans="1:13" x14ac:dyDescent="0.25">
      <c r="A919" s="169">
        <f t="shared" ca="1" si="140"/>
        <v>26.522829103376125</v>
      </c>
      <c r="B919" s="168">
        <f t="shared" ca="1" si="141"/>
        <v>6.1220671971512512</v>
      </c>
      <c r="C919" s="168">
        <f t="shared" ca="1" si="142"/>
        <v>20.400761906224872</v>
      </c>
      <c r="D919" s="184">
        <f t="shared" ca="1" si="143"/>
        <v>2.5782739416442482</v>
      </c>
      <c r="E919" s="230">
        <f t="shared" ca="1" si="144"/>
        <v>5.2793599754344979E-3</v>
      </c>
      <c r="F919" s="168">
        <f t="shared" ca="1" si="145"/>
        <v>11.566348255182666</v>
      </c>
      <c r="G919" s="168">
        <f t="shared" ca="1" si="146"/>
        <v>5.4442810580314145</v>
      </c>
      <c r="H919" s="184">
        <f t="shared" ca="1" si="147"/>
        <v>0.68805508575769014</v>
      </c>
      <c r="I919" s="184">
        <f t="shared" ca="1" si="148"/>
        <v>0.24605875452156589</v>
      </c>
      <c r="J919" s="223">
        <f t="shared" ca="1" si="149"/>
        <v>0</v>
      </c>
      <c r="K919" s="220" t="str" cm="1">
        <f t="array" aca="1" ref="K919" ca="1">_xlfn.IFS(G919&lt;$B$11,"Fail",G919&lt;25,"Marginal",G919&lt;35,"Solid",TRUE,"Blowout")</f>
        <v>Fail</v>
      </c>
      <c r="L919" s="226">
        <f ca="1">IF(AND(E919&lt;$B$10,C919&gt;=$B$11),1,0)</f>
        <v>1</v>
      </c>
      <c r="M919" s="217" t="str" cm="1">
        <f t="array" aca="1" ref="M919" ca="1">_xlfn.IFS(C919&lt;$B$11,"Fail",C919&lt;25,"Marginal",C919&lt;35,"Solid",TRUE,"Blowout")</f>
        <v>Marginal</v>
      </c>
    </row>
    <row r="920" spans="1:13" x14ac:dyDescent="0.25">
      <c r="A920" s="169">
        <f t="shared" ca="1" si="140"/>
        <v>25.667171566543416</v>
      </c>
      <c r="B920" s="168">
        <f t="shared" ca="1" si="141"/>
        <v>5.6114490429914632</v>
      </c>
      <c r="C920" s="168">
        <f t="shared" ca="1" si="142"/>
        <v>20.055722523551953</v>
      </c>
      <c r="D920" s="184">
        <f t="shared" ca="1" si="143"/>
        <v>2.5346674306092285</v>
      </c>
      <c r="E920" s="230">
        <f t="shared" ca="1" si="144"/>
        <v>5.962981137171087E-3</v>
      </c>
      <c r="F920" s="168">
        <f t="shared" ca="1" si="145"/>
        <v>9.5209500038621435</v>
      </c>
      <c r="G920" s="168">
        <f t="shared" ca="1" si="146"/>
        <v>3.9095009608706803</v>
      </c>
      <c r="H920" s="184">
        <f t="shared" ca="1" si="147"/>
        <v>0.49408764724470378</v>
      </c>
      <c r="I920" s="184">
        <f t="shared" ca="1" si="148"/>
        <v>0.31085997671593923</v>
      </c>
      <c r="J920" s="223">
        <f t="shared" ca="1" si="149"/>
        <v>0</v>
      </c>
      <c r="K920" s="220" t="str" cm="1">
        <f t="array" aca="1" ref="K920" ca="1">_xlfn.IFS(G920&lt;$B$11,"Fail",G920&lt;25,"Marginal",G920&lt;35,"Solid",TRUE,"Blowout")</f>
        <v>Fail</v>
      </c>
      <c r="L920" s="226">
        <f ca="1">IF(AND(E920&lt;$B$10,C920&gt;=$B$11),1,0)</f>
        <v>1</v>
      </c>
      <c r="M920" s="217" t="str" cm="1">
        <f t="array" aca="1" ref="M920" ca="1">_xlfn.IFS(C920&lt;$B$11,"Fail",C920&lt;25,"Marginal",C920&lt;35,"Solid",TRUE,"Blowout")</f>
        <v>Marginal</v>
      </c>
    </row>
    <row r="921" spans="1:13" x14ac:dyDescent="0.25">
      <c r="A921" s="169">
        <f t="shared" ca="1" si="140"/>
        <v>48.294651525120472</v>
      </c>
      <c r="B921" s="168">
        <f t="shared" ca="1" si="141"/>
        <v>-1.7163717176825495</v>
      </c>
      <c r="C921" s="168">
        <f t="shared" ca="1" si="142"/>
        <v>50.01102324280302</v>
      </c>
      <c r="D921" s="184">
        <f t="shared" ca="1" si="143"/>
        <v>6.3204560013290401</v>
      </c>
      <c r="E921" s="230">
        <f t="shared" ca="1" si="144"/>
        <v>6.7817690099465405E-10</v>
      </c>
      <c r="F921" s="168">
        <f t="shared" ca="1" si="145"/>
        <v>40.828040328885365</v>
      </c>
      <c r="G921" s="168">
        <f t="shared" ca="1" si="146"/>
        <v>42.544412046567913</v>
      </c>
      <c r="H921" s="184">
        <f t="shared" ca="1" si="147"/>
        <v>5.3768162898255136</v>
      </c>
      <c r="I921" s="184">
        <f t="shared" ca="1" si="148"/>
        <v>9.3657090399323716E-8</v>
      </c>
      <c r="J921" s="223">
        <f t="shared" ca="1" si="149"/>
        <v>1</v>
      </c>
      <c r="K921" s="220" t="str" cm="1">
        <f t="array" aca="1" ref="K921" ca="1">_xlfn.IFS(G921&lt;$B$11,"Fail",G921&lt;25,"Marginal",G921&lt;35,"Solid",TRUE,"Blowout")</f>
        <v>Blowout</v>
      </c>
      <c r="L921" s="226">
        <f ca="1">IF(AND(E921&lt;$B$10,C921&gt;=$B$11),1,0)</f>
        <v>1</v>
      </c>
      <c r="M921" s="217" t="str" cm="1">
        <f t="array" aca="1" ref="M921" ca="1">_xlfn.IFS(C921&lt;$B$11,"Fail",C921&lt;25,"Marginal",C921&lt;35,"Solid",TRUE,"Blowout")</f>
        <v>Blowout</v>
      </c>
    </row>
    <row r="922" spans="1:13" x14ac:dyDescent="0.25">
      <c r="A922" s="169">
        <f t="shared" ca="1" si="140"/>
        <v>27.54425419338197</v>
      </c>
      <c r="B922" s="168">
        <f t="shared" ca="1" si="141"/>
        <v>2.7614411277070667</v>
      </c>
      <c r="C922" s="168">
        <f t="shared" ca="1" si="142"/>
        <v>24.782813065674905</v>
      </c>
      <c r="D922" s="184">
        <f t="shared" ca="1" si="143"/>
        <v>3.1320830771704364</v>
      </c>
      <c r="E922" s="230">
        <f t="shared" ca="1" si="144"/>
        <v>9.8150773770406576E-4</v>
      </c>
      <c r="F922" s="168">
        <f t="shared" ca="1" si="145"/>
        <v>13.742390540670842</v>
      </c>
      <c r="G922" s="168">
        <f t="shared" ca="1" si="146"/>
        <v>10.980949412963774</v>
      </c>
      <c r="H922" s="184">
        <f t="shared" ca="1" si="147"/>
        <v>1.3877861942655882</v>
      </c>
      <c r="I922" s="184">
        <f t="shared" ca="1" si="148"/>
        <v>8.3278446053920388E-2</v>
      </c>
      <c r="J922" s="223">
        <f t="shared" ca="1" si="149"/>
        <v>0</v>
      </c>
      <c r="K922" s="220" t="str" cm="1">
        <f t="array" aca="1" ref="K922" ca="1">_xlfn.IFS(G922&lt;$B$11,"Fail",G922&lt;25,"Marginal",G922&lt;35,"Solid",TRUE,"Blowout")</f>
        <v>Fail</v>
      </c>
      <c r="L922" s="226">
        <f ca="1">IF(AND(E922&lt;$B$10,C922&gt;=$B$11),1,0)</f>
        <v>1</v>
      </c>
      <c r="M922" s="217" t="str" cm="1">
        <f t="array" aca="1" ref="M922" ca="1">_xlfn.IFS(C922&lt;$B$11,"Fail",C922&lt;25,"Marginal",C922&lt;35,"Solid",TRUE,"Blowout")</f>
        <v>Marginal</v>
      </c>
    </row>
    <row r="923" spans="1:13" x14ac:dyDescent="0.25">
      <c r="A923" s="169">
        <f t="shared" ca="1" si="140"/>
        <v>30.622486839392728</v>
      </c>
      <c r="B923" s="168">
        <f t="shared" ca="1" si="141"/>
        <v>2.7997700045335998</v>
      </c>
      <c r="C923" s="168">
        <f t="shared" ca="1" si="142"/>
        <v>27.822716834859129</v>
      </c>
      <c r="D923" s="184">
        <f t="shared" ca="1" si="143"/>
        <v>3.5162699378975497</v>
      </c>
      <c r="E923" s="230">
        <f t="shared" ca="1" si="144"/>
        <v>2.6397013308349771E-4</v>
      </c>
      <c r="F923" s="168">
        <f t="shared" ca="1" si="145"/>
        <v>13.930457223630622</v>
      </c>
      <c r="G923" s="168">
        <f t="shared" ca="1" si="146"/>
        <v>11.130687219097023</v>
      </c>
      <c r="H923" s="184">
        <f t="shared" ca="1" si="147"/>
        <v>1.4067102464851544</v>
      </c>
      <c r="I923" s="184">
        <f t="shared" ca="1" si="148"/>
        <v>8.0437451742766314E-2</v>
      </c>
      <c r="J923" s="223">
        <f t="shared" ca="1" si="149"/>
        <v>0</v>
      </c>
      <c r="K923" s="220" t="str" cm="1">
        <f t="array" aca="1" ref="K923" ca="1">_xlfn.IFS(G923&lt;$B$11,"Fail",G923&lt;25,"Marginal",G923&lt;35,"Solid",TRUE,"Blowout")</f>
        <v>Fail</v>
      </c>
      <c r="L923" s="226">
        <f ca="1">IF(AND(E923&lt;$B$10,C923&gt;=$B$11),1,0)</f>
        <v>1</v>
      </c>
      <c r="M923" s="217" t="str" cm="1">
        <f t="array" aca="1" ref="M923" ca="1">_xlfn.IFS(C923&lt;$B$11,"Fail",C923&lt;25,"Marginal",C923&lt;35,"Solid",TRUE,"Blowout")</f>
        <v>Solid</v>
      </c>
    </row>
    <row r="924" spans="1:13" x14ac:dyDescent="0.25">
      <c r="A924" s="169">
        <f t="shared" ca="1" si="140"/>
        <v>22.398886323347298</v>
      </c>
      <c r="B924" s="168">
        <f t="shared" ca="1" si="141"/>
        <v>3.9563411459695228</v>
      </c>
      <c r="C924" s="168">
        <f t="shared" ca="1" si="142"/>
        <v>18.442545177377774</v>
      </c>
      <c r="D924" s="184">
        <f t="shared" ca="1" si="143"/>
        <v>2.3307920491891547</v>
      </c>
      <c r="E924" s="230">
        <f t="shared" ca="1" si="144"/>
        <v>1.0318782928503731E-2</v>
      </c>
      <c r="F924" s="168">
        <f t="shared" ca="1" si="145"/>
        <v>-3.7307403558651502</v>
      </c>
      <c r="G924" s="168">
        <f t="shared" ca="1" si="146"/>
        <v>-7.6870815018346725</v>
      </c>
      <c r="H924" s="184">
        <f t="shared" ca="1" si="147"/>
        <v>-0.97150302594475102</v>
      </c>
      <c r="I924" s="184">
        <f t="shared" ca="1" si="148"/>
        <v>0.83383632207083491</v>
      </c>
      <c r="J924" s="223">
        <f t="shared" ca="1" si="149"/>
        <v>0</v>
      </c>
      <c r="K924" s="220" t="str" cm="1">
        <f t="array" aca="1" ref="K924" ca="1">_xlfn.IFS(G924&lt;$B$11,"Fail",G924&lt;25,"Marginal",G924&lt;35,"Solid",TRUE,"Blowout")</f>
        <v>Fail</v>
      </c>
      <c r="L924" s="226">
        <f ca="1">IF(AND(E924&lt;$B$10,C924&gt;=$B$11),1,0)</f>
        <v>0</v>
      </c>
      <c r="M924" s="217" t="str" cm="1">
        <f t="array" aca="1" ref="M924" ca="1">_xlfn.IFS(C924&lt;$B$11,"Fail",C924&lt;25,"Marginal",C924&lt;35,"Solid",TRUE,"Blowout")</f>
        <v>Fail</v>
      </c>
    </row>
    <row r="925" spans="1:13" x14ac:dyDescent="0.25">
      <c r="A925" s="169">
        <f t="shared" ca="1" si="140"/>
        <v>7.4780807344106854</v>
      </c>
      <c r="B925" s="168">
        <f t="shared" ca="1" si="141"/>
        <v>-3.8332337743900826</v>
      </c>
      <c r="C925" s="168">
        <f t="shared" ca="1" si="142"/>
        <v>11.311314508800768</v>
      </c>
      <c r="D925" s="184">
        <f t="shared" ca="1" si="143"/>
        <v>1.4295381504788229</v>
      </c>
      <c r="E925" s="230">
        <f t="shared" ca="1" si="144"/>
        <v>7.7109189219336641E-2</v>
      </c>
      <c r="F925" s="168">
        <f t="shared" ca="1" si="145"/>
        <v>52.882387924859344</v>
      </c>
      <c r="G925" s="168">
        <f t="shared" ca="1" si="146"/>
        <v>56.715621699249425</v>
      </c>
      <c r="H925" s="184">
        <f t="shared" ca="1" si="147"/>
        <v>7.1677915846225959</v>
      </c>
      <c r="I925" s="184">
        <f t="shared" ca="1" si="148"/>
        <v>5.2475991398461842E-12</v>
      </c>
      <c r="J925" s="223">
        <f t="shared" ca="1" si="149"/>
        <v>1</v>
      </c>
      <c r="K925" s="220" t="str" cm="1">
        <f t="array" aca="1" ref="K925" ca="1">_xlfn.IFS(G925&lt;$B$11,"Fail",G925&lt;25,"Marginal",G925&lt;35,"Solid",TRUE,"Blowout")</f>
        <v>Blowout</v>
      </c>
      <c r="L925" s="226">
        <f ca="1">IF(AND(E925&lt;$B$10,C925&gt;=$B$11),1,0)</f>
        <v>0</v>
      </c>
      <c r="M925" s="217" t="str" cm="1">
        <f t="array" aca="1" ref="M925" ca="1">_xlfn.IFS(C925&lt;$B$11,"Fail",C925&lt;25,"Marginal",C925&lt;35,"Solid",TRUE,"Blowout")</f>
        <v>Fail</v>
      </c>
    </row>
    <row r="926" spans="1:13" x14ac:dyDescent="0.25">
      <c r="A926" s="169">
        <f t="shared" ca="1" si="140"/>
        <v>28.031271766202241</v>
      </c>
      <c r="B926" s="168">
        <f t="shared" ca="1" si="141"/>
        <v>10.390587411695222</v>
      </c>
      <c r="C926" s="168">
        <f t="shared" ca="1" si="142"/>
        <v>17.64068435450702</v>
      </c>
      <c r="D926" s="184">
        <f t="shared" ca="1" si="143"/>
        <v>2.2294518701342612</v>
      </c>
      <c r="E926" s="230">
        <f t="shared" ca="1" si="144"/>
        <v>1.3379450954087158E-2</v>
      </c>
      <c r="F926" s="168">
        <f t="shared" ca="1" si="145"/>
        <v>30.551127134050244</v>
      </c>
      <c r="G926" s="168">
        <f t="shared" ca="1" si="146"/>
        <v>20.160539722355022</v>
      </c>
      <c r="H926" s="184">
        <f t="shared" ca="1" si="147"/>
        <v>2.5479143599911964</v>
      </c>
      <c r="I926" s="184">
        <f t="shared" ca="1" si="148"/>
        <v>5.7473939330062677E-3</v>
      </c>
      <c r="J926" s="223">
        <f t="shared" ca="1" si="149"/>
        <v>1</v>
      </c>
      <c r="K926" s="220" t="str" cm="1">
        <f t="array" aca="1" ref="K926" ca="1">_xlfn.IFS(G926&lt;$B$11,"Fail",G926&lt;25,"Marginal",G926&lt;35,"Solid",TRUE,"Blowout")</f>
        <v>Marginal</v>
      </c>
      <c r="L926" s="226">
        <f ca="1">IF(AND(E926&lt;$B$10,C926&gt;=$B$11),1,0)</f>
        <v>0</v>
      </c>
      <c r="M926" s="217" t="str" cm="1">
        <f t="array" aca="1" ref="M926" ca="1">_xlfn.IFS(C926&lt;$B$11,"Fail",C926&lt;25,"Marginal",C926&lt;35,"Solid",TRUE,"Blowout")</f>
        <v>Fail</v>
      </c>
    </row>
    <row r="927" spans="1:13" x14ac:dyDescent="0.25">
      <c r="A927" s="169">
        <f t="shared" ca="1" si="140"/>
        <v>39.187347255190815</v>
      </c>
      <c r="B927" s="168">
        <f t="shared" ca="1" si="141"/>
        <v>2.3639250377011112</v>
      </c>
      <c r="C927" s="168">
        <f t="shared" ca="1" si="142"/>
        <v>36.823422217489707</v>
      </c>
      <c r="D927" s="184">
        <f t="shared" ca="1" si="143"/>
        <v>4.6537904016490836</v>
      </c>
      <c r="E927" s="230">
        <f t="shared" ca="1" si="144"/>
        <v>2.7641056996565674E-6</v>
      </c>
      <c r="F927" s="168">
        <f t="shared" ca="1" si="145"/>
        <v>55.635651269608147</v>
      </c>
      <c r="G927" s="168">
        <f t="shared" ca="1" si="146"/>
        <v>53.271726231907039</v>
      </c>
      <c r="H927" s="184">
        <f t="shared" ca="1" si="147"/>
        <v>6.732547745102746</v>
      </c>
      <c r="I927" s="184">
        <f t="shared" ca="1" si="148"/>
        <v>6.6884341599958167E-11</v>
      </c>
      <c r="J927" s="223">
        <f t="shared" ca="1" si="149"/>
        <v>1</v>
      </c>
      <c r="K927" s="220" t="str" cm="1">
        <f t="array" aca="1" ref="K927" ca="1">_xlfn.IFS(G927&lt;$B$11,"Fail",G927&lt;25,"Marginal",G927&lt;35,"Solid",TRUE,"Blowout")</f>
        <v>Blowout</v>
      </c>
      <c r="L927" s="226">
        <f ca="1">IF(AND(E927&lt;$B$10,C927&gt;=$B$11),1,0)</f>
        <v>1</v>
      </c>
      <c r="M927" s="217" t="str" cm="1">
        <f t="array" aca="1" ref="M927" ca="1">_xlfn.IFS(C927&lt;$B$11,"Fail",C927&lt;25,"Marginal",C927&lt;35,"Solid",TRUE,"Blowout")</f>
        <v>Blowout</v>
      </c>
    </row>
    <row r="928" spans="1:13" x14ac:dyDescent="0.25">
      <c r="A928" s="169">
        <f t="shared" ca="1" si="140"/>
        <v>33.755696744214006</v>
      </c>
      <c r="B928" s="168">
        <f t="shared" ca="1" si="141"/>
        <v>9.2935903040579184</v>
      </c>
      <c r="C928" s="168">
        <f t="shared" ca="1" si="142"/>
        <v>24.462106440156088</v>
      </c>
      <c r="D928" s="184">
        <f t="shared" ca="1" si="143"/>
        <v>3.0915517705805819</v>
      </c>
      <c r="E928" s="230">
        <f t="shared" ca="1" si="144"/>
        <v>1.1195891530232365E-3</v>
      </c>
      <c r="F928" s="168">
        <f t="shared" ca="1" si="145"/>
        <v>5.2565445480802921</v>
      </c>
      <c r="G928" s="168">
        <f t="shared" ca="1" si="146"/>
        <v>-4.0370457559776263</v>
      </c>
      <c r="H928" s="184">
        <f t="shared" ca="1" si="147"/>
        <v>-0.5102069188252546</v>
      </c>
      <c r="I928" s="184">
        <f t="shared" ca="1" si="148"/>
        <v>0.69479996444178738</v>
      </c>
      <c r="J928" s="223">
        <f t="shared" ca="1" si="149"/>
        <v>0</v>
      </c>
      <c r="K928" s="220" t="str" cm="1">
        <f t="array" aca="1" ref="K928" ca="1">_xlfn.IFS(G928&lt;$B$11,"Fail",G928&lt;25,"Marginal",G928&lt;35,"Solid",TRUE,"Blowout")</f>
        <v>Fail</v>
      </c>
      <c r="L928" s="226">
        <f ca="1">IF(AND(E928&lt;$B$10,C928&gt;=$B$11),1,0)</f>
        <v>1</v>
      </c>
      <c r="M928" s="217" t="str" cm="1">
        <f t="array" aca="1" ref="M928" ca="1">_xlfn.IFS(C928&lt;$B$11,"Fail",C928&lt;25,"Marginal",C928&lt;35,"Solid",TRUE,"Blowout")</f>
        <v>Marginal</v>
      </c>
    </row>
    <row r="929" spans="1:13" x14ac:dyDescent="0.25">
      <c r="A929" s="169">
        <f t="shared" ca="1" si="140"/>
        <v>20.139430920807946</v>
      </c>
      <c r="B929" s="168">
        <f t="shared" ca="1" si="141"/>
        <v>13.616006410064875</v>
      </c>
      <c r="C929" s="168">
        <f t="shared" ca="1" si="142"/>
        <v>6.5234245107430713</v>
      </c>
      <c r="D929" s="184">
        <f t="shared" ca="1" si="143"/>
        <v>0.82443859222729399</v>
      </c>
      <c r="E929" s="230">
        <f t="shared" ca="1" si="144"/>
        <v>0.20527602005659912</v>
      </c>
      <c r="F929" s="168">
        <f t="shared" ca="1" si="145"/>
        <v>19.336013778932511</v>
      </c>
      <c r="G929" s="168">
        <f t="shared" ca="1" si="146"/>
        <v>5.7200073688676358</v>
      </c>
      <c r="H929" s="184">
        <f t="shared" ca="1" si="147"/>
        <v>0.72290172361967198</v>
      </c>
      <c r="I929" s="184">
        <f t="shared" ca="1" si="148"/>
        <v>0.23524058040810758</v>
      </c>
      <c r="J929" s="223">
        <f t="shared" ca="1" si="149"/>
        <v>0</v>
      </c>
      <c r="K929" s="220" t="str" cm="1">
        <f t="array" aca="1" ref="K929" ca="1">_xlfn.IFS(G929&lt;$B$11,"Fail",G929&lt;25,"Marginal",G929&lt;35,"Solid",TRUE,"Blowout")</f>
        <v>Fail</v>
      </c>
      <c r="L929" s="226">
        <f ca="1">IF(AND(E929&lt;$B$10,C929&gt;=$B$11),1,0)</f>
        <v>0</v>
      </c>
      <c r="M929" s="217" t="str" cm="1">
        <f t="array" aca="1" ref="M929" ca="1">_xlfn.IFS(C929&lt;$B$11,"Fail",C929&lt;25,"Marginal",C929&lt;35,"Solid",TRUE,"Blowout")</f>
        <v>Fail</v>
      </c>
    </row>
    <row r="930" spans="1:13" x14ac:dyDescent="0.25">
      <c r="A930" s="169">
        <f t="shared" ca="1" si="140"/>
        <v>19.871103463174251</v>
      </c>
      <c r="B930" s="168">
        <f t="shared" ca="1" si="141"/>
        <v>9.4355160044388544</v>
      </c>
      <c r="C930" s="168">
        <f t="shared" ca="1" si="142"/>
        <v>10.435587458735396</v>
      </c>
      <c r="D930" s="184">
        <f t="shared" ca="1" si="143"/>
        <v>1.3188626647516162</v>
      </c>
      <c r="E930" s="230">
        <f t="shared" ca="1" si="144"/>
        <v>9.4269074018019844E-2</v>
      </c>
      <c r="F930" s="168">
        <f t="shared" ca="1" si="145"/>
        <v>33.514237807013721</v>
      </c>
      <c r="G930" s="168">
        <f t="shared" ca="1" si="146"/>
        <v>24.078721802574869</v>
      </c>
      <c r="H930" s="184">
        <f t="shared" ca="1" si="147"/>
        <v>3.0430991380148944</v>
      </c>
      <c r="I930" s="184">
        <f t="shared" ca="1" si="148"/>
        <v>1.30808687475166E-3</v>
      </c>
      <c r="J930" s="223">
        <f t="shared" ca="1" si="149"/>
        <v>1</v>
      </c>
      <c r="K930" s="220" t="str" cm="1">
        <f t="array" aca="1" ref="K930" ca="1">_xlfn.IFS(G930&lt;$B$11,"Fail",G930&lt;25,"Marginal",G930&lt;35,"Solid",TRUE,"Blowout")</f>
        <v>Marginal</v>
      </c>
      <c r="L930" s="226">
        <f ca="1">IF(AND(E930&lt;$B$10,C930&gt;=$B$11),1,0)</f>
        <v>0</v>
      </c>
      <c r="M930" s="217" t="str" cm="1">
        <f t="array" aca="1" ref="M930" ca="1">_xlfn.IFS(C930&lt;$B$11,"Fail",C930&lt;25,"Marginal",C930&lt;35,"Solid",TRUE,"Blowout")</f>
        <v>Fail</v>
      </c>
    </row>
    <row r="931" spans="1:13" x14ac:dyDescent="0.25">
      <c r="A931" s="169">
        <f t="shared" ca="1" si="140"/>
        <v>35.208801180683764</v>
      </c>
      <c r="B931" s="168">
        <f t="shared" ca="1" si="141"/>
        <v>-0.63090283340380537</v>
      </c>
      <c r="C931" s="168">
        <f t="shared" ca="1" si="142"/>
        <v>35.839704014087573</v>
      </c>
      <c r="D931" s="184">
        <f t="shared" ca="1" si="143"/>
        <v>4.5294668581750077</v>
      </c>
      <c r="E931" s="230">
        <f t="shared" ca="1" si="144"/>
        <v>4.7680041821858162E-6</v>
      </c>
      <c r="F931" s="168">
        <f t="shared" ca="1" si="145"/>
        <v>26.756568825253847</v>
      </c>
      <c r="G931" s="168">
        <f t="shared" ca="1" si="146"/>
        <v>27.387471658657653</v>
      </c>
      <c r="H931" s="184">
        <f t="shared" ca="1" si="147"/>
        <v>3.4612631052515486</v>
      </c>
      <c r="I931" s="184">
        <f t="shared" ca="1" si="148"/>
        <v>3.2088720353748326E-4</v>
      </c>
      <c r="J931" s="223">
        <f t="shared" ca="1" si="149"/>
        <v>1</v>
      </c>
      <c r="K931" s="220" t="str" cm="1">
        <f t="array" aca="1" ref="K931" ca="1">_xlfn.IFS(G931&lt;$B$11,"Fail",G931&lt;25,"Marginal",G931&lt;35,"Solid",TRUE,"Blowout")</f>
        <v>Solid</v>
      </c>
      <c r="L931" s="226">
        <f ca="1">IF(AND(E931&lt;$B$10,C931&gt;=$B$11),1,0)</f>
        <v>1</v>
      </c>
      <c r="M931" s="217" t="str" cm="1">
        <f t="array" aca="1" ref="M931" ca="1">_xlfn.IFS(C931&lt;$B$11,"Fail",C931&lt;25,"Marginal",C931&lt;35,"Solid",TRUE,"Blowout")</f>
        <v>Blowout</v>
      </c>
    </row>
    <row r="932" spans="1:13" x14ac:dyDescent="0.25">
      <c r="A932" s="169">
        <f t="shared" ca="1" si="140"/>
        <v>58.770363687738232</v>
      </c>
      <c r="B932" s="168">
        <f t="shared" ca="1" si="141"/>
        <v>9.0570863910935042</v>
      </c>
      <c r="C932" s="168">
        <f t="shared" ca="1" si="142"/>
        <v>49.713277296644726</v>
      </c>
      <c r="D932" s="184">
        <f t="shared" ca="1" si="143"/>
        <v>6.282826494267546</v>
      </c>
      <c r="E932" s="230">
        <f t="shared" ca="1" si="144"/>
        <v>8.3395572786406186E-10</v>
      </c>
      <c r="F932" s="168">
        <f t="shared" ca="1" si="145"/>
        <v>-7.2571867184210905</v>
      </c>
      <c r="G932" s="168">
        <f t="shared" ca="1" si="146"/>
        <v>-16.314273109514595</v>
      </c>
      <c r="H932" s="184">
        <f t="shared" ca="1" si="147"/>
        <v>-2.0618183491614794</v>
      </c>
      <c r="I932" s="184">
        <f t="shared" ca="1" si="148"/>
        <v>0.97982060738609134</v>
      </c>
      <c r="J932" s="223">
        <f t="shared" ca="1" si="149"/>
        <v>0</v>
      </c>
      <c r="K932" s="220" t="str" cm="1">
        <f t="array" aca="1" ref="K932" ca="1">_xlfn.IFS(G932&lt;$B$11,"Fail",G932&lt;25,"Marginal",G932&lt;35,"Solid",TRUE,"Blowout")</f>
        <v>Fail</v>
      </c>
      <c r="L932" s="226">
        <f ca="1">IF(AND(E932&lt;$B$10,C932&gt;=$B$11),1,0)</f>
        <v>1</v>
      </c>
      <c r="M932" s="217" t="str" cm="1">
        <f t="array" aca="1" ref="M932" ca="1">_xlfn.IFS(C932&lt;$B$11,"Fail",C932&lt;25,"Marginal",C932&lt;35,"Solid",TRUE,"Blowout")</f>
        <v>Blowout</v>
      </c>
    </row>
    <row r="933" spans="1:13" x14ac:dyDescent="0.25">
      <c r="A933" s="169">
        <f t="shared" ca="1" si="140"/>
        <v>22.478496668633298</v>
      </c>
      <c r="B933" s="168">
        <f t="shared" ca="1" si="141"/>
        <v>4.8624586280087483</v>
      </c>
      <c r="C933" s="168">
        <f t="shared" ca="1" si="142"/>
        <v>17.616038040624549</v>
      </c>
      <c r="D933" s="184">
        <f t="shared" ca="1" si="143"/>
        <v>2.2263370379954983</v>
      </c>
      <c r="E933" s="230">
        <f t="shared" ca="1" si="144"/>
        <v>1.3484875978253642E-2</v>
      </c>
      <c r="F933" s="168">
        <f t="shared" ca="1" si="145"/>
        <v>31.65490994648361</v>
      </c>
      <c r="G933" s="168">
        <f t="shared" ca="1" si="146"/>
        <v>26.79245131847486</v>
      </c>
      <c r="H933" s="184">
        <f t="shared" ca="1" si="147"/>
        <v>3.3860636864801603</v>
      </c>
      <c r="I933" s="184">
        <f t="shared" ca="1" si="148"/>
        <v>4.1743670217122501E-4</v>
      </c>
      <c r="J933" s="223">
        <f t="shared" ca="1" si="149"/>
        <v>1</v>
      </c>
      <c r="K933" s="220" t="str" cm="1">
        <f t="array" aca="1" ref="K933" ca="1">_xlfn.IFS(G933&lt;$B$11,"Fail",G933&lt;25,"Marginal",G933&lt;35,"Solid",TRUE,"Blowout")</f>
        <v>Solid</v>
      </c>
      <c r="L933" s="226">
        <f ca="1">IF(AND(E933&lt;$B$10,C933&gt;=$B$11),1,0)</f>
        <v>0</v>
      </c>
      <c r="M933" s="217" t="str" cm="1">
        <f t="array" aca="1" ref="M933" ca="1">_xlfn.IFS(C933&lt;$B$11,"Fail",C933&lt;25,"Marginal",C933&lt;35,"Solid",TRUE,"Blowout")</f>
        <v>Fail</v>
      </c>
    </row>
    <row r="934" spans="1:13" x14ac:dyDescent="0.25">
      <c r="A934" s="169">
        <f t="shared" ca="1" si="140"/>
        <v>24.334927685795023</v>
      </c>
      <c r="B934" s="168">
        <f t="shared" ca="1" si="141"/>
        <v>-0.22727307535611807</v>
      </c>
      <c r="C934" s="168">
        <f t="shared" ca="1" si="142"/>
        <v>24.562200761151139</v>
      </c>
      <c r="D934" s="184">
        <f t="shared" ca="1" si="143"/>
        <v>3.1042018167266217</v>
      </c>
      <c r="E934" s="230">
        <f t="shared" ca="1" si="144"/>
        <v>1.0746801439998641E-3</v>
      </c>
      <c r="F934" s="168">
        <f t="shared" ca="1" si="145"/>
        <v>64.741851222149748</v>
      </c>
      <c r="G934" s="168">
        <f t="shared" ca="1" si="146"/>
        <v>64.969124297505871</v>
      </c>
      <c r="H934" s="184">
        <f t="shared" ca="1" si="147"/>
        <v>8.2108796209515038</v>
      </c>
      <c r="I934" s="184">
        <f t="shared" ca="1" si="148"/>
        <v>8.1432133071807589E-15</v>
      </c>
      <c r="J934" s="223">
        <f t="shared" ca="1" si="149"/>
        <v>1</v>
      </c>
      <c r="K934" s="220" t="str" cm="1">
        <f t="array" aca="1" ref="K934" ca="1">_xlfn.IFS(G934&lt;$B$11,"Fail",G934&lt;25,"Marginal",G934&lt;35,"Solid",TRUE,"Blowout")</f>
        <v>Blowout</v>
      </c>
      <c r="L934" s="226">
        <f ca="1">IF(AND(E934&lt;$B$10,C934&gt;=$B$11),1,0)</f>
        <v>1</v>
      </c>
      <c r="M934" s="217" t="str" cm="1">
        <f t="array" aca="1" ref="M934" ca="1">_xlfn.IFS(C934&lt;$B$11,"Fail",C934&lt;25,"Marginal",C934&lt;35,"Solid",TRUE,"Blowout")</f>
        <v>Marginal</v>
      </c>
    </row>
    <row r="935" spans="1:13" x14ac:dyDescent="0.25">
      <c r="A935" s="169">
        <f t="shared" ca="1" si="140"/>
        <v>24.928993705730548</v>
      </c>
      <c r="B935" s="168">
        <f t="shared" ca="1" si="141"/>
        <v>8.7706801929547638</v>
      </c>
      <c r="C935" s="168">
        <f t="shared" ca="1" si="142"/>
        <v>16.158313512775784</v>
      </c>
      <c r="D935" s="184">
        <f t="shared" ca="1" si="143"/>
        <v>2.0421079792218975</v>
      </c>
      <c r="E935" s="230">
        <f t="shared" ca="1" si="144"/>
        <v>2.114590445771742E-2</v>
      </c>
      <c r="F935" s="168">
        <f t="shared" ca="1" si="145"/>
        <v>32.633290512943695</v>
      </c>
      <c r="G935" s="168">
        <f t="shared" ca="1" si="146"/>
        <v>23.862610319988931</v>
      </c>
      <c r="H935" s="184">
        <f t="shared" ca="1" si="147"/>
        <v>3.01578669710692</v>
      </c>
      <c r="I935" s="184">
        <f t="shared" ca="1" si="148"/>
        <v>1.4268053863329313E-3</v>
      </c>
      <c r="J935" s="223">
        <f t="shared" ca="1" si="149"/>
        <v>1</v>
      </c>
      <c r="K935" s="220" t="str" cm="1">
        <f t="array" aca="1" ref="K935" ca="1">_xlfn.IFS(G935&lt;$B$11,"Fail",G935&lt;25,"Marginal",G935&lt;35,"Solid",TRUE,"Blowout")</f>
        <v>Marginal</v>
      </c>
      <c r="L935" s="226">
        <f ca="1">IF(AND(E935&lt;$B$10,C935&gt;=$B$11),1,0)</f>
        <v>0</v>
      </c>
      <c r="M935" s="217" t="str" cm="1">
        <f t="array" aca="1" ref="M935" ca="1">_xlfn.IFS(C935&lt;$B$11,"Fail",C935&lt;25,"Marginal",C935&lt;35,"Solid",TRUE,"Blowout")</f>
        <v>Fail</v>
      </c>
    </row>
    <row r="936" spans="1:13" x14ac:dyDescent="0.25">
      <c r="A936" s="169">
        <f t="shared" ca="1" si="140"/>
        <v>15.103148147190247</v>
      </c>
      <c r="B936" s="168">
        <f t="shared" ca="1" si="141"/>
        <v>6.0047110458298123</v>
      </c>
      <c r="C936" s="168">
        <f t="shared" ca="1" si="142"/>
        <v>9.0984371013604353</v>
      </c>
      <c r="D936" s="184">
        <f t="shared" ca="1" si="143"/>
        <v>1.1498719212525603</v>
      </c>
      <c r="E936" s="230">
        <f t="shared" ca="1" si="144"/>
        <v>0.12570065382145418</v>
      </c>
      <c r="F936" s="168">
        <f t="shared" ca="1" si="145"/>
        <v>35.744279583942856</v>
      </c>
      <c r="G936" s="168">
        <f t="shared" ca="1" si="146"/>
        <v>29.739568538113044</v>
      </c>
      <c r="H936" s="184">
        <f t="shared" ca="1" si="147"/>
        <v>3.7585240664057582</v>
      </c>
      <c r="I936" s="184">
        <f t="shared" ca="1" si="148"/>
        <v>1.0859031710784044E-4</v>
      </c>
      <c r="J936" s="223">
        <f t="shared" ca="1" si="149"/>
        <v>1</v>
      </c>
      <c r="K936" s="220" t="str" cm="1">
        <f t="array" aca="1" ref="K936" ca="1">_xlfn.IFS(G936&lt;$B$11,"Fail",G936&lt;25,"Marginal",G936&lt;35,"Solid",TRUE,"Blowout")</f>
        <v>Solid</v>
      </c>
      <c r="L936" s="226">
        <f ca="1">IF(AND(E936&lt;$B$10,C936&gt;=$B$11),1,0)</f>
        <v>0</v>
      </c>
      <c r="M936" s="217" t="str" cm="1">
        <f t="array" aca="1" ref="M936" ca="1">_xlfn.IFS(C936&lt;$B$11,"Fail",C936&lt;25,"Marginal",C936&lt;35,"Solid",TRUE,"Blowout")</f>
        <v>Fail</v>
      </c>
    </row>
    <row r="937" spans="1:13" x14ac:dyDescent="0.25">
      <c r="A937" s="169">
        <f t="shared" ca="1" si="140"/>
        <v>17.164638732592788</v>
      </c>
      <c r="B937" s="168">
        <f t="shared" ca="1" si="141"/>
        <v>6.0069977842799291</v>
      </c>
      <c r="C937" s="168">
        <f t="shared" ca="1" si="142"/>
        <v>11.15764094831286</v>
      </c>
      <c r="D937" s="184">
        <f t="shared" ca="1" si="143"/>
        <v>1.4101166926750941</v>
      </c>
      <c r="E937" s="230">
        <f t="shared" ca="1" si="144"/>
        <v>7.9933976569092749E-2</v>
      </c>
      <c r="F937" s="168">
        <f t="shared" ca="1" si="145"/>
        <v>26.761564739295878</v>
      </c>
      <c r="G937" s="168">
        <f t="shared" ca="1" si="146"/>
        <v>20.75456695501595</v>
      </c>
      <c r="H937" s="184">
        <f t="shared" ca="1" si="147"/>
        <v>2.622988268585237</v>
      </c>
      <c r="I937" s="184">
        <f t="shared" ca="1" si="148"/>
        <v>4.6520743810563149E-3</v>
      </c>
      <c r="J937" s="223">
        <f t="shared" ca="1" si="149"/>
        <v>1</v>
      </c>
      <c r="K937" s="220" t="str" cm="1">
        <f t="array" aca="1" ref="K937" ca="1">_xlfn.IFS(G937&lt;$B$11,"Fail",G937&lt;25,"Marginal",G937&lt;35,"Solid",TRUE,"Blowout")</f>
        <v>Marginal</v>
      </c>
      <c r="L937" s="226">
        <f ca="1">IF(AND(E937&lt;$B$10,C937&gt;=$B$11),1,0)</f>
        <v>0</v>
      </c>
      <c r="M937" s="217" t="str" cm="1">
        <f t="array" aca="1" ref="M937" ca="1">_xlfn.IFS(C937&lt;$B$11,"Fail",C937&lt;25,"Marginal",C937&lt;35,"Solid",TRUE,"Blowout")</f>
        <v>Fail</v>
      </c>
    </row>
    <row r="938" spans="1:13" x14ac:dyDescent="0.25">
      <c r="A938" s="169">
        <f t="shared" ca="1" si="140"/>
        <v>47.211312799180519</v>
      </c>
      <c r="B938" s="168">
        <f t="shared" ca="1" si="141"/>
        <v>13.883401784652451</v>
      </c>
      <c r="C938" s="168">
        <f t="shared" ca="1" si="142"/>
        <v>33.32791101452807</v>
      </c>
      <c r="D938" s="184">
        <f t="shared" ca="1" si="143"/>
        <v>4.2120233005600021</v>
      </c>
      <c r="E938" s="230">
        <f t="shared" ca="1" si="144"/>
        <v>1.8227686812137351E-5</v>
      </c>
      <c r="F938" s="168">
        <f t="shared" ca="1" si="145"/>
        <v>16.198892828375858</v>
      </c>
      <c r="G938" s="168">
        <f t="shared" ca="1" si="146"/>
        <v>2.3154910437234069</v>
      </c>
      <c r="H938" s="184">
        <f t="shared" ca="1" si="147"/>
        <v>0.292634669606192</v>
      </c>
      <c r="I938" s="184">
        <f t="shared" ca="1" si="148"/>
        <v>0.38503377345014755</v>
      </c>
      <c r="J938" s="223">
        <f t="shared" ca="1" si="149"/>
        <v>0</v>
      </c>
      <c r="K938" s="220" t="str" cm="1">
        <f t="array" aca="1" ref="K938" ca="1">_xlfn.IFS(G938&lt;$B$11,"Fail",G938&lt;25,"Marginal",G938&lt;35,"Solid",TRUE,"Blowout")</f>
        <v>Fail</v>
      </c>
      <c r="L938" s="226">
        <f ca="1">IF(AND(E938&lt;$B$10,C938&gt;=$B$11),1,0)</f>
        <v>1</v>
      </c>
      <c r="M938" s="217" t="str" cm="1">
        <f t="array" aca="1" ref="M938" ca="1">_xlfn.IFS(C938&lt;$B$11,"Fail",C938&lt;25,"Marginal",C938&lt;35,"Solid",TRUE,"Blowout")</f>
        <v>Solid</v>
      </c>
    </row>
    <row r="939" spans="1:13" x14ac:dyDescent="0.25">
      <c r="A939" s="169">
        <f t="shared" ca="1" si="140"/>
        <v>22.950664219260297</v>
      </c>
      <c r="B939" s="168">
        <f t="shared" ca="1" si="141"/>
        <v>-3.9185595121802894</v>
      </c>
      <c r="C939" s="168">
        <f t="shared" ca="1" si="142"/>
        <v>26.869223731440584</v>
      </c>
      <c r="D939" s="184">
        <f t="shared" ca="1" si="143"/>
        <v>3.3957662805644668</v>
      </c>
      <c r="E939" s="230">
        <f t="shared" ca="1" si="144"/>
        <v>4.0360905106197412E-4</v>
      </c>
      <c r="F939" s="168">
        <f t="shared" ca="1" si="145"/>
        <v>29.240038540495412</v>
      </c>
      <c r="G939" s="168">
        <f t="shared" ca="1" si="146"/>
        <v>33.1585980526757</v>
      </c>
      <c r="H939" s="184">
        <f t="shared" ca="1" si="147"/>
        <v>4.1906253155468356</v>
      </c>
      <c r="I939" s="184">
        <f t="shared" ca="1" si="148"/>
        <v>1.9898659248690152E-5</v>
      </c>
      <c r="J939" s="223">
        <f t="shared" ca="1" si="149"/>
        <v>1</v>
      </c>
      <c r="K939" s="220" t="str" cm="1">
        <f t="array" aca="1" ref="K939" ca="1">_xlfn.IFS(G939&lt;$B$11,"Fail",G939&lt;25,"Marginal",G939&lt;35,"Solid",TRUE,"Blowout")</f>
        <v>Solid</v>
      </c>
      <c r="L939" s="226">
        <f ca="1">IF(AND(E939&lt;$B$10,C939&gt;=$B$11),1,0)</f>
        <v>1</v>
      </c>
      <c r="M939" s="217" t="str" cm="1">
        <f t="array" aca="1" ref="M939" ca="1">_xlfn.IFS(C939&lt;$B$11,"Fail",C939&lt;25,"Marginal",C939&lt;35,"Solid",TRUE,"Blowout")</f>
        <v>Solid</v>
      </c>
    </row>
    <row r="940" spans="1:13" x14ac:dyDescent="0.25">
      <c r="A940" s="169">
        <f t="shared" ca="1" si="140"/>
        <v>38.73226623947324</v>
      </c>
      <c r="B940" s="168">
        <f t="shared" ca="1" si="141"/>
        <v>9.3879187765698866</v>
      </c>
      <c r="C940" s="168">
        <f t="shared" ca="1" si="142"/>
        <v>29.344347462903354</v>
      </c>
      <c r="D940" s="184">
        <f t="shared" ca="1" si="143"/>
        <v>3.7085755299694378</v>
      </c>
      <c r="E940" s="230">
        <f t="shared" ca="1" si="144"/>
        <v>1.3090640239647695E-4</v>
      </c>
      <c r="F940" s="168">
        <f t="shared" ca="1" si="145"/>
        <v>7.8245308909459519</v>
      </c>
      <c r="G940" s="168">
        <f t="shared" ca="1" si="146"/>
        <v>-1.5633878856239347</v>
      </c>
      <c r="H940" s="184">
        <f t="shared" ca="1" si="147"/>
        <v>-0.1975829267904235</v>
      </c>
      <c r="I940" s="184">
        <f t="shared" ca="1" si="148"/>
        <v>0.57822628472517645</v>
      </c>
      <c r="J940" s="223">
        <f t="shared" ca="1" si="149"/>
        <v>0</v>
      </c>
      <c r="K940" s="220" t="str" cm="1">
        <f t="array" aca="1" ref="K940" ca="1">_xlfn.IFS(G940&lt;$B$11,"Fail",G940&lt;25,"Marginal",G940&lt;35,"Solid",TRUE,"Blowout")</f>
        <v>Fail</v>
      </c>
      <c r="L940" s="226">
        <f ca="1">IF(AND(E940&lt;$B$10,C940&gt;=$B$11),1,0)</f>
        <v>1</v>
      </c>
      <c r="M940" s="217" t="str" cm="1">
        <f t="array" aca="1" ref="M940" ca="1">_xlfn.IFS(C940&lt;$B$11,"Fail",C940&lt;25,"Marginal",C940&lt;35,"Solid",TRUE,"Blowout")</f>
        <v>Solid</v>
      </c>
    </row>
    <row r="941" spans="1:13" x14ac:dyDescent="0.25">
      <c r="A941" s="169">
        <f t="shared" ca="1" si="140"/>
        <v>54.473408372033141</v>
      </c>
      <c r="B941" s="168">
        <f t="shared" ca="1" si="141"/>
        <v>9.0819336148804588</v>
      </c>
      <c r="C941" s="168">
        <f t="shared" ca="1" si="142"/>
        <v>45.391474757152679</v>
      </c>
      <c r="D941" s="184">
        <f t="shared" ca="1" si="143"/>
        <v>5.7366316550883152</v>
      </c>
      <c r="E941" s="230">
        <f t="shared" ca="1" si="144"/>
        <v>1.5263669288345623E-8</v>
      </c>
      <c r="F941" s="168">
        <f t="shared" ca="1" si="145"/>
        <v>-6.613502336037401</v>
      </c>
      <c r="G941" s="168">
        <f t="shared" ca="1" si="146"/>
        <v>-15.69543595091786</v>
      </c>
      <c r="H941" s="184">
        <f t="shared" ca="1" si="147"/>
        <v>-1.9836089309316491</v>
      </c>
      <c r="I941" s="184">
        <f t="shared" ca="1" si="148"/>
        <v>0.97575042799930078</v>
      </c>
      <c r="J941" s="223">
        <f t="shared" ca="1" si="149"/>
        <v>0</v>
      </c>
      <c r="K941" s="220" t="str" cm="1">
        <f t="array" aca="1" ref="K941" ca="1">_xlfn.IFS(G941&lt;$B$11,"Fail",G941&lt;25,"Marginal",G941&lt;35,"Solid",TRUE,"Blowout")</f>
        <v>Fail</v>
      </c>
      <c r="L941" s="226">
        <f ca="1">IF(AND(E941&lt;$B$10,C941&gt;=$B$11),1,0)</f>
        <v>1</v>
      </c>
      <c r="M941" s="217" t="str" cm="1">
        <f t="array" aca="1" ref="M941" ca="1">_xlfn.IFS(C941&lt;$B$11,"Fail",C941&lt;25,"Marginal",C941&lt;35,"Solid",TRUE,"Blowout")</f>
        <v>Blowout</v>
      </c>
    </row>
    <row r="942" spans="1:13" x14ac:dyDescent="0.25">
      <c r="A942" s="169">
        <f t="shared" ca="1" si="140"/>
        <v>18.085418938548614</v>
      </c>
      <c r="B942" s="168">
        <f t="shared" ca="1" si="141"/>
        <v>4.6777421065814826</v>
      </c>
      <c r="C942" s="168">
        <f t="shared" ca="1" si="142"/>
        <v>13.40767683196713</v>
      </c>
      <c r="D942" s="184">
        <f t="shared" ca="1" si="143"/>
        <v>1.6944790568483741</v>
      </c>
      <c r="E942" s="230">
        <f t="shared" ca="1" si="144"/>
        <v>4.5769844546501653E-2</v>
      </c>
      <c r="F942" s="168">
        <f t="shared" ca="1" si="145"/>
        <v>-0.74740884179481104</v>
      </c>
      <c r="G942" s="168">
        <f t="shared" ca="1" si="146"/>
        <v>-5.4251509483762934</v>
      </c>
      <c r="H942" s="184">
        <f t="shared" ca="1" si="147"/>
        <v>-0.68563739844525973</v>
      </c>
      <c r="I942" s="184">
        <f t="shared" ca="1" si="148"/>
        <v>0.75318083158342719</v>
      </c>
      <c r="J942" s="223">
        <f t="shared" ca="1" si="149"/>
        <v>0</v>
      </c>
      <c r="K942" s="220" t="str" cm="1">
        <f t="array" aca="1" ref="K942" ca="1">_xlfn.IFS(G942&lt;$B$11,"Fail",G942&lt;25,"Marginal",G942&lt;35,"Solid",TRUE,"Blowout")</f>
        <v>Fail</v>
      </c>
      <c r="L942" s="226">
        <f ca="1">IF(AND(E942&lt;$B$10,C942&gt;=$B$11),1,0)</f>
        <v>0</v>
      </c>
      <c r="M942" s="217" t="str" cm="1">
        <f t="array" aca="1" ref="M942" ca="1">_xlfn.IFS(C942&lt;$B$11,"Fail",C942&lt;25,"Marginal",C942&lt;35,"Solid",TRUE,"Blowout")</f>
        <v>Fail</v>
      </c>
    </row>
    <row r="943" spans="1:13" x14ac:dyDescent="0.25">
      <c r="A943" s="169">
        <f t="shared" ca="1" si="140"/>
        <v>23.717800984964821</v>
      </c>
      <c r="B943" s="168">
        <f t="shared" ca="1" si="141"/>
        <v>6.3953447228656719</v>
      </c>
      <c r="C943" s="168">
        <f t="shared" ca="1" si="142"/>
        <v>17.322456262099148</v>
      </c>
      <c r="D943" s="184">
        <f t="shared" ca="1" si="143"/>
        <v>2.1892338036754775</v>
      </c>
      <c r="E943" s="230">
        <f t="shared" ca="1" si="144"/>
        <v>1.4797248526990811E-2</v>
      </c>
      <c r="F943" s="168">
        <f t="shared" ca="1" si="145"/>
        <v>35.157865742343503</v>
      </c>
      <c r="G943" s="168">
        <f t="shared" ca="1" si="146"/>
        <v>28.76252101947783</v>
      </c>
      <c r="H943" s="184">
        <f t="shared" ca="1" si="147"/>
        <v>3.6350435724602503</v>
      </c>
      <c r="I943" s="184">
        <f t="shared" ca="1" si="148"/>
        <v>1.7175802748977645E-4</v>
      </c>
      <c r="J943" s="223">
        <f t="shared" ca="1" si="149"/>
        <v>1</v>
      </c>
      <c r="K943" s="220" t="str" cm="1">
        <f t="array" aca="1" ref="K943" ca="1">_xlfn.IFS(G943&lt;$B$11,"Fail",G943&lt;25,"Marginal",G943&lt;35,"Solid",TRUE,"Blowout")</f>
        <v>Solid</v>
      </c>
      <c r="L943" s="226">
        <f ca="1">IF(AND(E943&lt;$B$10,C943&gt;=$B$11),1,0)</f>
        <v>0</v>
      </c>
      <c r="M943" s="217" t="str" cm="1">
        <f t="array" aca="1" ref="M943" ca="1">_xlfn.IFS(C943&lt;$B$11,"Fail",C943&lt;25,"Marginal",C943&lt;35,"Solid",TRUE,"Blowout")</f>
        <v>Fail</v>
      </c>
    </row>
    <row r="944" spans="1:13" x14ac:dyDescent="0.25">
      <c r="A944" s="169">
        <f t="shared" ca="1" si="140"/>
        <v>17.49209356768732</v>
      </c>
      <c r="B944" s="168">
        <f t="shared" ca="1" si="141"/>
        <v>1.2728838775111169</v>
      </c>
      <c r="C944" s="168">
        <f t="shared" ca="1" si="142"/>
        <v>16.219209690176204</v>
      </c>
      <c r="D944" s="184">
        <f t="shared" ca="1" si="143"/>
        <v>2.0498041146926682</v>
      </c>
      <c r="E944" s="230">
        <f t="shared" ca="1" si="144"/>
        <v>2.0763926620273803E-2</v>
      </c>
      <c r="F944" s="168">
        <f t="shared" ca="1" si="145"/>
        <v>18.680275494134943</v>
      </c>
      <c r="G944" s="168">
        <f t="shared" ca="1" si="146"/>
        <v>17.407391616623826</v>
      </c>
      <c r="H944" s="184">
        <f t="shared" ca="1" si="147"/>
        <v>2.1999680405780939</v>
      </c>
      <c r="I944" s="184">
        <f t="shared" ca="1" si="148"/>
        <v>1.4406654008229798E-2</v>
      </c>
      <c r="J944" s="223">
        <f t="shared" ca="1" si="149"/>
        <v>0</v>
      </c>
      <c r="K944" s="220" t="str" cm="1">
        <f t="array" aca="1" ref="K944" ca="1">_xlfn.IFS(G944&lt;$B$11,"Fail",G944&lt;25,"Marginal",G944&lt;35,"Solid",TRUE,"Blowout")</f>
        <v>Fail</v>
      </c>
      <c r="L944" s="226">
        <f ca="1">IF(AND(E944&lt;$B$10,C944&gt;=$B$11),1,0)</f>
        <v>0</v>
      </c>
      <c r="M944" s="217" t="str" cm="1">
        <f t="array" aca="1" ref="M944" ca="1">_xlfn.IFS(C944&lt;$B$11,"Fail",C944&lt;25,"Marginal",C944&lt;35,"Solid",TRUE,"Blowout")</f>
        <v>Fail</v>
      </c>
    </row>
    <row r="945" spans="1:13" x14ac:dyDescent="0.25">
      <c r="A945" s="169">
        <f t="shared" ca="1" si="140"/>
        <v>4.5169059852477238</v>
      </c>
      <c r="B945" s="168">
        <f t="shared" ca="1" si="141"/>
        <v>7.3259249110466005</v>
      </c>
      <c r="C945" s="168">
        <f t="shared" ca="1" si="142"/>
        <v>-2.8090189257988767</v>
      </c>
      <c r="D945" s="184">
        <f t="shared" ca="1" si="143"/>
        <v>-0.35500734390527283</v>
      </c>
      <c r="E945" s="230">
        <f t="shared" ca="1" si="144"/>
        <v>0.63854386947257658</v>
      </c>
      <c r="F945" s="168">
        <f t="shared" ca="1" si="145"/>
        <v>58.432784008818565</v>
      </c>
      <c r="G945" s="168">
        <f t="shared" ca="1" si="146"/>
        <v>51.106859097771967</v>
      </c>
      <c r="H945" s="184">
        <f t="shared" ca="1" si="147"/>
        <v>6.4589491145849607</v>
      </c>
      <c r="I945" s="184">
        <f t="shared" ca="1" si="148"/>
        <v>3.1464618951431959E-10</v>
      </c>
      <c r="J945" s="223">
        <f t="shared" ca="1" si="149"/>
        <v>1</v>
      </c>
      <c r="K945" s="220" t="str" cm="1">
        <f t="array" aca="1" ref="K945" ca="1">_xlfn.IFS(G945&lt;$B$11,"Fail",G945&lt;25,"Marginal",G945&lt;35,"Solid",TRUE,"Blowout")</f>
        <v>Blowout</v>
      </c>
      <c r="L945" s="226">
        <f ca="1">IF(AND(E945&lt;$B$10,C945&gt;=$B$11),1,0)</f>
        <v>0</v>
      </c>
      <c r="M945" s="217" t="str" cm="1">
        <f t="array" aca="1" ref="M945" ca="1">_xlfn.IFS(C945&lt;$B$11,"Fail",C945&lt;25,"Marginal",C945&lt;35,"Solid",TRUE,"Blowout")</f>
        <v>Fail</v>
      </c>
    </row>
    <row r="946" spans="1:13" x14ac:dyDescent="0.25">
      <c r="A946" s="169">
        <f t="shared" ca="1" si="140"/>
        <v>54.894579412700153</v>
      </c>
      <c r="B946" s="168">
        <f t="shared" ca="1" si="141"/>
        <v>-0.76793511188477392</v>
      </c>
      <c r="C946" s="168">
        <f t="shared" ca="1" si="142"/>
        <v>55.662514524584928</v>
      </c>
      <c r="D946" s="184">
        <f t="shared" ca="1" si="143"/>
        <v>7.0346985757106308</v>
      </c>
      <c r="E946" s="230">
        <f t="shared" ca="1" si="144"/>
        <v>1.1546522835537042E-11</v>
      </c>
      <c r="F946" s="168">
        <f t="shared" ca="1" si="145"/>
        <v>21.509616148611165</v>
      </c>
      <c r="G946" s="168">
        <f t="shared" ca="1" si="146"/>
        <v>22.27755126049594</v>
      </c>
      <c r="H946" s="184">
        <f t="shared" ca="1" si="147"/>
        <v>2.8154649401135723</v>
      </c>
      <c r="I946" s="184">
        <f t="shared" ca="1" si="148"/>
        <v>2.6485065835700531E-3</v>
      </c>
      <c r="J946" s="223">
        <f t="shared" ca="1" si="149"/>
        <v>1</v>
      </c>
      <c r="K946" s="220" t="str" cm="1">
        <f t="array" aca="1" ref="K946" ca="1">_xlfn.IFS(G946&lt;$B$11,"Fail",G946&lt;25,"Marginal",G946&lt;35,"Solid",TRUE,"Blowout")</f>
        <v>Marginal</v>
      </c>
      <c r="L946" s="226">
        <f ca="1">IF(AND(E946&lt;$B$10,C946&gt;=$B$11),1,0)</f>
        <v>1</v>
      </c>
      <c r="M946" s="217" t="str" cm="1">
        <f t="array" aca="1" ref="M946" ca="1">_xlfn.IFS(C946&lt;$B$11,"Fail",C946&lt;25,"Marginal",C946&lt;35,"Solid",TRUE,"Blowout")</f>
        <v>Blowout</v>
      </c>
    </row>
    <row r="947" spans="1:13" x14ac:dyDescent="0.25">
      <c r="A947" s="169">
        <f t="shared" ca="1" si="140"/>
        <v>36.069522861950915</v>
      </c>
      <c r="B947" s="168">
        <f t="shared" ca="1" si="141"/>
        <v>-5.8428550214496564</v>
      </c>
      <c r="C947" s="168">
        <f t="shared" ca="1" si="142"/>
        <v>41.912377883400573</v>
      </c>
      <c r="D947" s="184">
        <f t="shared" ca="1" si="143"/>
        <v>5.2969390175641253</v>
      </c>
      <c r="E947" s="230">
        <f t="shared" ca="1" si="144"/>
        <v>1.3851817195115787E-7</v>
      </c>
      <c r="F947" s="168">
        <f t="shared" ca="1" si="145"/>
        <v>43.39219282650869</v>
      </c>
      <c r="G947" s="168">
        <f t="shared" ca="1" si="146"/>
        <v>49.235047847958349</v>
      </c>
      <c r="H947" s="184">
        <f t="shared" ca="1" si="147"/>
        <v>6.2223872552164421</v>
      </c>
      <c r="I947" s="184">
        <f t="shared" ca="1" si="148"/>
        <v>1.1604713947603622E-9</v>
      </c>
      <c r="J947" s="223">
        <f t="shared" ca="1" si="149"/>
        <v>1</v>
      </c>
      <c r="K947" s="220" t="str" cm="1">
        <f t="array" aca="1" ref="K947" ca="1">_xlfn.IFS(G947&lt;$B$11,"Fail",G947&lt;25,"Marginal",G947&lt;35,"Solid",TRUE,"Blowout")</f>
        <v>Blowout</v>
      </c>
      <c r="L947" s="226">
        <f ca="1">IF(AND(E947&lt;$B$10,C947&gt;=$B$11),1,0)</f>
        <v>1</v>
      </c>
      <c r="M947" s="217" t="str" cm="1">
        <f t="array" aca="1" ref="M947" ca="1">_xlfn.IFS(C947&lt;$B$11,"Fail",C947&lt;25,"Marginal",C947&lt;35,"Solid",TRUE,"Blowout")</f>
        <v>Blowout</v>
      </c>
    </row>
    <row r="948" spans="1:13" x14ac:dyDescent="0.25">
      <c r="A948" s="169">
        <f t="shared" ca="1" si="140"/>
        <v>48.867174269696918</v>
      </c>
      <c r="B948" s="168">
        <f t="shared" ca="1" si="141"/>
        <v>1.1780974483828643E-2</v>
      </c>
      <c r="C948" s="168">
        <f t="shared" ca="1" si="142"/>
        <v>48.855393295213091</v>
      </c>
      <c r="D948" s="184">
        <f t="shared" ca="1" si="143"/>
        <v>6.1744060354625354</v>
      </c>
      <c r="E948" s="230">
        <f t="shared" ca="1" si="144"/>
        <v>1.5062336291571947E-9</v>
      </c>
      <c r="F948" s="168">
        <f t="shared" ca="1" si="145"/>
        <v>23.18783088206396</v>
      </c>
      <c r="G948" s="168">
        <f t="shared" ca="1" si="146"/>
        <v>23.176049907580129</v>
      </c>
      <c r="H948" s="184">
        <f t="shared" ca="1" si="147"/>
        <v>2.9290183289050429</v>
      </c>
      <c r="I948" s="184">
        <f t="shared" ca="1" si="148"/>
        <v>1.872715278231665E-3</v>
      </c>
      <c r="J948" s="223">
        <f t="shared" ca="1" si="149"/>
        <v>1</v>
      </c>
      <c r="K948" s="220" t="str" cm="1">
        <f t="array" aca="1" ref="K948" ca="1">_xlfn.IFS(G948&lt;$B$11,"Fail",G948&lt;25,"Marginal",G948&lt;35,"Solid",TRUE,"Blowout")</f>
        <v>Marginal</v>
      </c>
      <c r="L948" s="226">
        <f ca="1">IF(AND(E948&lt;$B$10,C948&gt;=$B$11),1,0)</f>
        <v>1</v>
      </c>
      <c r="M948" s="217" t="str" cm="1">
        <f t="array" aca="1" ref="M948" ca="1">_xlfn.IFS(C948&lt;$B$11,"Fail",C948&lt;25,"Marginal",C948&lt;35,"Solid",TRUE,"Blowout")</f>
        <v>Blowout</v>
      </c>
    </row>
    <row r="949" spans="1:13" x14ac:dyDescent="0.25">
      <c r="A949" s="169">
        <f t="shared" ca="1" si="140"/>
        <v>11.525731561502795</v>
      </c>
      <c r="B949" s="168">
        <f t="shared" ca="1" si="141"/>
        <v>2.4501169299572418</v>
      </c>
      <c r="C949" s="168">
        <f t="shared" ca="1" si="142"/>
        <v>9.0756146315455535</v>
      </c>
      <c r="D949" s="184">
        <f t="shared" ca="1" si="143"/>
        <v>1.1469875888203624</v>
      </c>
      <c r="E949" s="230">
        <f t="shared" ca="1" si="144"/>
        <v>0.12629447867907317</v>
      </c>
      <c r="F949" s="168">
        <f t="shared" ca="1" si="145"/>
        <v>22.616868884788634</v>
      </c>
      <c r="G949" s="168">
        <f t="shared" ca="1" si="146"/>
        <v>20.16675195483139</v>
      </c>
      <c r="H949" s="184">
        <f t="shared" ca="1" si="147"/>
        <v>2.548699469742826</v>
      </c>
      <c r="I949" s="184">
        <f t="shared" ca="1" si="148"/>
        <v>5.7348380113448607E-3</v>
      </c>
      <c r="J949" s="223">
        <f t="shared" ca="1" si="149"/>
        <v>1</v>
      </c>
      <c r="K949" s="220" t="str" cm="1">
        <f t="array" aca="1" ref="K949" ca="1">_xlfn.IFS(G949&lt;$B$11,"Fail",G949&lt;25,"Marginal",G949&lt;35,"Solid",TRUE,"Blowout")</f>
        <v>Marginal</v>
      </c>
      <c r="L949" s="226">
        <f ca="1">IF(AND(E949&lt;$B$10,C949&gt;=$B$11),1,0)</f>
        <v>0</v>
      </c>
      <c r="M949" s="217" t="str" cm="1">
        <f t="array" aca="1" ref="M949" ca="1">_xlfn.IFS(C949&lt;$B$11,"Fail",C949&lt;25,"Marginal",C949&lt;35,"Solid",TRUE,"Blowout")</f>
        <v>Fail</v>
      </c>
    </row>
    <row r="950" spans="1:13" x14ac:dyDescent="0.25">
      <c r="A950" s="169">
        <f t="shared" ca="1" si="140"/>
        <v>6.4528026413271888</v>
      </c>
      <c r="B950" s="168">
        <f t="shared" ca="1" si="141"/>
        <v>8.188325692204911</v>
      </c>
      <c r="C950" s="168">
        <f t="shared" ca="1" si="142"/>
        <v>-1.7355230508777222</v>
      </c>
      <c r="D950" s="184">
        <f t="shared" ca="1" si="143"/>
        <v>-0.21933758541810183</v>
      </c>
      <c r="E950" s="230">
        <f t="shared" ca="1" si="144"/>
        <v>0.58670834108677783</v>
      </c>
      <c r="F950" s="168">
        <f t="shared" ca="1" si="145"/>
        <v>35.20937857588369</v>
      </c>
      <c r="G950" s="168">
        <f t="shared" ca="1" si="146"/>
        <v>27.021052883678777</v>
      </c>
      <c r="H950" s="184">
        <f t="shared" ca="1" si="147"/>
        <v>3.4149546397344359</v>
      </c>
      <c r="I950" s="184">
        <f t="shared" ca="1" si="148"/>
        <v>3.7751347312405469E-4</v>
      </c>
      <c r="J950" s="223">
        <f t="shared" ca="1" si="149"/>
        <v>1</v>
      </c>
      <c r="K950" s="220" t="str" cm="1">
        <f t="array" aca="1" ref="K950" ca="1">_xlfn.IFS(G950&lt;$B$11,"Fail",G950&lt;25,"Marginal",G950&lt;35,"Solid",TRUE,"Blowout")</f>
        <v>Solid</v>
      </c>
      <c r="L950" s="226">
        <f ca="1">IF(AND(E950&lt;$B$10,C950&gt;=$B$11),1,0)</f>
        <v>0</v>
      </c>
      <c r="M950" s="217" t="str" cm="1">
        <f t="array" aca="1" ref="M950" ca="1">_xlfn.IFS(C950&lt;$B$11,"Fail",C950&lt;25,"Marginal",C950&lt;35,"Solid",TRUE,"Blowout")</f>
        <v>Fail</v>
      </c>
    </row>
    <row r="951" spans="1:13" x14ac:dyDescent="0.25">
      <c r="A951" s="169">
        <f t="shared" ca="1" si="140"/>
        <v>48.899430712364371</v>
      </c>
      <c r="B951" s="168">
        <f t="shared" ca="1" si="141"/>
        <v>7.0201923151066197</v>
      </c>
      <c r="C951" s="168">
        <f t="shared" ca="1" si="142"/>
        <v>41.879238397257751</v>
      </c>
      <c r="D951" s="184">
        <f t="shared" ca="1" si="143"/>
        <v>5.2927508076357777</v>
      </c>
      <c r="E951" s="230">
        <f t="shared" ca="1" si="144"/>
        <v>1.413735310369178E-7</v>
      </c>
      <c r="F951" s="168">
        <f t="shared" ca="1" si="145"/>
        <v>53.492365164268456</v>
      </c>
      <c r="G951" s="168">
        <f t="shared" ca="1" si="146"/>
        <v>46.472172849161836</v>
      </c>
      <c r="H951" s="184">
        <f t="shared" ca="1" si="147"/>
        <v>5.8732116388271418</v>
      </c>
      <c r="I951" s="184">
        <f t="shared" ca="1" si="148"/>
        <v>7.5041445819754337E-9</v>
      </c>
      <c r="J951" s="223">
        <f t="shared" ca="1" si="149"/>
        <v>1</v>
      </c>
      <c r="K951" s="220" t="str" cm="1">
        <f t="array" aca="1" ref="K951" ca="1">_xlfn.IFS(G951&lt;$B$11,"Fail",G951&lt;25,"Marginal",G951&lt;35,"Solid",TRUE,"Blowout")</f>
        <v>Blowout</v>
      </c>
      <c r="L951" s="226">
        <f ca="1">IF(AND(E951&lt;$B$10,C951&gt;=$B$11),1,0)</f>
        <v>1</v>
      </c>
      <c r="M951" s="217" t="str" cm="1">
        <f t="array" aca="1" ref="M951" ca="1">_xlfn.IFS(C951&lt;$B$11,"Fail",C951&lt;25,"Marginal",C951&lt;35,"Solid",TRUE,"Blowout")</f>
        <v>Blowout</v>
      </c>
    </row>
    <row r="952" spans="1:13" x14ac:dyDescent="0.25">
      <c r="A952" s="169">
        <f t="shared" ca="1" si="140"/>
        <v>35.675034575464203</v>
      </c>
      <c r="B952" s="168">
        <f t="shared" ca="1" si="141"/>
        <v>6.5757337146240555</v>
      </c>
      <c r="C952" s="168">
        <f t="shared" ca="1" si="142"/>
        <v>29.099300860840145</v>
      </c>
      <c r="D952" s="184">
        <f t="shared" ca="1" si="143"/>
        <v>3.6776062322788818</v>
      </c>
      <c r="E952" s="230">
        <f t="shared" ca="1" si="144"/>
        <v>1.4684663609190903E-4</v>
      </c>
      <c r="F952" s="168">
        <f t="shared" ca="1" si="145"/>
        <v>48.456496564955216</v>
      </c>
      <c r="G952" s="168">
        <f t="shared" ca="1" si="146"/>
        <v>41.880762850331159</v>
      </c>
      <c r="H952" s="184">
        <f t="shared" ca="1" si="147"/>
        <v>5.2929434699320437</v>
      </c>
      <c r="I952" s="184">
        <f t="shared" ca="1" si="148"/>
        <v>1.4124093505131216E-7</v>
      </c>
      <c r="J952" s="223">
        <f t="shared" ca="1" si="149"/>
        <v>1</v>
      </c>
      <c r="K952" s="220" t="str" cm="1">
        <f t="array" aca="1" ref="K952" ca="1">_xlfn.IFS(G952&lt;$B$11,"Fail",G952&lt;25,"Marginal",G952&lt;35,"Solid",TRUE,"Blowout")</f>
        <v>Blowout</v>
      </c>
      <c r="L952" s="226">
        <f ca="1">IF(AND(E952&lt;$B$10,C952&gt;=$B$11),1,0)</f>
        <v>1</v>
      </c>
      <c r="M952" s="217" t="str" cm="1">
        <f t="array" aca="1" ref="M952" ca="1">_xlfn.IFS(C952&lt;$B$11,"Fail",C952&lt;25,"Marginal",C952&lt;35,"Solid",TRUE,"Blowout")</f>
        <v>Solid</v>
      </c>
    </row>
    <row r="953" spans="1:13" x14ac:dyDescent="0.25">
      <c r="A953" s="169">
        <f t="shared" ca="1" si="140"/>
        <v>-6.948525139635966</v>
      </c>
      <c r="B953" s="168">
        <f t="shared" ca="1" si="141"/>
        <v>10.877265057217135</v>
      </c>
      <c r="C953" s="168">
        <f t="shared" ca="1" si="142"/>
        <v>-17.825790196853102</v>
      </c>
      <c r="D953" s="184">
        <f t="shared" ca="1" si="143"/>
        <v>-2.2528457792422043</v>
      </c>
      <c r="E953" s="230">
        <f t="shared" ca="1" si="144"/>
        <v>0.98738969325585757</v>
      </c>
      <c r="F953" s="168">
        <f t="shared" ca="1" si="145"/>
        <v>5.0750782341101113</v>
      </c>
      <c r="G953" s="168">
        <f t="shared" ca="1" si="146"/>
        <v>-5.8021868231070242</v>
      </c>
      <c r="H953" s="184">
        <f t="shared" ca="1" si="147"/>
        <v>-0.73328766637896226</v>
      </c>
      <c r="I953" s="184">
        <f t="shared" ca="1" si="148"/>
        <v>0.76793186163207805</v>
      </c>
      <c r="J953" s="223">
        <f t="shared" ca="1" si="149"/>
        <v>0</v>
      </c>
      <c r="K953" s="220" t="str" cm="1">
        <f t="array" aca="1" ref="K953" ca="1">_xlfn.IFS(G953&lt;$B$11,"Fail",G953&lt;25,"Marginal",G953&lt;35,"Solid",TRUE,"Blowout")</f>
        <v>Fail</v>
      </c>
      <c r="L953" s="226">
        <f ca="1">IF(AND(E953&lt;$B$10,C953&gt;=$B$11),1,0)</f>
        <v>0</v>
      </c>
      <c r="M953" s="217" t="str" cm="1">
        <f t="array" aca="1" ref="M953" ca="1">_xlfn.IFS(C953&lt;$B$11,"Fail",C953&lt;25,"Marginal",C953&lt;35,"Solid",TRUE,"Blowout")</f>
        <v>Fail</v>
      </c>
    </row>
    <row r="954" spans="1:13" x14ac:dyDescent="0.25">
      <c r="A954" s="169">
        <f t="shared" ca="1" si="140"/>
        <v>47.492270617357264</v>
      </c>
      <c r="B954" s="168">
        <f t="shared" ca="1" si="141"/>
        <v>6.4381306247684673</v>
      </c>
      <c r="C954" s="168">
        <f t="shared" ca="1" si="142"/>
        <v>41.054139992588794</v>
      </c>
      <c r="D954" s="184">
        <f t="shared" ca="1" si="143"/>
        <v>5.188473833774272</v>
      </c>
      <c r="E954" s="230">
        <f t="shared" ca="1" si="144"/>
        <v>2.3407815906690322E-7</v>
      </c>
      <c r="F954" s="168">
        <f t="shared" ca="1" si="145"/>
        <v>25.16633641954445</v>
      </c>
      <c r="G954" s="168">
        <f t="shared" ca="1" si="146"/>
        <v>18.728205794775981</v>
      </c>
      <c r="H954" s="184">
        <f t="shared" ca="1" si="147"/>
        <v>2.3668941972058457</v>
      </c>
      <c r="I954" s="184">
        <f t="shared" ca="1" si="148"/>
        <v>9.3874010231438602E-3</v>
      </c>
      <c r="J954" s="223">
        <f t="shared" ca="1" si="149"/>
        <v>0</v>
      </c>
      <c r="K954" s="220" t="str" cm="1">
        <f t="array" aca="1" ref="K954" ca="1">_xlfn.IFS(G954&lt;$B$11,"Fail",G954&lt;25,"Marginal",G954&lt;35,"Solid",TRUE,"Blowout")</f>
        <v>Fail</v>
      </c>
      <c r="L954" s="226">
        <f ca="1">IF(AND(E954&lt;$B$10,C954&gt;=$B$11),1,0)</f>
        <v>1</v>
      </c>
      <c r="M954" s="217" t="str" cm="1">
        <f t="array" aca="1" ref="M954" ca="1">_xlfn.IFS(C954&lt;$B$11,"Fail",C954&lt;25,"Marginal",C954&lt;35,"Solid",TRUE,"Blowout")</f>
        <v>Blowout</v>
      </c>
    </row>
    <row r="955" spans="1:13" x14ac:dyDescent="0.25">
      <c r="A955" s="169">
        <f t="shared" ca="1" si="140"/>
        <v>68.049471643272838</v>
      </c>
      <c r="B955" s="168">
        <f t="shared" ca="1" si="141"/>
        <v>3.1824989824679779</v>
      </c>
      <c r="C955" s="168">
        <f t="shared" ca="1" si="142"/>
        <v>64.866972660804862</v>
      </c>
      <c r="D955" s="184">
        <f t="shared" ca="1" si="143"/>
        <v>8.1979695686596745</v>
      </c>
      <c r="E955" s="230">
        <f t="shared" ca="1" si="144"/>
        <v>8.8474832045535151E-15</v>
      </c>
      <c r="F955" s="168">
        <f t="shared" ca="1" si="145"/>
        <v>20.668606929739234</v>
      </c>
      <c r="G955" s="168">
        <f t="shared" ca="1" si="146"/>
        <v>17.486107947271258</v>
      </c>
      <c r="H955" s="184">
        <f t="shared" ca="1" si="147"/>
        <v>2.2099163094232983</v>
      </c>
      <c r="I955" s="184">
        <f t="shared" ca="1" si="148"/>
        <v>1.4052669011552115E-2</v>
      </c>
      <c r="J955" s="223">
        <f t="shared" ca="1" si="149"/>
        <v>0</v>
      </c>
      <c r="K955" s="220" t="str" cm="1">
        <f t="array" aca="1" ref="K955" ca="1">_xlfn.IFS(G955&lt;$B$11,"Fail",G955&lt;25,"Marginal",G955&lt;35,"Solid",TRUE,"Blowout")</f>
        <v>Fail</v>
      </c>
      <c r="L955" s="226">
        <f ca="1">IF(AND(E955&lt;$B$10,C955&gt;=$B$11),1,0)</f>
        <v>1</v>
      </c>
      <c r="M955" s="217" t="str" cm="1">
        <f t="array" aca="1" ref="M955" ca="1">_xlfn.IFS(C955&lt;$B$11,"Fail",C955&lt;25,"Marginal",C955&lt;35,"Solid",TRUE,"Blowout")</f>
        <v>Blowout</v>
      </c>
    </row>
    <row r="956" spans="1:13" x14ac:dyDescent="0.25">
      <c r="A956" s="169">
        <f t="shared" ca="1" si="140"/>
        <v>3.7282022323487336</v>
      </c>
      <c r="B956" s="168">
        <f t="shared" ca="1" si="141"/>
        <v>7.2801677817538657</v>
      </c>
      <c r="C956" s="168">
        <f t="shared" ca="1" si="142"/>
        <v>-3.5519655494051321</v>
      </c>
      <c r="D956" s="184">
        <f t="shared" ca="1" si="143"/>
        <v>-0.44890187237835422</v>
      </c>
      <c r="E956" s="230">
        <f t="shared" ca="1" si="144"/>
        <v>0.67303559361956777</v>
      </c>
      <c r="F956" s="168">
        <f t="shared" ca="1" si="145"/>
        <v>22.018136962635023</v>
      </c>
      <c r="G956" s="168">
        <f t="shared" ca="1" si="146"/>
        <v>14.737969180881157</v>
      </c>
      <c r="H956" s="184">
        <f t="shared" ca="1" si="147"/>
        <v>1.8626030766148713</v>
      </c>
      <c r="I956" s="184">
        <f t="shared" ca="1" si="148"/>
        <v>3.1902175721310905E-2</v>
      </c>
      <c r="J956" s="223">
        <f t="shared" ca="1" si="149"/>
        <v>0</v>
      </c>
      <c r="K956" s="220" t="str" cm="1">
        <f t="array" aca="1" ref="K956" ca="1">_xlfn.IFS(G956&lt;$B$11,"Fail",G956&lt;25,"Marginal",G956&lt;35,"Solid",TRUE,"Blowout")</f>
        <v>Fail</v>
      </c>
      <c r="L956" s="226">
        <f ca="1">IF(AND(E956&lt;$B$10,C956&gt;=$B$11),1,0)</f>
        <v>0</v>
      </c>
      <c r="M956" s="217" t="str" cm="1">
        <f t="array" aca="1" ref="M956" ca="1">_xlfn.IFS(C956&lt;$B$11,"Fail",C956&lt;25,"Marginal",C956&lt;35,"Solid",TRUE,"Blowout")</f>
        <v>Fail</v>
      </c>
    </row>
    <row r="957" spans="1:13" x14ac:dyDescent="0.25">
      <c r="A957" s="169">
        <f t="shared" ca="1" si="140"/>
        <v>58.739503233879319</v>
      </c>
      <c r="B957" s="168">
        <f t="shared" ca="1" si="141"/>
        <v>6.3454882949322746</v>
      </c>
      <c r="C957" s="168">
        <f t="shared" ca="1" si="142"/>
        <v>52.394014938947045</v>
      </c>
      <c r="D957" s="184">
        <f t="shared" ca="1" si="143"/>
        <v>6.6216214882635285</v>
      </c>
      <c r="E957" s="230">
        <f t="shared" ca="1" si="144"/>
        <v>1.2592781949766984E-10</v>
      </c>
      <c r="F957" s="168">
        <f t="shared" ca="1" si="145"/>
        <v>43.477126454993332</v>
      </c>
      <c r="G957" s="168">
        <f t="shared" ca="1" si="146"/>
        <v>37.131638160061058</v>
      </c>
      <c r="H957" s="184">
        <f t="shared" ca="1" si="147"/>
        <v>4.692743120022242</v>
      </c>
      <c r="I957" s="184">
        <f t="shared" ca="1" si="148"/>
        <v>2.3247525059341098E-6</v>
      </c>
      <c r="J957" s="223">
        <f t="shared" ca="1" si="149"/>
        <v>1</v>
      </c>
      <c r="K957" s="220" t="str" cm="1">
        <f t="array" aca="1" ref="K957" ca="1">_xlfn.IFS(G957&lt;$B$11,"Fail",G957&lt;25,"Marginal",G957&lt;35,"Solid",TRUE,"Blowout")</f>
        <v>Blowout</v>
      </c>
      <c r="L957" s="226">
        <f ca="1">IF(AND(E957&lt;$B$10,C957&gt;=$B$11),1,0)</f>
        <v>1</v>
      </c>
      <c r="M957" s="217" t="str" cm="1">
        <f t="array" aca="1" ref="M957" ca="1">_xlfn.IFS(C957&lt;$B$11,"Fail",C957&lt;25,"Marginal",C957&lt;35,"Solid",TRUE,"Blowout")</f>
        <v>Blowout</v>
      </c>
    </row>
    <row r="958" spans="1:13" x14ac:dyDescent="0.25">
      <c r="A958" s="169">
        <f t="shared" ca="1" si="140"/>
        <v>-1.6682105977834072</v>
      </c>
      <c r="B958" s="168">
        <f t="shared" ca="1" si="141"/>
        <v>4.1936181693835284</v>
      </c>
      <c r="C958" s="168">
        <f t="shared" ca="1" si="142"/>
        <v>-5.8618287671669354</v>
      </c>
      <c r="D958" s="184">
        <f t="shared" ca="1" si="143"/>
        <v>-0.74082529026308552</v>
      </c>
      <c r="E958" s="230">
        <f t="shared" ca="1" si="144"/>
        <v>0.77021917503439097</v>
      </c>
      <c r="F958" s="168">
        <f t="shared" ca="1" si="145"/>
        <v>10.28864503346367</v>
      </c>
      <c r="G958" s="168">
        <f t="shared" ca="1" si="146"/>
        <v>6.0950268640801415</v>
      </c>
      <c r="H958" s="184">
        <f t="shared" ca="1" si="147"/>
        <v>0.77029715897446394</v>
      </c>
      <c r="I958" s="184">
        <f t="shared" ca="1" si="148"/>
        <v>0.22096052517322984</v>
      </c>
      <c r="J958" s="223">
        <f t="shared" ca="1" si="149"/>
        <v>0</v>
      </c>
      <c r="K958" s="220" t="str" cm="1">
        <f t="array" aca="1" ref="K958" ca="1">_xlfn.IFS(G958&lt;$B$11,"Fail",G958&lt;25,"Marginal",G958&lt;35,"Solid",TRUE,"Blowout")</f>
        <v>Fail</v>
      </c>
      <c r="L958" s="226">
        <f ca="1">IF(AND(E958&lt;$B$10,C958&gt;=$B$11),1,0)</f>
        <v>0</v>
      </c>
      <c r="M958" s="217" t="str" cm="1">
        <f t="array" aca="1" ref="M958" ca="1">_xlfn.IFS(C958&lt;$B$11,"Fail",C958&lt;25,"Marginal",C958&lt;35,"Solid",TRUE,"Blowout")</f>
        <v>Fail</v>
      </c>
    </row>
    <row r="959" spans="1:13" x14ac:dyDescent="0.25">
      <c r="A959" s="169">
        <f t="shared" ca="1" si="140"/>
        <v>52.431553417079343</v>
      </c>
      <c r="B959" s="168">
        <f t="shared" ca="1" si="141"/>
        <v>6.1570027765465616</v>
      </c>
      <c r="C959" s="168">
        <f t="shared" ca="1" si="142"/>
        <v>46.27455064053278</v>
      </c>
      <c r="D959" s="184">
        <f t="shared" ca="1" si="143"/>
        <v>5.8482358956102667</v>
      </c>
      <c r="E959" s="230">
        <f t="shared" ca="1" si="144"/>
        <v>8.551903481601566E-9</v>
      </c>
      <c r="F959" s="168">
        <f t="shared" ca="1" si="145"/>
        <v>5.0733599497723292</v>
      </c>
      <c r="G959" s="168">
        <f t="shared" ca="1" si="146"/>
        <v>-1.0836428267742324</v>
      </c>
      <c r="H959" s="184">
        <f t="shared" ca="1" si="147"/>
        <v>-0.13695214302114894</v>
      </c>
      <c r="I959" s="184">
        <f t="shared" ca="1" si="148"/>
        <v>0.55440526045648286</v>
      </c>
      <c r="J959" s="223">
        <f t="shared" ca="1" si="149"/>
        <v>0</v>
      </c>
      <c r="K959" s="220" t="str" cm="1">
        <f t="array" aca="1" ref="K959" ca="1">_xlfn.IFS(G959&lt;$B$11,"Fail",G959&lt;25,"Marginal",G959&lt;35,"Solid",TRUE,"Blowout")</f>
        <v>Fail</v>
      </c>
      <c r="L959" s="226">
        <f ca="1">IF(AND(E959&lt;$B$10,C959&gt;=$B$11),1,0)</f>
        <v>1</v>
      </c>
      <c r="M959" s="217" t="str" cm="1">
        <f t="array" aca="1" ref="M959" ca="1">_xlfn.IFS(C959&lt;$B$11,"Fail",C959&lt;25,"Marginal",C959&lt;35,"Solid",TRUE,"Blowout")</f>
        <v>Blowout</v>
      </c>
    </row>
    <row r="960" spans="1:13" x14ac:dyDescent="0.25">
      <c r="A960" s="169">
        <f t="shared" ca="1" si="140"/>
        <v>10.918056033679708</v>
      </c>
      <c r="B960" s="168">
        <f t="shared" ca="1" si="141"/>
        <v>2.9872240541769619</v>
      </c>
      <c r="C960" s="168">
        <f t="shared" ca="1" si="142"/>
        <v>7.930831979502746</v>
      </c>
      <c r="D960" s="184">
        <f t="shared" ca="1" si="143"/>
        <v>1.0023085178045021</v>
      </c>
      <c r="E960" s="230">
        <f t="shared" ca="1" si="144"/>
        <v>0.15862858159125925</v>
      </c>
      <c r="F960" s="168">
        <f t="shared" ca="1" si="145"/>
        <v>10.12392050820271</v>
      </c>
      <c r="G960" s="168">
        <f t="shared" ca="1" si="146"/>
        <v>7.1366964540257483</v>
      </c>
      <c r="H960" s="184">
        <f t="shared" ca="1" si="147"/>
        <v>0.90194467154802715</v>
      </c>
      <c r="I960" s="184">
        <f t="shared" ca="1" si="148"/>
        <v>0.18401903607077957</v>
      </c>
      <c r="J960" s="223">
        <f t="shared" ca="1" si="149"/>
        <v>0</v>
      </c>
      <c r="K960" s="220" t="str" cm="1">
        <f t="array" aca="1" ref="K960" ca="1">_xlfn.IFS(G960&lt;$B$11,"Fail",G960&lt;25,"Marginal",G960&lt;35,"Solid",TRUE,"Blowout")</f>
        <v>Fail</v>
      </c>
      <c r="L960" s="226">
        <f ca="1">IF(AND(E960&lt;$B$10,C960&gt;=$B$11),1,0)</f>
        <v>0</v>
      </c>
      <c r="M960" s="217" t="str" cm="1">
        <f t="array" aca="1" ref="M960" ca="1">_xlfn.IFS(C960&lt;$B$11,"Fail",C960&lt;25,"Marginal",C960&lt;35,"Solid",TRUE,"Blowout")</f>
        <v>Fail</v>
      </c>
    </row>
    <row r="961" spans="1:13" x14ac:dyDescent="0.25">
      <c r="A961" s="169">
        <f t="shared" ca="1" si="140"/>
        <v>44.205270179310205</v>
      </c>
      <c r="B961" s="168">
        <f t="shared" ca="1" si="141"/>
        <v>8.2311352155792203</v>
      </c>
      <c r="C961" s="168">
        <f t="shared" ca="1" si="142"/>
        <v>35.974134963730982</v>
      </c>
      <c r="D961" s="184">
        <f t="shared" ca="1" si="143"/>
        <v>4.5464564106245335</v>
      </c>
      <c r="E961" s="230">
        <f t="shared" ca="1" si="144"/>
        <v>4.4285779860961711E-6</v>
      </c>
      <c r="F961" s="168">
        <f t="shared" ca="1" si="145"/>
        <v>42.319031287068974</v>
      </c>
      <c r="G961" s="168">
        <f t="shared" ca="1" si="146"/>
        <v>34.087896071489752</v>
      </c>
      <c r="H961" s="184">
        <f t="shared" ca="1" si="147"/>
        <v>4.308071167664683</v>
      </c>
      <c r="I961" s="184">
        <f t="shared" ca="1" si="148"/>
        <v>1.2243993116344903E-5</v>
      </c>
      <c r="J961" s="223">
        <f t="shared" ca="1" si="149"/>
        <v>1</v>
      </c>
      <c r="K961" s="220" t="str" cm="1">
        <f t="array" aca="1" ref="K961" ca="1">_xlfn.IFS(G961&lt;$B$11,"Fail",G961&lt;25,"Marginal",G961&lt;35,"Solid",TRUE,"Blowout")</f>
        <v>Solid</v>
      </c>
      <c r="L961" s="226">
        <f ca="1">IF(AND(E961&lt;$B$10,C961&gt;=$B$11),1,0)</f>
        <v>1</v>
      </c>
      <c r="M961" s="217" t="str" cm="1">
        <f t="array" aca="1" ref="M961" ca="1">_xlfn.IFS(C961&lt;$B$11,"Fail",C961&lt;25,"Marginal",C961&lt;35,"Solid",TRUE,"Blowout")</f>
        <v>Blowout</v>
      </c>
    </row>
    <row r="962" spans="1:13" x14ac:dyDescent="0.25">
      <c r="A962" s="169">
        <f t="shared" ca="1" si="140"/>
        <v>32.095395147913187</v>
      </c>
      <c r="B962" s="168">
        <f t="shared" ca="1" si="141"/>
        <v>5.103234511035863</v>
      </c>
      <c r="C962" s="168">
        <f t="shared" ca="1" si="142"/>
        <v>26.992160636877323</v>
      </c>
      <c r="D962" s="184">
        <f t="shared" ca="1" si="143"/>
        <v>3.4113032012545323</v>
      </c>
      <c r="E962" s="230">
        <f t="shared" ca="1" si="144"/>
        <v>3.8235451015050485E-4</v>
      </c>
      <c r="F962" s="168">
        <f t="shared" ca="1" si="145"/>
        <v>1.0943450995026884</v>
      </c>
      <c r="G962" s="168">
        <f t="shared" ca="1" si="146"/>
        <v>-4.0088894115331746</v>
      </c>
      <c r="H962" s="184">
        <f t="shared" ca="1" si="147"/>
        <v>-0.50664848461055301</v>
      </c>
      <c r="I962" s="184">
        <f t="shared" ca="1" si="148"/>
        <v>0.69355445766468438</v>
      </c>
      <c r="J962" s="223">
        <f t="shared" ca="1" si="149"/>
        <v>0</v>
      </c>
      <c r="K962" s="220" t="str" cm="1">
        <f t="array" aca="1" ref="K962" ca="1">_xlfn.IFS(G962&lt;$B$11,"Fail",G962&lt;25,"Marginal",G962&lt;35,"Solid",TRUE,"Blowout")</f>
        <v>Fail</v>
      </c>
      <c r="L962" s="226">
        <f ca="1">IF(AND(E962&lt;$B$10,C962&gt;=$B$11),1,0)</f>
        <v>1</v>
      </c>
      <c r="M962" s="217" t="str" cm="1">
        <f t="array" aca="1" ref="M962" ca="1">_xlfn.IFS(C962&lt;$B$11,"Fail",C962&lt;25,"Marginal",C962&lt;35,"Solid",TRUE,"Blowout")</f>
        <v>Solid</v>
      </c>
    </row>
    <row r="963" spans="1:13" x14ac:dyDescent="0.25">
      <c r="A963" s="169">
        <f t="shared" ca="1" si="140"/>
        <v>7.9732264081632547</v>
      </c>
      <c r="B963" s="168">
        <f t="shared" ca="1" si="141"/>
        <v>2.7118746309511632</v>
      </c>
      <c r="C963" s="168">
        <f t="shared" ca="1" si="142"/>
        <v>5.2613517772120915</v>
      </c>
      <c r="D963" s="184">
        <f t="shared" ca="1" si="143"/>
        <v>0.66493625323230932</v>
      </c>
      <c r="E963" s="230">
        <f t="shared" ca="1" si="144"/>
        <v>0.25338163731412344</v>
      </c>
      <c r="F963" s="168">
        <f t="shared" ca="1" si="145"/>
        <v>-5.243195678390344</v>
      </c>
      <c r="G963" s="168">
        <f t="shared" ca="1" si="146"/>
        <v>-7.9550703093415072</v>
      </c>
      <c r="H963" s="184">
        <f t="shared" ca="1" si="147"/>
        <v>-1.0053717884068216</v>
      </c>
      <c r="I963" s="184">
        <f t="shared" ca="1" si="148"/>
        <v>0.84210817758783396</v>
      </c>
      <c r="J963" s="223">
        <f t="shared" ca="1" si="149"/>
        <v>0</v>
      </c>
      <c r="K963" s="220" t="str" cm="1">
        <f t="array" aca="1" ref="K963" ca="1">_xlfn.IFS(G963&lt;$B$11,"Fail",G963&lt;25,"Marginal",G963&lt;35,"Solid",TRUE,"Blowout")</f>
        <v>Fail</v>
      </c>
      <c r="L963" s="226">
        <f ca="1">IF(AND(E963&lt;$B$10,C963&gt;=$B$11),1,0)</f>
        <v>0</v>
      </c>
      <c r="M963" s="217" t="str" cm="1">
        <f t="array" aca="1" ref="M963" ca="1">_xlfn.IFS(C963&lt;$B$11,"Fail",C963&lt;25,"Marginal",C963&lt;35,"Solid",TRUE,"Blowout")</f>
        <v>Fail</v>
      </c>
    </row>
    <row r="964" spans="1:13" x14ac:dyDescent="0.25">
      <c r="A964" s="169">
        <f t="shared" ca="1" si="140"/>
        <v>30.699008352213752</v>
      </c>
      <c r="B964" s="168">
        <f t="shared" ca="1" si="141"/>
        <v>10.254012265316923</v>
      </c>
      <c r="C964" s="168">
        <f t="shared" ca="1" si="142"/>
        <v>20.444996086896829</v>
      </c>
      <c r="D964" s="184">
        <f t="shared" ca="1" si="143"/>
        <v>2.5838643130176671</v>
      </c>
      <c r="E964" s="230">
        <f t="shared" ca="1" si="144"/>
        <v>5.1969958534826112E-3</v>
      </c>
      <c r="F964" s="168">
        <f t="shared" ca="1" si="145"/>
        <v>21.782941269046109</v>
      </c>
      <c r="G964" s="168">
        <f t="shared" ca="1" si="146"/>
        <v>11.528929003729186</v>
      </c>
      <c r="H964" s="184">
        <f t="shared" ca="1" si="147"/>
        <v>1.4570405439765293</v>
      </c>
      <c r="I964" s="184">
        <f t="shared" ca="1" si="148"/>
        <v>7.3240514849055235E-2</v>
      </c>
      <c r="J964" s="223">
        <f t="shared" ca="1" si="149"/>
        <v>0</v>
      </c>
      <c r="K964" s="220" t="str" cm="1">
        <f t="array" aca="1" ref="K964" ca="1">_xlfn.IFS(G964&lt;$B$11,"Fail",G964&lt;25,"Marginal",G964&lt;35,"Solid",TRUE,"Blowout")</f>
        <v>Fail</v>
      </c>
      <c r="L964" s="226">
        <f ca="1">IF(AND(E964&lt;$B$10,C964&gt;=$B$11),1,0)</f>
        <v>1</v>
      </c>
      <c r="M964" s="217" t="str" cm="1">
        <f t="array" aca="1" ref="M964" ca="1">_xlfn.IFS(C964&lt;$B$11,"Fail",C964&lt;25,"Marginal",C964&lt;35,"Solid",TRUE,"Blowout")</f>
        <v>Marginal</v>
      </c>
    </row>
    <row r="965" spans="1:13" x14ac:dyDescent="0.25">
      <c r="A965" s="169">
        <f t="shared" ca="1" si="140"/>
        <v>55.334516950724364</v>
      </c>
      <c r="B965" s="168">
        <f t="shared" ca="1" si="141"/>
        <v>18.109801189466747</v>
      </c>
      <c r="C965" s="168">
        <f t="shared" ca="1" si="142"/>
        <v>37.224715761257613</v>
      </c>
      <c r="D965" s="184">
        <f t="shared" ca="1" si="143"/>
        <v>4.7045063842973187</v>
      </c>
      <c r="E965" s="230">
        <f t="shared" ca="1" si="144"/>
        <v>2.2058785055260326E-6</v>
      </c>
      <c r="F965" s="168">
        <f t="shared" ca="1" si="145"/>
        <v>40.564998280896511</v>
      </c>
      <c r="G965" s="168">
        <f t="shared" ca="1" si="146"/>
        <v>22.455197091429763</v>
      </c>
      <c r="H965" s="184">
        <f t="shared" ca="1" si="147"/>
        <v>2.8379160435990096</v>
      </c>
      <c r="I965" s="184">
        <f t="shared" ca="1" si="148"/>
        <v>2.4751593426230708E-3</v>
      </c>
      <c r="J965" s="223">
        <f t="shared" ca="1" si="149"/>
        <v>1</v>
      </c>
      <c r="K965" s="220" t="str" cm="1">
        <f t="array" aca="1" ref="K965" ca="1">_xlfn.IFS(G965&lt;$B$11,"Fail",G965&lt;25,"Marginal",G965&lt;35,"Solid",TRUE,"Blowout")</f>
        <v>Marginal</v>
      </c>
      <c r="L965" s="226">
        <f ca="1">IF(AND(E965&lt;$B$10,C965&gt;=$B$11),1,0)</f>
        <v>1</v>
      </c>
      <c r="M965" s="217" t="str" cm="1">
        <f t="array" aca="1" ref="M965" ca="1">_xlfn.IFS(C965&lt;$B$11,"Fail",C965&lt;25,"Marginal",C965&lt;35,"Solid",TRUE,"Blowout")</f>
        <v>Blowout</v>
      </c>
    </row>
    <row r="966" spans="1:13" x14ac:dyDescent="0.25">
      <c r="A966" s="169">
        <f t="shared" ca="1" si="140"/>
        <v>51.425142873332291</v>
      </c>
      <c r="B966" s="168">
        <f t="shared" ca="1" si="141"/>
        <v>-1.6869953075554456</v>
      </c>
      <c r="C966" s="168">
        <f t="shared" ca="1" si="142"/>
        <v>53.11213818088774</v>
      </c>
      <c r="D966" s="184">
        <f t="shared" ca="1" si="143"/>
        <v>6.7123788065487746</v>
      </c>
      <c r="E966" s="230">
        <f t="shared" ca="1" si="144"/>
        <v>7.5076376258343914E-11</v>
      </c>
      <c r="F966" s="168">
        <f t="shared" ca="1" si="145"/>
        <v>50.214715108419483</v>
      </c>
      <c r="G966" s="168">
        <f t="shared" ca="1" si="146"/>
        <v>51.901710415974932</v>
      </c>
      <c r="H966" s="184">
        <f t="shared" ca="1" si="147"/>
        <v>6.5594034236261827</v>
      </c>
      <c r="I966" s="184">
        <f t="shared" ca="1" si="148"/>
        <v>1.7905303277129193E-10</v>
      </c>
      <c r="J966" s="223">
        <f t="shared" ca="1" si="149"/>
        <v>1</v>
      </c>
      <c r="K966" s="220" t="str" cm="1">
        <f t="array" aca="1" ref="K966" ca="1">_xlfn.IFS(G966&lt;$B$11,"Fail",G966&lt;25,"Marginal",G966&lt;35,"Solid",TRUE,"Blowout")</f>
        <v>Blowout</v>
      </c>
      <c r="L966" s="226">
        <f ca="1">IF(AND(E966&lt;$B$10,C966&gt;=$B$11),1,0)</f>
        <v>1</v>
      </c>
      <c r="M966" s="217" t="str" cm="1">
        <f t="array" aca="1" ref="M966" ca="1">_xlfn.IFS(C966&lt;$B$11,"Fail",C966&lt;25,"Marginal",C966&lt;35,"Solid",TRUE,"Blowout")</f>
        <v>Blowout</v>
      </c>
    </row>
    <row r="967" spans="1:13" x14ac:dyDescent="0.25">
      <c r="A967" s="169">
        <f t="shared" ca="1" si="140"/>
        <v>30.032342919483753</v>
      </c>
      <c r="B967" s="168">
        <f t="shared" ca="1" si="141"/>
        <v>3.8396627289104761</v>
      </c>
      <c r="C967" s="168">
        <f t="shared" ca="1" si="142"/>
        <v>26.192680190573277</v>
      </c>
      <c r="D967" s="184">
        <f t="shared" ca="1" si="143"/>
        <v>3.310263857183227</v>
      </c>
      <c r="E967" s="230">
        <f t="shared" ca="1" si="144"/>
        <v>5.4170038207984887E-4</v>
      </c>
      <c r="F967" s="168">
        <f t="shared" ca="1" si="145"/>
        <v>22.811855220372458</v>
      </c>
      <c r="G967" s="168">
        <f t="shared" ca="1" si="146"/>
        <v>18.972192491461982</v>
      </c>
      <c r="H967" s="184">
        <f t="shared" ca="1" si="147"/>
        <v>2.3977295427221046</v>
      </c>
      <c r="I967" s="184">
        <f t="shared" ca="1" si="148"/>
        <v>8.6513457941907335E-3</v>
      </c>
      <c r="J967" s="223">
        <f t="shared" ca="1" si="149"/>
        <v>0</v>
      </c>
      <c r="K967" s="220" t="str" cm="1">
        <f t="array" aca="1" ref="K967" ca="1">_xlfn.IFS(G967&lt;$B$11,"Fail",G967&lt;25,"Marginal",G967&lt;35,"Solid",TRUE,"Blowout")</f>
        <v>Fail</v>
      </c>
      <c r="L967" s="226">
        <f ca="1">IF(AND(E967&lt;$B$10,C967&gt;=$B$11),1,0)</f>
        <v>1</v>
      </c>
      <c r="M967" s="217" t="str" cm="1">
        <f t="array" aca="1" ref="M967" ca="1">_xlfn.IFS(C967&lt;$B$11,"Fail",C967&lt;25,"Marginal",C967&lt;35,"Solid",TRUE,"Blowout")</f>
        <v>Solid</v>
      </c>
    </row>
    <row r="968" spans="1:13" x14ac:dyDescent="0.25">
      <c r="A968" s="169">
        <f t="shared" ca="1" si="140"/>
        <v>1.0329281133379145</v>
      </c>
      <c r="B968" s="168">
        <f t="shared" ca="1" si="141"/>
        <v>10.402808587090824</v>
      </c>
      <c r="C968" s="168">
        <f t="shared" ca="1" si="142"/>
        <v>-9.3698804737529091</v>
      </c>
      <c r="D968" s="184">
        <f t="shared" ca="1" si="143"/>
        <v>-1.1841772759686509</v>
      </c>
      <c r="E968" s="230">
        <f t="shared" ca="1" si="144"/>
        <v>0.88121203995238817</v>
      </c>
      <c r="F968" s="168">
        <f t="shared" ca="1" si="145"/>
        <v>16.513124486738608</v>
      </c>
      <c r="G968" s="168">
        <f t="shared" ca="1" si="146"/>
        <v>6.1103158996477838</v>
      </c>
      <c r="H968" s="184">
        <f t="shared" ca="1" si="147"/>
        <v>0.772229406513949</v>
      </c>
      <c r="I968" s="184">
        <f t="shared" ca="1" si="148"/>
        <v>0.22038913914041902</v>
      </c>
      <c r="J968" s="223">
        <f t="shared" ca="1" si="149"/>
        <v>0</v>
      </c>
      <c r="K968" s="220" t="str" cm="1">
        <f t="array" aca="1" ref="K968" ca="1">_xlfn.IFS(G968&lt;$B$11,"Fail",G968&lt;25,"Marginal",G968&lt;35,"Solid",TRUE,"Blowout")</f>
        <v>Fail</v>
      </c>
      <c r="L968" s="226">
        <f ca="1">IF(AND(E968&lt;$B$10,C968&gt;=$B$11),1,0)</f>
        <v>0</v>
      </c>
      <c r="M968" s="217" t="str" cm="1">
        <f t="array" aca="1" ref="M968" ca="1">_xlfn.IFS(C968&lt;$B$11,"Fail",C968&lt;25,"Marginal",C968&lt;35,"Solid",TRUE,"Blowout")</f>
        <v>Fail</v>
      </c>
    </row>
    <row r="969" spans="1:13" x14ac:dyDescent="0.25">
      <c r="A969" s="169">
        <f t="shared" ca="1" si="140"/>
        <v>38.614580963896756</v>
      </c>
      <c r="B969" s="168">
        <f t="shared" ca="1" si="141"/>
        <v>5.638338870481002</v>
      </c>
      <c r="C969" s="168">
        <f t="shared" ca="1" si="142"/>
        <v>32.976242093415756</v>
      </c>
      <c r="D969" s="184">
        <f t="shared" ca="1" si="143"/>
        <v>4.1675789401210244</v>
      </c>
      <c r="E969" s="230">
        <f t="shared" ca="1" si="144"/>
        <v>2.186170190492415E-5</v>
      </c>
      <c r="F969" s="168">
        <f t="shared" ca="1" si="145"/>
        <v>15.356177544014459</v>
      </c>
      <c r="G969" s="168">
        <f t="shared" ca="1" si="146"/>
        <v>9.717838673533457</v>
      </c>
      <c r="H969" s="184">
        <f t="shared" ca="1" si="147"/>
        <v>1.2281526707798558</v>
      </c>
      <c r="I969" s="184">
        <f t="shared" ca="1" si="148"/>
        <v>0.11032798446749192</v>
      </c>
      <c r="J969" s="223">
        <f t="shared" ca="1" si="149"/>
        <v>0</v>
      </c>
      <c r="K969" s="220" t="str" cm="1">
        <f t="array" aca="1" ref="K969" ca="1">_xlfn.IFS(G969&lt;$B$11,"Fail",G969&lt;25,"Marginal",G969&lt;35,"Solid",TRUE,"Blowout")</f>
        <v>Fail</v>
      </c>
      <c r="L969" s="226">
        <f ca="1">IF(AND(E969&lt;$B$10,C969&gt;=$B$11),1,0)</f>
        <v>1</v>
      </c>
      <c r="M969" s="217" t="str" cm="1">
        <f t="array" aca="1" ref="M969" ca="1">_xlfn.IFS(C969&lt;$B$11,"Fail",C969&lt;25,"Marginal",C969&lt;35,"Solid",TRUE,"Blowout")</f>
        <v>Solid</v>
      </c>
    </row>
    <row r="970" spans="1:13" x14ac:dyDescent="0.25">
      <c r="A970" s="169">
        <f t="shared" ca="1" si="140"/>
        <v>64.173076447116344</v>
      </c>
      <c r="B970" s="168">
        <f t="shared" ca="1" si="141"/>
        <v>8.9139951556300225</v>
      </c>
      <c r="C970" s="168">
        <f t="shared" ca="1" si="142"/>
        <v>55.259081291486325</v>
      </c>
      <c r="D970" s="184">
        <f t="shared" ca="1" si="143"/>
        <v>6.9837121764343353</v>
      </c>
      <c r="E970" s="230">
        <f t="shared" ca="1" si="144"/>
        <v>1.5582057025892774E-11</v>
      </c>
      <c r="F970" s="168">
        <f t="shared" ca="1" si="145"/>
        <v>18.827477180180203</v>
      </c>
      <c r="G970" s="168">
        <f t="shared" ca="1" si="146"/>
        <v>9.9134820245501807</v>
      </c>
      <c r="H970" s="184">
        <f t="shared" ca="1" si="147"/>
        <v>1.2528783234834671</v>
      </c>
      <c r="I970" s="184">
        <f t="shared" ca="1" si="148"/>
        <v>0.10576670814297361</v>
      </c>
      <c r="J970" s="223">
        <f t="shared" ca="1" si="149"/>
        <v>0</v>
      </c>
      <c r="K970" s="220" t="str" cm="1">
        <f t="array" aca="1" ref="K970" ca="1">_xlfn.IFS(G970&lt;$B$11,"Fail",G970&lt;25,"Marginal",G970&lt;35,"Solid",TRUE,"Blowout")</f>
        <v>Fail</v>
      </c>
      <c r="L970" s="226">
        <f ca="1">IF(AND(E970&lt;$B$10,C970&gt;=$B$11),1,0)</f>
        <v>1</v>
      </c>
      <c r="M970" s="217" t="str" cm="1">
        <f t="array" aca="1" ref="M970" ca="1">_xlfn.IFS(C970&lt;$B$11,"Fail",C970&lt;25,"Marginal",C970&lt;35,"Solid",TRUE,"Blowout")</f>
        <v>Blowout</v>
      </c>
    </row>
    <row r="971" spans="1:13" x14ac:dyDescent="0.25">
      <c r="A971" s="169">
        <f t="shared" ca="1" si="140"/>
        <v>32.956056040111207</v>
      </c>
      <c r="B971" s="168">
        <f t="shared" ca="1" si="141"/>
        <v>-1.8009818879315276</v>
      </c>
      <c r="C971" s="168">
        <f t="shared" ca="1" si="142"/>
        <v>34.757037928042735</v>
      </c>
      <c r="D971" s="184">
        <f t="shared" ca="1" si="143"/>
        <v>4.3926381568753943</v>
      </c>
      <c r="E971" s="230">
        <f t="shared" ca="1" si="144"/>
        <v>8.5765822471632239E-6</v>
      </c>
      <c r="F971" s="168">
        <f t="shared" ca="1" si="145"/>
        <v>48.166758018003463</v>
      </c>
      <c r="G971" s="168">
        <f t="shared" ca="1" si="146"/>
        <v>49.967739905934991</v>
      </c>
      <c r="H971" s="184">
        <f t="shared" ca="1" si="147"/>
        <v>6.3149857987911533</v>
      </c>
      <c r="I971" s="184">
        <f t="shared" ca="1" si="148"/>
        <v>6.9890660862941499E-10</v>
      </c>
      <c r="J971" s="223">
        <f t="shared" ca="1" si="149"/>
        <v>1</v>
      </c>
      <c r="K971" s="220" t="str" cm="1">
        <f t="array" aca="1" ref="K971" ca="1">_xlfn.IFS(G971&lt;$B$11,"Fail",G971&lt;25,"Marginal",G971&lt;35,"Solid",TRUE,"Blowout")</f>
        <v>Blowout</v>
      </c>
      <c r="L971" s="226">
        <f ca="1">IF(AND(E971&lt;$B$10,C971&gt;=$B$11),1,0)</f>
        <v>1</v>
      </c>
      <c r="M971" s="217" t="str" cm="1">
        <f t="array" aca="1" ref="M971" ca="1">_xlfn.IFS(C971&lt;$B$11,"Fail",C971&lt;25,"Marginal",C971&lt;35,"Solid",TRUE,"Blowout")</f>
        <v>Solid</v>
      </c>
    </row>
    <row r="972" spans="1:13" x14ac:dyDescent="0.25">
      <c r="A972" s="169">
        <f t="shared" ca="1" si="140"/>
        <v>53.511689198757949</v>
      </c>
      <c r="B972" s="168">
        <f t="shared" ca="1" si="141"/>
        <v>-0.7962081591242649</v>
      </c>
      <c r="C972" s="168">
        <f t="shared" ca="1" si="142"/>
        <v>54.307897357882212</v>
      </c>
      <c r="D972" s="184">
        <f t="shared" ca="1" si="143"/>
        <v>6.8635003548859528</v>
      </c>
      <c r="E972" s="230">
        <f t="shared" ca="1" si="144"/>
        <v>3.1422248852764635E-11</v>
      </c>
      <c r="F972" s="168">
        <f t="shared" ca="1" si="145"/>
        <v>33.406873387464501</v>
      </c>
      <c r="G972" s="168">
        <f t="shared" ca="1" si="146"/>
        <v>34.203081546588763</v>
      </c>
      <c r="H972" s="184">
        <f t="shared" ca="1" si="147"/>
        <v>4.3226284528420118</v>
      </c>
      <c r="I972" s="184">
        <f t="shared" ca="1" si="148"/>
        <v>1.152052278052086E-5</v>
      </c>
      <c r="J972" s="223">
        <f t="shared" ca="1" si="149"/>
        <v>1</v>
      </c>
      <c r="K972" s="220" t="str" cm="1">
        <f t="array" aca="1" ref="K972" ca="1">_xlfn.IFS(G972&lt;$B$11,"Fail",G972&lt;25,"Marginal",G972&lt;35,"Solid",TRUE,"Blowout")</f>
        <v>Solid</v>
      </c>
      <c r="L972" s="226">
        <f ca="1">IF(AND(E972&lt;$B$10,C972&gt;=$B$11),1,0)</f>
        <v>1</v>
      </c>
      <c r="M972" s="217" t="str" cm="1">
        <f t="array" aca="1" ref="M972" ca="1">_xlfn.IFS(C972&lt;$B$11,"Fail",C972&lt;25,"Marginal",C972&lt;35,"Solid",TRUE,"Blowout")</f>
        <v>Blowout</v>
      </c>
    </row>
    <row r="973" spans="1:13" x14ac:dyDescent="0.25">
      <c r="A973" s="169">
        <f t="shared" ca="1" si="140"/>
        <v>40.27559691209693</v>
      </c>
      <c r="B973" s="168">
        <f t="shared" ca="1" si="141"/>
        <v>11.161795989383817</v>
      </c>
      <c r="C973" s="168">
        <f t="shared" ca="1" si="142"/>
        <v>29.113800922713111</v>
      </c>
      <c r="D973" s="184">
        <f t="shared" ca="1" si="143"/>
        <v>3.6794387683307774</v>
      </c>
      <c r="E973" s="230">
        <f t="shared" ca="1" si="144"/>
        <v>1.4585460860535042E-4</v>
      </c>
      <c r="F973" s="168">
        <f t="shared" ca="1" si="145"/>
        <v>36.206023100897923</v>
      </c>
      <c r="G973" s="168">
        <f t="shared" ca="1" si="146"/>
        <v>25.044227111514104</v>
      </c>
      <c r="H973" s="184">
        <f t="shared" ca="1" si="147"/>
        <v>3.1651209129858402</v>
      </c>
      <c r="I973" s="184">
        <f t="shared" ca="1" si="148"/>
        <v>8.8078595753518702E-4</v>
      </c>
      <c r="J973" s="223">
        <f t="shared" ca="1" si="149"/>
        <v>1</v>
      </c>
      <c r="K973" s="220" t="str" cm="1">
        <f t="array" aca="1" ref="K973" ca="1">_xlfn.IFS(G973&lt;$B$11,"Fail",G973&lt;25,"Marginal",G973&lt;35,"Solid",TRUE,"Blowout")</f>
        <v>Solid</v>
      </c>
      <c r="L973" s="226">
        <f ca="1">IF(AND(E973&lt;$B$10,C973&gt;=$B$11),1,0)</f>
        <v>1</v>
      </c>
      <c r="M973" s="217" t="str" cm="1">
        <f t="array" aca="1" ref="M973" ca="1">_xlfn.IFS(C973&lt;$B$11,"Fail",C973&lt;25,"Marginal",C973&lt;35,"Solid",TRUE,"Blowout")</f>
        <v>Solid</v>
      </c>
    </row>
    <row r="974" spans="1:13" x14ac:dyDescent="0.25">
      <c r="A974" s="169">
        <f t="shared" ca="1" si="140"/>
        <v>39.302020387305866</v>
      </c>
      <c r="B974" s="168">
        <f t="shared" ca="1" si="141"/>
        <v>11.741523388774155</v>
      </c>
      <c r="C974" s="168">
        <f t="shared" ca="1" si="142"/>
        <v>27.560496998531711</v>
      </c>
      <c r="D974" s="184">
        <f t="shared" ca="1" si="143"/>
        <v>3.4831302652670431</v>
      </c>
      <c r="E974" s="230">
        <f t="shared" ca="1" si="144"/>
        <v>2.9700722266389753E-4</v>
      </c>
      <c r="F974" s="168">
        <f t="shared" ca="1" si="145"/>
        <v>7.099905118485462</v>
      </c>
      <c r="G974" s="168">
        <f t="shared" ca="1" si="146"/>
        <v>-4.641618270288693</v>
      </c>
      <c r="H974" s="184">
        <f t="shared" ca="1" si="147"/>
        <v>-0.5866135533738861</v>
      </c>
      <c r="I974" s="184">
        <f t="shared" ca="1" si="148"/>
        <v>0.72097818691991322</v>
      </c>
      <c r="J974" s="223">
        <f t="shared" ca="1" si="149"/>
        <v>0</v>
      </c>
      <c r="K974" s="220" t="str" cm="1">
        <f t="array" aca="1" ref="K974" ca="1">_xlfn.IFS(G974&lt;$B$11,"Fail",G974&lt;25,"Marginal",G974&lt;35,"Solid",TRUE,"Blowout")</f>
        <v>Fail</v>
      </c>
      <c r="L974" s="226">
        <f ca="1">IF(AND(E974&lt;$B$10,C974&gt;=$B$11),1,0)</f>
        <v>1</v>
      </c>
      <c r="M974" s="217" t="str" cm="1">
        <f t="array" aca="1" ref="M974" ca="1">_xlfn.IFS(C974&lt;$B$11,"Fail",C974&lt;25,"Marginal",C974&lt;35,"Solid",TRUE,"Blowout")</f>
        <v>Solid</v>
      </c>
    </row>
    <row r="975" spans="1:13" x14ac:dyDescent="0.25">
      <c r="A975" s="169">
        <f t="shared" ca="1" si="140"/>
        <v>13.466104297282925</v>
      </c>
      <c r="B975" s="168">
        <f t="shared" ca="1" si="141"/>
        <v>0.35897302261125841</v>
      </c>
      <c r="C975" s="168">
        <f t="shared" ca="1" si="142"/>
        <v>13.107131274671666</v>
      </c>
      <c r="D975" s="184">
        <f t="shared" ca="1" si="143"/>
        <v>1.6564957314111313</v>
      </c>
      <c r="E975" s="230">
        <f t="shared" ca="1" si="144"/>
        <v>4.9498483634420748E-2</v>
      </c>
      <c r="F975" s="168">
        <f t="shared" ca="1" si="145"/>
        <v>58.106614058565192</v>
      </c>
      <c r="G975" s="168">
        <f t="shared" ca="1" si="146"/>
        <v>57.747641035953933</v>
      </c>
      <c r="H975" s="184">
        <f t="shared" ca="1" si="147"/>
        <v>7.2982194860573131</v>
      </c>
      <c r="I975" s="184">
        <f t="shared" ca="1" si="148"/>
        <v>2.4022849787465888E-12</v>
      </c>
      <c r="J975" s="223">
        <f t="shared" ca="1" si="149"/>
        <v>1</v>
      </c>
      <c r="K975" s="220" t="str" cm="1">
        <f t="array" aca="1" ref="K975" ca="1">_xlfn.IFS(G975&lt;$B$11,"Fail",G975&lt;25,"Marginal",G975&lt;35,"Solid",TRUE,"Blowout")</f>
        <v>Blowout</v>
      </c>
      <c r="L975" s="226">
        <f ca="1">IF(AND(E975&lt;$B$10,C975&gt;=$B$11),1,0)</f>
        <v>0</v>
      </c>
      <c r="M975" s="217" t="str" cm="1">
        <f t="array" aca="1" ref="M975" ca="1">_xlfn.IFS(C975&lt;$B$11,"Fail",C975&lt;25,"Marginal",C975&lt;35,"Solid",TRUE,"Blowout")</f>
        <v>Fail</v>
      </c>
    </row>
    <row r="976" spans="1:13" x14ac:dyDescent="0.25">
      <c r="A976" s="169">
        <f t="shared" ca="1" si="140"/>
        <v>30.544786014875349</v>
      </c>
      <c r="B976" s="168">
        <f t="shared" ca="1" si="141"/>
        <v>5.2342621428720557</v>
      </c>
      <c r="C976" s="168">
        <f t="shared" ca="1" si="142"/>
        <v>25.310523872003294</v>
      </c>
      <c r="D976" s="184">
        <f t="shared" ca="1" si="143"/>
        <v>3.1987758324182396</v>
      </c>
      <c r="E976" s="230">
        <f t="shared" ca="1" si="144"/>
        <v>7.8808861568221359E-4</v>
      </c>
      <c r="F976" s="168">
        <f t="shared" ca="1" si="145"/>
        <v>50.796082771434406</v>
      </c>
      <c r="G976" s="168">
        <f t="shared" ca="1" si="146"/>
        <v>45.561820628562351</v>
      </c>
      <c r="H976" s="184">
        <f t="shared" ca="1" si="147"/>
        <v>5.7581601805101146</v>
      </c>
      <c r="I976" s="184">
        <f t="shared" ca="1" si="148"/>
        <v>1.3658005158947832E-8</v>
      </c>
      <c r="J976" s="223">
        <f t="shared" ca="1" si="149"/>
        <v>1</v>
      </c>
      <c r="K976" s="220" t="str" cm="1">
        <f t="array" aca="1" ref="K976" ca="1">_xlfn.IFS(G976&lt;$B$11,"Fail",G976&lt;25,"Marginal",G976&lt;35,"Solid",TRUE,"Blowout")</f>
        <v>Blowout</v>
      </c>
      <c r="L976" s="226">
        <f ca="1">IF(AND(E976&lt;$B$10,C976&gt;=$B$11),1,0)</f>
        <v>1</v>
      </c>
      <c r="M976" s="217" t="str" cm="1">
        <f t="array" aca="1" ref="M976" ca="1">_xlfn.IFS(C976&lt;$B$11,"Fail",C976&lt;25,"Marginal",C976&lt;35,"Solid",TRUE,"Blowout")</f>
        <v>Solid</v>
      </c>
    </row>
    <row r="977" spans="1:13" x14ac:dyDescent="0.25">
      <c r="A977" s="169">
        <f t="shared" ref="A977:A1005" ca="1" si="150">NORMINV(RAND(), MAX(0, NORMINV(RAND(), $B$6, $B$12)), $B$7/SQRT($B$9))</f>
        <v>2.3546461824834628</v>
      </c>
      <c r="B977" s="168">
        <f t="shared" ref="B977:B1005" ca="1" si="151">NORMINV(RAND(), $B$8, $B$7/SQRT($B$9))</f>
        <v>3.883390302385143</v>
      </c>
      <c r="C977" s="168">
        <f t="shared" ref="C977:C1005" ca="1" si="152">A977-B977</f>
        <v>-1.5287441199016802</v>
      </c>
      <c r="D977" s="184">
        <f t="shared" ref="D977:D1005" ca="1" si="153">C977/($B$7*SQRT(2/$B$9))</f>
        <v>-0.19320460411734419</v>
      </c>
      <c r="E977" s="230">
        <f t="shared" ref="E977:E1005" ca="1" si="154">_xlfn.T.DIST.RT(D977, 2*$B$9-2)</f>
        <v>0.57651463368422728</v>
      </c>
      <c r="F977" s="168">
        <f t="shared" ref="F977:F1005" ca="1" si="155">NORMINV(RAND(), MAX(0, NORMINV(RAND(), $N$7, $N$8)), $B$7/SQRT($B$9))</f>
        <v>13.044451461110981</v>
      </c>
      <c r="G977" s="168">
        <f t="shared" ref="G977:G1005" ca="1" si="156">F977-B977</f>
        <v>9.1610611587258379</v>
      </c>
      <c r="H977" s="184">
        <f t="shared" ref="H977:H1005" ca="1" si="157">G977/($B$7*SQRT(2/$B$9))</f>
        <v>1.1577864283659434</v>
      </c>
      <c r="I977" s="184">
        <f t="shared" ref="I977:I1005" ca="1" si="158">_xlfn.T.DIST.RT(H977, 2*$B$9-2)</f>
        <v>0.12408129992878275</v>
      </c>
      <c r="J977" s="223">
        <f t="shared" ref="J977:J1005" ca="1" si="159">IF(AND(I977&lt;$B$10, G977&gt;=$B$11), 1, 0)</f>
        <v>0</v>
      </c>
      <c r="K977" s="220" t="str" cm="1">
        <f t="array" aca="1" ref="K977" ca="1">_xlfn.IFS(G977&lt;$B$11,"Fail",G977&lt;25,"Marginal",G977&lt;35,"Solid",TRUE,"Blowout")</f>
        <v>Fail</v>
      </c>
      <c r="L977" s="226">
        <f ca="1">IF(AND(E977&lt;$B$10,C977&gt;=$B$11),1,0)</f>
        <v>0</v>
      </c>
      <c r="M977" s="217" t="str" cm="1">
        <f t="array" aca="1" ref="M977" ca="1">_xlfn.IFS(C977&lt;$B$11,"Fail",C977&lt;25,"Marginal",C977&lt;35,"Solid",TRUE,"Blowout")</f>
        <v>Fail</v>
      </c>
    </row>
    <row r="978" spans="1:13" x14ac:dyDescent="0.25">
      <c r="A978" s="169">
        <f t="shared" ca="1" si="150"/>
        <v>36.145196465288542</v>
      </c>
      <c r="B978" s="168">
        <f t="shared" ca="1" si="151"/>
        <v>13.112017317317326</v>
      </c>
      <c r="C978" s="168">
        <f t="shared" ca="1" si="152"/>
        <v>23.033179147971218</v>
      </c>
      <c r="D978" s="184">
        <f t="shared" ca="1" si="153"/>
        <v>2.9109621426598529</v>
      </c>
      <c r="E978" s="230">
        <f t="shared" ca="1" si="154"/>
        <v>1.9802223474694922E-3</v>
      </c>
      <c r="F978" s="168">
        <f t="shared" ca="1" si="155"/>
        <v>31.363285128505566</v>
      </c>
      <c r="G978" s="168">
        <f t="shared" ca="1" si="156"/>
        <v>18.251267811188242</v>
      </c>
      <c r="H978" s="184">
        <f t="shared" ca="1" si="157"/>
        <v>2.306618175137797</v>
      </c>
      <c r="I978" s="184">
        <f t="shared" ca="1" si="158"/>
        <v>1.0986891664617996E-2</v>
      </c>
      <c r="J978" s="223">
        <f t="shared" ca="1" si="159"/>
        <v>0</v>
      </c>
      <c r="K978" s="220" t="str" cm="1">
        <f t="array" aca="1" ref="K978" ca="1">_xlfn.IFS(G978&lt;$B$11,"Fail",G978&lt;25,"Marginal",G978&lt;35,"Solid",TRUE,"Blowout")</f>
        <v>Fail</v>
      </c>
      <c r="L978" s="226">
        <f ca="1">IF(AND(E978&lt;$B$10,C978&gt;=$B$11),1,0)</f>
        <v>1</v>
      </c>
      <c r="M978" s="217" t="str" cm="1">
        <f t="array" aca="1" ref="M978" ca="1">_xlfn.IFS(C978&lt;$B$11,"Fail",C978&lt;25,"Marginal",C978&lt;35,"Solid",TRUE,"Blowout")</f>
        <v>Marginal</v>
      </c>
    </row>
    <row r="979" spans="1:13" x14ac:dyDescent="0.25">
      <c r="A979" s="169">
        <f t="shared" ca="1" si="150"/>
        <v>4.618441509362488</v>
      </c>
      <c r="B979" s="168">
        <f t="shared" ca="1" si="151"/>
        <v>-4.4536721416334579</v>
      </c>
      <c r="C979" s="168">
        <f t="shared" ca="1" si="152"/>
        <v>9.072113650995945</v>
      </c>
      <c r="D979" s="184">
        <f t="shared" ca="1" si="153"/>
        <v>1.146545130496367</v>
      </c>
      <c r="E979" s="230">
        <f t="shared" ca="1" si="154"/>
        <v>0.1263857455717344</v>
      </c>
      <c r="F979" s="168">
        <f t="shared" ca="1" si="155"/>
        <v>9.4019194441188461</v>
      </c>
      <c r="G979" s="168">
        <f t="shared" ca="1" si="156"/>
        <v>13.855591585752304</v>
      </c>
      <c r="H979" s="184">
        <f t="shared" ca="1" si="157"/>
        <v>1.7510870866401407</v>
      </c>
      <c r="I979" s="184">
        <f t="shared" ca="1" si="158"/>
        <v>4.0637848205501557E-2</v>
      </c>
      <c r="J979" s="223">
        <f t="shared" ca="1" si="159"/>
        <v>0</v>
      </c>
      <c r="K979" s="220" t="str" cm="1">
        <f t="array" aca="1" ref="K979" ca="1">_xlfn.IFS(G979&lt;$B$11,"Fail",G979&lt;25,"Marginal",G979&lt;35,"Solid",TRUE,"Blowout")</f>
        <v>Fail</v>
      </c>
      <c r="L979" s="226">
        <f ca="1">IF(AND(E979&lt;$B$10,C979&gt;=$B$11),1,0)</f>
        <v>0</v>
      </c>
      <c r="M979" s="217" t="str" cm="1">
        <f t="array" aca="1" ref="M979" ca="1">_xlfn.IFS(C979&lt;$B$11,"Fail",C979&lt;25,"Marginal",C979&lt;35,"Solid",TRUE,"Blowout")</f>
        <v>Fail</v>
      </c>
    </row>
    <row r="980" spans="1:13" x14ac:dyDescent="0.25">
      <c r="A980" s="169">
        <f t="shared" ca="1" si="150"/>
        <v>31.404266529080029</v>
      </c>
      <c r="B980" s="168">
        <f t="shared" ca="1" si="151"/>
        <v>5.9734604458884277</v>
      </c>
      <c r="C980" s="168">
        <f t="shared" ca="1" si="152"/>
        <v>25.430806083191602</v>
      </c>
      <c r="D980" s="184">
        <f t="shared" ca="1" si="153"/>
        <v>3.2139772495111734</v>
      </c>
      <c r="E980" s="230">
        <f t="shared" ca="1" si="154"/>
        <v>7.4925684056256477E-4</v>
      </c>
      <c r="F980" s="168">
        <f t="shared" ca="1" si="155"/>
        <v>9.6806945607021344</v>
      </c>
      <c r="G980" s="168">
        <f t="shared" ca="1" si="156"/>
        <v>3.7072341148137067</v>
      </c>
      <c r="H980" s="184">
        <f t="shared" ca="1" si="157"/>
        <v>0.46852490890951742</v>
      </c>
      <c r="I980" s="184">
        <f t="shared" ca="1" si="158"/>
        <v>0.31992844162067768</v>
      </c>
      <c r="J980" s="223">
        <f t="shared" ca="1" si="159"/>
        <v>0</v>
      </c>
      <c r="K980" s="220" t="str" cm="1">
        <f t="array" aca="1" ref="K980" ca="1">_xlfn.IFS(G980&lt;$B$11,"Fail",G980&lt;25,"Marginal",G980&lt;35,"Solid",TRUE,"Blowout")</f>
        <v>Fail</v>
      </c>
      <c r="L980" s="226">
        <f ca="1">IF(AND(E980&lt;$B$10,C980&gt;=$B$11),1,0)</f>
        <v>1</v>
      </c>
      <c r="M980" s="217" t="str" cm="1">
        <f t="array" aca="1" ref="M980" ca="1">_xlfn.IFS(C980&lt;$B$11,"Fail",C980&lt;25,"Marginal",C980&lt;35,"Solid",TRUE,"Blowout")</f>
        <v>Solid</v>
      </c>
    </row>
    <row r="981" spans="1:13" x14ac:dyDescent="0.25">
      <c r="A981" s="169">
        <f t="shared" ca="1" si="150"/>
        <v>48.756085099439375</v>
      </c>
      <c r="B981" s="168">
        <f t="shared" ca="1" si="151"/>
        <v>8.3278065574391942</v>
      </c>
      <c r="C981" s="168">
        <f t="shared" ca="1" si="152"/>
        <v>40.428278542000179</v>
      </c>
      <c r="D981" s="184">
        <f t="shared" ca="1" si="153"/>
        <v>5.1093766766901565</v>
      </c>
      <c r="E981" s="230">
        <f t="shared" ca="1" si="154"/>
        <v>3.4147606030606796E-7</v>
      </c>
      <c r="F981" s="168">
        <f t="shared" ca="1" si="155"/>
        <v>12.184154811569359</v>
      </c>
      <c r="G981" s="168">
        <f t="shared" ca="1" si="156"/>
        <v>3.8563482541301646</v>
      </c>
      <c r="H981" s="184">
        <f t="shared" ca="1" si="157"/>
        <v>0.48737014133257828</v>
      </c>
      <c r="I981" s="184">
        <f t="shared" ca="1" si="158"/>
        <v>0.31323215535265003</v>
      </c>
      <c r="J981" s="223">
        <f t="shared" ca="1" si="159"/>
        <v>0</v>
      </c>
      <c r="K981" s="220" t="str" cm="1">
        <f t="array" aca="1" ref="K981" ca="1">_xlfn.IFS(G981&lt;$B$11,"Fail",G981&lt;25,"Marginal",G981&lt;35,"Solid",TRUE,"Blowout")</f>
        <v>Fail</v>
      </c>
      <c r="L981" s="226">
        <f ca="1">IF(AND(E981&lt;$B$10,C981&gt;=$B$11),1,0)</f>
        <v>1</v>
      </c>
      <c r="M981" s="217" t="str" cm="1">
        <f t="array" aca="1" ref="M981" ca="1">_xlfn.IFS(C981&lt;$B$11,"Fail",C981&lt;25,"Marginal",C981&lt;35,"Solid",TRUE,"Blowout")</f>
        <v>Blowout</v>
      </c>
    </row>
    <row r="982" spans="1:13" x14ac:dyDescent="0.25">
      <c r="A982" s="169">
        <f t="shared" ca="1" si="150"/>
        <v>-4.5336415361291102</v>
      </c>
      <c r="B982" s="168">
        <f t="shared" ca="1" si="151"/>
        <v>0.43242652393763237</v>
      </c>
      <c r="C982" s="168">
        <f t="shared" ca="1" si="152"/>
        <v>-4.9660680600667426</v>
      </c>
      <c r="D982" s="184">
        <f t="shared" ca="1" si="153"/>
        <v>-0.62761792576948039</v>
      </c>
      <c r="E982" s="230">
        <f t="shared" ca="1" si="154"/>
        <v>0.7345588373142985</v>
      </c>
      <c r="F982" s="168">
        <f t="shared" ca="1" si="155"/>
        <v>33.116598544997792</v>
      </c>
      <c r="G982" s="168">
        <f t="shared" ca="1" si="156"/>
        <v>32.684172021060164</v>
      </c>
      <c r="H982" s="184">
        <f t="shared" ca="1" si="157"/>
        <v>4.1306667571275648</v>
      </c>
      <c r="I982" s="184">
        <f t="shared" ca="1" si="158"/>
        <v>2.5396087487519181E-5</v>
      </c>
      <c r="J982" s="223">
        <f t="shared" ca="1" si="159"/>
        <v>1</v>
      </c>
      <c r="K982" s="220" t="str" cm="1">
        <f t="array" aca="1" ref="K982" ca="1">_xlfn.IFS(G982&lt;$B$11,"Fail",G982&lt;25,"Marginal",G982&lt;35,"Solid",TRUE,"Blowout")</f>
        <v>Solid</v>
      </c>
      <c r="L982" s="226">
        <f ca="1">IF(AND(E982&lt;$B$10,C982&gt;=$B$11),1,0)</f>
        <v>0</v>
      </c>
      <c r="M982" s="217" t="str" cm="1">
        <f t="array" aca="1" ref="M982" ca="1">_xlfn.IFS(C982&lt;$B$11,"Fail",C982&lt;25,"Marginal",C982&lt;35,"Solid",TRUE,"Blowout")</f>
        <v>Fail</v>
      </c>
    </row>
    <row r="983" spans="1:13" x14ac:dyDescent="0.25">
      <c r="A983" s="169">
        <f t="shared" ca="1" si="150"/>
        <v>23.767090741577498</v>
      </c>
      <c r="B983" s="168">
        <f t="shared" ca="1" si="151"/>
        <v>-0.66281234402657496</v>
      </c>
      <c r="C983" s="168">
        <f t="shared" ca="1" si="152"/>
        <v>24.429903085604074</v>
      </c>
      <c r="D983" s="184">
        <f t="shared" ca="1" si="153"/>
        <v>3.0874818701397726</v>
      </c>
      <c r="E983" s="230">
        <f t="shared" ca="1" si="154"/>
        <v>1.1344017536707249E-3</v>
      </c>
      <c r="F983" s="168">
        <f t="shared" ca="1" si="155"/>
        <v>19.054236597379795</v>
      </c>
      <c r="G983" s="168">
        <f t="shared" ca="1" si="156"/>
        <v>19.717048941406368</v>
      </c>
      <c r="H983" s="184">
        <f t="shared" ca="1" si="157"/>
        <v>2.4918654374492162</v>
      </c>
      <c r="I983" s="184">
        <f t="shared" ca="1" si="158"/>
        <v>6.7097335429740007E-3</v>
      </c>
      <c r="J983" s="223">
        <f t="shared" ca="1" si="159"/>
        <v>0</v>
      </c>
      <c r="K983" s="220" t="str" cm="1">
        <f t="array" aca="1" ref="K983" ca="1">_xlfn.IFS(G983&lt;$B$11,"Fail",G983&lt;25,"Marginal",G983&lt;35,"Solid",TRUE,"Blowout")</f>
        <v>Fail</v>
      </c>
      <c r="L983" s="226">
        <f ca="1">IF(AND(E983&lt;$B$10,C983&gt;=$B$11),1,0)</f>
        <v>1</v>
      </c>
      <c r="M983" s="217" t="str" cm="1">
        <f t="array" aca="1" ref="M983" ca="1">_xlfn.IFS(C983&lt;$B$11,"Fail",C983&lt;25,"Marginal",C983&lt;35,"Solid",TRUE,"Blowout")</f>
        <v>Marginal</v>
      </c>
    </row>
    <row r="984" spans="1:13" x14ac:dyDescent="0.25">
      <c r="A984" s="169">
        <f t="shared" ca="1" si="150"/>
        <v>6.4701270258003953</v>
      </c>
      <c r="B984" s="168">
        <f t="shared" ca="1" si="151"/>
        <v>-0.98423064130669591</v>
      </c>
      <c r="C984" s="168">
        <f t="shared" ca="1" si="152"/>
        <v>7.4543576671070912</v>
      </c>
      <c r="D984" s="184">
        <f t="shared" ca="1" si="153"/>
        <v>0.94209109508472955</v>
      </c>
      <c r="E984" s="230">
        <f t="shared" ca="1" si="154"/>
        <v>0.17357156489872905</v>
      </c>
      <c r="F984" s="168">
        <f t="shared" ca="1" si="155"/>
        <v>18.104125201096046</v>
      </c>
      <c r="G984" s="168">
        <f t="shared" ca="1" si="156"/>
        <v>19.088355842402741</v>
      </c>
      <c r="H984" s="184">
        <f t="shared" ca="1" si="157"/>
        <v>2.4124104130778949</v>
      </c>
      <c r="I984" s="184">
        <f t="shared" ca="1" si="158"/>
        <v>8.3191655009955869E-3</v>
      </c>
      <c r="J984" s="223">
        <f t="shared" ca="1" si="159"/>
        <v>0</v>
      </c>
      <c r="K984" s="220" t="str" cm="1">
        <f t="array" aca="1" ref="K984" ca="1">_xlfn.IFS(G984&lt;$B$11,"Fail",G984&lt;25,"Marginal",G984&lt;35,"Solid",TRUE,"Blowout")</f>
        <v>Fail</v>
      </c>
      <c r="L984" s="226">
        <f ca="1">IF(AND(E984&lt;$B$10,C984&gt;=$B$11),1,0)</f>
        <v>0</v>
      </c>
      <c r="M984" s="217" t="str" cm="1">
        <f t="array" aca="1" ref="M984" ca="1">_xlfn.IFS(C984&lt;$B$11,"Fail",C984&lt;25,"Marginal",C984&lt;35,"Solid",TRUE,"Blowout")</f>
        <v>Fail</v>
      </c>
    </row>
    <row r="985" spans="1:13" x14ac:dyDescent="0.25">
      <c r="A985" s="169">
        <f t="shared" ca="1" si="150"/>
        <v>47.637122958126589</v>
      </c>
      <c r="B985" s="168">
        <f t="shared" ca="1" si="151"/>
        <v>11.577726535556375</v>
      </c>
      <c r="C985" s="168">
        <f t="shared" ca="1" si="152"/>
        <v>36.059396422570217</v>
      </c>
      <c r="D985" s="184">
        <f t="shared" ca="1" si="153"/>
        <v>4.5572318610004672</v>
      </c>
      <c r="E985" s="230">
        <f t="shared" ca="1" si="154"/>
        <v>4.2254773285311857E-6</v>
      </c>
      <c r="F985" s="168">
        <f t="shared" ca="1" si="155"/>
        <v>44.425867343044921</v>
      </c>
      <c r="G985" s="168">
        <f t="shared" ca="1" si="156"/>
        <v>32.848140807488548</v>
      </c>
      <c r="H985" s="184">
        <f t="shared" ca="1" si="157"/>
        <v>4.1513893385308771</v>
      </c>
      <c r="I985" s="184">
        <f t="shared" ca="1" si="158"/>
        <v>2.3349839995050997E-5</v>
      </c>
      <c r="J985" s="223">
        <f t="shared" ca="1" si="159"/>
        <v>1</v>
      </c>
      <c r="K985" s="220" t="str" cm="1">
        <f t="array" aca="1" ref="K985" ca="1">_xlfn.IFS(G985&lt;$B$11,"Fail",G985&lt;25,"Marginal",G985&lt;35,"Solid",TRUE,"Blowout")</f>
        <v>Solid</v>
      </c>
      <c r="L985" s="226">
        <f ca="1">IF(AND(E985&lt;$B$10,C985&gt;=$B$11),1,0)</f>
        <v>1</v>
      </c>
      <c r="M985" s="217" t="str" cm="1">
        <f t="array" aca="1" ref="M985" ca="1">_xlfn.IFS(C985&lt;$B$11,"Fail",C985&lt;25,"Marginal",C985&lt;35,"Solid",TRUE,"Blowout")</f>
        <v>Blowout</v>
      </c>
    </row>
    <row r="986" spans="1:13" x14ac:dyDescent="0.25">
      <c r="A986" s="169">
        <f t="shared" ca="1" si="150"/>
        <v>40.051581358820641</v>
      </c>
      <c r="B986" s="168">
        <f t="shared" ca="1" si="151"/>
        <v>14.635665712500167</v>
      </c>
      <c r="C986" s="168">
        <f t="shared" ca="1" si="152"/>
        <v>25.415915646320475</v>
      </c>
      <c r="D986" s="184">
        <f t="shared" ca="1" si="153"/>
        <v>3.2120953773761522</v>
      </c>
      <c r="E986" s="230">
        <f t="shared" ca="1" si="154"/>
        <v>7.5396592787105852E-4</v>
      </c>
      <c r="F986" s="168">
        <f t="shared" ca="1" si="155"/>
        <v>15.123986948258553</v>
      </c>
      <c r="G986" s="168">
        <f t="shared" ca="1" si="156"/>
        <v>0.48832123575838615</v>
      </c>
      <c r="H986" s="184">
        <f t="shared" ca="1" si="157"/>
        <v>6.1714651790686241E-2</v>
      </c>
      <c r="I986" s="184">
        <f t="shared" ca="1" si="158"/>
        <v>0.47542206845509871</v>
      </c>
      <c r="J986" s="223">
        <f t="shared" ca="1" si="159"/>
        <v>0</v>
      </c>
      <c r="K986" s="220" t="str" cm="1">
        <f t="array" aca="1" ref="K986" ca="1">_xlfn.IFS(G986&lt;$B$11,"Fail",G986&lt;25,"Marginal",G986&lt;35,"Solid",TRUE,"Blowout")</f>
        <v>Fail</v>
      </c>
      <c r="L986" s="226">
        <f ca="1">IF(AND(E986&lt;$B$10,C986&gt;=$B$11),1,0)</f>
        <v>1</v>
      </c>
      <c r="M986" s="217" t="str" cm="1">
        <f t="array" aca="1" ref="M986" ca="1">_xlfn.IFS(C986&lt;$B$11,"Fail",C986&lt;25,"Marginal",C986&lt;35,"Solid",TRUE,"Blowout")</f>
        <v>Solid</v>
      </c>
    </row>
    <row r="987" spans="1:13" x14ac:dyDescent="0.25">
      <c r="A987" s="169">
        <f t="shared" ca="1" si="150"/>
        <v>36.820827324377362</v>
      </c>
      <c r="B987" s="168">
        <f t="shared" ca="1" si="151"/>
        <v>6.6737428430130494</v>
      </c>
      <c r="C987" s="168">
        <f t="shared" ca="1" si="152"/>
        <v>30.147084481364313</v>
      </c>
      <c r="D987" s="184">
        <f t="shared" ca="1" si="153"/>
        <v>3.8100264437247509</v>
      </c>
      <c r="E987" s="230">
        <f t="shared" ca="1" si="154"/>
        <v>8.9374768574649739E-5</v>
      </c>
      <c r="F987" s="168">
        <f t="shared" ca="1" si="155"/>
        <v>-0.56144172850363638</v>
      </c>
      <c r="G987" s="168">
        <f t="shared" ca="1" si="156"/>
        <v>-7.2351845715166858</v>
      </c>
      <c r="H987" s="184">
        <f t="shared" ca="1" si="157"/>
        <v>-0.91439172367557531</v>
      </c>
      <c r="I987" s="184">
        <f t="shared" ca="1" si="158"/>
        <v>0.8192614828749567</v>
      </c>
      <c r="J987" s="223">
        <f t="shared" ca="1" si="159"/>
        <v>0</v>
      </c>
      <c r="K987" s="220" t="str" cm="1">
        <f t="array" aca="1" ref="K987" ca="1">_xlfn.IFS(G987&lt;$B$11,"Fail",G987&lt;25,"Marginal",G987&lt;35,"Solid",TRUE,"Blowout")</f>
        <v>Fail</v>
      </c>
      <c r="L987" s="226">
        <f ca="1">IF(AND(E987&lt;$B$10,C987&gt;=$B$11),1,0)</f>
        <v>1</v>
      </c>
      <c r="M987" s="217" t="str" cm="1">
        <f t="array" aca="1" ref="M987" ca="1">_xlfn.IFS(C987&lt;$B$11,"Fail",C987&lt;25,"Marginal",C987&lt;35,"Solid",TRUE,"Blowout")</f>
        <v>Solid</v>
      </c>
    </row>
    <row r="988" spans="1:13" x14ac:dyDescent="0.25">
      <c r="A988" s="169">
        <f t="shared" ca="1" si="150"/>
        <v>29.731885484558035</v>
      </c>
      <c r="B988" s="168">
        <f t="shared" ca="1" si="151"/>
        <v>1.0795340901422121</v>
      </c>
      <c r="C988" s="168">
        <f t="shared" ca="1" si="152"/>
        <v>28.652351394415824</v>
      </c>
      <c r="D988" s="184">
        <f t="shared" ca="1" si="153"/>
        <v>3.6211201967175328</v>
      </c>
      <c r="E988" s="230">
        <f t="shared" ca="1" si="154"/>
        <v>1.807362210182538E-4</v>
      </c>
      <c r="F988" s="168">
        <f t="shared" ca="1" si="155"/>
        <v>36.925503610955879</v>
      </c>
      <c r="G988" s="168">
        <f t="shared" ca="1" si="156"/>
        <v>35.845969520813668</v>
      </c>
      <c r="H988" s="184">
        <f t="shared" ca="1" si="157"/>
        <v>4.5302587007933051</v>
      </c>
      <c r="I988" s="184">
        <f t="shared" ca="1" si="158"/>
        <v>4.7516432672841168E-6</v>
      </c>
      <c r="J988" s="223">
        <f t="shared" ca="1" si="159"/>
        <v>1</v>
      </c>
      <c r="K988" s="220" t="str" cm="1">
        <f t="array" aca="1" ref="K988" ca="1">_xlfn.IFS(G988&lt;$B$11,"Fail",G988&lt;25,"Marginal",G988&lt;35,"Solid",TRUE,"Blowout")</f>
        <v>Blowout</v>
      </c>
      <c r="L988" s="226">
        <f ca="1">IF(AND(E988&lt;$B$10,C988&gt;=$B$11),1,0)</f>
        <v>1</v>
      </c>
      <c r="M988" s="217" t="str" cm="1">
        <f t="array" aca="1" ref="M988" ca="1">_xlfn.IFS(C988&lt;$B$11,"Fail",C988&lt;25,"Marginal",C988&lt;35,"Solid",TRUE,"Blowout")</f>
        <v>Solid</v>
      </c>
    </row>
    <row r="989" spans="1:13" x14ac:dyDescent="0.25">
      <c r="A989" s="169">
        <f t="shared" ca="1" si="150"/>
        <v>31.941463827486356</v>
      </c>
      <c r="B989" s="168">
        <f t="shared" ca="1" si="151"/>
        <v>4.3504409438387155</v>
      </c>
      <c r="C989" s="168">
        <f t="shared" ca="1" si="152"/>
        <v>27.591022883647639</v>
      </c>
      <c r="D989" s="184">
        <f t="shared" ca="1" si="153"/>
        <v>3.4869881650112684</v>
      </c>
      <c r="E989" s="230">
        <f t="shared" ca="1" si="154"/>
        <v>2.9297100902783224E-4</v>
      </c>
      <c r="F989" s="168">
        <f t="shared" ca="1" si="155"/>
        <v>28.297371000290099</v>
      </c>
      <c r="G989" s="168">
        <f t="shared" ca="1" si="156"/>
        <v>23.946930056451382</v>
      </c>
      <c r="H989" s="184">
        <f t="shared" ca="1" si="157"/>
        <v>3.0264431314247537</v>
      </c>
      <c r="I989" s="184">
        <f t="shared" ca="1" si="158"/>
        <v>1.3793541256703818E-3</v>
      </c>
      <c r="J989" s="223">
        <f t="shared" ca="1" si="159"/>
        <v>1</v>
      </c>
      <c r="K989" s="220" t="str" cm="1">
        <f t="array" aca="1" ref="K989" ca="1">_xlfn.IFS(G989&lt;$B$11,"Fail",G989&lt;25,"Marginal",G989&lt;35,"Solid",TRUE,"Blowout")</f>
        <v>Marginal</v>
      </c>
      <c r="L989" s="226">
        <f ca="1">IF(AND(E989&lt;$B$10,C989&gt;=$B$11),1,0)</f>
        <v>1</v>
      </c>
      <c r="M989" s="217" t="str" cm="1">
        <f t="array" aca="1" ref="M989" ca="1">_xlfn.IFS(C989&lt;$B$11,"Fail",C989&lt;25,"Marginal",C989&lt;35,"Solid",TRUE,"Blowout")</f>
        <v>Solid</v>
      </c>
    </row>
    <row r="990" spans="1:13" x14ac:dyDescent="0.25">
      <c r="A990" s="169">
        <f t="shared" ca="1" si="150"/>
        <v>27.202481121297239</v>
      </c>
      <c r="B990" s="168">
        <f t="shared" ca="1" si="151"/>
        <v>2.4149251836871746</v>
      </c>
      <c r="C990" s="168">
        <f t="shared" ca="1" si="152"/>
        <v>24.787555937610065</v>
      </c>
      <c r="D990" s="184">
        <f t="shared" ca="1" si="153"/>
        <v>3.1326824872892933</v>
      </c>
      <c r="E990" s="230">
        <f t="shared" ca="1" si="154"/>
        <v>9.7958920555019178E-4</v>
      </c>
      <c r="F990" s="168">
        <f t="shared" ca="1" si="155"/>
        <v>11.021896810984268</v>
      </c>
      <c r="G990" s="168">
        <f t="shared" ca="1" si="156"/>
        <v>8.606971627297094</v>
      </c>
      <c r="H990" s="184">
        <f t="shared" ca="1" si="157"/>
        <v>1.087759896671326</v>
      </c>
      <c r="I990" s="184">
        <f t="shared" ca="1" si="158"/>
        <v>0.13892482416161742</v>
      </c>
      <c r="J990" s="223">
        <f t="shared" ca="1" si="159"/>
        <v>0</v>
      </c>
      <c r="K990" s="220" t="str" cm="1">
        <f t="array" aca="1" ref="K990" ca="1">_xlfn.IFS(G990&lt;$B$11,"Fail",G990&lt;25,"Marginal",G990&lt;35,"Solid",TRUE,"Blowout")</f>
        <v>Fail</v>
      </c>
      <c r="L990" s="226">
        <f ca="1">IF(AND(E990&lt;$B$10,C990&gt;=$B$11),1,0)</f>
        <v>1</v>
      </c>
      <c r="M990" s="217" t="str" cm="1">
        <f t="array" aca="1" ref="M990" ca="1">_xlfn.IFS(C990&lt;$B$11,"Fail",C990&lt;25,"Marginal",C990&lt;35,"Solid",TRUE,"Blowout")</f>
        <v>Marginal</v>
      </c>
    </row>
    <row r="991" spans="1:13" x14ac:dyDescent="0.25">
      <c r="A991" s="169">
        <f t="shared" ca="1" si="150"/>
        <v>17.040758031221198</v>
      </c>
      <c r="B991" s="168">
        <f t="shared" ca="1" si="151"/>
        <v>-1.3063428472373255</v>
      </c>
      <c r="C991" s="168">
        <f t="shared" ca="1" si="152"/>
        <v>18.347100878458523</v>
      </c>
      <c r="D991" s="184">
        <f t="shared" ca="1" si="153"/>
        <v>2.3187296786799965</v>
      </c>
      <c r="E991" s="230">
        <f t="shared" ca="1" si="154"/>
        <v>1.064756543997563E-2</v>
      </c>
      <c r="F991" s="168">
        <f t="shared" ca="1" si="155"/>
        <v>22.768937237110475</v>
      </c>
      <c r="G991" s="168">
        <f t="shared" ca="1" si="156"/>
        <v>24.075280084347799</v>
      </c>
      <c r="H991" s="184">
        <f t="shared" ca="1" si="157"/>
        <v>3.0426641693377383</v>
      </c>
      <c r="I991" s="184">
        <f t="shared" ca="1" si="158"/>
        <v>1.3099040893885313E-3</v>
      </c>
      <c r="J991" s="223">
        <f t="shared" ca="1" si="159"/>
        <v>1</v>
      </c>
      <c r="K991" s="220" t="str" cm="1">
        <f t="array" aca="1" ref="K991" ca="1">_xlfn.IFS(G991&lt;$B$11,"Fail",G991&lt;25,"Marginal",G991&lt;35,"Solid",TRUE,"Blowout")</f>
        <v>Marginal</v>
      </c>
      <c r="L991" s="226">
        <f ca="1">IF(AND(E991&lt;$B$10,C991&gt;=$B$11),1,0)</f>
        <v>0</v>
      </c>
      <c r="M991" s="217" t="str" cm="1">
        <f t="array" aca="1" ref="M991" ca="1">_xlfn.IFS(C991&lt;$B$11,"Fail",C991&lt;25,"Marginal",C991&lt;35,"Solid",TRUE,"Blowout")</f>
        <v>Fail</v>
      </c>
    </row>
    <row r="992" spans="1:13" x14ac:dyDescent="0.25">
      <c r="A992" s="169">
        <f t="shared" ca="1" si="150"/>
        <v>36.701238183058443</v>
      </c>
      <c r="B992" s="168">
        <f t="shared" ca="1" si="151"/>
        <v>12.085633988001494</v>
      </c>
      <c r="C992" s="168">
        <f t="shared" ca="1" si="152"/>
        <v>24.61560419505695</v>
      </c>
      <c r="D992" s="184">
        <f t="shared" ca="1" si="153"/>
        <v>3.1109510098531614</v>
      </c>
      <c r="E992" s="230">
        <f t="shared" ca="1" si="154"/>
        <v>1.0514056135306016E-3</v>
      </c>
      <c r="F992" s="168">
        <f t="shared" ca="1" si="155"/>
        <v>43.559870688514529</v>
      </c>
      <c r="G992" s="168">
        <f t="shared" ca="1" si="156"/>
        <v>31.474236700513035</v>
      </c>
      <c r="H992" s="184">
        <f t="shared" ca="1" si="157"/>
        <v>3.977753609943107</v>
      </c>
      <c r="I992" s="184">
        <f t="shared" ca="1" si="158"/>
        <v>4.6732465604634111E-5</v>
      </c>
      <c r="J992" s="223">
        <f t="shared" ca="1" si="159"/>
        <v>1</v>
      </c>
      <c r="K992" s="220" t="str" cm="1">
        <f t="array" aca="1" ref="K992" ca="1">_xlfn.IFS(G992&lt;$B$11,"Fail",G992&lt;25,"Marginal",G992&lt;35,"Solid",TRUE,"Blowout")</f>
        <v>Solid</v>
      </c>
      <c r="L992" s="226">
        <f ca="1">IF(AND(E992&lt;$B$10,C992&gt;=$B$11),1,0)</f>
        <v>1</v>
      </c>
      <c r="M992" s="217" t="str" cm="1">
        <f t="array" aca="1" ref="M992" ca="1">_xlfn.IFS(C992&lt;$B$11,"Fail",C992&lt;25,"Marginal",C992&lt;35,"Solid",TRUE,"Blowout")</f>
        <v>Marginal</v>
      </c>
    </row>
    <row r="993" spans="1:13" x14ac:dyDescent="0.25">
      <c r="A993" s="169">
        <f t="shared" ca="1" si="150"/>
        <v>71.194331990195948</v>
      </c>
      <c r="B993" s="168">
        <f t="shared" ca="1" si="151"/>
        <v>-1.7418040789819553</v>
      </c>
      <c r="C993" s="168">
        <f t="shared" ca="1" si="152"/>
        <v>72.936136069177905</v>
      </c>
      <c r="D993" s="184">
        <f t="shared" ca="1" si="153"/>
        <v>9.2177605863828624</v>
      </c>
      <c r="E993" s="230">
        <f t="shared" ca="1" si="154"/>
        <v>1.0408373625148526E-17</v>
      </c>
      <c r="F993" s="168">
        <f t="shared" ca="1" si="155"/>
        <v>8.7272784014170295</v>
      </c>
      <c r="G993" s="168">
        <f t="shared" ca="1" si="156"/>
        <v>10.469082480398985</v>
      </c>
      <c r="H993" s="184">
        <f t="shared" ca="1" si="157"/>
        <v>1.3230958077061294</v>
      </c>
      <c r="I993" s="184">
        <f t="shared" ca="1" si="158"/>
        <v>9.3564437439725881E-2</v>
      </c>
      <c r="J993" s="223">
        <f t="shared" ca="1" si="159"/>
        <v>0</v>
      </c>
      <c r="K993" s="220" t="str" cm="1">
        <f t="array" aca="1" ref="K993" ca="1">_xlfn.IFS(G993&lt;$B$11,"Fail",G993&lt;25,"Marginal",G993&lt;35,"Solid",TRUE,"Blowout")</f>
        <v>Fail</v>
      </c>
      <c r="L993" s="226">
        <f ca="1">IF(AND(E993&lt;$B$10,C993&gt;=$B$11),1,0)</f>
        <v>1</v>
      </c>
      <c r="M993" s="217" t="str" cm="1">
        <f t="array" aca="1" ref="M993" ca="1">_xlfn.IFS(C993&lt;$B$11,"Fail",C993&lt;25,"Marginal",C993&lt;35,"Solid",TRUE,"Blowout")</f>
        <v>Blowout</v>
      </c>
    </row>
    <row r="994" spans="1:13" x14ac:dyDescent="0.25">
      <c r="A994" s="169">
        <f t="shared" ca="1" si="150"/>
        <v>16.029759675514839</v>
      </c>
      <c r="B994" s="168">
        <f t="shared" ca="1" si="151"/>
        <v>12.489233719800978</v>
      </c>
      <c r="C994" s="168">
        <f t="shared" ca="1" si="152"/>
        <v>3.5405259557138606</v>
      </c>
      <c r="D994" s="184">
        <f t="shared" ca="1" si="153"/>
        <v>0.44745612214349639</v>
      </c>
      <c r="E994" s="230">
        <f t="shared" ca="1" si="154"/>
        <v>0.32748528668704108</v>
      </c>
      <c r="F994" s="168">
        <f t="shared" ca="1" si="155"/>
        <v>51.112278964837699</v>
      </c>
      <c r="G994" s="168">
        <f t="shared" ca="1" si="156"/>
        <v>38.623045245036721</v>
      </c>
      <c r="H994" s="184">
        <f t="shared" ca="1" si="157"/>
        <v>4.8812290227180162</v>
      </c>
      <c r="I994" s="184">
        <f t="shared" ca="1" si="158"/>
        <v>9.908650302493395E-7</v>
      </c>
      <c r="J994" s="223">
        <f t="shared" ca="1" si="159"/>
        <v>1</v>
      </c>
      <c r="K994" s="220" t="str" cm="1">
        <f t="array" aca="1" ref="K994" ca="1">_xlfn.IFS(G994&lt;$B$11,"Fail",G994&lt;25,"Marginal",G994&lt;35,"Solid",TRUE,"Blowout")</f>
        <v>Blowout</v>
      </c>
      <c r="L994" s="226">
        <f ca="1">IF(AND(E994&lt;$B$10,C994&gt;=$B$11),1,0)</f>
        <v>0</v>
      </c>
      <c r="M994" s="217" t="str" cm="1">
        <f t="array" aca="1" ref="M994" ca="1">_xlfn.IFS(C994&lt;$B$11,"Fail",C994&lt;25,"Marginal",C994&lt;35,"Solid",TRUE,"Blowout")</f>
        <v>Fail</v>
      </c>
    </row>
    <row r="995" spans="1:13" x14ac:dyDescent="0.25">
      <c r="A995" s="169">
        <f t="shared" ca="1" si="150"/>
        <v>59.242833610869965</v>
      </c>
      <c r="B995" s="168">
        <f t="shared" ca="1" si="151"/>
        <v>6.9115562522810539</v>
      </c>
      <c r="C995" s="168">
        <f t="shared" ca="1" si="152"/>
        <v>52.331277358588913</v>
      </c>
      <c r="D995" s="184">
        <f t="shared" ca="1" si="153"/>
        <v>6.6136926339715796</v>
      </c>
      <c r="E995" s="230">
        <f t="shared" ca="1" si="154"/>
        <v>1.3172033170746824E-10</v>
      </c>
      <c r="F995" s="168">
        <f t="shared" ca="1" si="155"/>
        <v>0.99254287644194683</v>
      </c>
      <c r="G995" s="168">
        <f t="shared" ca="1" si="156"/>
        <v>-5.919013375839107</v>
      </c>
      <c r="H995" s="184">
        <f t="shared" ca="1" si="157"/>
        <v>-0.74805235301105066</v>
      </c>
      <c r="I995" s="184">
        <f t="shared" ca="1" si="158"/>
        <v>0.77240026448163246</v>
      </c>
      <c r="J995" s="223">
        <f t="shared" ca="1" si="159"/>
        <v>0</v>
      </c>
      <c r="K995" s="220" t="str" cm="1">
        <f t="array" aca="1" ref="K995" ca="1">_xlfn.IFS(G995&lt;$B$11,"Fail",G995&lt;25,"Marginal",G995&lt;35,"Solid",TRUE,"Blowout")</f>
        <v>Fail</v>
      </c>
      <c r="L995" s="226">
        <f ca="1">IF(AND(E995&lt;$B$10,C995&gt;=$B$11),1,0)</f>
        <v>1</v>
      </c>
      <c r="M995" s="217" t="str" cm="1">
        <f t="array" aca="1" ref="M995" ca="1">_xlfn.IFS(C995&lt;$B$11,"Fail",C995&lt;25,"Marginal",C995&lt;35,"Solid",TRUE,"Blowout")</f>
        <v>Blowout</v>
      </c>
    </row>
    <row r="996" spans="1:13" x14ac:dyDescent="0.25">
      <c r="A996" s="169">
        <f t="shared" ca="1" si="150"/>
        <v>30.685604791392556</v>
      </c>
      <c r="B996" s="168">
        <f t="shared" ca="1" si="151"/>
        <v>-0.57278968451588863</v>
      </c>
      <c r="C996" s="168">
        <f t="shared" ca="1" si="152"/>
        <v>31.258394475908446</v>
      </c>
      <c r="D996" s="184">
        <f t="shared" ca="1" si="153"/>
        <v>3.9504751981973802</v>
      </c>
      <c r="E996" s="230">
        <f t="shared" ca="1" si="154"/>
        <v>5.2006131212798666E-5</v>
      </c>
      <c r="F996" s="168">
        <f t="shared" ca="1" si="155"/>
        <v>-3.6913789334731004</v>
      </c>
      <c r="G996" s="168">
        <f t="shared" ca="1" si="156"/>
        <v>-3.1185892489572118</v>
      </c>
      <c r="H996" s="184">
        <f t="shared" ca="1" si="157"/>
        <v>-0.39413123060001354</v>
      </c>
      <c r="I996" s="184">
        <f t="shared" ca="1" si="158"/>
        <v>0.65307373414383629</v>
      </c>
      <c r="J996" s="223">
        <f t="shared" ca="1" si="159"/>
        <v>0</v>
      </c>
      <c r="K996" s="220" t="str" cm="1">
        <f t="array" aca="1" ref="K996" ca="1">_xlfn.IFS(G996&lt;$B$11,"Fail",G996&lt;25,"Marginal",G996&lt;35,"Solid",TRUE,"Blowout")</f>
        <v>Fail</v>
      </c>
      <c r="L996" s="226">
        <f ca="1">IF(AND(E996&lt;$B$10,C996&gt;=$B$11),1,0)</f>
        <v>1</v>
      </c>
      <c r="M996" s="217" t="str" cm="1">
        <f t="array" aca="1" ref="M996" ca="1">_xlfn.IFS(C996&lt;$B$11,"Fail",C996&lt;25,"Marginal",C996&lt;35,"Solid",TRUE,"Blowout")</f>
        <v>Solid</v>
      </c>
    </row>
    <row r="997" spans="1:13" x14ac:dyDescent="0.25">
      <c r="A997" s="169">
        <f t="shared" ca="1" si="150"/>
        <v>52.032345832135285</v>
      </c>
      <c r="B997" s="168">
        <f t="shared" ca="1" si="151"/>
        <v>1.8418603341622926</v>
      </c>
      <c r="C997" s="168">
        <f t="shared" ca="1" si="152"/>
        <v>50.190485497972993</v>
      </c>
      <c r="D997" s="184">
        <f t="shared" ca="1" si="153"/>
        <v>6.3431366667934155</v>
      </c>
      <c r="E997" s="230">
        <f t="shared" ca="1" si="154"/>
        <v>5.9847643575130595E-10</v>
      </c>
      <c r="F997" s="168">
        <f t="shared" ca="1" si="155"/>
        <v>-3.9598236185616216</v>
      </c>
      <c r="G997" s="168">
        <f t="shared" ca="1" si="156"/>
        <v>-5.8016839527239146</v>
      </c>
      <c r="H997" s="184">
        <f t="shared" ca="1" si="157"/>
        <v>-0.73322411298763523</v>
      </c>
      <c r="I997" s="184">
        <f t="shared" ca="1" si="158"/>
        <v>0.76791252208599736</v>
      </c>
      <c r="J997" s="223">
        <f t="shared" ca="1" si="159"/>
        <v>0</v>
      </c>
      <c r="K997" s="220" t="str" cm="1">
        <f t="array" aca="1" ref="K997" ca="1">_xlfn.IFS(G997&lt;$B$11,"Fail",G997&lt;25,"Marginal",G997&lt;35,"Solid",TRUE,"Blowout")</f>
        <v>Fail</v>
      </c>
      <c r="L997" s="226">
        <f ca="1">IF(AND(E997&lt;$B$10,C997&gt;=$B$11),1,0)</f>
        <v>1</v>
      </c>
      <c r="M997" s="217" t="str" cm="1">
        <f t="array" aca="1" ref="M997" ca="1">_xlfn.IFS(C997&lt;$B$11,"Fail",C997&lt;25,"Marginal",C997&lt;35,"Solid",TRUE,"Blowout")</f>
        <v>Blowout</v>
      </c>
    </row>
    <row r="998" spans="1:13" x14ac:dyDescent="0.25">
      <c r="A998" s="169">
        <f t="shared" ca="1" si="150"/>
        <v>48.377771484214293</v>
      </c>
      <c r="B998" s="168">
        <f t="shared" ca="1" si="151"/>
        <v>-1.2855901967256589</v>
      </c>
      <c r="C998" s="168">
        <f t="shared" ca="1" si="152"/>
        <v>49.66336168093995</v>
      </c>
      <c r="D998" s="184">
        <f t="shared" ca="1" si="153"/>
        <v>6.2765180959908387</v>
      </c>
      <c r="E998" s="230">
        <f t="shared" ca="1" si="154"/>
        <v>8.6330230851590952E-10</v>
      </c>
      <c r="F998" s="168">
        <f t="shared" ca="1" si="155"/>
        <v>19.806400027329083</v>
      </c>
      <c r="G998" s="168">
        <f t="shared" ca="1" si="156"/>
        <v>21.09199022405474</v>
      </c>
      <c r="H998" s="184">
        <f t="shared" ca="1" si="157"/>
        <v>2.6656322456026675</v>
      </c>
      <c r="I998" s="184">
        <f t="shared" ca="1" si="158"/>
        <v>4.1170633075987223E-3</v>
      </c>
      <c r="J998" s="223">
        <f t="shared" ca="1" si="159"/>
        <v>1</v>
      </c>
      <c r="K998" s="220" t="str" cm="1">
        <f t="array" aca="1" ref="K998" ca="1">_xlfn.IFS(G998&lt;$B$11,"Fail",G998&lt;25,"Marginal",G998&lt;35,"Solid",TRUE,"Blowout")</f>
        <v>Marginal</v>
      </c>
      <c r="L998" s="226">
        <f ca="1">IF(AND(E998&lt;$B$10,C998&gt;=$B$11),1,0)</f>
        <v>1</v>
      </c>
      <c r="M998" s="217" t="str" cm="1">
        <f t="array" aca="1" ref="M998" ca="1">_xlfn.IFS(C998&lt;$B$11,"Fail",C998&lt;25,"Marginal",C998&lt;35,"Solid",TRUE,"Blowout")</f>
        <v>Blowout</v>
      </c>
    </row>
    <row r="999" spans="1:13" x14ac:dyDescent="0.25">
      <c r="A999" s="169">
        <f t="shared" ca="1" si="150"/>
        <v>30.853709002380207</v>
      </c>
      <c r="B999" s="168">
        <f t="shared" ca="1" si="151"/>
        <v>9.2124198492018543</v>
      </c>
      <c r="C999" s="168">
        <f t="shared" ca="1" si="152"/>
        <v>21.641289153178352</v>
      </c>
      <c r="D999" s="184">
        <f t="shared" ca="1" si="153"/>
        <v>2.7350533349542552</v>
      </c>
      <c r="E999" s="230">
        <f t="shared" ca="1" si="154"/>
        <v>3.3637090592862095E-3</v>
      </c>
      <c r="F999" s="168">
        <f t="shared" ca="1" si="155"/>
        <v>18.573999154504772</v>
      </c>
      <c r="G999" s="168">
        <f t="shared" ca="1" si="156"/>
        <v>9.3615793053029179</v>
      </c>
      <c r="H999" s="184">
        <f t="shared" ca="1" si="157"/>
        <v>1.1831281638620446</v>
      </c>
      <c r="I999" s="184">
        <f t="shared" ca="1" si="158"/>
        <v>0.11899527270377531</v>
      </c>
      <c r="J999" s="223">
        <f t="shared" ca="1" si="159"/>
        <v>0</v>
      </c>
      <c r="K999" s="220" t="str" cm="1">
        <f t="array" aca="1" ref="K999" ca="1">_xlfn.IFS(G999&lt;$B$11,"Fail",G999&lt;25,"Marginal",G999&lt;35,"Solid",TRUE,"Blowout")</f>
        <v>Fail</v>
      </c>
      <c r="L999" s="226">
        <f ca="1">IF(AND(E999&lt;$B$10,C999&gt;=$B$11),1,0)</f>
        <v>1</v>
      </c>
      <c r="M999" s="217" t="str" cm="1">
        <f t="array" aca="1" ref="M999" ca="1">_xlfn.IFS(C999&lt;$B$11,"Fail",C999&lt;25,"Marginal",C999&lt;35,"Solid",TRUE,"Blowout")</f>
        <v>Marginal</v>
      </c>
    </row>
    <row r="1000" spans="1:13" x14ac:dyDescent="0.25">
      <c r="A1000" s="169">
        <f t="shared" ca="1" si="150"/>
        <v>10.88786843648775</v>
      </c>
      <c r="B1000" s="168">
        <f t="shared" ca="1" si="151"/>
        <v>5.8715969497071203</v>
      </c>
      <c r="C1000" s="168">
        <f t="shared" ca="1" si="152"/>
        <v>5.0162714867806297</v>
      </c>
      <c r="D1000" s="184">
        <f t="shared" ca="1" si="153"/>
        <v>0.63396269796341342</v>
      </c>
      <c r="E1000" s="230">
        <f t="shared" ca="1" si="154"/>
        <v>0.26337033465989201</v>
      </c>
      <c r="F1000" s="168">
        <f t="shared" ca="1" si="155"/>
        <v>13.858057333872594</v>
      </c>
      <c r="G1000" s="168">
        <f t="shared" ca="1" si="156"/>
        <v>7.9864603841654738</v>
      </c>
      <c r="H1000" s="184">
        <f t="shared" ca="1" si="157"/>
        <v>1.0093389055329816</v>
      </c>
      <c r="I1000" s="184">
        <f t="shared" ca="1" si="158"/>
        <v>0.15694104223327265</v>
      </c>
      <c r="J1000" s="223">
        <f t="shared" ca="1" si="159"/>
        <v>0</v>
      </c>
      <c r="K1000" s="220" t="str" cm="1">
        <f t="array" aca="1" ref="K1000" ca="1">_xlfn.IFS(G1000&lt;$B$11,"Fail",G1000&lt;25,"Marginal",G1000&lt;35,"Solid",TRUE,"Blowout")</f>
        <v>Fail</v>
      </c>
      <c r="L1000" s="226">
        <f ca="1">IF(AND(E1000&lt;$B$10,C1000&gt;=$B$11),1,0)</f>
        <v>0</v>
      </c>
      <c r="M1000" s="217" t="str" cm="1">
        <f t="array" aca="1" ref="M1000" ca="1">_xlfn.IFS(C1000&lt;$B$11,"Fail",C1000&lt;25,"Marginal",C1000&lt;35,"Solid",TRUE,"Blowout")</f>
        <v>Fail</v>
      </c>
    </row>
    <row r="1001" spans="1:13" x14ac:dyDescent="0.25">
      <c r="A1001" s="169">
        <f t="shared" ca="1" si="150"/>
        <v>74.644990786710451</v>
      </c>
      <c r="B1001" s="168">
        <f t="shared" ca="1" si="151"/>
        <v>11.599068544809022</v>
      </c>
      <c r="C1001" s="168">
        <f t="shared" ca="1" si="152"/>
        <v>63.04592224190143</v>
      </c>
      <c r="D1001" s="184">
        <f t="shared" ca="1" si="153"/>
        <v>7.9678229269282976</v>
      </c>
      <c r="E1001" s="230">
        <f t="shared" ca="1" si="154"/>
        <v>3.8372395466639185E-14</v>
      </c>
      <c r="F1001" s="168">
        <f t="shared" ca="1" si="155"/>
        <v>40.115063326346366</v>
      </c>
      <c r="G1001" s="168">
        <f t="shared" ca="1" si="156"/>
        <v>28.515994781537344</v>
      </c>
      <c r="H1001" s="184">
        <f t="shared" ca="1" si="157"/>
        <v>3.6038872765270287</v>
      </c>
      <c r="I1001" s="184">
        <f t="shared" ca="1" si="158"/>
        <v>1.9246051260893982E-4</v>
      </c>
      <c r="J1001" s="223">
        <f t="shared" ca="1" si="159"/>
        <v>1</v>
      </c>
      <c r="K1001" s="220" t="str" cm="1">
        <f t="array" aca="1" ref="K1001" ca="1">_xlfn.IFS(G1001&lt;$B$11,"Fail",G1001&lt;25,"Marginal",G1001&lt;35,"Solid",TRUE,"Blowout")</f>
        <v>Solid</v>
      </c>
      <c r="L1001" s="226">
        <f ca="1">IF(AND(E1001&lt;$B$10,C1001&gt;=$B$11),1,0)</f>
        <v>1</v>
      </c>
      <c r="M1001" s="217" t="str" cm="1">
        <f t="array" aca="1" ref="M1001" ca="1">_xlfn.IFS(C1001&lt;$B$11,"Fail",C1001&lt;25,"Marginal",C1001&lt;35,"Solid",TRUE,"Blowout")</f>
        <v>Blowout</v>
      </c>
    </row>
    <row r="1002" spans="1:13" x14ac:dyDescent="0.25">
      <c r="A1002" s="169">
        <f t="shared" ca="1" si="150"/>
        <v>9.6664860732657001</v>
      </c>
      <c r="B1002" s="168">
        <f t="shared" ca="1" si="151"/>
        <v>11.379315102198053</v>
      </c>
      <c r="C1002" s="168">
        <f t="shared" ca="1" si="152"/>
        <v>-1.7128290289323527</v>
      </c>
      <c r="D1002" s="184">
        <f t="shared" ca="1" si="153"/>
        <v>-0.21646948638916336</v>
      </c>
      <c r="E1002" s="230">
        <f t="shared" ca="1" si="154"/>
        <v>0.58559231807621948</v>
      </c>
      <c r="F1002" s="168">
        <f t="shared" ca="1" si="155"/>
        <v>5.7802975231653742</v>
      </c>
      <c r="G1002" s="168">
        <f t="shared" ca="1" si="156"/>
        <v>-5.5990175790326786</v>
      </c>
      <c r="H1002" s="184">
        <f t="shared" ca="1" si="157"/>
        <v>-0.70761088184766441</v>
      </c>
      <c r="I1002" s="184">
        <f t="shared" ca="1" si="158"/>
        <v>0.76004519500857359</v>
      </c>
      <c r="J1002" s="223">
        <f t="shared" ca="1" si="159"/>
        <v>0</v>
      </c>
      <c r="K1002" s="220" t="str" cm="1">
        <f t="array" aca="1" ref="K1002" ca="1">_xlfn.IFS(G1002&lt;$B$11,"Fail",G1002&lt;25,"Marginal",G1002&lt;35,"Solid",TRUE,"Blowout")</f>
        <v>Fail</v>
      </c>
      <c r="L1002" s="226">
        <f ca="1">IF(AND(E1002&lt;$B$10,C1002&gt;=$B$11),1,0)</f>
        <v>0</v>
      </c>
      <c r="M1002" s="217" t="str" cm="1">
        <f t="array" aca="1" ref="M1002" ca="1">_xlfn.IFS(C1002&lt;$B$11,"Fail",C1002&lt;25,"Marginal",C1002&lt;35,"Solid",TRUE,"Blowout")</f>
        <v>Fail</v>
      </c>
    </row>
    <row r="1003" spans="1:13" x14ac:dyDescent="0.25">
      <c r="A1003" s="169">
        <f t="shared" ca="1" si="150"/>
        <v>50.814736310336663</v>
      </c>
      <c r="B1003" s="168">
        <f t="shared" ca="1" si="151"/>
        <v>15.134543582964076</v>
      </c>
      <c r="C1003" s="168">
        <f t="shared" ca="1" si="152"/>
        <v>35.680192727372585</v>
      </c>
      <c r="D1003" s="184">
        <f t="shared" ca="1" si="153"/>
        <v>4.5093076211903389</v>
      </c>
      <c r="E1003" s="230">
        <f t="shared" ca="1" si="154"/>
        <v>5.2032514364136835E-6</v>
      </c>
      <c r="F1003" s="168">
        <f t="shared" ca="1" si="155"/>
        <v>11.507368674790197</v>
      </c>
      <c r="G1003" s="168">
        <f t="shared" ca="1" si="156"/>
        <v>-3.6271749081738793</v>
      </c>
      <c r="H1003" s="184">
        <f t="shared" ca="1" si="157"/>
        <v>-0.45840692570786085</v>
      </c>
      <c r="I1003" s="184">
        <f t="shared" ca="1" si="158"/>
        <v>0.67645162586168928</v>
      </c>
      <c r="J1003" s="223">
        <f t="shared" ca="1" si="159"/>
        <v>0</v>
      </c>
      <c r="K1003" s="220" t="str" cm="1">
        <f t="array" aca="1" ref="K1003" ca="1">_xlfn.IFS(G1003&lt;$B$11,"Fail",G1003&lt;25,"Marginal",G1003&lt;35,"Solid",TRUE,"Blowout")</f>
        <v>Fail</v>
      </c>
      <c r="L1003" s="226">
        <f ca="1">IF(AND(E1003&lt;$B$10,C1003&gt;=$B$11),1,0)</f>
        <v>1</v>
      </c>
      <c r="M1003" s="217" t="str" cm="1">
        <f t="array" aca="1" ref="M1003" ca="1">_xlfn.IFS(C1003&lt;$B$11,"Fail",C1003&lt;25,"Marginal",C1003&lt;35,"Solid",TRUE,"Blowout")</f>
        <v>Blowout</v>
      </c>
    </row>
    <row r="1004" spans="1:13" x14ac:dyDescent="0.25">
      <c r="A1004" s="169">
        <f t="shared" ca="1" si="150"/>
        <v>52.566864317206246</v>
      </c>
      <c r="B1004" s="168">
        <f t="shared" ca="1" si="151"/>
        <v>-3.7320896412758451</v>
      </c>
      <c r="C1004" s="168">
        <f t="shared" ca="1" si="152"/>
        <v>56.298953958482088</v>
      </c>
      <c r="D1004" s="184">
        <f t="shared" ca="1" si="153"/>
        <v>7.1151325916260451</v>
      </c>
      <c r="E1004" s="230">
        <f t="shared" ca="1" si="154"/>
        <v>7.1767932209090951E-12</v>
      </c>
      <c r="F1004" s="168">
        <f t="shared" ca="1" si="155"/>
        <v>33.940997597126845</v>
      </c>
      <c r="G1004" s="168">
        <f t="shared" ca="1" si="156"/>
        <v>37.673087238402687</v>
      </c>
      <c r="H1004" s="184">
        <f t="shared" ca="1" si="157"/>
        <v>4.7611721353615932</v>
      </c>
      <c r="I1004" s="184">
        <f t="shared" ca="1" si="158"/>
        <v>1.7107079254455366E-6</v>
      </c>
      <c r="J1004" s="223">
        <f t="shared" ca="1" si="159"/>
        <v>1</v>
      </c>
      <c r="K1004" s="220" t="str" cm="1">
        <f t="array" aca="1" ref="K1004" ca="1">_xlfn.IFS(G1004&lt;$B$11,"Fail",G1004&lt;25,"Marginal",G1004&lt;35,"Solid",TRUE,"Blowout")</f>
        <v>Blowout</v>
      </c>
      <c r="L1004" s="226">
        <f ca="1">IF(AND(E1004&lt;$B$10,C1004&gt;=$B$11),1,0)</f>
        <v>1</v>
      </c>
      <c r="M1004" s="217" t="str" cm="1">
        <f t="array" aca="1" ref="M1004" ca="1">_xlfn.IFS(C1004&lt;$B$11,"Fail",C1004&lt;25,"Marginal",C1004&lt;35,"Solid",TRUE,"Blowout")</f>
        <v>Blowout</v>
      </c>
    </row>
    <row r="1005" spans="1:13" x14ac:dyDescent="0.25">
      <c r="A1005" s="169">
        <f t="shared" ca="1" si="150"/>
        <v>-1.5551412529601842</v>
      </c>
      <c r="B1005" s="168">
        <f t="shared" ca="1" si="151"/>
        <v>4.6840406050835162</v>
      </c>
      <c r="C1005" s="168">
        <f t="shared" ca="1" si="152"/>
        <v>-6.2391818580437004</v>
      </c>
      <c r="D1005" s="184">
        <f t="shared" ca="1" si="153"/>
        <v>-0.78851564837219179</v>
      </c>
      <c r="E1005" s="230">
        <f t="shared" ca="1" si="154"/>
        <v>0.78439288056024092</v>
      </c>
      <c r="F1005" s="168">
        <f t="shared" ca="1" si="155"/>
        <v>42.983896690411505</v>
      </c>
      <c r="G1005" s="168">
        <f t="shared" ca="1" si="156"/>
        <v>38.299856085327988</v>
      </c>
      <c r="H1005" s="184">
        <f t="shared" ca="1" si="157"/>
        <v>4.8403839703356999</v>
      </c>
      <c r="I1005" s="184">
        <f t="shared" ca="1" si="158"/>
        <v>1.194517983696871E-6</v>
      </c>
      <c r="J1005" s="224">
        <f t="shared" ca="1" si="159"/>
        <v>1</v>
      </c>
      <c r="K1005" s="221" t="str" cm="1">
        <f t="array" aca="1" ref="K1005" ca="1">_xlfn.IFS(G1005&lt;$B$11,"Fail",G1005&lt;25,"Marginal",G1005&lt;35,"Solid",TRUE,"Blowout")</f>
        <v>Blowout</v>
      </c>
      <c r="L1005" s="227">
        <f ca="1">IF(AND(E1005&lt;$B$10,C1005&gt;=$B$11),1,0)</f>
        <v>0</v>
      </c>
      <c r="M1005" s="218" t="str" cm="1">
        <f t="array" aca="1" ref="M1005" ca="1">_xlfn.IFS(C1005&lt;$B$11,"Fail",C1005&lt;25,"Marginal",C1005&lt;35,"Solid",TRUE,"Blowout")</f>
        <v>Fail</v>
      </c>
    </row>
    <row r="1006" spans="1:13" x14ac:dyDescent="0.25">
      <c r="D1006" s="1"/>
      <c r="E1006" s="230"/>
      <c r="I1006" s="184"/>
    </row>
  </sheetData>
  <mergeCells count="4">
    <mergeCell ref="A14:E14"/>
    <mergeCell ref="A1:N1"/>
    <mergeCell ref="A2:N2"/>
    <mergeCell ref="D6:E6"/>
  </mergeCells>
  <conditionalFormatting sqref="A16:I16 A17:D1005 F17:H1005 E17:E1006 I17:I1006">
    <cfRule type="expression" dxfId="3" priority="1">
      <formula>MOD(ROW(),2)=0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2DEC0-A087-4365-BEA8-9759345C88BB}">
  <dimension ref="A1:G1015"/>
  <sheetViews>
    <sheetView showGridLines="0" workbookViewId="0">
      <selection activeCell="E9" sqref="E9"/>
    </sheetView>
  </sheetViews>
  <sheetFormatPr defaultRowHeight="15" x14ac:dyDescent="0.25"/>
  <cols>
    <col min="1" max="1" width="10.42578125" customWidth="1"/>
    <col min="2" max="2" width="15.28515625" customWidth="1"/>
    <col min="3" max="3" width="17.140625" customWidth="1"/>
    <col min="4" max="5" width="15.28515625" customWidth="1"/>
    <col min="6" max="6" width="24.7109375" customWidth="1"/>
    <col min="7" max="7" width="15.28515625" customWidth="1"/>
  </cols>
  <sheetData>
    <row r="1" spans="1:7" ht="32.1" customHeight="1" x14ac:dyDescent="0.35">
      <c r="A1" s="133" t="s">
        <v>62</v>
      </c>
      <c r="B1" s="133"/>
      <c r="C1" s="133"/>
      <c r="D1" s="133"/>
      <c r="E1" s="133"/>
      <c r="F1" s="133"/>
      <c r="G1" s="133"/>
    </row>
    <row r="2" spans="1:7" ht="18" customHeight="1" x14ac:dyDescent="0.25">
      <c r="A2" s="272" t="s">
        <v>165</v>
      </c>
      <c r="B2" s="20"/>
      <c r="C2" s="20"/>
      <c r="D2" s="20"/>
      <c r="E2" s="20"/>
      <c r="F2" s="20"/>
      <c r="G2" s="20"/>
    </row>
    <row r="3" spans="1:7" ht="8.1" customHeight="1" x14ac:dyDescent="0.25"/>
    <row r="4" spans="1:7" ht="6" customHeight="1" x14ac:dyDescent="0.25"/>
    <row r="5" spans="1:7" ht="6" customHeight="1" thickBot="1" x14ac:dyDescent="0.3"/>
    <row r="6" spans="1:7" ht="20.100000000000001" customHeight="1" x14ac:dyDescent="0.25">
      <c r="A6" s="135" t="s">
        <v>63</v>
      </c>
      <c r="B6" s="136"/>
      <c r="F6" s="141" t="s">
        <v>69</v>
      </c>
      <c r="G6" s="142"/>
    </row>
    <row r="7" spans="1:7" ht="18.95" customHeight="1" x14ac:dyDescent="0.25">
      <c r="A7" s="137" t="s">
        <v>64</v>
      </c>
      <c r="B7" s="138">
        <v>1000</v>
      </c>
      <c r="F7" s="143" t="s">
        <v>70</v>
      </c>
      <c r="G7" s="144">
        <f ca="1">AVERAGE(B16:B1015)</f>
        <v>36.23096876749738</v>
      </c>
    </row>
    <row r="8" spans="1:7" ht="18.95" customHeight="1" x14ac:dyDescent="0.25">
      <c r="A8" s="137" t="s">
        <v>65</v>
      </c>
      <c r="B8" s="138">
        <v>115</v>
      </c>
      <c r="F8" s="143" t="s">
        <v>71</v>
      </c>
      <c r="G8" s="144">
        <f ca="1">PERCENTILE(B16:B1015, 0.025)</f>
        <v>-68.057732049806788</v>
      </c>
    </row>
    <row r="9" spans="1:7" ht="18.95" customHeight="1" x14ac:dyDescent="0.25">
      <c r="A9" s="137" t="s">
        <v>66</v>
      </c>
      <c r="B9" s="138">
        <v>35</v>
      </c>
      <c r="F9" s="143" t="s">
        <v>72</v>
      </c>
      <c r="G9" s="144">
        <f ca="1">PERCENTILE(B16:B1015, 0.975)</f>
        <v>132.06699769089929</v>
      </c>
    </row>
    <row r="10" spans="1:7" ht="24" customHeight="1" x14ac:dyDescent="0.25">
      <c r="A10" s="137" t="s">
        <v>67</v>
      </c>
      <c r="B10" s="138">
        <v>50</v>
      </c>
      <c r="F10" s="145" t="s">
        <v>36</v>
      </c>
      <c r="G10" s="146">
        <f ca="1">AVERAGE(C16:C1015)</f>
        <v>0.60499999999999998</v>
      </c>
    </row>
    <row r="11" spans="1:7" ht="18.95" customHeight="1" thickBot="1" x14ac:dyDescent="0.3">
      <c r="A11" s="139" t="s">
        <v>68</v>
      </c>
      <c r="B11" s="140">
        <v>25</v>
      </c>
      <c r="F11" s="143" t="s">
        <v>73</v>
      </c>
      <c r="G11" s="147">
        <v>25</v>
      </c>
    </row>
    <row r="12" spans="1:7" ht="18.95" customHeight="1" thickBot="1" x14ac:dyDescent="0.3">
      <c r="F12" s="148" t="s">
        <v>74</v>
      </c>
      <c r="G12" s="149">
        <v>1000</v>
      </c>
    </row>
    <row r="14" spans="1:7" ht="15.75" thickBot="1" x14ac:dyDescent="0.3"/>
    <row r="15" spans="1:7" ht="21.95" customHeight="1" x14ac:dyDescent="0.25">
      <c r="A15" s="154" t="s">
        <v>12</v>
      </c>
      <c r="B15" s="152" t="s">
        <v>75</v>
      </c>
      <c r="C15" s="157" t="s">
        <v>11</v>
      </c>
      <c r="D15" s="160" t="s">
        <v>76</v>
      </c>
      <c r="E15" s="160" t="s">
        <v>77</v>
      </c>
      <c r="F15" s="150"/>
      <c r="G15" s="150"/>
    </row>
    <row r="16" spans="1:7" x14ac:dyDescent="0.25">
      <c r="A16" s="155">
        <v>1</v>
      </c>
      <c r="B16" s="151">
        <f ca="1">_xlfn.NORM.INV(RAND(), $B$9, $B$10)</f>
        <v>-18.956565952497968</v>
      </c>
      <c r="C16" s="158">
        <f ca="1">IF(B16 &gt;= $B$11, 1, 0)</f>
        <v>0</v>
      </c>
      <c r="D16" s="162" t="s">
        <v>86</v>
      </c>
      <c r="E16" s="162">
        <f ca="1">COUNTIFS(B16:B1015,"&gt;=-100",B16:B1015,"&lt;-75")</f>
        <v>19</v>
      </c>
    </row>
    <row r="17" spans="1:5" x14ac:dyDescent="0.25">
      <c r="A17" s="155">
        <f>+A16+1</f>
        <v>2</v>
      </c>
      <c r="B17" s="151">
        <f t="shared" ref="B17:B80" ca="1" si="0">_xlfn.NORM.INV(RAND(), $B$9, $B$10)</f>
        <v>-24.401612792794175</v>
      </c>
      <c r="C17" s="158">
        <f t="shared" ref="C17:C80" ca="1" si="1">IF(B17 &gt;= $B$11, 1, 0)</f>
        <v>0</v>
      </c>
      <c r="D17" s="162" t="s">
        <v>87</v>
      </c>
      <c r="E17" s="162">
        <f ca="1">COUNTIFS(B16:B1015,"&gt;=-75",B16:B1015,"&lt;-25")</f>
        <v>95</v>
      </c>
    </row>
    <row r="18" spans="1:5" x14ac:dyDescent="0.25">
      <c r="A18" s="155">
        <f t="shared" ref="A18:A81" si="2">+A17+1</f>
        <v>3</v>
      </c>
      <c r="B18" s="151">
        <f t="shared" ca="1" si="0"/>
        <v>-18.59979155245189</v>
      </c>
      <c r="C18" s="158">
        <f t="shared" ca="1" si="1"/>
        <v>0</v>
      </c>
      <c r="D18" s="162" t="s">
        <v>88</v>
      </c>
      <c r="E18" s="162">
        <f ca="1">COUNTIFS(B16:B1015,"&gt;=-25",B16:B1015,"&lt;25")</f>
        <v>279</v>
      </c>
    </row>
    <row r="19" spans="1:5" x14ac:dyDescent="0.25">
      <c r="A19" s="155">
        <f t="shared" si="2"/>
        <v>4</v>
      </c>
      <c r="B19" s="151">
        <f t="shared" ca="1" si="0"/>
        <v>-26.294923384884513</v>
      </c>
      <c r="C19" s="158">
        <f t="shared" ca="1" si="1"/>
        <v>0</v>
      </c>
      <c r="D19" s="161" t="s">
        <v>89</v>
      </c>
      <c r="E19" s="161">
        <f ca="1">COUNTIFS(B16:B1015,"&gt;=25",B16:B1015,"&lt;75")</f>
        <v>383</v>
      </c>
    </row>
    <row r="20" spans="1:5" x14ac:dyDescent="0.25">
      <c r="A20" s="155">
        <f t="shared" si="2"/>
        <v>5</v>
      </c>
      <c r="B20" s="151">
        <f t="shared" ca="1" si="0"/>
        <v>50.807013605677454</v>
      </c>
      <c r="C20" s="158">
        <f t="shared" ca="1" si="1"/>
        <v>1</v>
      </c>
      <c r="D20" s="161" t="s">
        <v>90</v>
      </c>
      <c r="E20" s="161">
        <f ca="1">COUNTIFS(B16:B1015,"&gt;=75",B16:B1015,"&lt;125")</f>
        <v>189</v>
      </c>
    </row>
    <row r="21" spans="1:5" x14ac:dyDescent="0.25">
      <c r="A21" s="155">
        <f t="shared" si="2"/>
        <v>6</v>
      </c>
      <c r="B21" s="151">
        <f t="shared" ca="1" si="0"/>
        <v>32.446135916584105</v>
      </c>
      <c r="C21" s="158">
        <f t="shared" ca="1" si="1"/>
        <v>1</v>
      </c>
      <c r="D21" s="161" t="s">
        <v>91</v>
      </c>
      <c r="E21" s="161">
        <f ca="1">COUNTIFS(B16:B1015,"&gt;=125",B16:B1015,"&lt;175")</f>
        <v>31</v>
      </c>
    </row>
    <row r="22" spans="1:5" x14ac:dyDescent="0.25">
      <c r="A22" s="155">
        <f t="shared" si="2"/>
        <v>7</v>
      </c>
      <c r="B22" s="151">
        <f t="shared" ca="1" si="0"/>
        <v>114.82617911183004</v>
      </c>
      <c r="C22" s="158">
        <f t="shared" ca="1" si="1"/>
        <v>1</v>
      </c>
    </row>
    <row r="23" spans="1:5" x14ac:dyDescent="0.25">
      <c r="A23" s="155">
        <f t="shared" si="2"/>
        <v>8</v>
      </c>
      <c r="B23" s="151">
        <f t="shared" ca="1" si="0"/>
        <v>70.836318377434765</v>
      </c>
      <c r="C23" s="158">
        <f t="shared" ca="1" si="1"/>
        <v>1</v>
      </c>
    </row>
    <row r="24" spans="1:5" x14ac:dyDescent="0.25">
      <c r="A24" s="155">
        <f t="shared" si="2"/>
        <v>9</v>
      </c>
      <c r="B24" s="151">
        <f t="shared" ca="1" si="0"/>
        <v>26.179801801849798</v>
      </c>
      <c r="C24" s="158">
        <f t="shared" ca="1" si="1"/>
        <v>1</v>
      </c>
    </row>
    <row r="25" spans="1:5" x14ac:dyDescent="0.25">
      <c r="A25" s="155">
        <f t="shared" si="2"/>
        <v>10</v>
      </c>
      <c r="B25" s="151">
        <f t="shared" ca="1" si="0"/>
        <v>85.517259059171522</v>
      </c>
      <c r="C25" s="158">
        <f t="shared" ca="1" si="1"/>
        <v>1</v>
      </c>
    </row>
    <row r="26" spans="1:5" x14ac:dyDescent="0.25">
      <c r="A26" s="155">
        <f t="shared" si="2"/>
        <v>11</v>
      </c>
      <c r="B26" s="151">
        <f t="shared" ca="1" si="0"/>
        <v>53.922570802755132</v>
      </c>
      <c r="C26" s="158">
        <f t="shared" ca="1" si="1"/>
        <v>1</v>
      </c>
    </row>
    <row r="27" spans="1:5" x14ac:dyDescent="0.25">
      <c r="A27" s="155">
        <f t="shared" si="2"/>
        <v>12</v>
      </c>
      <c r="B27" s="151">
        <f t="shared" ca="1" si="0"/>
        <v>-8.0359734784633261</v>
      </c>
      <c r="C27" s="158">
        <f t="shared" ca="1" si="1"/>
        <v>0</v>
      </c>
    </row>
    <row r="28" spans="1:5" x14ac:dyDescent="0.25">
      <c r="A28" s="155">
        <f t="shared" si="2"/>
        <v>13</v>
      </c>
      <c r="B28" s="151">
        <f t="shared" ca="1" si="0"/>
        <v>100.63947032457031</v>
      </c>
      <c r="C28" s="158">
        <f t="shared" ca="1" si="1"/>
        <v>1</v>
      </c>
    </row>
    <row r="29" spans="1:5" x14ac:dyDescent="0.25">
      <c r="A29" s="155">
        <f t="shared" si="2"/>
        <v>14</v>
      </c>
      <c r="B29" s="151">
        <f t="shared" ca="1" si="0"/>
        <v>104.35091971172508</v>
      </c>
      <c r="C29" s="158">
        <f t="shared" ca="1" si="1"/>
        <v>1</v>
      </c>
    </row>
    <row r="30" spans="1:5" x14ac:dyDescent="0.25">
      <c r="A30" s="155">
        <f t="shared" si="2"/>
        <v>15</v>
      </c>
      <c r="B30" s="151">
        <f t="shared" ca="1" si="0"/>
        <v>20.600825385148486</v>
      </c>
      <c r="C30" s="158">
        <f t="shared" ca="1" si="1"/>
        <v>0</v>
      </c>
    </row>
    <row r="31" spans="1:5" x14ac:dyDescent="0.25">
      <c r="A31" s="155">
        <f t="shared" si="2"/>
        <v>16</v>
      </c>
      <c r="B31" s="151">
        <f t="shared" ca="1" si="0"/>
        <v>-67.914907062020333</v>
      </c>
      <c r="C31" s="158">
        <f t="shared" ca="1" si="1"/>
        <v>0</v>
      </c>
    </row>
    <row r="32" spans="1:5" x14ac:dyDescent="0.25">
      <c r="A32" s="155">
        <f t="shared" si="2"/>
        <v>17</v>
      </c>
      <c r="B32" s="151">
        <f t="shared" ca="1" si="0"/>
        <v>85.495338495120109</v>
      </c>
      <c r="C32" s="158">
        <f t="shared" ca="1" si="1"/>
        <v>1</v>
      </c>
    </row>
    <row r="33" spans="1:3" x14ac:dyDescent="0.25">
      <c r="A33" s="155">
        <f t="shared" si="2"/>
        <v>18</v>
      </c>
      <c r="B33" s="151">
        <f t="shared" ca="1" si="0"/>
        <v>35.862363396688096</v>
      </c>
      <c r="C33" s="158">
        <f t="shared" ca="1" si="1"/>
        <v>1</v>
      </c>
    </row>
    <row r="34" spans="1:3" x14ac:dyDescent="0.25">
      <c r="A34" s="155">
        <f t="shared" si="2"/>
        <v>19</v>
      </c>
      <c r="B34" s="151">
        <f t="shared" ca="1" si="0"/>
        <v>-68.859594412942059</v>
      </c>
      <c r="C34" s="158">
        <f t="shared" ca="1" si="1"/>
        <v>0</v>
      </c>
    </row>
    <row r="35" spans="1:3" x14ac:dyDescent="0.25">
      <c r="A35" s="155">
        <f t="shared" si="2"/>
        <v>20</v>
      </c>
      <c r="B35" s="151">
        <f t="shared" ca="1" si="0"/>
        <v>-7.0901153713729599</v>
      </c>
      <c r="C35" s="158">
        <f t="shared" ca="1" si="1"/>
        <v>0</v>
      </c>
    </row>
    <row r="36" spans="1:3" x14ac:dyDescent="0.25">
      <c r="A36" s="155">
        <f t="shared" si="2"/>
        <v>21</v>
      </c>
      <c r="B36" s="151">
        <f t="shared" ca="1" si="0"/>
        <v>75.644877010448752</v>
      </c>
      <c r="C36" s="158">
        <f t="shared" ca="1" si="1"/>
        <v>1</v>
      </c>
    </row>
    <row r="37" spans="1:3" x14ac:dyDescent="0.25">
      <c r="A37" s="155">
        <f t="shared" si="2"/>
        <v>22</v>
      </c>
      <c r="B37" s="151">
        <f t="shared" ca="1" si="0"/>
        <v>68.803052319604831</v>
      </c>
      <c r="C37" s="158">
        <f t="shared" ca="1" si="1"/>
        <v>1</v>
      </c>
    </row>
    <row r="38" spans="1:3" x14ac:dyDescent="0.25">
      <c r="A38" s="155">
        <f t="shared" si="2"/>
        <v>23</v>
      </c>
      <c r="B38" s="151">
        <f t="shared" ca="1" si="0"/>
        <v>108.41197230577954</v>
      </c>
      <c r="C38" s="158">
        <f t="shared" ca="1" si="1"/>
        <v>1</v>
      </c>
    </row>
    <row r="39" spans="1:3" x14ac:dyDescent="0.25">
      <c r="A39" s="155">
        <f t="shared" si="2"/>
        <v>24</v>
      </c>
      <c r="B39" s="151">
        <f t="shared" ca="1" si="0"/>
        <v>-37.803208584600711</v>
      </c>
      <c r="C39" s="158">
        <f t="shared" ca="1" si="1"/>
        <v>0</v>
      </c>
    </row>
    <row r="40" spans="1:3" x14ac:dyDescent="0.25">
      <c r="A40" s="155">
        <f t="shared" si="2"/>
        <v>25</v>
      </c>
      <c r="B40" s="151">
        <f t="shared" ca="1" si="0"/>
        <v>-18.219160065925443</v>
      </c>
      <c r="C40" s="158">
        <f t="shared" ca="1" si="1"/>
        <v>0</v>
      </c>
    </row>
    <row r="41" spans="1:3" x14ac:dyDescent="0.25">
      <c r="A41" s="155">
        <f t="shared" si="2"/>
        <v>26</v>
      </c>
      <c r="B41" s="151">
        <f t="shared" ca="1" si="0"/>
        <v>88.194110582529888</v>
      </c>
      <c r="C41" s="158">
        <f t="shared" ca="1" si="1"/>
        <v>1</v>
      </c>
    </row>
    <row r="42" spans="1:3" x14ac:dyDescent="0.25">
      <c r="A42" s="155">
        <f t="shared" si="2"/>
        <v>27</v>
      </c>
      <c r="B42" s="151">
        <f t="shared" ca="1" si="0"/>
        <v>-14.487570037665385</v>
      </c>
      <c r="C42" s="158">
        <f t="shared" ca="1" si="1"/>
        <v>0</v>
      </c>
    </row>
    <row r="43" spans="1:3" x14ac:dyDescent="0.25">
      <c r="A43" s="155">
        <f t="shared" si="2"/>
        <v>28</v>
      </c>
      <c r="B43" s="151">
        <f t="shared" ca="1" si="0"/>
        <v>-10.103564068909598</v>
      </c>
      <c r="C43" s="158">
        <f t="shared" ca="1" si="1"/>
        <v>0</v>
      </c>
    </row>
    <row r="44" spans="1:3" x14ac:dyDescent="0.25">
      <c r="A44" s="155">
        <f t="shared" si="2"/>
        <v>29</v>
      </c>
      <c r="B44" s="151">
        <f t="shared" ca="1" si="0"/>
        <v>-76.009797296134607</v>
      </c>
      <c r="C44" s="158">
        <f t="shared" ca="1" si="1"/>
        <v>0</v>
      </c>
    </row>
    <row r="45" spans="1:3" x14ac:dyDescent="0.25">
      <c r="A45" s="155">
        <f t="shared" si="2"/>
        <v>30</v>
      </c>
      <c r="B45" s="151">
        <f t="shared" ca="1" si="0"/>
        <v>73.505652988163675</v>
      </c>
      <c r="C45" s="158">
        <f t="shared" ca="1" si="1"/>
        <v>1</v>
      </c>
    </row>
    <row r="46" spans="1:3" x14ac:dyDescent="0.25">
      <c r="A46" s="155">
        <f t="shared" si="2"/>
        <v>31</v>
      </c>
      <c r="B46" s="151">
        <f t="shared" ca="1" si="0"/>
        <v>-0.50064713050061016</v>
      </c>
      <c r="C46" s="158">
        <f t="shared" ca="1" si="1"/>
        <v>0</v>
      </c>
    </row>
    <row r="47" spans="1:3" x14ac:dyDescent="0.25">
      <c r="A47" s="155">
        <f t="shared" si="2"/>
        <v>32</v>
      </c>
      <c r="B47" s="151">
        <f t="shared" ca="1" si="0"/>
        <v>74.198561915483282</v>
      </c>
      <c r="C47" s="158">
        <f t="shared" ca="1" si="1"/>
        <v>1</v>
      </c>
    </row>
    <row r="48" spans="1:3" x14ac:dyDescent="0.25">
      <c r="A48" s="155">
        <f t="shared" si="2"/>
        <v>33</v>
      </c>
      <c r="B48" s="151">
        <f t="shared" ca="1" si="0"/>
        <v>7.533873297126128</v>
      </c>
      <c r="C48" s="158">
        <f t="shared" ca="1" si="1"/>
        <v>0</v>
      </c>
    </row>
    <row r="49" spans="1:3" x14ac:dyDescent="0.25">
      <c r="A49" s="155">
        <f t="shared" si="2"/>
        <v>34</v>
      </c>
      <c r="B49" s="151">
        <f t="shared" ca="1" si="0"/>
        <v>30.581637879462512</v>
      </c>
      <c r="C49" s="158">
        <f t="shared" ca="1" si="1"/>
        <v>1</v>
      </c>
    </row>
    <row r="50" spans="1:3" x14ac:dyDescent="0.25">
      <c r="A50" s="155">
        <f t="shared" si="2"/>
        <v>35</v>
      </c>
      <c r="B50" s="151">
        <f t="shared" ca="1" si="0"/>
        <v>70.786768525566117</v>
      </c>
      <c r="C50" s="158">
        <f t="shared" ca="1" si="1"/>
        <v>1</v>
      </c>
    </row>
    <row r="51" spans="1:3" x14ac:dyDescent="0.25">
      <c r="A51" s="155">
        <f t="shared" si="2"/>
        <v>36</v>
      </c>
      <c r="B51" s="151">
        <f t="shared" ca="1" si="0"/>
        <v>12.599351336413832</v>
      </c>
      <c r="C51" s="158">
        <f t="shared" ca="1" si="1"/>
        <v>0</v>
      </c>
    </row>
    <row r="52" spans="1:3" x14ac:dyDescent="0.25">
      <c r="A52" s="155">
        <f t="shared" si="2"/>
        <v>37</v>
      </c>
      <c r="B52" s="151">
        <f t="shared" ca="1" si="0"/>
        <v>17.610133282015681</v>
      </c>
      <c r="C52" s="158">
        <f t="shared" ca="1" si="1"/>
        <v>0</v>
      </c>
    </row>
    <row r="53" spans="1:3" x14ac:dyDescent="0.25">
      <c r="A53" s="155">
        <f t="shared" si="2"/>
        <v>38</v>
      </c>
      <c r="B53" s="151">
        <f t="shared" ca="1" si="0"/>
        <v>34.307183251403202</v>
      </c>
      <c r="C53" s="158">
        <f t="shared" ca="1" si="1"/>
        <v>1</v>
      </c>
    </row>
    <row r="54" spans="1:3" x14ac:dyDescent="0.25">
      <c r="A54" s="155">
        <f t="shared" si="2"/>
        <v>39</v>
      </c>
      <c r="B54" s="151">
        <f t="shared" ca="1" si="0"/>
        <v>43.38583820307182</v>
      </c>
      <c r="C54" s="158">
        <f t="shared" ca="1" si="1"/>
        <v>1</v>
      </c>
    </row>
    <row r="55" spans="1:3" x14ac:dyDescent="0.25">
      <c r="A55" s="155">
        <f t="shared" si="2"/>
        <v>40</v>
      </c>
      <c r="B55" s="151">
        <f t="shared" ca="1" si="0"/>
        <v>-83.04353702709966</v>
      </c>
      <c r="C55" s="158">
        <f t="shared" ca="1" si="1"/>
        <v>0</v>
      </c>
    </row>
    <row r="56" spans="1:3" x14ac:dyDescent="0.25">
      <c r="A56" s="155">
        <f t="shared" si="2"/>
        <v>41</v>
      </c>
      <c r="B56" s="151">
        <f t="shared" ca="1" si="0"/>
        <v>-67.165281138103239</v>
      </c>
      <c r="C56" s="158">
        <f t="shared" ca="1" si="1"/>
        <v>0</v>
      </c>
    </row>
    <row r="57" spans="1:3" x14ac:dyDescent="0.25">
      <c r="A57" s="155">
        <f t="shared" si="2"/>
        <v>42</v>
      </c>
      <c r="B57" s="151">
        <f t="shared" ca="1" si="0"/>
        <v>-87.178891949027417</v>
      </c>
      <c r="C57" s="158">
        <f t="shared" ca="1" si="1"/>
        <v>0</v>
      </c>
    </row>
    <row r="58" spans="1:3" x14ac:dyDescent="0.25">
      <c r="A58" s="155">
        <f t="shared" si="2"/>
        <v>43</v>
      </c>
      <c r="B58" s="151">
        <f t="shared" ca="1" si="0"/>
        <v>47.762467286065174</v>
      </c>
      <c r="C58" s="158">
        <f t="shared" ca="1" si="1"/>
        <v>1</v>
      </c>
    </row>
    <row r="59" spans="1:3" x14ac:dyDescent="0.25">
      <c r="A59" s="155">
        <f t="shared" si="2"/>
        <v>44</v>
      </c>
      <c r="B59" s="151">
        <f t="shared" ca="1" si="0"/>
        <v>-69.538690008540016</v>
      </c>
      <c r="C59" s="158">
        <f t="shared" ca="1" si="1"/>
        <v>0</v>
      </c>
    </row>
    <row r="60" spans="1:3" x14ac:dyDescent="0.25">
      <c r="A60" s="155">
        <f t="shared" si="2"/>
        <v>45</v>
      </c>
      <c r="B60" s="151">
        <f t="shared" ca="1" si="0"/>
        <v>104.2988032617786</v>
      </c>
      <c r="C60" s="158">
        <f t="shared" ca="1" si="1"/>
        <v>1</v>
      </c>
    </row>
    <row r="61" spans="1:3" x14ac:dyDescent="0.25">
      <c r="A61" s="155">
        <f t="shared" si="2"/>
        <v>46</v>
      </c>
      <c r="B61" s="151">
        <f t="shared" ca="1" si="0"/>
        <v>24.332221242648458</v>
      </c>
      <c r="C61" s="158">
        <f t="shared" ca="1" si="1"/>
        <v>0</v>
      </c>
    </row>
    <row r="62" spans="1:3" x14ac:dyDescent="0.25">
      <c r="A62" s="155">
        <f t="shared" si="2"/>
        <v>47</v>
      </c>
      <c r="B62" s="151">
        <f t="shared" ca="1" si="0"/>
        <v>73.094079097548217</v>
      </c>
      <c r="C62" s="158">
        <f t="shared" ca="1" si="1"/>
        <v>1</v>
      </c>
    </row>
    <row r="63" spans="1:3" x14ac:dyDescent="0.25">
      <c r="A63" s="155">
        <f t="shared" si="2"/>
        <v>48</v>
      </c>
      <c r="B63" s="151">
        <f t="shared" ca="1" si="0"/>
        <v>13.091776585700956</v>
      </c>
      <c r="C63" s="158">
        <f t="shared" ca="1" si="1"/>
        <v>0</v>
      </c>
    </row>
    <row r="64" spans="1:3" x14ac:dyDescent="0.25">
      <c r="A64" s="155">
        <f t="shared" si="2"/>
        <v>49</v>
      </c>
      <c r="B64" s="151">
        <f t="shared" ca="1" si="0"/>
        <v>149.53170187026626</v>
      </c>
      <c r="C64" s="158">
        <f t="shared" ca="1" si="1"/>
        <v>1</v>
      </c>
    </row>
    <row r="65" spans="1:3" x14ac:dyDescent="0.25">
      <c r="A65" s="155">
        <f t="shared" si="2"/>
        <v>50</v>
      </c>
      <c r="B65" s="151">
        <f t="shared" ca="1" si="0"/>
        <v>95.852317781318007</v>
      </c>
      <c r="C65" s="158">
        <f t="shared" ca="1" si="1"/>
        <v>1</v>
      </c>
    </row>
    <row r="66" spans="1:3" x14ac:dyDescent="0.25">
      <c r="A66" s="155">
        <f t="shared" si="2"/>
        <v>51</v>
      </c>
      <c r="B66" s="151">
        <f t="shared" ca="1" si="0"/>
        <v>93.145615945112723</v>
      </c>
      <c r="C66" s="158">
        <f t="shared" ca="1" si="1"/>
        <v>1</v>
      </c>
    </row>
    <row r="67" spans="1:3" x14ac:dyDescent="0.25">
      <c r="A67" s="155">
        <f t="shared" si="2"/>
        <v>52</v>
      </c>
      <c r="B67" s="151">
        <f t="shared" ca="1" si="0"/>
        <v>7.4717626954816225</v>
      </c>
      <c r="C67" s="158">
        <f t="shared" ca="1" si="1"/>
        <v>0</v>
      </c>
    </row>
    <row r="68" spans="1:3" x14ac:dyDescent="0.25">
      <c r="A68" s="155">
        <f t="shared" si="2"/>
        <v>53</v>
      </c>
      <c r="B68" s="151">
        <f t="shared" ca="1" si="0"/>
        <v>53.823596305098626</v>
      </c>
      <c r="C68" s="158">
        <f t="shared" ca="1" si="1"/>
        <v>1</v>
      </c>
    </row>
    <row r="69" spans="1:3" x14ac:dyDescent="0.25">
      <c r="A69" s="155">
        <f t="shared" si="2"/>
        <v>54</v>
      </c>
      <c r="B69" s="151">
        <f t="shared" ca="1" si="0"/>
        <v>-49.133111898482213</v>
      </c>
      <c r="C69" s="158">
        <f t="shared" ca="1" si="1"/>
        <v>0</v>
      </c>
    </row>
    <row r="70" spans="1:3" x14ac:dyDescent="0.25">
      <c r="A70" s="155">
        <f t="shared" si="2"/>
        <v>55</v>
      </c>
      <c r="B70" s="151">
        <f t="shared" ca="1" si="0"/>
        <v>13.557314012201562</v>
      </c>
      <c r="C70" s="158">
        <f t="shared" ca="1" si="1"/>
        <v>0</v>
      </c>
    </row>
    <row r="71" spans="1:3" x14ac:dyDescent="0.25">
      <c r="A71" s="155">
        <f t="shared" si="2"/>
        <v>56</v>
      </c>
      <c r="B71" s="151">
        <f t="shared" ca="1" si="0"/>
        <v>18.24065856475714</v>
      </c>
      <c r="C71" s="158">
        <f t="shared" ca="1" si="1"/>
        <v>0</v>
      </c>
    </row>
    <row r="72" spans="1:3" x14ac:dyDescent="0.25">
      <c r="A72" s="155">
        <f t="shared" si="2"/>
        <v>57</v>
      </c>
      <c r="B72" s="151">
        <f t="shared" ca="1" si="0"/>
        <v>6.3040491012224535</v>
      </c>
      <c r="C72" s="158">
        <f t="shared" ca="1" si="1"/>
        <v>0</v>
      </c>
    </row>
    <row r="73" spans="1:3" x14ac:dyDescent="0.25">
      <c r="A73" s="155">
        <f t="shared" si="2"/>
        <v>58</v>
      </c>
      <c r="B73" s="151">
        <f t="shared" ca="1" si="0"/>
        <v>-12.514587555755014</v>
      </c>
      <c r="C73" s="158">
        <f t="shared" ca="1" si="1"/>
        <v>0</v>
      </c>
    </row>
    <row r="74" spans="1:3" x14ac:dyDescent="0.25">
      <c r="A74" s="155">
        <f t="shared" si="2"/>
        <v>59</v>
      </c>
      <c r="B74" s="151">
        <f t="shared" ca="1" si="0"/>
        <v>-1.2406225244692095</v>
      </c>
      <c r="C74" s="158">
        <f t="shared" ca="1" si="1"/>
        <v>0</v>
      </c>
    </row>
    <row r="75" spans="1:3" x14ac:dyDescent="0.25">
      <c r="A75" s="155">
        <f t="shared" si="2"/>
        <v>60</v>
      </c>
      <c r="B75" s="151">
        <f t="shared" ca="1" si="0"/>
        <v>12.843454316006959</v>
      </c>
      <c r="C75" s="158">
        <f t="shared" ca="1" si="1"/>
        <v>0</v>
      </c>
    </row>
    <row r="76" spans="1:3" x14ac:dyDescent="0.25">
      <c r="A76" s="155">
        <f t="shared" si="2"/>
        <v>61</v>
      </c>
      <c r="B76" s="151">
        <f t="shared" ca="1" si="0"/>
        <v>23.536237706986299</v>
      </c>
      <c r="C76" s="158">
        <f t="shared" ca="1" si="1"/>
        <v>0</v>
      </c>
    </row>
    <row r="77" spans="1:3" x14ac:dyDescent="0.25">
      <c r="A77" s="155">
        <f t="shared" si="2"/>
        <v>62</v>
      </c>
      <c r="B77" s="151">
        <f t="shared" ca="1" si="0"/>
        <v>82.860443950445443</v>
      </c>
      <c r="C77" s="158">
        <f t="shared" ca="1" si="1"/>
        <v>1</v>
      </c>
    </row>
    <row r="78" spans="1:3" x14ac:dyDescent="0.25">
      <c r="A78" s="155">
        <f t="shared" si="2"/>
        <v>63</v>
      </c>
      <c r="B78" s="151">
        <f t="shared" ca="1" si="0"/>
        <v>45.728606390768142</v>
      </c>
      <c r="C78" s="158">
        <f t="shared" ca="1" si="1"/>
        <v>1</v>
      </c>
    </row>
    <row r="79" spans="1:3" x14ac:dyDescent="0.25">
      <c r="A79" s="155">
        <f t="shared" si="2"/>
        <v>64</v>
      </c>
      <c r="B79" s="151">
        <f t="shared" ca="1" si="0"/>
        <v>17.336108760580593</v>
      </c>
      <c r="C79" s="158">
        <f t="shared" ca="1" si="1"/>
        <v>0</v>
      </c>
    </row>
    <row r="80" spans="1:3" x14ac:dyDescent="0.25">
      <c r="A80" s="155">
        <f t="shared" si="2"/>
        <v>65</v>
      </c>
      <c r="B80" s="151">
        <f t="shared" ca="1" si="0"/>
        <v>35.153369553226163</v>
      </c>
      <c r="C80" s="158">
        <f t="shared" ca="1" si="1"/>
        <v>1</v>
      </c>
    </row>
    <row r="81" spans="1:3" x14ac:dyDescent="0.25">
      <c r="A81" s="155">
        <f t="shared" si="2"/>
        <v>66</v>
      </c>
      <c r="B81" s="151">
        <f t="shared" ref="B81:B144" ca="1" si="3">_xlfn.NORM.INV(RAND(), $B$9, $B$10)</f>
        <v>42.402884727398771</v>
      </c>
      <c r="C81" s="158">
        <f t="shared" ref="C81:C144" ca="1" si="4">IF(B81 &gt;= $B$11, 1, 0)</f>
        <v>1</v>
      </c>
    </row>
    <row r="82" spans="1:3" x14ac:dyDescent="0.25">
      <c r="A82" s="155">
        <f t="shared" ref="A82:A145" si="5">+A81+1</f>
        <v>67</v>
      </c>
      <c r="B82" s="151">
        <f t="shared" ca="1" si="3"/>
        <v>71.531915328807628</v>
      </c>
      <c r="C82" s="158">
        <f t="shared" ca="1" si="4"/>
        <v>1</v>
      </c>
    </row>
    <row r="83" spans="1:3" x14ac:dyDescent="0.25">
      <c r="A83" s="155">
        <f t="shared" si="5"/>
        <v>68</v>
      </c>
      <c r="B83" s="151">
        <f t="shared" ca="1" si="3"/>
        <v>54.497795046084747</v>
      </c>
      <c r="C83" s="158">
        <f t="shared" ca="1" si="4"/>
        <v>1</v>
      </c>
    </row>
    <row r="84" spans="1:3" x14ac:dyDescent="0.25">
      <c r="A84" s="155">
        <f t="shared" si="5"/>
        <v>69</v>
      </c>
      <c r="B84" s="151">
        <f t="shared" ca="1" si="3"/>
        <v>57.009902693450123</v>
      </c>
      <c r="C84" s="158">
        <f t="shared" ca="1" si="4"/>
        <v>1</v>
      </c>
    </row>
    <row r="85" spans="1:3" x14ac:dyDescent="0.25">
      <c r="A85" s="155">
        <f t="shared" si="5"/>
        <v>70</v>
      </c>
      <c r="B85" s="151">
        <f t="shared" ca="1" si="3"/>
        <v>17.58847563500052</v>
      </c>
      <c r="C85" s="158">
        <f t="shared" ca="1" si="4"/>
        <v>0</v>
      </c>
    </row>
    <row r="86" spans="1:3" x14ac:dyDescent="0.25">
      <c r="A86" s="155">
        <f t="shared" si="5"/>
        <v>71</v>
      </c>
      <c r="B86" s="151">
        <f t="shared" ca="1" si="3"/>
        <v>34.433540056953113</v>
      </c>
      <c r="C86" s="158">
        <f t="shared" ca="1" si="4"/>
        <v>1</v>
      </c>
    </row>
    <row r="87" spans="1:3" x14ac:dyDescent="0.25">
      <c r="A87" s="155">
        <f t="shared" si="5"/>
        <v>72</v>
      </c>
      <c r="B87" s="151">
        <f t="shared" ca="1" si="3"/>
        <v>-52.978173852083643</v>
      </c>
      <c r="C87" s="158">
        <f t="shared" ca="1" si="4"/>
        <v>0</v>
      </c>
    </row>
    <row r="88" spans="1:3" x14ac:dyDescent="0.25">
      <c r="A88" s="155">
        <f t="shared" si="5"/>
        <v>73</v>
      </c>
      <c r="B88" s="151">
        <f t="shared" ca="1" si="3"/>
        <v>11.417172595752177</v>
      </c>
      <c r="C88" s="158">
        <f t="shared" ca="1" si="4"/>
        <v>0</v>
      </c>
    </row>
    <row r="89" spans="1:3" x14ac:dyDescent="0.25">
      <c r="A89" s="155">
        <f t="shared" si="5"/>
        <v>74</v>
      </c>
      <c r="B89" s="151">
        <f t="shared" ca="1" si="3"/>
        <v>83.071373198986848</v>
      </c>
      <c r="C89" s="158">
        <f t="shared" ca="1" si="4"/>
        <v>1</v>
      </c>
    </row>
    <row r="90" spans="1:3" x14ac:dyDescent="0.25">
      <c r="A90" s="155">
        <f t="shared" si="5"/>
        <v>75</v>
      </c>
      <c r="B90" s="151">
        <f t="shared" ca="1" si="3"/>
        <v>-1.7201007829543045</v>
      </c>
      <c r="C90" s="158">
        <f t="shared" ca="1" si="4"/>
        <v>0</v>
      </c>
    </row>
    <row r="91" spans="1:3" x14ac:dyDescent="0.25">
      <c r="A91" s="155">
        <f t="shared" si="5"/>
        <v>76</v>
      </c>
      <c r="B91" s="151">
        <f t="shared" ca="1" si="3"/>
        <v>62.840992643402096</v>
      </c>
      <c r="C91" s="158">
        <f t="shared" ca="1" si="4"/>
        <v>1</v>
      </c>
    </row>
    <row r="92" spans="1:3" x14ac:dyDescent="0.25">
      <c r="A92" s="155">
        <f t="shared" si="5"/>
        <v>77</v>
      </c>
      <c r="B92" s="151">
        <f t="shared" ca="1" si="3"/>
        <v>9.9508885238613232E-2</v>
      </c>
      <c r="C92" s="158">
        <f t="shared" ca="1" si="4"/>
        <v>0</v>
      </c>
    </row>
    <row r="93" spans="1:3" x14ac:dyDescent="0.25">
      <c r="A93" s="155">
        <f t="shared" si="5"/>
        <v>78</v>
      </c>
      <c r="B93" s="151">
        <f t="shared" ca="1" si="3"/>
        <v>94.501819403491837</v>
      </c>
      <c r="C93" s="158">
        <f t="shared" ca="1" si="4"/>
        <v>1</v>
      </c>
    </row>
    <row r="94" spans="1:3" x14ac:dyDescent="0.25">
      <c r="A94" s="155">
        <f t="shared" si="5"/>
        <v>79</v>
      </c>
      <c r="B94" s="151">
        <f t="shared" ca="1" si="3"/>
        <v>23.099030179080007</v>
      </c>
      <c r="C94" s="158">
        <f t="shared" ca="1" si="4"/>
        <v>0</v>
      </c>
    </row>
    <row r="95" spans="1:3" x14ac:dyDescent="0.25">
      <c r="A95" s="155">
        <f t="shared" si="5"/>
        <v>80</v>
      </c>
      <c r="B95" s="151">
        <f t="shared" ca="1" si="3"/>
        <v>-0.3676737479110912</v>
      </c>
      <c r="C95" s="158">
        <f t="shared" ca="1" si="4"/>
        <v>0</v>
      </c>
    </row>
    <row r="96" spans="1:3" x14ac:dyDescent="0.25">
      <c r="A96" s="155">
        <f t="shared" si="5"/>
        <v>81</v>
      </c>
      <c r="B96" s="151">
        <f t="shared" ca="1" si="3"/>
        <v>59.896058706606418</v>
      </c>
      <c r="C96" s="158">
        <f t="shared" ca="1" si="4"/>
        <v>1</v>
      </c>
    </row>
    <row r="97" spans="1:3" x14ac:dyDescent="0.25">
      <c r="A97" s="155">
        <f t="shared" si="5"/>
        <v>82</v>
      </c>
      <c r="B97" s="151">
        <f t="shared" ca="1" si="3"/>
        <v>38.472896567968434</v>
      </c>
      <c r="C97" s="158">
        <f t="shared" ca="1" si="4"/>
        <v>1</v>
      </c>
    </row>
    <row r="98" spans="1:3" x14ac:dyDescent="0.25">
      <c r="A98" s="155">
        <f t="shared" si="5"/>
        <v>83</v>
      </c>
      <c r="B98" s="151">
        <f t="shared" ca="1" si="3"/>
        <v>106.28403732797977</v>
      </c>
      <c r="C98" s="158">
        <f t="shared" ca="1" si="4"/>
        <v>1</v>
      </c>
    </row>
    <row r="99" spans="1:3" x14ac:dyDescent="0.25">
      <c r="A99" s="155">
        <f t="shared" si="5"/>
        <v>84</v>
      </c>
      <c r="B99" s="151">
        <f t="shared" ca="1" si="3"/>
        <v>47.891091218294768</v>
      </c>
      <c r="C99" s="158">
        <f t="shared" ca="1" si="4"/>
        <v>1</v>
      </c>
    </row>
    <row r="100" spans="1:3" x14ac:dyDescent="0.25">
      <c r="A100" s="155">
        <f t="shared" si="5"/>
        <v>85</v>
      </c>
      <c r="B100" s="151">
        <f t="shared" ca="1" si="3"/>
        <v>108.53996524204902</v>
      </c>
      <c r="C100" s="158">
        <f t="shared" ca="1" si="4"/>
        <v>1</v>
      </c>
    </row>
    <row r="101" spans="1:3" x14ac:dyDescent="0.25">
      <c r="A101" s="155">
        <f t="shared" si="5"/>
        <v>86</v>
      </c>
      <c r="B101" s="151">
        <f t="shared" ca="1" si="3"/>
        <v>8.3724271166647775</v>
      </c>
      <c r="C101" s="158">
        <f t="shared" ca="1" si="4"/>
        <v>0</v>
      </c>
    </row>
    <row r="102" spans="1:3" x14ac:dyDescent="0.25">
      <c r="A102" s="155">
        <f t="shared" si="5"/>
        <v>87</v>
      </c>
      <c r="B102" s="151">
        <f t="shared" ca="1" si="3"/>
        <v>16.949883127733155</v>
      </c>
      <c r="C102" s="158">
        <f t="shared" ca="1" si="4"/>
        <v>0</v>
      </c>
    </row>
    <row r="103" spans="1:3" x14ac:dyDescent="0.25">
      <c r="A103" s="155">
        <f t="shared" si="5"/>
        <v>88</v>
      </c>
      <c r="B103" s="151">
        <f t="shared" ca="1" si="3"/>
        <v>62.668850463794811</v>
      </c>
      <c r="C103" s="158">
        <f t="shared" ca="1" si="4"/>
        <v>1</v>
      </c>
    </row>
    <row r="104" spans="1:3" x14ac:dyDescent="0.25">
      <c r="A104" s="155">
        <f t="shared" si="5"/>
        <v>89</v>
      </c>
      <c r="B104" s="151">
        <f t="shared" ca="1" si="3"/>
        <v>87.007531594076511</v>
      </c>
      <c r="C104" s="158">
        <f t="shared" ca="1" si="4"/>
        <v>1</v>
      </c>
    </row>
    <row r="105" spans="1:3" x14ac:dyDescent="0.25">
      <c r="A105" s="155">
        <f t="shared" si="5"/>
        <v>90</v>
      </c>
      <c r="B105" s="151">
        <f t="shared" ca="1" si="3"/>
        <v>-1.3731255215405795</v>
      </c>
      <c r="C105" s="158">
        <f t="shared" ca="1" si="4"/>
        <v>0</v>
      </c>
    </row>
    <row r="106" spans="1:3" x14ac:dyDescent="0.25">
      <c r="A106" s="155">
        <f t="shared" si="5"/>
        <v>91</v>
      </c>
      <c r="B106" s="151">
        <f t="shared" ca="1" si="3"/>
        <v>-19.142981151207081</v>
      </c>
      <c r="C106" s="158">
        <f t="shared" ca="1" si="4"/>
        <v>0</v>
      </c>
    </row>
    <row r="107" spans="1:3" x14ac:dyDescent="0.25">
      <c r="A107" s="155">
        <f t="shared" si="5"/>
        <v>92</v>
      </c>
      <c r="B107" s="151">
        <f t="shared" ca="1" si="3"/>
        <v>112.72955237365444</v>
      </c>
      <c r="C107" s="158">
        <f t="shared" ca="1" si="4"/>
        <v>1</v>
      </c>
    </row>
    <row r="108" spans="1:3" x14ac:dyDescent="0.25">
      <c r="A108" s="155">
        <f t="shared" si="5"/>
        <v>93</v>
      </c>
      <c r="B108" s="151">
        <f t="shared" ca="1" si="3"/>
        <v>32.854343479969067</v>
      </c>
      <c r="C108" s="158">
        <f t="shared" ca="1" si="4"/>
        <v>1</v>
      </c>
    </row>
    <row r="109" spans="1:3" x14ac:dyDescent="0.25">
      <c r="A109" s="155">
        <f t="shared" si="5"/>
        <v>94</v>
      </c>
      <c r="B109" s="151">
        <f t="shared" ca="1" si="3"/>
        <v>44.310145010865327</v>
      </c>
      <c r="C109" s="158">
        <f t="shared" ca="1" si="4"/>
        <v>1</v>
      </c>
    </row>
    <row r="110" spans="1:3" x14ac:dyDescent="0.25">
      <c r="A110" s="155">
        <f t="shared" si="5"/>
        <v>95</v>
      </c>
      <c r="B110" s="151">
        <f t="shared" ca="1" si="3"/>
        <v>75.91919960753691</v>
      </c>
      <c r="C110" s="158">
        <f t="shared" ca="1" si="4"/>
        <v>1</v>
      </c>
    </row>
    <row r="111" spans="1:3" x14ac:dyDescent="0.25">
      <c r="A111" s="155">
        <f t="shared" si="5"/>
        <v>96</v>
      </c>
      <c r="B111" s="151">
        <f t="shared" ca="1" si="3"/>
        <v>121.79727106222623</v>
      </c>
      <c r="C111" s="158">
        <f t="shared" ca="1" si="4"/>
        <v>1</v>
      </c>
    </row>
    <row r="112" spans="1:3" x14ac:dyDescent="0.25">
      <c r="A112" s="155">
        <f t="shared" si="5"/>
        <v>97</v>
      </c>
      <c r="B112" s="151">
        <f t="shared" ca="1" si="3"/>
        <v>122.10656785113731</v>
      </c>
      <c r="C112" s="158">
        <f t="shared" ca="1" si="4"/>
        <v>1</v>
      </c>
    </row>
    <row r="113" spans="1:3" x14ac:dyDescent="0.25">
      <c r="A113" s="155">
        <f t="shared" si="5"/>
        <v>98</v>
      </c>
      <c r="B113" s="151">
        <f t="shared" ca="1" si="3"/>
        <v>-59.804973650787076</v>
      </c>
      <c r="C113" s="158">
        <f t="shared" ca="1" si="4"/>
        <v>0</v>
      </c>
    </row>
    <row r="114" spans="1:3" x14ac:dyDescent="0.25">
      <c r="A114" s="155">
        <f t="shared" si="5"/>
        <v>99</v>
      </c>
      <c r="B114" s="151">
        <f t="shared" ca="1" si="3"/>
        <v>-30.893726947771412</v>
      </c>
      <c r="C114" s="158">
        <f t="shared" ca="1" si="4"/>
        <v>0</v>
      </c>
    </row>
    <row r="115" spans="1:3" x14ac:dyDescent="0.25">
      <c r="A115" s="155">
        <f t="shared" si="5"/>
        <v>100</v>
      </c>
      <c r="B115" s="151">
        <f t="shared" ca="1" si="3"/>
        <v>18.840625843952736</v>
      </c>
      <c r="C115" s="158">
        <f t="shared" ca="1" si="4"/>
        <v>0</v>
      </c>
    </row>
    <row r="116" spans="1:3" x14ac:dyDescent="0.25">
      <c r="A116" s="155">
        <f t="shared" si="5"/>
        <v>101</v>
      </c>
      <c r="B116" s="151">
        <f t="shared" ca="1" si="3"/>
        <v>108.86084993840871</v>
      </c>
      <c r="C116" s="158">
        <f t="shared" ca="1" si="4"/>
        <v>1</v>
      </c>
    </row>
    <row r="117" spans="1:3" x14ac:dyDescent="0.25">
      <c r="A117" s="155">
        <f t="shared" si="5"/>
        <v>102</v>
      </c>
      <c r="B117" s="151">
        <f t="shared" ca="1" si="3"/>
        <v>32.702403278098139</v>
      </c>
      <c r="C117" s="158">
        <f t="shared" ca="1" si="4"/>
        <v>1</v>
      </c>
    </row>
    <row r="118" spans="1:3" x14ac:dyDescent="0.25">
      <c r="A118" s="155">
        <f t="shared" si="5"/>
        <v>103</v>
      </c>
      <c r="B118" s="151">
        <f t="shared" ca="1" si="3"/>
        <v>53.32001095718055</v>
      </c>
      <c r="C118" s="158">
        <f t="shared" ca="1" si="4"/>
        <v>1</v>
      </c>
    </row>
    <row r="119" spans="1:3" x14ac:dyDescent="0.25">
      <c r="A119" s="155">
        <f t="shared" si="5"/>
        <v>104</v>
      </c>
      <c r="B119" s="151">
        <f t="shared" ca="1" si="3"/>
        <v>82.017414823847105</v>
      </c>
      <c r="C119" s="158">
        <f t="shared" ca="1" si="4"/>
        <v>1</v>
      </c>
    </row>
    <row r="120" spans="1:3" x14ac:dyDescent="0.25">
      <c r="A120" s="155">
        <f t="shared" si="5"/>
        <v>105</v>
      </c>
      <c r="B120" s="151">
        <f t="shared" ca="1" si="3"/>
        <v>112.85203545585765</v>
      </c>
      <c r="C120" s="158">
        <f t="shared" ca="1" si="4"/>
        <v>1</v>
      </c>
    </row>
    <row r="121" spans="1:3" x14ac:dyDescent="0.25">
      <c r="A121" s="155">
        <f t="shared" si="5"/>
        <v>106</v>
      </c>
      <c r="B121" s="151">
        <f t="shared" ca="1" si="3"/>
        <v>89.260454096023722</v>
      </c>
      <c r="C121" s="158">
        <f t="shared" ca="1" si="4"/>
        <v>1</v>
      </c>
    </row>
    <row r="122" spans="1:3" x14ac:dyDescent="0.25">
      <c r="A122" s="155">
        <f t="shared" si="5"/>
        <v>107</v>
      </c>
      <c r="B122" s="151">
        <f t="shared" ca="1" si="3"/>
        <v>50.973751389365091</v>
      </c>
      <c r="C122" s="158">
        <f t="shared" ca="1" si="4"/>
        <v>1</v>
      </c>
    </row>
    <row r="123" spans="1:3" x14ac:dyDescent="0.25">
      <c r="A123" s="155">
        <f t="shared" si="5"/>
        <v>108</v>
      </c>
      <c r="B123" s="151">
        <f t="shared" ca="1" si="3"/>
        <v>-4.1123716637395447</v>
      </c>
      <c r="C123" s="158">
        <f t="shared" ca="1" si="4"/>
        <v>0</v>
      </c>
    </row>
    <row r="124" spans="1:3" x14ac:dyDescent="0.25">
      <c r="A124" s="155">
        <f t="shared" si="5"/>
        <v>109</v>
      </c>
      <c r="B124" s="151">
        <f t="shared" ca="1" si="3"/>
        <v>9.9790958023519352</v>
      </c>
      <c r="C124" s="158">
        <f t="shared" ca="1" si="4"/>
        <v>0</v>
      </c>
    </row>
    <row r="125" spans="1:3" x14ac:dyDescent="0.25">
      <c r="A125" s="155">
        <f t="shared" si="5"/>
        <v>110</v>
      </c>
      <c r="B125" s="151">
        <f t="shared" ca="1" si="3"/>
        <v>-15.539177089608287</v>
      </c>
      <c r="C125" s="158">
        <f t="shared" ca="1" si="4"/>
        <v>0</v>
      </c>
    </row>
    <row r="126" spans="1:3" x14ac:dyDescent="0.25">
      <c r="A126" s="155">
        <f t="shared" si="5"/>
        <v>111</v>
      </c>
      <c r="B126" s="151">
        <f t="shared" ca="1" si="3"/>
        <v>-78.951350359966241</v>
      </c>
      <c r="C126" s="158">
        <f t="shared" ca="1" si="4"/>
        <v>0</v>
      </c>
    </row>
    <row r="127" spans="1:3" x14ac:dyDescent="0.25">
      <c r="A127" s="155">
        <f t="shared" si="5"/>
        <v>112</v>
      </c>
      <c r="B127" s="151">
        <f t="shared" ca="1" si="3"/>
        <v>95.412891063158895</v>
      </c>
      <c r="C127" s="158">
        <f t="shared" ca="1" si="4"/>
        <v>1</v>
      </c>
    </row>
    <row r="128" spans="1:3" x14ac:dyDescent="0.25">
      <c r="A128" s="155">
        <f t="shared" si="5"/>
        <v>113</v>
      </c>
      <c r="B128" s="151">
        <f t="shared" ca="1" si="3"/>
        <v>19.343546532984412</v>
      </c>
      <c r="C128" s="158">
        <f t="shared" ca="1" si="4"/>
        <v>0</v>
      </c>
    </row>
    <row r="129" spans="1:3" x14ac:dyDescent="0.25">
      <c r="A129" s="155">
        <f t="shared" si="5"/>
        <v>114</v>
      </c>
      <c r="B129" s="151">
        <f t="shared" ca="1" si="3"/>
        <v>42.456439771364415</v>
      </c>
      <c r="C129" s="158">
        <f t="shared" ca="1" si="4"/>
        <v>1</v>
      </c>
    </row>
    <row r="130" spans="1:3" x14ac:dyDescent="0.25">
      <c r="A130" s="155">
        <f t="shared" si="5"/>
        <v>115</v>
      </c>
      <c r="B130" s="151">
        <f t="shared" ca="1" si="3"/>
        <v>6.9073270745862736</v>
      </c>
      <c r="C130" s="158">
        <f t="shared" ca="1" si="4"/>
        <v>0</v>
      </c>
    </row>
    <row r="131" spans="1:3" x14ac:dyDescent="0.25">
      <c r="A131" s="155">
        <f t="shared" si="5"/>
        <v>116</v>
      </c>
      <c r="B131" s="151">
        <f t="shared" ca="1" si="3"/>
        <v>48.449376375628624</v>
      </c>
      <c r="C131" s="158">
        <f t="shared" ca="1" si="4"/>
        <v>1</v>
      </c>
    </row>
    <row r="132" spans="1:3" x14ac:dyDescent="0.25">
      <c r="A132" s="155">
        <f t="shared" si="5"/>
        <v>117</v>
      </c>
      <c r="B132" s="151">
        <f t="shared" ca="1" si="3"/>
        <v>77.380056337940417</v>
      </c>
      <c r="C132" s="158">
        <f t="shared" ca="1" si="4"/>
        <v>1</v>
      </c>
    </row>
    <row r="133" spans="1:3" x14ac:dyDescent="0.25">
      <c r="A133" s="155">
        <f t="shared" si="5"/>
        <v>118</v>
      </c>
      <c r="B133" s="151">
        <f t="shared" ca="1" si="3"/>
        <v>112.01816334201867</v>
      </c>
      <c r="C133" s="158">
        <f t="shared" ca="1" si="4"/>
        <v>1</v>
      </c>
    </row>
    <row r="134" spans="1:3" x14ac:dyDescent="0.25">
      <c r="A134" s="155">
        <f t="shared" si="5"/>
        <v>119</v>
      </c>
      <c r="B134" s="151">
        <f t="shared" ca="1" si="3"/>
        <v>3.5592589172418982</v>
      </c>
      <c r="C134" s="158">
        <f t="shared" ca="1" si="4"/>
        <v>0</v>
      </c>
    </row>
    <row r="135" spans="1:3" x14ac:dyDescent="0.25">
      <c r="A135" s="155">
        <f t="shared" si="5"/>
        <v>120</v>
      </c>
      <c r="B135" s="151">
        <f t="shared" ca="1" si="3"/>
        <v>15.358882561597497</v>
      </c>
      <c r="C135" s="158">
        <f t="shared" ca="1" si="4"/>
        <v>0</v>
      </c>
    </row>
    <row r="136" spans="1:3" x14ac:dyDescent="0.25">
      <c r="A136" s="155">
        <f t="shared" si="5"/>
        <v>121</v>
      </c>
      <c r="B136" s="151">
        <f t="shared" ca="1" si="3"/>
        <v>2.4584773553585819</v>
      </c>
      <c r="C136" s="158">
        <f t="shared" ca="1" si="4"/>
        <v>0</v>
      </c>
    </row>
    <row r="137" spans="1:3" x14ac:dyDescent="0.25">
      <c r="A137" s="155">
        <f t="shared" si="5"/>
        <v>122</v>
      </c>
      <c r="B137" s="151">
        <f t="shared" ca="1" si="3"/>
        <v>37.697987041242783</v>
      </c>
      <c r="C137" s="158">
        <f t="shared" ca="1" si="4"/>
        <v>1</v>
      </c>
    </row>
    <row r="138" spans="1:3" x14ac:dyDescent="0.25">
      <c r="A138" s="155">
        <f t="shared" si="5"/>
        <v>123</v>
      </c>
      <c r="B138" s="151">
        <f t="shared" ca="1" si="3"/>
        <v>85.048035443723407</v>
      </c>
      <c r="C138" s="158">
        <f t="shared" ca="1" si="4"/>
        <v>1</v>
      </c>
    </row>
    <row r="139" spans="1:3" x14ac:dyDescent="0.25">
      <c r="A139" s="155">
        <f t="shared" si="5"/>
        <v>124</v>
      </c>
      <c r="B139" s="151">
        <f t="shared" ca="1" si="3"/>
        <v>68.807617634476614</v>
      </c>
      <c r="C139" s="158">
        <f t="shared" ca="1" si="4"/>
        <v>1</v>
      </c>
    </row>
    <row r="140" spans="1:3" x14ac:dyDescent="0.25">
      <c r="A140" s="155">
        <f t="shared" si="5"/>
        <v>125</v>
      </c>
      <c r="B140" s="151">
        <f t="shared" ca="1" si="3"/>
        <v>72.636315268587794</v>
      </c>
      <c r="C140" s="158">
        <f t="shared" ca="1" si="4"/>
        <v>1</v>
      </c>
    </row>
    <row r="141" spans="1:3" x14ac:dyDescent="0.25">
      <c r="A141" s="155">
        <f t="shared" si="5"/>
        <v>126</v>
      </c>
      <c r="B141" s="151">
        <f t="shared" ca="1" si="3"/>
        <v>-3.3898164906743276</v>
      </c>
      <c r="C141" s="158">
        <f t="shared" ca="1" si="4"/>
        <v>0</v>
      </c>
    </row>
    <row r="142" spans="1:3" x14ac:dyDescent="0.25">
      <c r="A142" s="155">
        <f t="shared" si="5"/>
        <v>127</v>
      </c>
      <c r="B142" s="151">
        <f t="shared" ca="1" si="3"/>
        <v>37.210628222558604</v>
      </c>
      <c r="C142" s="158">
        <f t="shared" ca="1" si="4"/>
        <v>1</v>
      </c>
    </row>
    <row r="143" spans="1:3" x14ac:dyDescent="0.25">
      <c r="A143" s="155">
        <f t="shared" si="5"/>
        <v>128</v>
      </c>
      <c r="B143" s="151">
        <f t="shared" ca="1" si="3"/>
        <v>-22.233997610305266</v>
      </c>
      <c r="C143" s="158">
        <f t="shared" ca="1" si="4"/>
        <v>0</v>
      </c>
    </row>
    <row r="144" spans="1:3" x14ac:dyDescent="0.25">
      <c r="A144" s="155">
        <f t="shared" si="5"/>
        <v>129</v>
      </c>
      <c r="B144" s="151">
        <f t="shared" ca="1" si="3"/>
        <v>132.32901073448727</v>
      </c>
      <c r="C144" s="158">
        <f t="shared" ca="1" si="4"/>
        <v>1</v>
      </c>
    </row>
    <row r="145" spans="1:3" x14ac:dyDescent="0.25">
      <c r="A145" s="155">
        <f t="shared" si="5"/>
        <v>130</v>
      </c>
      <c r="B145" s="151">
        <f t="shared" ref="B145:B208" ca="1" si="6">_xlfn.NORM.INV(RAND(), $B$9, $B$10)</f>
        <v>30.702587773098699</v>
      </c>
      <c r="C145" s="158">
        <f t="shared" ref="C145:C208" ca="1" si="7">IF(B145 &gt;= $B$11, 1, 0)</f>
        <v>1</v>
      </c>
    </row>
    <row r="146" spans="1:3" x14ac:dyDescent="0.25">
      <c r="A146" s="155">
        <f t="shared" ref="A146:A209" si="8">+A145+1</f>
        <v>131</v>
      </c>
      <c r="B146" s="151">
        <f t="shared" ca="1" si="6"/>
        <v>3.9587253819652091</v>
      </c>
      <c r="C146" s="158">
        <f t="shared" ca="1" si="7"/>
        <v>0</v>
      </c>
    </row>
    <row r="147" spans="1:3" x14ac:dyDescent="0.25">
      <c r="A147" s="155">
        <f t="shared" si="8"/>
        <v>132</v>
      </c>
      <c r="B147" s="151">
        <f t="shared" ca="1" si="6"/>
        <v>34.654361695072581</v>
      </c>
      <c r="C147" s="158">
        <f t="shared" ca="1" si="7"/>
        <v>1</v>
      </c>
    </row>
    <row r="148" spans="1:3" x14ac:dyDescent="0.25">
      <c r="A148" s="155">
        <f t="shared" si="8"/>
        <v>133</v>
      </c>
      <c r="B148" s="151">
        <f t="shared" ca="1" si="6"/>
        <v>64.638429048136615</v>
      </c>
      <c r="C148" s="158">
        <f t="shared" ca="1" si="7"/>
        <v>1</v>
      </c>
    </row>
    <row r="149" spans="1:3" x14ac:dyDescent="0.25">
      <c r="A149" s="155">
        <f t="shared" si="8"/>
        <v>134</v>
      </c>
      <c r="B149" s="151">
        <f t="shared" ca="1" si="6"/>
        <v>40.147553475242042</v>
      </c>
      <c r="C149" s="158">
        <f t="shared" ca="1" si="7"/>
        <v>1</v>
      </c>
    </row>
    <row r="150" spans="1:3" x14ac:dyDescent="0.25">
      <c r="A150" s="155">
        <f t="shared" si="8"/>
        <v>135</v>
      </c>
      <c r="B150" s="151">
        <f t="shared" ca="1" si="6"/>
        <v>48.59646927307746</v>
      </c>
      <c r="C150" s="158">
        <f t="shared" ca="1" si="7"/>
        <v>1</v>
      </c>
    </row>
    <row r="151" spans="1:3" x14ac:dyDescent="0.25">
      <c r="A151" s="155">
        <f t="shared" si="8"/>
        <v>136</v>
      </c>
      <c r="B151" s="151">
        <f t="shared" ca="1" si="6"/>
        <v>178.23552254043685</v>
      </c>
      <c r="C151" s="158">
        <f t="shared" ca="1" si="7"/>
        <v>1</v>
      </c>
    </row>
    <row r="152" spans="1:3" x14ac:dyDescent="0.25">
      <c r="A152" s="155">
        <f t="shared" si="8"/>
        <v>137</v>
      </c>
      <c r="B152" s="151">
        <f t="shared" ca="1" si="6"/>
        <v>69.22464148578814</v>
      </c>
      <c r="C152" s="158">
        <f t="shared" ca="1" si="7"/>
        <v>1</v>
      </c>
    </row>
    <row r="153" spans="1:3" x14ac:dyDescent="0.25">
      <c r="A153" s="155">
        <f t="shared" si="8"/>
        <v>138</v>
      </c>
      <c r="B153" s="151">
        <f t="shared" ca="1" si="6"/>
        <v>-32.12616967325576</v>
      </c>
      <c r="C153" s="158">
        <f t="shared" ca="1" si="7"/>
        <v>0</v>
      </c>
    </row>
    <row r="154" spans="1:3" x14ac:dyDescent="0.25">
      <c r="A154" s="155">
        <f t="shared" si="8"/>
        <v>139</v>
      </c>
      <c r="B154" s="151">
        <f t="shared" ca="1" si="6"/>
        <v>121.80438426455235</v>
      </c>
      <c r="C154" s="158">
        <f t="shared" ca="1" si="7"/>
        <v>1</v>
      </c>
    </row>
    <row r="155" spans="1:3" x14ac:dyDescent="0.25">
      <c r="A155" s="155">
        <f t="shared" si="8"/>
        <v>140</v>
      </c>
      <c r="B155" s="151">
        <f t="shared" ca="1" si="6"/>
        <v>-21.24435152758187</v>
      </c>
      <c r="C155" s="158">
        <f t="shared" ca="1" si="7"/>
        <v>0</v>
      </c>
    </row>
    <row r="156" spans="1:3" x14ac:dyDescent="0.25">
      <c r="A156" s="155">
        <f t="shared" si="8"/>
        <v>141</v>
      </c>
      <c r="B156" s="151">
        <f t="shared" ca="1" si="6"/>
        <v>-55.024417979938704</v>
      </c>
      <c r="C156" s="158">
        <f t="shared" ca="1" si="7"/>
        <v>0</v>
      </c>
    </row>
    <row r="157" spans="1:3" x14ac:dyDescent="0.25">
      <c r="A157" s="155">
        <f t="shared" si="8"/>
        <v>142</v>
      </c>
      <c r="B157" s="151">
        <f t="shared" ca="1" si="6"/>
        <v>39.128332187934717</v>
      </c>
      <c r="C157" s="158">
        <f t="shared" ca="1" si="7"/>
        <v>1</v>
      </c>
    </row>
    <row r="158" spans="1:3" x14ac:dyDescent="0.25">
      <c r="A158" s="155">
        <f t="shared" si="8"/>
        <v>143</v>
      </c>
      <c r="B158" s="151">
        <f t="shared" ca="1" si="6"/>
        <v>0.93991902989415621</v>
      </c>
      <c r="C158" s="158">
        <f t="shared" ca="1" si="7"/>
        <v>0</v>
      </c>
    </row>
    <row r="159" spans="1:3" x14ac:dyDescent="0.25">
      <c r="A159" s="155">
        <f t="shared" si="8"/>
        <v>144</v>
      </c>
      <c r="B159" s="151">
        <f t="shared" ca="1" si="6"/>
        <v>78.472001257059659</v>
      </c>
      <c r="C159" s="158">
        <f t="shared" ca="1" si="7"/>
        <v>1</v>
      </c>
    </row>
    <row r="160" spans="1:3" x14ac:dyDescent="0.25">
      <c r="A160" s="155">
        <f t="shared" si="8"/>
        <v>145</v>
      </c>
      <c r="B160" s="151">
        <f t="shared" ca="1" si="6"/>
        <v>66.704836225047544</v>
      </c>
      <c r="C160" s="158">
        <f t="shared" ca="1" si="7"/>
        <v>1</v>
      </c>
    </row>
    <row r="161" spans="1:3" x14ac:dyDescent="0.25">
      <c r="A161" s="155">
        <f t="shared" si="8"/>
        <v>146</v>
      </c>
      <c r="B161" s="151">
        <f t="shared" ca="1" si="6"/>
        <v>67.448154868842693</v>
      </c>
      <c r="C161" s="158">
        <f t="shared" ca="1" si="7"/>
        <v>1</v>
      </c>
    </row>
    <row r="162" spans="1:3" x14ac:dyDescent="0.25">
      <c r="A162" s="155">
        <f t="shared" si="8"/>
        <v>147</v>
      </c>
      <c r="B162" s="151">
        <f t="shared" ca="1" si="6"/>
        <v>-12.77945973356848</v>
      </c>
      <c r="C162" s="158">
        <f t="shared" ca="1" si="7"/>
        <v>0</v>
      </c>
    </row>
    <row r="163" spans="1:3" x14ac:dyDescent="0.25">
      <c r="A163" s="155">
        <f t="shared" si="8"/>
        <v>148</v>
      </c>
      <c r="B163" s="151">
        <f t="shared" ca="1" si="6"/>
        <v>-61.547440657538829</v>
      </c>
      <c r="C163" s="158">
        <f t="shared" ca="1" si="7"/>
        <v>0</v>
      </c>
    </row>
    <row r="164" spans="1:3" x14ac:dyDescent="0.25">
      <c r="A164" s="155">
        <f t="shared" si="8"/>
        <v>149</v>
      </c>
      <c r="B164" s="151">
        <f t="shared" ca="1" si="6"/>
        <v>16.218383431838472</v>
      </c>
      <c r="C164" s="158">
        <f t="shared" ca="1" si="7"/>
        <v>0</v>
      </c>
    </row>
    <row r="165" spans="1:3" x14ac:dyDescent="0.25">
      <c r="A165" s="155">
        <f t="shared" si="8"/>
        <v>150</v>
      </c>
      <c r="B165" s="151">
        <f t="shared" ca="1" si="6"/>
        <v>89.899764033570932</v>
      </c>
      <c r="C165" s="158">
        <f t="shared" ca="1" si="7"/>
        <v>1</v>
      </c>
    </row>
    <row r="166" spans="1:3" x14ac:dyDescent="0.25">
      <c r="A166" s="155">
        <f t="shared" si="8"/>
        <v>151</v>
      </c>
      <c r="B166" s="151">
        <f t="shared" ca="1" si="6"/>
        <v>52.512681746851463</v>
      </c>
      <c r="C166" s="158">
        <f t="shared" ca="1" si="7"/>
        <v>1</v>
      </c>
    </row>
    <row r="167" spans="1:3" x14ac:dyDescent="0.25">
      <c r="A167" s="155">
        <f t="shared" si="8"/>
        <v>152</v>
      </c>
      <c r="B167" s="151">
        <f t="shared" ca="1" si="6"/>
        <v>93.747820972294761</v>
      </c>
      <c r="C167" s="158">
        <f t="shared" ca="1" si="7"/>
        <v>1</v>
      </c>
    </row>
    <row r="168" spans="1:3" x14ac:dyDescent="0.25">
      <c r="A168" s="155">
        <f t="shared" si="8"/>
        <v>153</v>
      </c>
      <c r="B168" s="151">
        <f t="shared" ca="1" si="6"/>
        <v>22.680878191209057</v>
      </c>
      <c r="C168" s="158">
        <f t="shared" ca="1" si="7"/>
        <v>0</v>
      </c>
    </row>
    <row r="169" spans="1:3" x14ac:dyDescent="0.25">
      <c r="A169" s="155">
        <f t="shared" si="8"/>
        <v>154</v>
      </c>
      <c r="B169" s="151">
        <f t="shared" ca="1" si="6"/>
        <v>27.454112547445412</v>
      </c>
      <c r="C169" s="158">
        <f t="shared" ca="1" si="7"/>
        <v>1</v>
      </c>
    </row>
    <row r="170" spans="1:3" x14ac:dyDescent="0.25">
      <c r="A170" s="155">
        <f t="shared" si="8"/>
        <v>155</v>
      </c>
      <c r="B170" s="151">
        <f t="shared" ca="1" si="6"/>
        <v>32.794465337878606</v>
      </c>
      <c r="C170" s="158">
        <f t="shared" ca="1" si="7"/>
        <v>1</v>
      </c>
    </row>
    <row r="171" spans="1:3" x14ac:dyDescent="0.25">
      <c r="A171" s="155">
        <f t="shared" si="8"/>
        <v>156</v>
      </c>
      <c r="B171" s="151">
        <f t="shared" ca="1" si="6"/>
        <v>17.090327283700915</v>
      </c>
      <c r="C171" s="158">
        <f t="shared" ca="1" si="7"/>
        <v>0</v>
      </c>
    </row>
    <row r="172" spans="1:3" x14ac:dyDescent="0.25">
      <c r="A172" s="155">
        <f t="shared" si="8"/>
        <v>157</v>
      </c>
      <c r="B172" s="151">
        <f t="shared" ca="1" si="6"/>
        <v>-19.96738701612238</v>
      </c>
      <c r="C172" s="158">
        <f t="shared" ca="1" si="7"/>
        <v>0</v>
      </c>
    </row>
    <row r="173" spans="1:3" x14ac:dyDescent="0.25">
      <c r="A173" s="155">
        <f t="shared" si="8"/>
        <v>158</v>
      </c>
      <c r="B173" s="151">
        <f t="shared" ca="1" si="6"/>
        <v>53.112400457130391</v>
      </c>
      <c r="C173" s="158">
        <f t="shared" ca="1" si="7"/>
        <v>1</v>
      </c>
    </row>
    <row r="174" spans="1:3" x14ac:dyDescent="0.25">
      <c r="A174" s="155">
        <f t="shared" si="8"/>
        <v>159</v>
      </c>
      <c r="B174" s="151">
        <f t="shared" ca="1" si="6"/>
        <v>77.937607658188853</v>
      </c>
      <c r="C174" s="158">
        <f t="shared" ca="1" si="7"/>
        <v>1</v>
      </c>
    </row>
    <row r="175" spans="1:3" x14ac:dyDescent="0.25">
      <c r="A175" s="155">
        <f t="shared" si="8"/>
        <v>160</v>
      </c>
      <c r="B175" s="151">
        <f t="shared" ca="1" si="6"/>
        <v>52.804682568299668</v>
      </c>
      <c r="C175" s="158">
        <f t="shared" ca="1" si="7"/>
        <v>1</v>
      </c>
    </row>
    <row r="176" spans="1:3" x14ac:dyDescent="0.25">
      <c r="A176" s="155">
        <f t="shared" si="8"/>
        <v>161</v>
      </c>
      <c r="B176" s="151">
        <f t="shared" ca="1" si="6"/>
        <v>-37.148799658571761</v>
      </c>
      <c r="C176" s="158">
        <f t="shared" ca="1" si="7"/>
        <v>0</v>
      </c>
    </row>
    <row r="177" spans="1:3" x14ac:dyDescent="0.25">
      <c r="A177" s="155">
        <f t="shared" si="8"/>
        <v>162</v>
      </c>
      <c r="B177" s="151">
        <f t="shared" ca="1" si="6"/>
        <v>124.72988395627712</v>
      </c>
      <c r="C177" s="158">
        <f t="shared" ca="1" si="7"/>
        <v>1</v>
      </c>
    </row>
    <row r="178" spans="1:3" x14ac:dyDescent="0.25">
      <c r="A178" s="155">
        <f t="shared" si="8"/>
        <v>163</v>
      </c>
      <c r="B178" s="151">
        <f t="shared" ca="1" si="6"/>
        <v>117.27912843503182</v>
      </c>
      <c r="C178" s="158">
        <f t="shared" ca="1" si="7"/>
        <v>1</v>
      </c>
    </row>
    <row r="179" spans="1:3" x14ac:dyDescent="0.25">
      <c r="A179" s="155">
        <f t="shared" si="8"/>
        <v>164</v>
      </c>
      <c r="B179" s="151">
        <f t="shared" ca="1" si="6"/>
        <v>43.139137154897547</v>
      </c>
      <c r="C179" s="158">
        <f t="shared" ca="1" si="7"/>
        <v>1</v>
      </c>
    </row>
    <row r="180" spans="1:3" x14ac:dyDescent="0.25">
      <c r="A180" s="155">
        <f t="shared" si="8"/>
        <v>165</v>
      </c>
      <c r="B180" s="151">
        <f t="shared" ca="1" si="6"/>
        <v>59.582142383235791</v>
      </c>
      <c r="C180" s="158">
        <f t="shared" ca="1" si="7"/>
        <v>1</v>
      </c>
    </row>
    <row r="181" spans="1:3" x14ac:dyDescent="0.25">
      <c r="A181" s="155">
        <f t="shared" si="8"/>
        <v>166</v>
      </c>
      <c r="B181" s="151">
        <f t="shared" ca="1" si="6"/>
        <v>21.34444041921931</v>
      </c>
      <c r="C181" s="158">
        <f t="shared" ca="1" si="7"/>
        <v>0</v>
      </c>
    </row>
    <row r="182" spans="1:3" x14ac:dyDescent="0.25">
      <c r="A182" s="155">
        <f t="shared" si="8"/>
        <v>167</v>
      </c>
      <c r="B182" s="151">
        <f t="shared" ca="1" si="6"/>
        <v>77.390228116607005</v>
      </c>
      <c r="C182" s="158">
        <f t="shared" ca="1" si="7"/>
        <v>1</v>
      </c>
    </row>
    <row r="183" spans="1:3" x14ac:dyDescent="0.25">
      <c r="A183" s="155">
        <f t="shared" si="8"/>
        <v>168</v>
      </c>
      <c r="B183" s="151">
        <f t="shared" ca="1" si="6"/>
        <v>6.0986616025694502</v>
      </c>
      <c r="C183" s="158">
        <f t="shared" ca="1" si="7"/>
        <v>0</v>
      </c>
    </row>
    <row r="184" spans="1:3" x14ac:dyDescent="0.25">
      <c r="A184" s="155">
        <f t="shared" si="8"/>
        <v>169</v>
      </c>
      <c r="B184" s="151">
        <f t="shared" ca="1" si="6"/>
        <v>35.178374549759738</v>
      </c>
      <c r="C184" s="158">
        <f t="shared" ca="1" si="7"/>
        <v>1</v>
      </c>
    </row>
    <row r="185" spans="1:3" x14ac:dyDescent="0.25">
      <c r="A185" s="155">
        <f t="shared" si="8"/>
        <v>170</v>
      </c>
      <c r="B185" s="151">
        <f t="shared" ca="1" si="6"/>
        <v>82.791120071612141</v>
      </c>
      <c r="C185" s="158">
        <f t="shared" ca="1" si="7"/>
        <v>1</v>
      </c>
    </row>
    <row r="186" spans="1:3" x14ac:dyDescent="0.25">
      <c r="A186" s="155">
        <f t="shared" si="8"/>
        <v>171</v>
      </c>
      <c r="B186" s="151">
        <f t="shared" ca="1" si="6"/>
        <v>64.207586075761085</v>
      </c>
      <c r="C186" s="158">
        <f t="shared" ca="1" si="7"/>
        <v>1</v>
      </c>
    </row>
    <row r="187" spans="1:3" x14ac:dyDescent="0.25">
      <c r="A187" s="155">
        <f t="shared" si="8"/>
        <v>172</v>
      </c>
      <c r="B187" s="151">
        <f t="shared" ca="1" si="6"/>
        <v>48.01346433381903</v>
      </c>
      <c r="C187" s="158">
        <f t="shared" ca="1" si="7"/>
        <v>1</v>
      </c>
    </row>
    <row r="188" spans="1:3" x14ac:dyDescent="0.25">
      <c r="A188" s="155">
        <f t="shared" si="8"/>
        <v>173</v>
      </c>
      <c r="B188" s="151">
        <f t="shared" ca="1" si="6"/>
        <v>57.970453404490257</v>
      </c>
      <c r="C188" s="158">
        <f t="shared" ca="1" si="7"/>
        <v>1</v>
      </c>
    </row>
    <row r="189" spans="1:3" x14ac:dyDescent="0.25">
      <c r="A189" s="155">
        <f t="shared" si="8"/>
        <v>174</v>
      </c>
      <c r="B189" s="151">
        <f t="shared" ca="1" si="6"/>
        <v>95.761051194699718</v>
      </c>
      <c r="C189" s="158">
        <f t="shared" ca="1" si="7"/>
        <v>1</v>
      </c>
    </row>
    <row r="190" spans="1:3" x14ac:dyDescent="0.25">
      <c r="A190" s="155">
        <f t="shared" si="8"/>
        <v>175</v>
      </c>
      <c r="B190" s="151">
        <f t="shared" ca="1" si="6"/>
        <v>-5.9677650400941147</v>
      </c>
      <c r="C190" s="158">
        <f t="shared" ca="1" si="7"/>
        <v>0</v>
      </c>
    </row>
    <row r="191" spans="1:3" x14ac:dyDescent="0.25">
      <c r="A191" s="155">
        <f t="shared" si="8"/>
        <v>176</v>
      </c>
      <c r="B191" s="151">
        <f t="shared" ca="1" si="6"/>
        <v>34.392706640888619</v>
      </c>
      <c r="C191" s="158">
        <f t="shared" ca="1" si="7"/>
        <v>1</v>
      </c>
    </row>
    <row r="192" spans="1:3" x14ac:dyDescent="0.25">
      <c r="A192" s="155">
        <f t="shared" si="8"/>
        <v>177</v>
      </c>
      <c r="B192" s="151">
        <f t="shared" ca="1" si="6"/>
        <v>50.514461552326502</v>
      </c>
      <c r="C192" s="158">
        <f t="shared" ca="1" si="7"/>
        <v>1</v>
      </c>
    </row>
    <row r="193" spans="1:3" x14ac:dyDescent="0.25">
      <c r="A193" s="155">
        <f t="shared" si="8"/>
        <v>178</v>
      </c>
      <c r="B193" s="151">
        <f t="shared" ca="1" si="6"/>
        <v>74.816222676300299</v>
      </c>
      <c r="C193" s="158">
        <f t="shared" ca="1" si="7"/>
        <v>1</v>
      </c>
    </row>
    <row r="194" spans="1:3" x14ac:dyDescent="0.25">
      <c r="A194" s="155">
        <f t="shared" si="8"/>
        <v>179</v>
      </c>
      <c r="B194" s="151">
        <f t="shared" ca="1" si="6"/>
        <v>36.630618855424835</v>
      </c>
      <c r="C194" s="158">
        <f t="shared" ca="1" si="7"/>
        <v>1</v>
      </c>
    </row>
    <row r="195" spans="1:3" x14ac:dyDescent="0.25">
      <c r="A195" s="155">
        <f t="shared" si="8"/>
        <v>180</v>
      </c>
      <c r="B195" s="151">
        <f t="shared" ca="1" si="6"/>
        <v>40.35297563702791</v>
      </c>
      <c r="C195" s="158">
        <f t="shared" ca="1" si="7"/>
        <v>1</v>
      </c>
    </row>
    <row r="196" spans="1:3" x14ac:dyDescent="0.25">
      <c r="A196" s="155">
        <f t="shared" si="8"/>
        <v>181</v>
      </c>
      <c r="B196" s="151">
        <f t="shared" ca="1" si="6"/>
        <v>0.11832023813074244</v>
      </c>
      <c r="C196" s="158">
        <f t="shared" ca="1" si="7"/>
        <v>0</v>
      </c>
    </row>
    <row r="197" spans="1:3" x14ac:dyDescent="0.25">
      <c r="A197" s="155">
        <f t="shared" si="8"/>
        <v>182</v>
      </c>
      <c r="B197" s="151">
        <f t="shared" ca="1" si="6"/>
        <v>-3.8314486158149066</v>
      </c>
      <c r="C197" s="158">
        <f t="shared" ca="1" si="7"/>
        <v>0</v>
      </c>
    </row>
    <row r="198" spans="1:3" x14ac:dyDescent="0.25">
      <c r="A198" s="155">
        <f t="shared" si="8"/>
        <v>183</v>
      </c>
      <c r="B198" s="151">
        <f t="shared" ca="1" si="6"/>
        <v>108.27625656613868</v>
      </c>
      <c r="C198" s="158">
        <f t="shared" ca="1" si="7"/>
        <v>1</v>
      </c>
    </row>
    <row r="199" spans="1:3" x14ac:dyDescent="0.25">
      <c r="A199" s="155">
        <f t="shared" si="8"/>
        <v>184</v>
      </c>
      <c r="B199" s="151">
        <f t="shared" ca="1" si="6"/>
        <v>59.547640638568531</v>
      </c>
      <c r="C199" s="158">
        <f t="shared" ca="1" si="7"/>
        <v>1</v>
      </c>
    </row>
    <row r="200" spans="1:3" x14ac:dyDescent="0.25">
      <c r="A200" s="155">
        <f t="shared" si="8"/>
        <v>185</v>
      </c>
      <c r="B200" s="151">
        <f t="shared" ca="1" si="6"/>
        <v>-77.733281226842877</v>
      </c>
      <c r="C200" s="158">
        <f t="shared" ca="1" si="7"/>
        <v>0</v>
      </c>
    </row>
    <row r="201" spans="1:3" x14ac:dyDescent="0.25">
      <c r="A201" s="155">
        <f t="shared" si="8"/>
        <v>186</v>
      </c>
      <c r="B201" s="151">
        <f t="shared" ca="1" si="6"/>
        <v>50.587305086864795</v>
      </c>
      <c r="C201" s="158">
        <f t="shared" ca="1" si="7"/>
        <v>1</v>
      </c>
    </row>
    <row r="202" spans="1:3" x14ac:dyDescent="0.25">
      <c r="A202" s="155">
        <f t="shared" si="8"/>
        <v>187</v>
      </c>
      <c r="B202" s="151">
        <f t="shared" ca="1" si="6"/>
        <v>65.284813309874522</v>
      </c>
      <c r="C202" s="158">
        <f t="shared" ca="1" si="7"/>
        <v>1</v>
      </c>
    </row>
    <row r="203" spans="1:3" x14ac:dyDescent="0.25">
      <c r="A203" s="155">
        <f t="shared" si="8"/>
        <v>188</v>
      </c>
      <c r="B203" s="151">
        <f t="shared" ca="1" si="6"/>
        <v>-35.107333292241606</v>
      </c>
      <c r="C203" s="158">
        <f t="shared" ca="1" si="7"/>
        <v>0</v>
      </c>
    </row>
    <row r="204" spans="1:3" x14ac:dyDescent="0.25">
      <c r="A204" s="155">
        <f t="shared" si="8"/>
        <v>189</v>
      </c>
      <c r="B204" s="151">
        <f t="shared" ca="1" si="6"/>
        <v>33.13807595810345</v>
      </c>
      <c r="C204" s="158">
        <f t="shared" ca="1" si="7"/>
        <v>1</v>
      </c>
    </row>
    <row r="205" spans="1:3" x14ac:dyDescent="0.25">
      <c r="A205" s="155">
        <f t="shared" si="8"/>
        <v>190</v>
      </c>
      <c r="B205" s="151">
        <f t="shared" ca="1" si="6"/>
        <v>52.165505445967909</v>
      </c>
      <c r="C205" s="158">
        <f t="shared" ca="1" si="7"/>
        <v>1</v>
      </c>
    </row>
    <row r="206" spans="1:3" x14ac:dyDescent="0.25">
      <c r="A206" s="155">
        <f t="shared" si="8"/>
        <v>191</v>
      </c>
      <c r="B206" s="151">
        <f t="shared" ca="1" si="6"/>
        <v>-0.69828768454571843</v>
      </c>
      <c r="C206" s="158">
        <f t="shared" ca="1" si="7"/>
        <v>0</v>
      </c>
    </row>
    <row r="207" spans="1:3" x14ac:dyDescent="0.25">
      <c r="A207" s="155">
        <f t="shared" si="8"/>
        <v>192</v>
      </c>
      <c r="B207" s="151">
        <f t="shared" ca="1" si="6"/>
        <v>64.889279296570464</v>
      </c>
      <c r="C207" s="158">
        <f t="shared" ca="1" si="7"/>
        <v>1</v>
      </c>
    </row>
    <row r="208" spans="1:3" x14ac:dyDescent="0.25">
      <c r="A208" s="155">
        <f t="shared" si="8"/>
        <v>193</v>
      </c>
      <c r="B208" s="151">
        <f t="shared" ca="1" si="6"/>
        <v>97.801035629330357</v>
      </c>
      <c r="C208" s="158">
        <f t="shared" ca="1" si="7"/>
        <v>1</v>
      </c>
    </row>
    <row r="209" spans="1:3" x14ac:dyDescent="0.25">
      <c r="A209" s="155">
        <f t="shared" si="8"/>
        <v>194</v>
      </c>
      <c r="B209" s="151">
        <f t="shared" ref="B209:B272" ca="1" si="9">_xlfn.NORM.INV(RAND(), $B$9, $B$10)</f>
        <v>58.118520194613794</v>
      </c>
      <c r="C209" s="158">
        <f t="shared" ref="C209:C272" ca="1" si="10">IF(B209 &gt;= $B$11, 1, 0)</f>
        <v>1</v>
      </c>
    </row>
    <row r="210" spans="1:3" x14ac:dyDescent="0.25">
      <c r="A210" s="155">
        <f t="shared" ref="A210:A273" si="11">+A209+1</f>
        <v>195</v>
      </c>
      <c r="B210" s="151">
        <f t="shared" ca="1" si="9"/>
        <v>27.798794783513543</v>
      </c>
      <c r="C210" s="158">
        <f t="shared" ca="1" si="10"/>
        <v>1</v>
      </c>
    </row>
    <row r="211" spans="1:3" x14ac:dyDescent="0.25">
      <c r="A211" s="155">
        <f t="shared" si="11"/>
        <v>196</v>
      </c>
      <c r="B211" s="151">
        <f t="shared" ca="1" si="9"/>
        <v>43.077193245583985</v>
      </c>
      <c r="C211" s="158">
        <f t="shared" ca="1" si="10"/>
        <v>1</v>
      </c>
    </row>
    <row r="212" spans="1:3" x14ac:dyDescent="0.25">
      <c r="A212" s="155">
        <f t="shared" si="11"/>
        <v>197</v>
      </c>
      <c r="B212" s="151">
        <f t="shared" ca="1" si="9"/>
        <v>97.497036892613437</v>
      </c>
      <c r="C212" s="158">
        <f t="shared" ca="1" si="10"/>
        <v>1</v>
      </c>
    </row>
    <row r="213" spans="1:3" x14ac:dyDescent="0.25">
      <c r="A213" s="155">
        <f t="shared" si="11"/>
        <v>198</v>
      </c>
      <c r="B213" s="151">
        <f t="shared" ca="1" si="9"/>
        <v>-1.4554581702277645</v>
      </c>
      <c r="C213" s="158">
        <f t="shared" ca="1" si="10"/>
        <v>0</v>
      </c>
    </row>
    <row r="214" spans="1:3" x14ac:dyDescent="0.25">
      <c r="A214" s="155">
        <f t="shared" si="11"/>
        <v>199</v>
      </c>
      <c r="B214" s="151">
        <f t="shared" ca="1" si="9"/>
        <v>-38.192985048057011</v>
      </c>
      <c r="C214" s="158">
        <f t="shared" ca="1" si="10"/>
        <v>0</v>
      </c>
    </row>
    <row r="215" spans="1:3" x14ac:dyDescent="0.25">
      <c r="A215" s="155">
        <f t="shared" si="11"/>
        <v>200</v>
      </c>
      <c r="B215" s="151">
        <f t="shared" ca="1" si="9"/>
        <v>62.604090432194241</v>
      </c>
      <c r="C215" s="158">
        <f t="shared" ca="1" si="10"/>
        <v>1</v>
      </c>
    </row>
    <row r="216" spans="1:3" x14ac:dyDescent="0.25">
      <c r="A216" s="155">
        <f t="shared" si="11"/>
        <v>201</v>
      </c>
      <c r="B216" s="151">
        <f t="shared" ca="1" si="9"/>
        <v>22.524557804890129</v>
      </c>
      <c r="C216" s="158">
        <f t="shared" ca="1" si="10"/>
        <v>0</v>
      </c>
    </row>
    <row r="217" spans="1:3" x14ac:dyDescent="0.25">
      <c r="A217" s="155">
        <f t="shared" si="11"/>
        <v>202</v>
      </c>
      <c r="B217" s="151">
        <f t="shared" ca="1" si="9"/>
        <v>28.449612808452375</v>
      </c>
      <c r="C217" s="158">
        <f t="shared" ca="1" si="10"/>
        <v>1</v>
      </c>
    </row>
    <row r="218" spans="1:3" x14ac:dyDescent="0.25">
      <c r="A218" s="155">
        <f t="shared" si="11"/>
        <v>203</v>
      </c>
      <c r="B218" s="151">
        <f t="shared" ca="1" si="9"/>
        <v>-12.991097984506446</v>
      </c>
      <c r="C218" s="158">
        <f t="shared" ca="1" si="10"/>
        <v>0</v>
      </c>
    </row>
    <row r="219" spans="1:3" x14ac:dyDescent="0.25">
      <c r="A219" s="155">
        <f t="shared" si="11"/>
        <v>204</v>
      </c>
      <c r="B219" s="151">
        <f t="shared" ca="1" si="9"/>
        <v>22.557630304682888</v>
      </c>
      <c r="C219" s="158">
        <f t="shared" ca="1" si="10"/>
        <v>0</v>
      </c>
    </row>
    <row r="220" spans="1:3" x14ac:dyDescent="0.25">
      <c r="A220" s="155">
        <f t="shared" si="11"/>
        <v>205</v>
      </c>
      <c r="B220" s="151">
        <f t="shared" ca="1" si="9"/>
        <v>174.33383219170182</v>
      </c>
      <c r="C220" s="158">
        <f t="shared" ca="1" si="10"/>
        <v>1</v>
      </c>
    </row>
    <row r="221" spans="1:3" x14ac:dyDescent="0.25">
      <c r="A221" s="155">
        <f t="shared" si="11"/>
        <v>206</v>
      </c>
      <c r="B221" s="151">
        <f t="shared" ca="1" si="9"/>
        <v>-21.2211538302669</v>
      </c>
      <c r="C221" s="158">
        <f t="shared" ca="1" si="10"/>
        <v>0</v>
      </c>
    </row>
    <row r="222" spans="1:3" x14ac:dyDescent="0.25">
      <c r="A222" s="155">
        <f t="shared" si="11"/>
        <v>207</v>
      </c>
      <c r="B222" s="151">
        <f t="shared" ca="1" si="9"/>
        <v>34.047233169683309</v>
      </c>
      <c r="C222" s="158">
        <f t="shared" ca="1" si="10"/>
        <v>1</v>
      </c>
    </row>
    <row r="223" spans="1:3" x14ac:dyDescent="0.25">
      <c r="A223" s="155">
        <f t="shared" si="11"/>
        <v>208</v>
      </c>
      <c r="B223" s="151">
        <f t="shared" ca="1" si="9"/>
        <v>45.012155073226189</v>
      </c>
      <c r="C223" s="158">
        <f t="shared" ca="1" si="10"/>
        <v>1</v>
      </c>
    </row>
    <row r="224" spans="1:3" x14ac:dyDescent="0.25">
      <c r="A224" s="155">
        <f t="shared" si="11"/>
        <v>209</v>
      </c>
      <c r="B224" s="151">
        <f t="shared" ca="1" si="9"/>
        <v>48.915942915833483</v>
      </c>
      <c r="C224" s="158">
        <f t="shared" ca="1" si="10"/>
        <v>1</v>
      </c>
    </row>
    <row r="225" spans="1:3" x14ac:dyDescent="0.25">
      <c r="A225" s="155">
        <f t="shared" si="11"/>
        <v>210</v>
      </c>
      <c r="B225" s="151">
        <f t="shared" ca="1" si="9"/>
        <v>-15.819075220932142</v>
      </c>
      <c r="C225" s="158">
        <f t="shared" ca="1" si="10"/>
        <v>0</v>
      </c>
    </row>
    <row r="226" spans="1:3" x14ac:dyDescent="0.25">
      <c r="A226" s="155">
        <f t="shared" si="11"/>
        <v>211</v>
      </c>
      <c r="B226" s="151">
        <f t="shared" ca="1" si="9"/>
        <v>39.100083824799235</v>
      </c>
      <c r="C226" s="158">
        <f t="shared" ca="1" si="10"/>
        <v>1</v>
      </c>
    </row>
    <row r="227" spans="1:3" x14ac:dyDescent="0.25">
      <c r="A227" s="155">
        <f t="shared" si="11"/>
        <v>212</v>
      </c>
      <c r="B227" s="151">
        <f t="shared" ca="1" si="9"/>
        <v>27.875809608147655</v>
      </c>
      <c r="C227" s="158">
        <f t="shared" ca="1" si="10"/>
        <v>1</v>
      </c>
    </row>
    <row r="228" spans="1:3" x14ac:dyDescent="0.25">
      <c r="A228" s="155">
        <f t="shared" si="11"/>
        <v>213</v>
      </c>
      <c r="B228" s="151">
        <f t="shared" ca="1" si="9"/>
        <v>-46.448840633795129</v>
      </c>
      <c r="C228" s="158">
        <f t="shared" ca="1" si="10"/>
        <v>0</v>
      </c>
    </row>
    <row r="229" spans="1:3" x14ac:dyDescent="0.25">
      <c r="A229" s="155">
        <f t="shared" si="11"/>
        <v>214</v>
      </c>
      <c r="B229" s="151">
        <f t="shared" ca="1" si="9"/>
        <v>113.65529132131094</v>
      </c>
      <c r="C229" s="158">
        <f t="shared" ca="1" si="10"/>
        <v>1</v>
      </c>
    </row>
    <row r="230" spans="1:3" x14ac:dyDescent="0.25">
      <c r="A230" s="155">
        <f t="shared" si="11"/>
        <v>215</v>
      </c>
      <c r="B230" s="151">
        <f t="shared" ca="1" si="9"/>
        <v>43.675060097711317</v>
      </c>
      <c r="C230" s="158">
        <f t="shared" ca="1" si="10"/>
        <v>1</v>
      </c>
    </row>
    <row r="231" spans="1:3" x14ac:dyDescent="0.25">
      <c r="A231" s="155">
        <f t="shared" si="11"/>
        <v>216</v>
      </c>
      <c r="B231" s="151">
        <f t="shared" ca="1" si="9"/>
        <v>41.835735118152932</v>
      </c>
      <c r="C231" s="158">
        <f t="shared" ca="1" si="10"/>
        <v>1</v>
      </c>
    </row>
    <row r="232" spans="1:3" x14ac:dyDescent="0.25">
      <c r="A232" s="155">
        <f t="shared" si="11"/>
        <v>217</v>
      </c>
      <c r="B232" s="151">
        <f t="shared" ca="1" si="9"/>
        <v>-33.62603402896282</v>
      </c>
      <c r="C232" s="158">
        <f t="shared" ca="1" si="10"/>
        <v>0</v>
      </c>
    </row>
    <row r="233" spans="1:3" x14ac:dyDescent="0.25">
      <c r="A233" s="155">
        <f t="shared" si="11"/>
        <v>218</v>
      </c>
      <c r="B233" s="151">
        <f t="shared" ca="1" si="9"/>
        <v>44.575518200937452</v>
      </c>
      <c r="C233" s="158">
        <f t="shared" ca="1" si="10"/>
        <v>1</v>
      </c>
    </row>
    <row r="234" spans="1:3" x14ac:dyDescent="0.25">
      <c r="A234" s="155">
        <f t="shared" si="11"/>
        <v>219</v>
      </c>
      <c r="B234" s="151">
        <f t="shared" ca="1" si="9"/>
        <v>-1.6683221732986198</v>
      </c>
      <c r="C234" s="158">
        <f t="shared" ca="1" si="10"/>
        <v>0</v>
      </c>
    </row>
    <row r="235" spans="1:3" x14ac:dyDescent="0.25">
      <c r="A235" s="155">
        <f t="shared" si="11"/>
        <v>220</v>
      </c>
      <c r="B235" s="151">
        <f t="shared" ca="1" si="9"/>
        <v>28.66511722175391</v>
      </c>
      <c r="C235" s="158">
        <f t="shared" ca="1" si="10"/>
        <v>1</v>
      </c>
    </row>
    <row r="236" spans="1:3" x14ac:dyDescent="0.25">
      <c r="A236" s="155">
        <f t="shared" si="11"/>
        <v>221</v>
      </c>
      <c r="B236" s="151">
        <f t="shared" ca="1" si="9"/>
        <v>18.791791293130107</v>
      </c>
      <c r="C236" s="158">
        <f t="shared" ca="1" si="10"/>
        <v>0</v>
      </c>
    </row>
    <row r="237" spans="1:3" x14ac:dyDescent="0.25">
      <c r="A237" s="155">
        <f t="shared" si="11"/>
        <v>222</v>
      </c>
      <c r="B237" s="151">
        <f t="shared" ca="1" si="9"/>
        <v>109.83358356744752</v>
      </c>
      <c r="C237" s="158">
        <f t="shared" ca="1" si="10"/>
        <v>1</v>
      </c>
    </row>
    <row r="238" spans="1:3" x14ac:dyDescent="0.25">
      <c r="A238" s="155">
        <f t="shared" si="11"/>
        <v>223</v>
      </c>
      <c r="B238" s="151">
        <f t="shared" ca="1" si="9"/>
        <v>37.906828336859981</v>
      </c>
      <c r="C238" s="158">
        <f t="shared" ca="1" si="10"/>
        <v>1</v>
      </c>
    </row>
    <row r="239" spans="1:3" x14ac:dyDescent="0.25">
      <c r="A239" s="155">
        <f t="shared" si="11"/>
        <v>224</v>
      </c>
      <c r="B239" s="151">
        <f t="shared" ca="1" si="9"/>
        <v>95.341547823920948</v>
      </c>
      <c r="C239" s="158">
        <f t="shared" ca="1" si="10"/>
        <v>1</v>
      </c>
    </row>
    <row r="240" spans="1:3" x14ac:dyDescent="0.25">
      <c r="A240" s="155">
        <f t="shared" si="11"/>
        <v>225</v>
      </c>
      <c r="B240" s="151">
        <f t="shared" ca="1" si="9"/>
        <v>143.32213722518449</v>
      </c>
      <c r="C240" s="158">
        <f t="shared" ca="1" si="10"/>
        <v>1</v>
      </c>
    </row>
    <row r="241" spans="1:3" x14ac:dyDescent="0.25">
      <c r="A241" s="155">
        <f t="shared" si="11"/>
        <v>226</v>
      </c>
      <c r="B241" s="151">
        <f t="shared" ca="1" si="9"/>
        <v>-38.481551834897061</v>
      </c>
      <c r="C241" s="158">
        <f t="shared" ca="1" si="10"/>
        <v>0</v>
      </c>
    </row>
    <row r="242" spans="1:3" x14ac:dyDescent="0.25">
      <c r="A242" s="155">
        <f t="shared" si="11"/>
        <v>227</v>
      </c>
      <c r="B242" s="151">
        <f t="shared" ca="1" si="9"/>
        <v>-25.217484478929762</v>
      </c>
      <c r="C242" s="158">
        <f t="shared" ca="1" si="10"/>
        <v>0</v>
      </c>
    </row>
    <row r="243" spans="1:3" x14ac:dyDescent="0.25">
      <c r="A243" s="155">
        <f t="shared" si="11"/>
        <v>228</v>
      </c>
      <c r="B243" s="151">
        <f t="shared" ca="1" si="9"/>
        <v>18.089323506922881</v>
      </c>
      <c r="C243" s="158">
        <f t="shared" ca="1" si="10"/>
        <v>0</v>
      </c>
    </row>
    <row r="244" spans="1:3" x14ac:dyDescent="0.25">
      <c r="A244" s="155">
        <f t="shared" si="11"/>
        <v>229</v>
      </c>
      <c r="B244" s="151">
        <f t="shared" ca="1" si="9"/>
        <v>52.390343167729405</v>
      </c>
      <c r="C244" s="158">
        <f t="shared" ca="1" si="10"/>
        <v>1</v>
      </c>
    </row>
    <row r="245" spans="1:3" x14ac:dyDescent="0.25">
      <c r="A245" s="155">
        <f t="shared" si="11"/>
        <v>230</v>
      </c>
      <c r="B245" s="151">
        <f t="shared" ca="1" si="9"/>
        <v>61.892261535557466</v>
      </c>
      <c r="C245" s="158">
        <f t="shared" ca="1" si="10"/>
        <v>1</v>
      </c>
    </row>
    <row r="246" spans="1:3" x14ac:dyDescent="0.25">
      <c r="A246" s="155">
        <f t="shared" si="11"/>
        <v>231</v>
      </c>
      <c r="B246" s="151">
        <f t="shared" ca="1" si="9"/>
        <v>-28.829312087930333</v>
      </c>
      <c r="C246" s="158">
        <f t="shared" ca="1" si="10"/>
        <v>0</v>
      </c>
    </row>
    <row r="247" spans="1:3" x14ac:dyDescent="0.25">
      <c r="A247" s="155">
        <f t="shared" si="11"/>
        <v>232</v>
      </c>
      <c r="B247" s="151">
        <f t="shared" ca="1" si="9"/>
        <v>45.733349881748417</v>
      </c>
      <c r="C247" s="158">
        <f t="shared" ca="1" si="10"/>
        <v>1</v>
      </c>
    </row>
    <row r="248" spans="1:3" x14ac:dyDescent="0.25">
      <c r="A248" s="155">
        <f t="shared" si="11"/>
        <v>233</v>
      </c>
      <c r="B248" s="151">
        <f t="shared" ca="1" si="9"/>
        <v>22.173344537738593</v>
      </c>
      <c r="C248" s="158">
        <f t="shared" ca="1" si="10"/>
        <v>0</v>
      </c>
    </row>
    <row r="249" spans="1:3" x14ac:dyDescent="0.25">
      <c r="A249" s="155">
        <f t="shared" si="11"/>
        <v>234</v>
      </c>
      <c r="B249" s="151">
        <f t="shared" ca="1" si="9"/>
        <v>65.243957606042017</v>
      </c>
      <c r="C249" s="158">
        <f t="shared" ca="1" si="10"/>
        <v>1</v>
      </c>
    </row>
    <row r="250" spans="1:3" x14ac:dyDescent="0.25">
      <c r="A250" s="155">
        <f t="shared" si="11"/>
        <v>235</v>
      </c>
      <c r="B250" s="151">
        <f t="shared" ca="1" si="9"/>
        <v>59.010849852768636</v>
      </c>
      <c r="C250" s="158">
        <f t="shared" ca="1" si="10"/>
        <v>1</v>
      </c>
    </row>
    <row r="251" spans="1:3" x14ac:dyDescent="0.25">
      <c r="A251" s="155">
        <f t="shared" si="11"/>
        <v>236</v>
      </c>
      <c r="B251" s="151">
        <f t="shared" ca="1" si="9"/>
        <v>21.453630741386114</v>
      </c>
      <c r="C251" s="158">
        <f t="shared" ca="1" si="10"/>
        <v>0</v>
      </c>
    </row>
    <row r="252" spans="1:3" x14ac:dyDescent="0.25">
      <c r="A252" s="155">
        <f t="shared" si="11"/>
        <v>237</v>
      </c>
      <c r="B252" s="151">
        <f t="shared" ca="1" si="9"/>
        <v>16.478281747328612</v>
      </c>
      <c r="C252" s="158">
        <f t="shared" ca="1" si="10"/>
        <v>0</v>
      </c>
    </row>
    <row r="253" spans="1:3" x14ac:dyDescent="0.25">
      <c r="A253" s="155">
        <f t="shared" si="11"/>
        <v>238</v>
      </c>
      <c r="B253" s="151">
        <f t="shared" ca="1" si="9"/>
        <v>-54.599112154926146</v>
      </c>
      <c r="C253" s="158">
        <f t="shared" ca="1" si="10"/>
        <v>0</v>
      </c>
    </row>
    <row r="254" spans="1:3" x14ac:dyDescent="0.25">
      <c r="A254" s="155">
        <f t="shared" si="11"/>
        <v>239</v>
      </c>
      <c r="B254" s="151">
        <f t="shared" ca="1" si="9"/>
        <v>11.245552621637973</v>
      </c>
      <c r="C254" s="158">
        <f t="shared" ca="1" si="10"/>
        <v>0</v>
      </c>
    </row>
    <row r="255" spans="1:3" x14ac:dyDescent="0.25">
      <c r="A255" s="155">
        <f t="shared" si="11"/>
        <v>240</v>
      </c>
      <c r="B255" s="151">
        <f t="shared" ca="1" si="9"/>
        <v>-31.077742806474006</v>
      </c>
      <c r="C255" s="158">
        <f t="shared" ca="1" si="10"/>
        <v>0</v>
      </c>
    </row>
    <row r="256" spans="1:3" x14ac:dyDescent="0.25">
      <c r="A256" s="155">
        <f t="shared" si="11"/>
        <v>241</v>
      </c>
      <c r="B256" s="151">
        <f t="shared" ca="1" si="9"/>
        <v>64.92063664738707</v>
      </c>
      <c r="C256" s="158">
        <f t="shared" ca="1" si="10"/>
        <v>1</v>
      </c>
    </row>
    <row r="257" spans="1:3" x14ac:dyDescent="0.25">
      <c r="A257" s="155">
        <f t="shared" si="11"/>
        <v>242</v>
      </c>
      <c r="B257" s="151">
        <f t="shared" ca="1" si="9"/>
        <v>-11.659726619994146</v>
      </c>
      <c r="C257" s="158">
        <f t="shared" ca="1" si="10"/>
        <v>0</v>
      </c>
    </row>
    <row r="258" spans="1:3" x14ac:dyDescent="0.25">
      <c r="A258" s="155">
        <f t="shared" si="11"/>
        <v>243</v>
      </c>
      <c r="B258" s="151">
        <f t="shared" ca="1" si="9"/>
        <v>26.439273965302121</v>
      </c>
      <c r="C258" s="158">
        <f t="shared" ca="1" si="10"/>
        <v>1</v>
      </c>
    </row>
    <row r="259" spans="1:3" x14ac:dyDescent="0.25">
      <c r="A259" s="155">
        <f t="shared" si="11"/>
        <v>244</v>
      </c>
      <c r="B259" s="151">
        <f t="shared" ca="1" si="9"/>
        <v>44.193707039068912</v>
      </c>
      <c r="C259" s="158">
        <f t="shared" ca="1" si="10"/>
        <v>1</v>
      </c>
    </row>
    <row r="260" spans="1:3" x14ac:dyDescent="0.25">
      <c r="A260" s="155">
        <f t="shared" si="11"/>
        <v>245</v>
      </c>
      <c r="B260" s="151">
        <f t="shared" ca="1" si="9"/>
        <v>71.967269883626514</v>
      </c>
      <c r="C260" s="158">
        <f t="shared" ca="1" si="10"/>
        <v>1</v>
      </c>
    </row>
    <row r="261" spans="1:3" x14ac:dyDescent="0.25">
      <c r="A261" s="155">
        <f t="shared" si="11"/>
        <v>246</v>
      </c>
      <c r="B261" s="151">
        <f t="shared" ca="1" si="9"/>
        <v>32.832369859670912</v>
      </c>
      <c r="C261" s="158">
        <f t="shared" ca="1" si="10"/>
        <v>1</v>
      </c>
    </row>
    <row r="262" spans="1:3" x14ac:dyDescent="0.25">
      <c r="A262" s="155">
        <f t="shared" si="11"/>
        <v>247</v>
      </c>
      <c r="B262" s="151">
        <f t="shared" ca="1" si="9"/>
        <v>85.929693536363516</v>
      </c>
      <c r="C262" s="158">
        <f t="shared" ca="1" si="10"/>
        <v>1</v>
      </c>
    </row>
    <row r="263" spans="1:3" x14ac:dyDescent="0.25">
      <c r="A263" s="155">
        <f t="shared" si="11"/>
        <v>248</v>
      </c>
      <c r="B263" s="151">
        <f t="shared" ca="1" si="9"/>
        <v>108.07500071237952</v>
      </c>
      <c r="C263" s="158">
        <f t="shared" ca="1" si="10"/>
        <v>1</v>
      </c>
    </row>
    <row r="264" spans="1:3" x14ac:dyDescent="0.25">
      <c r="A264" s="155">
        <f t="shared" si="11"/>
        <v>249</v>
      </c>
      <c r="B264" s="151">
        <f t="shared" ca="1" si="9"/>
        <v>70.58141710973095</v>
      </c>
      <c r="C264" s="158">
        <f t="shared" ca="1" si="10"/>
        <v>1</v>
      </c>
    </row>
    <row r="265" spans="1:3" x14ac:dyDescent="0.25">
      <c r="A265" s="155">
        <f t="shared" si="11"/>
        <v>250</v>
      </c>
      <c r="B265" s="151">
        <f t="shared" ca="1" si="9"/>
        <v>57.749565329421984</v>
      </c>
      <c r="C265" s="158">
        <f t="shared" ca="1" si="10"/>
        <v>1</v>
      </c>
    </row>
    <row r="266" spans="1:3" x14ac:dyDescent="0.25">
      <c r="A266" s="155">
        <f t="shared" si="11"/>
        <v>251</v>
      </c>
      <c r="B266" s="151">
        <f t="shared" ca="1" si="9"/>
        <v>27.793747538152395</v>
      </c>
      <c r="C266" s="158">
        <f t="shared" ca="1" si="10"/>
        <v>1</v>
      </c>
    </row>
    <row r="267" spans="1:3" x14ac:dyDescent="0.25">
      <c r="A267" s="155">
        <f t="shared" si="11"/>
        <v>252</v>
      </c>
      <c r="B267" s="151">
        <f t="shared" ca="1" si="9"/>
        <v>21.69180704609284</v>
      </c>
      <c r="C267" s="158">
        <f t="shared" ca="1" si="10"/>
        <v>0</v>
      </c>
    </row>
    <row r="268" spans="1:3" x14ac:dyDescent="0.25">
      <c r="A268" s="155">
        <f t="shared" si="11"/>
        <v>253</v>
      </c>
      <c r="B268" s="151">
        <f t="shared" ca="1" si="9"/>
        <v>65.652124215165159</v>
      </c>
      <c r="C268" s="158">
        <f t="shared" ca="1" si="10"/>
        <v>1</v>
      </c>
    </row>
    <row r="269" spans="1:3" x14ac:dyDescent="0.25">
      <c r="A269" s="155">
        <f t="shared" si="11"/>
        <v>254</v>
      </c>
      <c r="B269" s="151">
        <f t="shared" ca="1" si="9"/>
        <v>24.318801375127482</v>
      </c>
      <c r="C269" s="158">
        <f t="shared" ca="1" si="10"/>
        <v>0</v>
      </c>
    </row>
    <row r="270" spans="1:3" x14ac:dyDescent="0.25">
      <c r="A270" s="155">
        <f t="shared" si="11"/>
        <v>255</v>
      </c>
      <c r="B270" s="151">
        <f t="shared" ca="1" si="9"/>
        <v>123.89031383238638</v>
      </c>
      <c r="C270" s="158">
        <f t="shared" ca="1" si="10"/>
        <v>1</v>
      </c>
    </row>
    <row r="271" spans="1:3" x14ac:dyDescent="0.25">
      <c r="A271" s="155">
        <f t="shared" si="11"/>
        <v>256</v>
      </c>
      <c r="B271" s="151">
        <f t="shared" ca="1" si="9"/>
        <v>-8.3243451078108706</v>
      </c>
      <c r="C271" s="158">
        <f t="shared" ca="1" si="10"/>
        <v>0</v>
      </c>
    </row>
    <row r="272" spans="1:3" x14ac:dyDescent="0.25">
      <c r="A272" s="155">
        <f t="shared" si="11"/>
        <v>257</v>
      </c>
      <c r="B272" s="151">
        <f t="shared" ca="1" si="9"/>
        <v>9.0604472161964793</v>
      </c>
      <c r="C272" s="158">
        <f t="shared" ca="1" si="10"/>
        <v>0</v>
      </c>
    </row>
    <row r="273" spans="1:3" x14ac:dyDescent="0.25">
      <c r="A273" s="155">
        <f t="shared" si="11"/>
        <v>258</v>
      </c>
      <c r="B273" s="151">
        <f t="shared" ref="B273:B336" ca="1" si="12">_xlfn.NORM.INV(RAND(), $B$9, $B$10)</f>
        <v>93.410439928760752</v>
      </c>
      <c r="C273" s="158">
        <f t="shared" ref="C273:C336" ca="1" si="13">IF(B273 &gt;= $B$11, 1, 0)</f>
        <v>1</v>
      </c>
    </row>
    <row r="274" spans="1:3" x14ac:dyDescent="0.25">
      <c r="A274" s="155">
        <f t="shared" ref="A274:A337" si="14">+A273+1</f>
        <v>259</v>
      </c>
      <c r="B274" s="151">
        <f t="shared" ca="1" si="12"/>
        <v>86.511971368454482</v>
      </c>
      <c r="C274" s="158">
        <f t="shared" ca="1" si="13"/>
        <v>1</v>
      </c>
    </row>
    <row r="275" spans="1:3" x14ac:dyDescent="0.25">
      <c r="A275" s="155">
        <f t="shared" si="14"/>
        <v>260</v>
      </c>
      <c r="B275" s="151">
        <f t="shared" ca="1" si="12"/>
        <v>75.682828631831356</v>
      </c>
      <c r="C275" s="158">
        <f t="shared" ca="1" si="13"/>
        <v>1</v>
      </c>
    </row>
    <row r="276" spans="1:3" x14ac:dyDescent="0.25">
      <c r="A276" s="155">
        <f t="shared" si="14"/>
        <v>261</v>
      </c>
      <c r="B276" s="151">
        <f t="shared" ca="1" si="12"/>
        <v>132.82807335907876</v>
      </c>
      <c r="C276" s="158">
        <f t="shared" ca="1" si="13"/>
        <v>1</v>
      </c>
    </row>
    <row r="277" spans="1:3" x14ac:dyDescent="0.25">
      <c r="A277" s="155">
        <f t="shared" si="14"/>
        <v>262</v>
      </c>
      <c r="B277" s="151">
        <f t="shared" ca="1" si="12"/>
        <v>83.99751215677631</v>
      </c>
      <c r="C277" s="158">
        <f t="shared" ca="1" si="13"/>
        <v>1</v>
      </c>
    </row>
    <row r="278" spans="1:3" x14ac:dyDescent="0.25">
      <c r="A278" s="155">
        <f t="shared" si="14"/>
        <v>263</v>
      </c>
      <c r="B278" s="151">
        <f t="shared" ca="1" si="12"/>
        <v>77.308887523331634</v>
      </c>
      <c r="C278" s="158">
        <f t="shared" ca="1" si="13"/>
        <v>1</v>
      </c>
    </row>
    <row r="279" spans="1:3" x14ac:dyDescent="0.25">
      <c r="A279" s="155">
        <f t="shared" si="14"/>
        <v>264</v>
      </c>
      <c r="B279" s="151">
        <f t="shared" ca="1" si="12"/>
        <v>161.27448576282819</v>
      </c>
      <c r="C279" s="158">
        <f t="shared" ca="1" si="13"/>
        <v>1</v>
      </c>
    </row>
    <row r="280" spans="1:3" x14ac:dyDescent="0.25">
      <c r="A280" s="155">
        <f t="shared" si="14"/>
        <v>265</v>
      </c>
      <c r="B280" s="151">
        <f t="shared" ca="1" si="12"/>
        <v>7.1218945925411958</v>
      </c>
      <c r="C280" s="158">
        <f t="shared" ca="1" si="13"/>
        <v>0</v>
      </c>
    </row>
    <row r="281" spans="1:3" x14ac:dyDescent="0.25">
      <c r="A281" s="155">
        <f t="shared" si="14"/>
        <v>266</v>
      </c>
      <c r="B281" s="151">
        <f t="shared" ca="1" si="12"/>
        <v>39.494493892322396</v>
      </c>
      <c r="C281" s="158">
        <f t="shared" ca="1" si="13"/>
        <v>1</v>
      </c>
    </row>
    <row r="282" spans="1:3" x14ac:dyDescent="0.25">
      <c r="A282" s="155">
        <f t="shared" si="14"/>
        <v>267</v>
      </c>
      <c r="B282" s="151">
        <f t="shared" ca="1" si="12"/>
        <v>-12.696717628902704</v>
      </c>
      <c r="C282" s="158">
        <f t="shared" ca="1" si="13"/>
        <v>0</v>
      </c>
    </row>
    <row r="283" spans="1:3" x14ac:dyDescent="0.25">
      <c r="A283" s="155">
        <f t="shared" si="14"/>
        <v>268</v>
      </c>
      <c r="B283" s="151">
        <f t="shared" ca="1" si="12"/>
        <v>-7.4272165473831322</v>
      </c>
      <c r="C283" s="158">
        <f t="shared" ca="1" si="13"/>
        <v>0</v>
      </c>
    </row>
    <row r="284" spans="1:3" x14ac:dyDescent="0.25">
      <c r="A284" s="155">
        <f t="shared" si="14"/>
        <v>269</v>
      </c>
      <c r="B284" s="151">
        <f t="shared" ca="1" si="12"/>
        <v>71.751641792778628</v>
      </c>
      <c r="C284" s="158">
        <f t="shared" ca="1" si="13"/>
        <v>1</v>
      </c>
    </row>
    <row r="285" spans="1:3" x14ac:dyDescent="0.25">
      <c r="A285" s="155">
        <f t="shared" si="14"/>
        <v>270</v>
      </c>
      <c r="B285" s="151">
        <f t="shared" ca="1" si="12"/>
        <v>127.40359314856948</v>
      </c>
      <c r="C285" s="158">
        <f t="shared" ca="1" si="13"/>
        <v>1</v>
      </c>
    </row>
    <row r="286" spans="1:3" x14ac:dyDescent="0.25">
      <c r="A286" s="155">
        <f t="shared" si="14"/>
        <v>271</v>
      </c>
      <c r="B286" s="151">
        <f t="shared" ca="1" si="12"/>
        <v>84.760541306907129</v>
      </c>
      <c r="C286" s="158">
        <f t="shared" ca="1" si="13"/>
        <v>1</v>
      </c>
    </row>
    <row r="287" spans="1:3" x14ac:dyDescent="0.25">
      <c r="A287" s="155">
        <f t="shared" si="14"/>
        <v>272</v>
      </c>
      <c r="B287" s="151">
        <f t="shared" ca="1" si="12"/>
        <v>89.806864566771281</v>
      </c>
      <c r="C287" s="158">
        <f t="shared" ca="1" si="13"/>
        <v>1</v>
      </c>
    </row>
    <row r="288" spans="1:3" x14ac:dyDescent="0.25">
      <c r="A288" s="155">
        <f t="shared" si="14"/>
        <v>273</v>
      </c>
      <c r="B288" s="151">
        <f t="shared" ca="1" si="12"/>
        <v>40.849798242244972</v>
      </c>
      <c r="C288" s="158">
        <f t="shared" ca="1" si="13"/>
        <v>1</v>
      </c>
    </row>
    <row r="289" spans="1:3" x14ac:dyDescent="0.25">
      <c r="A289" s="155">
        <f t="shared" si="14"/>
        <v>274</v>
      </c>
      <c r="B289" s="151">
        <f t="shared" ca="1" si="12"/>
        <v>121.35756443292345</v>
      </c>
      <c r="C289" s="158">
        <f t="shared" ca="1" si="13"/>
        <v>1</v>
      </c>
    </row>
    <row r="290" spans="1:3" x14ac:dyDescent="0.25">
      <c r="A290" s="155">
        <f t="shared" si="14"/>
        <v>275</v>
      </c>
      <c r="B290" s="151">
        <f t="shared" ca="1" si="12"/>
        <v>102.00835468866426</v>
      </c>
      <c r="C290" s="158">
        <f t="shared" ca="1" si="13"/>
        <v>1</v>
      </c>
    </row>
    <row r="291" spans="1:3" x14ac:dyDescent="0.25">
      <c r="A291" s="155">
        <f t="shared" si="14"/>
        <v>276</v>
      </c>
      <c r="B291" s="151">
        <f t="shared" ca="1" si="12"/>
        <v>-9.2389488269327202</v>
      </c>
      <c r="C291" s="158">
        <f t="shared" ca="1" si="13"/>
        <v>0</v>
      </c>
    </row>
    <row r="292" spans="1:3" x14ac:dyDescent="0.25">
      <c r="A292" s="155">
        <f t="shared" si="14"/>
        <v>277</v>
      </c>
      <c r="B292" s="151">
        <f t="shared" ca="1" si="12"/>
        <v>22.719229284054236</v>
      </c>
      <c r="C292" s="158">
        <f t="shared" ca="1" si="13"/>
        <v>0</v>
      </c>
    </row>
    <row r="293" spans="1:3" x14ac:dyDescent="0.25">
      <c r="A293" s="155">
        <f t="shared" si="14"/>
        <v>278</v>
      </c>
      <c r="B293" s="151">
        <f t="shared" ca="1" si="12"/>
        <v>84.722486189882787</v>
      </c>
      <c r="C293" s="158">
        <f t="shared" ca="1" si="13"/>
        <v>1</v>
      </c>
    </row>
    <row r="294" spans="1:3" x14ac:dyDescent="0.25">
      <c r="A294" s="155">
        <f t="shared" si="14"/>
        <v>279</v>
      </c>
      <c r="B294" s="151">
        <f t="shared" ca="1" si="12"/>
        <v>7.4845697781780807</v>
      </c>
      <c r="C294" s="158">
        <f t="shared" ca="1" si="13"/>
        <v>0</v>
      </c>
    </row>
    <row r="295" spans="1:3" x14ac:dyDescent="0.25">
      <c r="A295" s="155">
        <f t="shared" si="14"/>
        <v>280</v>
      </c>
      <c r="B295" s="151">
        <f t="shared" ca="1" si="12"/>
        <v>34.581021599661163</v>
      </c>
      <c r="C295" s="158">
        <f t="shared" ca="1" si="13"/>
        <v>1</v>
      </c>
    </row>
    <row r="296" spans="1:3" x14ac:dyDescent="0.25">
      <c r="A296" s="155">
        <f t="shared" si="14"/>
        <v>281</v>
      </c>
      <c r="B296" s="151">
        <f t="shared" ca="1" si="12"/>
        <v>70.21738197407268</v>
      </c>
      <c r="C296" s="158">
        <f t="shared" ca="1" si="13"/>
        <v>1</v>
      </c>
    </row>
    <row r="297" spans="1:3" x14ac:dyDescent="0.25">
      <c r="A297" s="155">
        <f t="shared" si="14"/>
        <v>282</v>
      </c>
      <c r="B297" s="151">
        <f t="shared" ca="1" si="12"/>
        <v>48.211581980958194</v>
      </c>
      <c r="C297" s="158">
        <f t="shared" ca="1" si="13"/>
        <v>1</v>
      </c>
    </row>
    <row r="298" spans="1:3" x14ac:dyDescent="0.25">
      <c r="A298" s="155">
        <f t="shared" si="14"/>
        <v>283</v>
      </c>
      <c r="B298" s="151">
        <f t="shared" ca="1" si="12"/>
        <v>3.7839187283842257</v>
      </c>
      <c r="C298" s="158">
        <f t="shared" ca="1" si="13"/>
        <v>0</v>
      </c>
    </row>
    <row r="299" spans="1:3" x14ac:dyDescent="0.25">
      <c r="A299" s="155">
        <f t="shared" si="14"/>
        <v>284</v>
      </c>
      <c r="B299" s="151">
        <f t="shared" ca="1" si="12"/>
        <v>92.980528943861117</v>
      </c>
      <c r="C299" s="158">
        <f t="shared" ca="1" si="13"/>
        <v>1</v>
      </c>
    </row>
    <row r="300" spans="1:3" x14ac:dyDescent="0.25">
      <c r="A300" s="155">
        <f t="shared" si="14"/>
        <v>285</v>
      </c>
      <c r="B300" s="151">
        <f t="shared" ca="1" si="12"/>
        <v>23.501697814948002</v>
      </c>
      <c r="C300" s="158">
        <f t="shared" ca="1" si="13"/>
        <v>0</v>
      </c>
    </row>
    <row r="301" spans="1:3" x14ac:dyDescent="0.25">
      <c r="A301" s="155">
        <f t="shared" si="14"/>
        <v>286</v>
      </c>
      <c r="B301" s="151">
        <f t="shared" ca="1" si="12"/>
        <v>12.761356711672413</v>
      </c>
      <c r="C301" s="158">
        <f t="shared" ca="1" si="13"/>
        <v>0</v>
      </c>
    </row>
    <row r="302" spans="1:3" x14ac:dyDescent="0.25">
      <c r="A302" s="155">
        <f t="shared" si="14"/>
        <v>287</v>
      </c>
      <c r="B302" s="151">
        <f t="shared" ca="1" si="12"/>
        <v>15.332166192439889</v>
      </c>
      <c r="C302" s="158">
        <f t="shared" ca="1" si="13"/>
        <v>0</v>
      </c>
    </row>
    <row r="303" spans="1:3" x14ac:dyDescent="0.25">
      <c r="A303" s="155">
        <f t="shared" si="14"/>
        <v>288</v>
      </c>
      <c r="B303" s="151">
        <f t="shared" ca="1" si="12"/>
        <v>59.612418812081131</v>
      </c>
      <c r="C303" s="158">
        <f t="shared" ca="1" si="13"/>
        <v>1</v>
      </c>
    </row>
    <row r="304" spans="1:3" x14ac:dyDescent="0.25">
      <c r="A304" s="155">
        <f t="shared" si="14"/>
        <v>289</v>
      </c>
      <c r="B304" s="151">
        <f t="shared" ca="1" si="12"/>
        <v>74.476773064459792</v>
      </c>
      <c r="C304" s="158">
        <f t="shared" ca="1" si="13"/>
        <v>1</v>
      </c>
    </row>
    <row r="305" spans="1:3" x14ac:dyDescent="0.25">
      <c r="A305" s="155">
        <f t="shared" si="14"/>
        <v>290</v>
      </c>
      <c r="B305" s="151">
        <f t="shared" ca="1" si="12"/>
        <v>145.58013121033576</v>
      </c>
      <c r="C305" s="158">
        <f t="shared" ca="1" si="13"/>
        <v>1</v>
      </c>
    </row>
    <row r="306" spans="1:3" x14ac:dyDescent="0.25">
      <c r="A306" s="155">
        <f t="shared" si="14"/>
        <v>291</v>
      </c>
      <c r="B306" s="151">
        <f t="shared" ca="1" si="12"/>
        <v>103.12500256740451</v>
      </c>
      <c r="C306" s="158">
        <f t="shared" ca="1" si="13"/>
        <v>1</v>
      </c>
    </row>
    <row r="307" spans="1:3" x14ac:dyDescent="0.25">
      <c r="A307" s="155">
        <f t="shared" si="14"/>
        <v>292</v>
      </c>
      <c r="B307" s="151">
        <f t="shared" ca="1" si="12"/>
        <v>-14.396669003552347</v>
      </c>
      <c r="C307" s="158">
        <f t="shared" ca="1" si="13"/>
        <v>0</v>
      </c>
    </row>
    <row r="308" spans="1:3" x14ac:dyDescent="0.25">
      <c r="A308" s="155">
        <f t="shared" si="14"/>
        <v>293</v>
      </c>
      <c r="B308" s="151">
        <f t="shared" ca="1" si="12"/>
        <v>94.706426396451661</v>
      </c>
      <c r="C308" s="158">
        <f t="shared" ca="1" si="13"/>
        <v>1</v>
      </c>
    </row>
    <row r="309" spans="1:3" x14ac:dyDescent="0.25">
      <c r="A309" s="155">
        <f t="shared" si="14"/>
        <v>294</v>
      </c>
      <c r="B309" s="151">
        <f t="shared" ca="1" si="12"/>
        <v>-52.769612444527453</v>
      </c>
      <c r="C309" s="158">
        <f t="shared" ca="1" si="13"/>
        <v>0</v>
      </c>
    </row>
    <row r="310" spans="1:3" x14ac:dyDescent="0.25">
      <c r="A310" s="155">
        <f t="shared" si="14"/>
        <v>295</v>
      </c>
      <c r="B310" s="151">
        <f t="shared" ca="1" si="12"/>
        <v>18.862001318007827</v>
      </c>
      <c r="C310" s="158">
        <f t="shared" ca="1" si="13"/>
        <v>0</v>
      </c>
    </row>
    <row r="311" spans="1:3" x14ac:dyDescent="0.25">
      <c r="A311" s="155">
        <f t="shared" si="14"/>
        <v>296</v>
      </c>
      <c r="B311" s="151">
        <f t="shared" ca="1" si="12"/>
        <v>12.758853527389153</v>
      </c>
      <c r="C311" s="158">
        <f t="shared" ca="1" si="13"/>
        <v>0</v>
      </c>
    </row>
    <row r="312" spans="1:3" x14ac:dyDescent="0.25">
      <c r="A312" s="155">
        <f t="shared" si="14"/>
        <v>297</v>
      </c>
      <c r="B312" s="151">
        <f t="shared" ca="1" si="12"/>
        <v>-35.085690268181907</v>
      </c>
      <c r="C312" s="158">
        <f t="shared" ca="1" si="13"/>
        <v>0</v>
      </c>
    </row>
    <row r="313" spans="1:3" x14ac:dyDescent="0.25">
      <c r="A313" s="155">
        <f t="shared" si="14"/>
        <v>298</v>
      </c>
      <c r="B313" s="151">
        <f t="shared" ca="1" si="12"/>
        <v>55.11450478946233</v>
      </c>
      <c r="C313" s="158">
        <f t="shared" ca="1" si="13"/>
        <v>1</v>
      </c>
    </row>
    <row r="314" spans="1:3" x14ac:dyDescent="0.25">
      <c r="A314" s="155">
        <f t="shared" si="14"/>
        <v>299</v>
      </c>
      <c r="B314" s="151">
        <f t="shared" ca="1" si="12"/>
        <v>49.41312827243889</v>
      </c>
      <c r="C314" s="158">
        <f t="shared" ca="1" si="13"/>
        <v>1</v>
      </c>
    </row>
    <row r="315" spans="1:3" x14ac:dyDescent="0.25">
      <c r="A315" s="155">
        <f t="shared" si="14"/>
        <v>300</v>
      </c>
      <c r="B315" s="151">
        <f t="shared" ca="1" si="12"/>
        <v>39.602181173205295</v>
      </c>
      <c r="C315" s="158">
        <f t="shared" ca="1" si="13"/>
        <v>1</v>
      </c>
    </row>
    <row r="316" spans="1:3" x14ac:dyDescent="0.25">
      <c r="A316" s="155">
        <f t="shared" si="14"/>
        <v>301</v>
      </c>
      <c r="B316" s="151">
        <f t="shared" ca="1" si="12"/>
        <v>59.15032903410976</v>
      </c>
      <c r="C316" s="158">
        <f t="shared" ca="1" si="13"/>
        <v>1</v>
      </c>
    </row>
    <row r="317" spans="1:3" x14ac:dyDescent="0.25">
      <c r="A317" s="155">
        <f t="shared" si="14"/>
        <v>302</v>
      </c>
      <c r="B317" s="151">
        <f t="shared" ca="1" si="12"/>
        <v>39.378452276908945</v>
      </c>
      <c r="C317" s="158">
        <f t="shared" ca="1" si="13"/>
        <v>1</v>
      </c>
    </row>
    <row r="318" spans="1:3" x14ac:dyDescent="0.25">
      <c r="A318" s="155">
        <f t="shared" si="14"/>
        <v>303</v>
      </c>
      <c r="B318" s="151">
        <f t="shared" ca="1" si="12"/>
        <v>77.632944816976618</v>
      </c>
      <c r="C318" s="158">
        <f t="shared" ca="1" si="13"/>
        <v>1</v>
      </c>
    </row>
    <row r="319" spans="1:3" x14ac:dyDescent="0.25">
      <c r="A319" s="155">
        <f t="shared" si="14"/>
        <v>304</v>
      </c>
      <c r="B319" s="151">
        <f t="shared" ca="1" si="12"/>
        <v>-90.967218166523097</v>
      </c>
      <c r="C319" s="158">
        <f t="shared" ca="1" si="13"/>
        <v>0</v>
      </c>
    </row>
    <row r="320" spans="1:3" x14ac:dyDescent="0.25">
      <c r="A320" s="155">
        <f t="shared" si="14"/>
        <v>305</v>
      </c>
      <c r="B320" s="151">
        <f t="shared" ca="1" si="12"/>
        <v>-10.866367989893085</v>
      </c>
      <c r="C320" s="158">
        <f t="shared" ca="1" si="13"/>
        <v>0</v>
      </c>
    </row>
    <row r="321" spans="1:3" x14ac:dyDescent="0.25">
      <c r="A321" s="155">
        <f t="shared" si="14"/>
        <v>306</v>
      </c>
      <c r="B321" s="151">
        <f t="shared" ca="1" si="12"/>
        <v>33.506573870824305</v>
      </c>
      <c r="C321" s="158">
        <f t="shared" ca="1" si="13"/>
        <v>1</v>
      </c>
    </row>
    <row r="322" spans="1:3" x14ac:dyDescent="0.25">
      <c r="A322" s="155">
        <f t="shared" si="14"/>
        <v>307</v>
      </c>
      <c r="B322" s="151">
        <f t="shared" ca="1" si="12"/>
        <v>30.435163247390406</v>
      </c>
      <c r="C322" s="158">
        <f t="shared" ca="1" si="13"/>
        <v>1</v>
      </c>
    </row>
    <row r="323" spans="1:3" x14ac:dyDescent="0.25">
      <c r="A323" s="155">
        <f t="shared" si="14"/>
        <v>308</v>
      </c>
      <c r="B323" s="151">
        <f t="shared" ca="1" si="12"/>
        <v>24.809136550491658</v>
      </c>
      <c r="C323" s="158">
        <f t="shared" ca="1" si="13"/>
        <v>0</v>
      </c>
    </row>
    <row r="324" spans="1:3" x14ac:dyDescent="0.25">
      <c r="A324" s="155">
        <f t="shared" si="14"/>
        <v>309</v>
      </c>
      <c r="B324" s="151">
        <f t="shared" ca="1" si="12"/>
        <v>-2.34714487372365</v>
      </c>
      <c r="C324" s="158">
        <f t="shared" ca="1" si="13"/>
        <v>0</v>
      </c>
    </row>
    <row r="325" spans="1:3" x14ac:dyDescent="0.25">
      <c r="A325" s="155">
        <f t="shared" si="14"/>
        <v>310</v>
      </c>
      <c r="B325" s="151">
        <f t="shared" ca="1" si="12"/>
        <v>-41.449877971701653</v>
      </c>
      <c r="C325" s="158">
        <f t="shared" ca="1" si="13"/>
        <v>0</v>
      </c>
    </row>
    <row r="326" spans="1:3" x14ac:dyDescent="0.25">
      <c r="A326" s="155">
        <f t="shared" si="14"/>
        <v>311</v>
      </c>
      <c r="B326" s="151">
        <f t="shared" ca="1" si="12"/>
        <v>101.79102688024655</v>
      </c>
      <c r="C326" s="158">
        <f t="shared" ca="1" si="13"/>
        <v>1</v>
      </c>
    </row>
    <row r="327" spans="1:3" x14ac:dyDescent="0.25">
      <c r="A327" s="155">
        <f t="shared" si="14"/>
        <v>312</v>
      </c>
      <c r="B327" s="151">
        <f t="shared" ca="1" si="12"/>
        <v>125.6870119371323</v>
      </c>
      <c r="C327" s="158">
        <f t="shared" ca="1" si="13"/>
        <v>1</v>
      </c>
    </row>
    <row r="328" spans="1:3" x14ac:dyDescent="0.25">
      <c r="A328" s="155">
        <f t="shared" si="14"/>
        <v>313</v>
      </c>
      <c r="B328" s="151">
        <f t="shared" ca="1" si="12"/>
        <v>-61.722112755882392</v>
      </c>
      <c r="C328" s="158">
        <f t="shared" ca="1" si="13"/>
        <v>0</v>
      </c>
    </row>
    <row r="329" spans="1:3" x14ac:dyDescent="0.25">
      <c r="A329" s="155">
        <f t="shared" si="14"/>
        <v>314</v>
      </c>
      <c r="B329" s="151">
        <f t="shared" ca="1" si="12"/>
        <v>-19.186538081456028</v>
      </c>
      <c r="C329" s="158">
        <f t="shared" ca="1" si="13"/>
        <v>0</v>
      </c>
    </row>
    <row r="330" spans="1:3" x14ac:dyDescent="0.25">
      <c r="A330" s="155">
        <f t="shared" si="14"/>
        <v>315</v>
      </c>
      <c r="B330" s="151">
        <f t="shared" ca="1" si="12"/>
        <v>-33.003583744755119</v>
      </c>
      <c r="C330" s="158">
        <f t="shared" ca="1" si="13"/>
        <v>0</v>
      </c>
    </row>
    <row r="331" spans="1:3" x14ac:dyDescent="0.25">
      <c r="A331" s="155">
        <f t="shared" si="14"/>
        <v>316</v>
      </c>
      <c r="B331" s="151">
        <f t="shared" ca="1" si="12"/>
        <v>32.379740412270976</v>
      </c>
      <c r="C331" s="158">
        <f t="shared" ca="1" si="13"/>
        <v>1</v>
      </c>
    </row>
    <row r="332" spans="1:3" x14ac:dyDescent="0.25">
      <c r="A332" s="155">
        <f t="shared" si="14"/>
        <v>317</v>
      </c>
      <c r="B332" s="151">
        <f t="shared" ca="1" si="12"/>
        <v>119.11252410791084</v>
      </c>
      <c r="C332" s="158">
        <f t="shared" ca="1" si="13"/>
        <v>1</v>
      </c>
    </row>
    <row r="333" spans="1:3" x14ac:dyDescent="0.25">
      <c r="A333" s="155">
        <f t="shared" si="14"/>
        <v>318</v>
      </c>
      <c r="B333" s="151">
        <f t="shared" ca="1" si="12"/>
        <v>58.318047990505157</v>
      </c>
      <c r="C333" s="158">
        <f t="shared" ca="1" si="13"/>
        <v>1</v>
      </c>
    </row>
    <row r="334" spans="1:3" x14ac:dyDescent="0.25">
      <c r="A334" s="155">
        <f t="shared" si="14"/>
        <v>319</v>
      </c>
      <c r="B334" s="151">
        <f t="shared" ca="1" si="12"/>
        <v>5.0764122392119333</v>
      </c>
      <c r="C334" s="158">
        <f t="shared" ca="1" si="13"/>
        <v>0</v>
      </c>
    </row>
    <row r="335" spans="1:3" x14ac:dyDescent="0.25">
      <c r="A335" s="155">
        <f t="shared" si="14"/>
        <v>320</v>
      </c>
      <c r="B335" s="151">
        <f t="shared" ca="1" si="12"/>
        <v>43.653509433077652</v>
      </c>
      <c r="C335" s="158">
        <f t="shared" ca="1" si="13"/>
        <v>1</v>
      </c>
    </row>
    <row r="336" spans="1:3" x14ac:dyDescent="0.25">
      <c r="A336" s="155">
        <f t="shared" si="14"/>
        <v>321</v>
      </c>
      <c r="B336" s="151">
        <f t="shared" ca="1" si="12"/>
        <v>28.190459098247693</v>
      </c>
      <c r="C336" s="158">
        <f t="shared" ca="1" si="13"/>
        <v>1</v>
      </c>
    </row>
    <row r="337" spans="1:3" x14ac:dyDescent="0.25">
      <c r="A337" s="155">
        <f t="shared" si="14"/>
        <v>322</v>
      </c>
      <c r="B337" s="151">
        <f t="shared" ref="B337:B400" ca="1" si="15">_xlfn.NORM.INV(RAND(), $B$9, $B$10)</f>
        <v>33.284407364076962</v>
      </c>
      <c r="C337" s="158">
        <f t="shared" ref="C337:C400" ca="1" si="16">IF(B337 &gt;= $B$11, 1, 0)</f>
        <v>1</v>
      </c>
    </row>
    <row r="338" spans="1:3" x14ac:dyDescent="0.25">
      <c r="A338" s="155">
        <f t="shared" ref="A338:A401" si="17">+A337+1</f>
        <v>323</v>
      </c>
      <c r="B338" s="151">
        <f t="shared" ca="1" si="15"/>
        <v>21.619571763949008</v>
      </c>
      <c r="C338" s="158">
        <f t="shared" ca="1" si="16"/>
        <v>0</v>
      </c>
    </row>
    <row r="339" spans="1:3" x14ac:dyDescent="0.25">
      <c r="A339" s="155">
        <f t="shared" si="17"/>
        <v>324</v>
      </c>
      <c r="B339" s="151">
        <f t="shared" ca="1" si="15"/>
        <v>18.910984299593995</v>
      </c>
      <c r="C339" s="158">
        <f t="shared" ca="1" si="16"/>
        <v>0</v>
      </c>
    </row>
    <row r="340" spans="1:3" x14ac:dyDescent="0.25">
      <c r="A340" s="155">
        <f t="shared" si="17"/>
        <v>325</v>
      </c>
      <c r="B340" s="151">
        <f t="shared" ca="1" si="15"/>
        <v>86.259396020003663</v>
      </c>
      <c r="C340" s="158">
        <f t="shared" ca="1" si="16"/>
        <v>1</v>
      </c>
    </row>
    <row r="341" spans="1:3" x14ac:dyDescent="0.25">
      <c r="A341" s="155">
        <f t="shared" si="17"/>
        <v>326</v>
      </c>
      <c r="B341" s="151">
        <f t="shared" ca="1" si="15"/>
        <v>-13.456845576566934</v>
      </c>
      <c r="C341" s="158">
        <f t="shared" ca="1" si="16"/>
        <v>0</v>
      </c>
    </row>
    <row r="342" spans="1:3" x14ac:dyDescent="0.25">
      <c r="A342" s="155">
        <f t="shared" si="17"/>
        <v>327</v>
      </c>
      <c r="B342" s="151">
        <f t="shared" ca="1" si="15"/>
        <v>12.949459042699083</v>
      </c>
      <c r="C342" s="158">
        <f t="shared" ca="1" si="16"/>
        <v>0</v>
      </c>
    </row>
    <row r="343" spans="1:3" x14ac:dyDescent="0.25">
      <c r="A343" s="155">
        <f t="shared" si="17"/>
        <v>328</v>
      </c>
      <c r="B343" s="151">
        <f t="shared" ca="1" si="15"/>
        <v>99.178911262020947</v>
      </c>
      <c r="C343" s="158">
        <f t="shared" ca="1" si="16"/>
        <v>1</v>
      </c>
    </row>
    <row r="344" spans="1:3" x14ac:dyDescent="0.25">
      <c r="A344" s="155">
        <f t="shared" si="17"/>
        <v>329</v>
      </c>
      <c r="B344" s="151">
        <f t="shared" ca="1" si="15"/>
        <v>30.602166170958576</v>
      </c>
      <c r="C344" s="158">
        <f t="shared" ca="1" si="16"/>
        <v>1</v>
      </c>
    </row>
    <row r="345" spans="1:3" x14ac:dyDescent="0.25">
      <c r="A345" s="155">
        <f t="shared" si="17"/>
        <v>330</v>
      </c>
      <c r="B345" s="151">
        <f t="shared" ca="1" si="15"/>
        <v>-7.8952046904120081</v>
      </c>
      <c r="C345" s="158">
        <f t="shared" ca="1" si="16"/>
        <v>0</v>
      </c>
    </row>
    <row r="346" spans="1:3" x14ac:dyDescent="0.25">
      <c r="A346" s="155">
        <f t="shared" si="17"/>
        <v>331</v>
      </c>
      <c r="B346" s="151">
        <f t="shared" ca="1" si="15"/>
        <v>33.819677218058352</v>
      </c>
      <c r="C346" s="158">
        <f t="shared" ca="1" si="16"/>
        <v>1</v>
      </c>
    </row>
    <row r="347" spans="1:3" x14ac:dyDescent="0.25">
      <c r="A347" s="155">
        <f t="shared" si="17"/>
        <v>332</v>
      </c>
      <c r="B347" s="151">
        <f t="shared" ca="1" si="15"/>
        <v>55.972328216237919</v>
      </c>
      <c r="C347" s="158">
        <f t="shared" ca="1" si="16"/>
        <v>1</v>
      </c>
    </row>
    <row r="348" spans="1:3" x14ac:dyDescent="0.25">
      <c r="A348" s="155">
        <f t="shared" si="17"/>
        <v>333</v>
      </c>
      <c r="B348" s="151">
        <f t="shared" ca="1" si="15"/>
        <v>34.919471973002103</v>
      </c>
      <c r="C348" s="158">
        <f t="shared" ca="1" si="16"/>
        <v>1</v>
      </c>
    </row>
    <row r="349" spans="1:3" x14ac:dyDescent="0.25">
      <c r="A349" s="155">
        <f t="shared" si="17"/>
        <v>334</v>
      </c>
      <c r="B349" s="151">
        <f t="shared" ca="1" si="15"/>
        <v>100.18556863138808</v>
      </c>
      <c r="C349" s="158">
        <f t="shared" ca="1" si="16"/>
        <v>1</v>
      </c>
    </row>
    <row r="350" spans="1:3" x14ac:dyDescent="0.25">
      <c r="A350" s="155">
        <f t="shared" si="17"/>
        <v>335</v>
      </c>
      <c r="B350" s="151">
        <f t="shared" ca="1" si="15"/>
        <v>64.82992172178632</v>
      </c>
      <c r="C350" s="158">
        <f t="shared" ca="1" si="16"/>
        <v>1</v>
      </c>
    </row>
    <row r="351" spans="1:3" x14ac:dyDescent="0.25">
      <c r="A351" s="155">
        <f t="shared" si="17"/>
        <v>336</v>
      </c>
      <c r="B351" s="151">
        <f t="shared" ca="1" si="15"/>
        <v>98.884439155893034</v>
      </c>
      <c r="C351" s="158">
        <f t="shared" ca="1" si="16"/>
        <v>1</v>
      </c>
    </row>
    <row r="352" spans="1:3" x14ac:dyDescent="0.25">
      <c r="A352" s="155">
        <f t="shared" si="17"/>
        <v>337</v>
      </c>
      <c r="B352" s="151">
        <f t="shared" ca="1" si="15"/>
        <v>-2.8804332297730753</v>
      </c>
      <c r="C352" s="158">
        <f t="shared" ca="1" si="16"/>
        <v>0</v>
      </c>
    </row>
    <row r="353" spans="1:3" x14ac:dyDescent="0.25">
      <c r="A353" s="155">
        <f t="shared" si="17"/>
        <v>338</v>
      </c>
      <c r="B353" s="151">
        <f t="shared" ca="1" si="15"/>
        <v>-2.2578930651533113</v>
      </c>
      <c r="C353" s="158">
        <f t="shared" ca="1" si="16"/>
        <v>0</v>
      </c>
    </row>
    <row r="354" spans="1:3" x14ac:dyDescent="0.25">
      <c r="A354" s="155">
        <f t="shared" si="17"/>
        <v>339</v>
      </c>
      <c r="B354" s="151">
        <f t="shared" ca="1" si="15"/>
        <v>32.939142418419074</v>
      </c>
      <c r="C354" s="158">
        <f t="shared" ca="1" si="16"/>
        <v>1</v>
      </c>
    </row>
    <row r="355" spans="1:3" x14ac:dyDescent="0.25">
      <c r="A355" s="155">
        <f t="shared" si="17"/>
        <v>340</v>
      </c>
      <c r="B355" s="151">
        <f t="shared" ca="1" si="15"/>
        <v>66.743522441382822</v>
      </c>
      <c r="C355" s="158">
        <f t="shared" ca="1" si="16"/>
        <v>1</v>
      </c>
    </row>
    <row r="356" spans="1:3" x14ac:dyDescent="0.25">
      <c r="A356" s="155">
        <f t="shared" si="17"/>
        <v>341</v>
      </c>
      <c r="B356" s="151">
        <f t="shared" ca="1" si="15"/>
        <v>-0.69798688453069957</v>
      </c>
      <c r="C356" s="158">
        <f t="shared" ca="1" si="16"/>
        <v>0</v>
      </c>
    </row>
    <row r="357" spans="1:3" x14ac:dyDescent="0.25">
      <c r="A357" s="155">
        <f t="shared" si="17"/>
        <v>342</v>
      </c>
      <c r="B357" s="151">
        <f t="shared" ca="1" si="15"/>
        <v>-3.3725151087098126</v>
      </c>
      <c r="C357" s="158">
        <f t="shared" ca="1" si="16"/>
        <v>0</v>
      </c>
    </row>
    <row r="358" spans="1:3" x14ac:dyDescent="0.25">
      <c r="A358" s="155">
        <f t="shared" si="17"/>
        <v>343</v>
      </c>
      <c r="B358" s="151">
        <f t="shared" ca="1" si="15"/>
        <v>23.637402390495879</v>
      </c>
      <c r="C358" s="158">
        <f t="shared" ca="1" si="16"/>
        <v>0</v>
      </c>
    </row>
    <row r="359" spans="1:3" x14ac:dyDescent="0.25">
      <c r="A359" s="155">
        <f t="shared" si="17"/>
        <v>344</v>
      </c>
      <c r="B359" s="151">
        <f t="shared" ca="1" si="15"/>
        <v>76.952361384287997</v>
      </c>
      <c r="C359" s="158">
        <f t="shared" ca="1" si="16"/>
        <v>1</v>
      </c>
    </row>
    <row r="360" spans="1:3" x14ac:dyDescent="0.25">
      <c r="A360" s="155">
        <f t="shared" si="17"/>
        <v>345</v>
      </c>
      <c r="B360" s="151">
        <f t="shared" ca="1" si="15"/>
        <v>-81.576536454065092</v>
      </c>
      <c r="C360" s="158">
        <f t="shared" ca="1" si="16"/>
        <v>0</v>
      </c>
    </row>
    <row r="361" spans="1:3" x14ac:dyDescent="0.25">
      <c r="A361" s="155">
        <f t="shared" si="17"/>
        <v>346</v>
      </c>
      <c r="B361" s="151">
        <f t="shared" ca="1" si="15"/>
        <v>-13.737839910750886</v>
      </c>
      <c r="C361" s="158">
        <f t="shared" ca="1" si="16"/>
        <v>0</v>
      </c>
    </row>
    <row r="362" spans="1:3" x14ac:dyDescent="0.25">
      <c r="A362" s="155">
        <f t="shared" si="17"/>
        <v>347</v>
      </c>
      <c r="B362" s="151">
        <f t="shared" ca="1" si="15"/>
        <v>35.62601328632433</v>
      </c>
      <c r="C362" s="158">
        <f t="shared" ca="1" si="16"/>
        <v>1</v>
      </c>
    </row>
    <row r="363" spans="1:3" x14ac:dyDescent="0.25">
      <c r="A363" s="155">
        <f t="shared" si="17"/>
        <v>348</v>
      </c>
      <c r="B363" s="151">
        <f t="shared" ca="1" si="15"/>
        <v>91.223393838223231</v>
      </c>
      <c r="C363" s="158">
        <f t="shared" ca="1" si="16"/>
        <v>1</v>
      </c>
    </row>
    <row r="364" spans="1:3" x14ac:dyDescent="0.25">
      <c r="A364" s="155">
        <f t="shared" si="17"/>
        <v>349</v>
      </c>
      <c r="B364" s="151">
        <f t="shared" ca="1" si="15"/>
        <v>87.042172780047252</v>
      </c>
      <c r="C364" s="158">
        <f t="shared" ca="1" si="16"/>
        <v>1</v>
      </c>
    </row>
    <row r="365" spans="1:3" x14ac:dyDescent="0.25">
      <c r="A365" s="155">
        <f t="shared" si="17"/>
        <v>350</v>
      </c>
      <c r="B365" s="151">
        <f t="shared" ca="1" si="15"/>
        <v>58.371982028251189</v>
      </c>
      <c r="C365" s="158">
        <f t="shared" ca="1" si="16"/>
        <v>1</v>
      </c>
    </row>
    <row r="366" spans="1:3" x14ac:dyDescent="0.25">
      <c r="A366" s="155">
        <f t="shared" si="17"/>
        <v>351</v>
      </c>
      <c r="B366" s="151">
        <f t="shared" ca="1" si="15"/>
        <v>25.530692945043882</v>
      </c>
      <c r="C366" s="158">
        <f t="shared" ca="1" si="16"/>
        <v>1</v>
      </c>
    </row>
    <row r="367" spans="1:3" x14ac:dyDescent="0.25">
      <c r="A367" s="155">
        <f t="shared" si="17"/>
        <v>352</v>
      </c>
      <c r="B367" s="151">
        <f t="shared" ca="1" si="15"/>
        <v>140.37407191737773</v>
      </c>
      <c r="C367" s="158">
        <f t="shared" ca="1" si="16"/>
        <v>1</v>
      </c>
    </row>
    <row r="368" spans="1:3" x14ac:dyDescent="0.25">
      <c r="A368" s="155">
        <f t="shared" si="17"/>
        <v>353</v>
      </c>
      <c r="B368" s="151">
        <f t="shared" ca="1" si="15"/>
        <v>-65.963899627063185</v>
      </c>
      <c r="C368" s="158">
        <f t="shared" ca="1" si="16"/>
        <v>0</v>
      </c>
    </row>
    <row r="369" spans="1:3" x14ac:dyDescent="0.25">
      <c r="A369" s="155">
        <f t="shared" si="17"/>
        <v>354</v>
      </c>
      <c r="B369" s="151">
        <f t="shared" ca="1" si="15"/>
        <v>99.861740874045168</v>
      </c>
      <c r="C369" s="158">
        <f t="shared" ca="1" si="16"/>
        <v>1</v>
      </c>
    </row>
    <row r="370" spans="1:3" x14ac:dyDescent="0.25">
      <c r="A370" s="155">
        <f t="shared" si="17"/>
        <v>355</v>
      </c>
      <c r="B370" s="151">
        <f t="shared" ca="1" si="15"/>
        <v>42.329575366723667</v>
      </c>
      <c r="C370" s="158">
        <f t="shared" ca="1" si="16"/>
        <v>1</v>
      </c>
    </row>
    <row r="371" spans="1:3" x14ac:dyDescent="0.25">
      <c r="A371" s="155">
        <f t="shared" si="17"/>
        <v>356</v>
      </c>
      <c r="B371" s="151">
        <f t="shared" ca="1" si="15"/>
        <v>73.933491434286779</v>
      </c>
      <c r="C371" s="158">
        <f t="shared" ca="1" si="16"/>
        <v>1</v>
      </c>
    </row>
    <row r="372" spans="1:3" x14ac:dyDescent="0.25">
      <c r="A372" s="155">
        <f t="shared" si="17"/>
        <v>357</v>
      </c>
      <c r="B372" s="151">
        <f t="shared" ca="1" si="15"/>
        <v>56.910780353280742</v>
      </c>
      <c r="C372" s="158">
        <f t="shared" ca="1" si="16"/>
        <v>1</v>
      </c>
    </row>
    <row r="373" spans="1:3" x14ac:dyDescent="0.25">
      <c r="A373" s="155">
        <f t="shared" si="17"/>
        <v>358</v>
      </c>
      <c r="B373" s="151">
        <f t="shared" ca="1" si="15"/>
        <v>42.436133072233019</v>
      </c>
      <c r="C373" s="158">
        <f t="shared" ca="1" si="16"/>
        <v>1</v>
      </c>
    </row>
    <row r="374" spans="1:3" x14ac:dyDescent="0.25">
      <c r="A374" s="155">
        <f t="shared" si="17"/>
        <v>359</v>
      </c>
      <c r="B374" s="151">
        <f t="shared" ca="1" si="15"/>
        <v>105.67704338382114</v>
      </c>
      <c r="C374" s="158">
        <f t="shared" ca="1" si="16"/>
        <v>1</v>
      </c>
    </row>
    <row r="375" spans="1:3" x14ac:dyDescent="0.25">
      <c r="A375" s="155">
        <f t="shared" si="17"/>
        <v>360</v>
      </c>
      <c r="B375" s="151">
        <f t="shared" ca="1" si="15"/>
        <v>9.7910063098504949</v>
      </c>
      <c r="C375" s="158">
        <f t="shared" ca="1" si="16"/>
        <v>0</v>
      </c>
    </row>
    <row r="376" spans="1:3" x14ac:dyDescent="0.25">
      <c r="A376" s="155">
        <f t="shared" si="17"/>
        <v>361</v>
      </c>
      <c r="B376" s="151">
        <f t="shared" ca="1" si="15"/>
        <v>-1.6833972581670764</v>
      </c>
      <c r="C376" s="158">
        <f t="shared" ca="1" si="16"/>
        <v>0</v>
      </c>
    </row>
    <row r="377" spans="1:3" x14ac:dyDescent="0.25">
      <c r="A377" s="155">
        <f t="shared" si="17"/>
        <v>362</v>
      </c>
      <c r="B377" s="151">
        <f t="shared" ca="1" si="15"/>
        <v>80.803295952618342</v>
      </c>
      <c r="C377" s="158">
        <f t="shared" ca="1" si="16"/>
        <v>1</v>
      </c>
    </row>
    <row r="378" spans="1:3" x14ac:dyDescent="0.25">
      <c r="A378" s="155">
        <f t="shared" si="17"/>
        <v>363</v>
      </c>
      <c r="B378" s="151">
        <f t="shared" ca="1" si="15"/>
        <v>109.39863521380565</v>
      </c>
      <c r="C378" s="158">
        <f t="shared" ca="1" si="16"/>
        <v>1</v>
      </c>
    </row>
    <row r="379" spans="1:3" x14ac:dyDescent="0.25">
      <c r="A379" s="155">
        <f t="shared" si="17"/>
        <v>364</v>
      </c>
      <c r="B379" s="151">
        <f t="shared" ca="1" si="15"/>
        <v>69.610662711593903</v>
      </c>
      <c r="C379" s="158">
        <f t="shared" ca="1" si="16"/>
        <v>1</v>
      </c>
    </row>
    <row r="380" spans="1:3" x14ac:dyDescent="0.25">
      <c r="A380" s="155">
        <f t="shared" si="17"/>
        <v>365</v>
      </c>
      <c r="B380" s="151">
        <f t="shared" ca="1" si="15"/>
        <v>-34.27078877599736</v>
      </c>
      <c r="C380" s="158">
        <f t="shared" ca="1" si="16"/>
        <v>0</v>
      </c>
    </row>
    <row r="381" spans="1:3" x14ac:dyDescent="0.25">
      <c r="A381" s="155">
        <f t="shared" si="17"/>
        <v>366</v>
      </c>
      <c r="B381" s="151">
        <f t="shared" ca="1" si="15"/>
        <v>82.950061008994084</v>
      </c>
      <c r="C381" s="158">
        <f t="shared" ca="1" si="16"/>
        <v>1</v>
      </c>
    </row>
    <row r="382" spans="1:3" x14ac:dyDescent="0.25">
      <c r="A382" s="155">
        <f t="shared" si="17"/>
        <v>367</v>
      </c>
      <c r="B382" s="151">
        <f t="shared" ca="1" si="15"/>
        <v>78.448406033770993</v>
      </c>
      <c r="C382" s="158">
        <f t="shared" ca="1" si="16"/>
        <v>1</v>
      </c>
    </row>
    <row r="383" spans="1:3" x14ac:dyDescent="0.25">
      <c r="A383" s="155">
        <f t="shared" si="17"/>
        <v>368</v>
      </c>
      <c r="B383" s="151">
        <f t="shared" ca="1" si="15"/>
        <v>63.31415338967436</v>
      </c>
      <c r="C383" s="158">
        <f t="shared" ca="1" si="16"/>
        <v>1</v>
      </c>
    </row>
    <row r="384" spans="1:3" x14ac:dyDescent="0.25">
      <c r="A384" s="155">
        <f t="shared" si="17"/>
        <v>369</v>
      </c>
      <c r="B384" s="151">
        <f t="shared" ca="1" si="15"/>
        <v>-27.651743102826352</v>
      </c>
      <c r="C384" s="158">
        <f t="shared" ca="1" si="16"/>
        <v>0</v>
      </c>
    </row>
    <row r="385" spans="1:3" x14ac:dyDescent="0.25">
      <c r="A385" s="155">
        <f t="shared" si="17"/>
        <v>370</v>
      </c>
      <c r="B385" s="151">
        <f t="shared" ca="1" si="15"/>
        <v>68.101909755353006</v>
      </c>
      <c r="C385" s="158">
        <f t="shared" ca="1" si="16"/>
        <v>1</v>
      </c>
    </row>
    <row r="386" spans="1:3" x14ac:dyDescent="0.25">
      <c r="A386" s="155">
        <f t="shared" si="17"/>
        <v>371</v>
      </c>
      <c r="B386" s="151">
        <f t="shared" ca="1" si="15"/>
        <v>75.112025717412905</v>
      </c>
      <c r="C386" s="158">
        <f t="shared" ca="1" si="16"/>
        <v>1</v>
      </c>
    </row>
    <row r="387" spans="1:3" x14ac:dyDescent="0.25">
      <c r="A387" s="155">
        <f t="shared" si="17"/>
        <v>372</v>
      </c>
      <c r="B387" s="151">
        <f t="shared" ca="1" si="15"/>
        <v>36.906053492432115</v>
      </c>
      <c r="C387" s="158">
        <f t="shared" ca="1" si="16"/>
        <v>1</v>
      </c>
    </row>
    <row r="388" spans="1:3" x14ac:dyDescent="0.25">
      <c r="A388" s="155">
        <f t="shared" si="17"/>
        <v>373</v>
      </c>
      <c r="B388" s="151">
        <f t="shared" ca="1" si="15"/>
        <v>47.861869269316884</v>
      </c>
      <c r="C388" s="158">
        <f t="shared" ca="1" si="16"/>
        <v>1</v>
      </c>
    </row>
    <row r="389" spans="1:3" x14ac:dyDescent="0.25">
      <c r="A389" s="155">
        <f t="shared" si="17"/>
        <v>374</v>
      </c>
      <c r="B389" s="151">
        <f t="shared" ca="1" si="15"/>
        <v>-41.42808189361584</v>
      </c>
      <c r="C389" s="158">
        <f t="shared" ca="1" si="16"/>
        <v>0</v>
      </c>
    </row>
    <row r="390" spans="1:3" x14ac:dyDescent="0.25">
      <c r="A390" s="155">
        <f t="shared" si="17"/>
        <v>375</v>
      </c>
      <c r="B390" s="151">
        <f t="shared" ca="1" si="15"/>
        <v>18.102634126700931</v>
      </c>
      <c r="C390" s="158">
        <f t="shared" ca="1" si="16"/>
        <v>0</v>
      </c>
    </row>
    <row r="391" spans="1:3" x14ac:dyDescent="0.25">
      <c r="A391" s="155">
        <f t="shared" si="17"/>
        <v>376</v>
      </c>
      <c r="B391" s="151">
        <f t="shared" ca="1" si="15"/>
        <v>90.957987561964629</v>
      </c>
      <c r="C391" s="158">
        <f t="shared" ca="1" si="16"/>
        <v>1</v>
      </c>
    </row>
    <row r="392" spans="1:3" x14ac:dyDescent="0.25">
      <c r="A392" s="155">
        <f t="shared" si="17"/>
        <v>377</v>
      </c>
      <c r="B392" s="151">
        <f t="shared" ca="1" si="15"/>
        <v>65.695046975623669</v>
      </c>
      <c r="C392" s="158">
        <f t="shared" ca="1" si="16"/>
        <v>1</v>
      </c>
    </row>
    <row r="393" spans="1:3" x14ac:dyDescent="0.25">
      <c r="A393" s="155">
        <f t="shared" si="17"/>
        <v>378</v>
      </c>
      <c r="B393" s="151">
        <f t="shared" ca="1" si="15"/>
        <v>11.417044208079737</v>
      </c>
      <c r="C393" s="158">
        <f t="shared" ca="1" si="16"/>
        <v>0</v>
      </c>
    </row>
    <row r="394" spans="1:3" x14ac:dyDescent="0.25">
      <c r="A394" s="155">
        <f t="shared" si="17"/>
        <v>379</v>
      </c>
      <c r="B394" s="151">
        <f t="shared" ca="1" si="15"/>
        <v>94.558906836603626</v>
      </c>
      <c r="C394" s="158">
        <f t="shared" ca="1" si="16"/>
        <v>1</v>
      </c>
    </row>
    <row r="395" spans="1:3" x14ac:dyDescent="0.25">
      <c r="A395" s="155">
        <f t="shared" si="17"/>
        <v>380</v>
      </c>
      <c r="B395" s="151">
        <f t="shared" ca="1" si="15"/>
        <v>27.959931936209692</v>
      </c>
      <c r="C395" s="158">
        <f t="shared" ca="1" si="16"/>
        <v>1</v>
      </c>
    </row>
    <row r="396" spans="1:3" x14ac:dyDescent="0.25">
      <c r="A396" s="155">
        <f t="shared" si="17"/>
        <v>381</v>
      </c>
      <c r="B396" s="151">
        <f t="shared" ca="1" si="15"/>
        <v>79.894602676545901</v>
      </c>
      <c r="C396" s="158">
        <f t="shared" ca="1" si="16"/>
        <v>1</v>
      </c>
    </row>
    <row r="397" spans="1:3" x14ac:dyDescent="0.25">
      <c r="A397" s="155">
        <f t="shared" si="17"/>
        <v>382</v>
      </c>
      <c r="B397" s="151">
        <f t="shared" ca="1" si="15"/>
        <v>-1.0337979914214088</v>
      </c>
      <c r="C397" s="158">
        <f t="shared" ca="1" si="16"/>
        <v>0</v>
      </c>
    </row>
    <row r="398" spans="1:3" x14ac:dyDescent="0.25">
      <c r="A398" s="155">
        <f t="shared" si="17"/>
        <v>383</v>
      </c>
      <c r="B398" s="151">
        <f t="shared" ca="1" si="15"/>
        <v>16.118500817501921</v>
      </c>
      <c r="C398" s="158">
        <f t="shared" ca="1" si="16"/>
        <v>0</v>
      </c>
    </row>
    <row r="399" spans="1:3" x14ac:dyDescent="0.25">
      <c r="A399" s="155">
        <f t="shared" si="17"/>
        <v>384</v>
      </c>
      <c r="B399" s="151">
        <f t="shared" ca="1" si="15"/>
        <v>8.406241946276328</v>
      </c>
      <c r="C399" s="158">
        <f t="shared" ca="1" si="16"/>
        <v>0</v>
      </c>
    </row>
    <row r="400" spans="1:3" x14ac:dyDescent="0.25">
      <c r="A400" s="155">
        <f t="shared" si="17"/>
        <v>385</v>
      </c>
      <c r="B400" s="151">
        <f t="shared" ca="1" si="15"/>
        <v>31.84174554882404</v>
      </c>
      <c r="C400" s="158">
        <f t="shared" ca="1" si="16"/>
        <v>1</v>
      </c>
    </row>
    <row r="401" spans="1:3" x14ac:dyDescent="0.25">
      <c r="A401" s="155">
        <f t="shared" si="17"/>
        <v>386</v>
      </c>
      <c r="B401" s="151">
        <f t="shared" ref="B401:B464" ca="1" si="18">_xlfn.NORM.INV(RAND(), $B$9, $B$10)</f>
        <v>36.691832476814866</v>
      </c>
      <c r="C401" s="158">
        <f t="shared" ref="C401:C464" ca="1" si="19">IF(B401 &gt;= $B$11, 1, 0)</f>
        <v>1</v>
      </c>
    </row>
    <row r="402" spans="1:3" x14ac:dyDescent="0.25">
      <c r="A402" s="155">
        <f t="shared" ref="A402:A465" si="20">+A401+1</f>
        <v>387</v>
      </c>
      <c r="B402" s="151">
        <f t="shared" ca="1" si="18"/>
        <v>-42.806147132083808</v>
      </c>
      <c r="C402" s="158">
        <f t="shared" ca="1" si="19"/>
        <v>0</v>
      </c>
    </row>
    <row r="403" spans="1:3" x14ac:dyDescent="0.25">
      <c r="A403" s="155">
        <f t="shared" si="20"/>
        <v>388</v>
      </c>
      <c r="B403" s="151">
        <f t="shared" ca="1" si="18"/>
        <v>17.242157925273652</v>
      </c>
      <c r="C403" s="158">
        <f t="shared" ca="1" si="19"/>
        <v>0</v>
      </c>
    </row>
    <row r="404" spans="1:3" x14ac:dyDescent="0.25">
      <c r="A404" s="155">
        <f t="shared" si="20"/>
        <v>389</v>
      </c>
      <c r="B404" s="151">
        <f t="shared" ca="1" si="18"/>
        <v>164.65885873282309</v>
      </c>
      <c r="C404" s="158">
        <f t="shared" ca="1" si="19"/>
        <v>1</v>
      </c>
    </row>
    <row r="405" spans="1:3" x14ac:dyDescent="0.25">
      <c r="A405" s="155">
        <f t="shared" si="20"/>
        <v>390</v>
      </c>
      <c r="B405" s="151">
        <f t="shared" ca="1" si="18"/>
        <v>13.696215060774733</v>
      </c>
      <c r="C405" s="158">
        <f t="shared" ca="1" si="19"/>
        <v>0</v>
      </c>
    </row>
    <row r="406" spans="1:3" x14ac:dyDescent="0.25">
      <c r="A406" s="155">
        <f t="shared" si="20"/>
        <v>391</v>
      </c>
      <c r="B406" s="151">
        <f t="shared" ca="1" si="18"/>
        <v>17.876466339387729</v>
      </c>
      <c r="C406" s="158">
        <f t="shared" ca="1" si="19"/>
        <v>0</v>
      </c>
    </row>
    <row r="407" spans="1:3" x14ac:dyDescent="0.25">
      <c r="A407" s="155">
        <f t="shared" si="20"/>
        <v>392</v>
      </c>
      <c r="B407" s="151">
        <f t="shared" ca="1" si="18"/>
        <v>-19.877784376583108</v>
      </c>
      <c r="C407" s="158">
        <f t="shared" ca="1" si="19"/>
        <v>0</v>
      </c>
    </row>
    <row r="408" spans="1:3" x14ac:dyDescent="0.25">
      <c r="A408" s="155">
        <f t="shared" si="20"/>
        <v>393</v>
      </c>
      <c r="B408" s="151">
        <f t="shared" ca="1" si="18"/>
        <v>-68.03717147639307</v>
      </c>
      <c r="C408" s="158">
        <f t="shared" ca="1" si="19"/>
        <v>0</v>
      </c>
    </row>
    <row r="409" spans="1:3" x14ac:dyDescent="0.25">
      <c r="A409" s="155">
        <f t="shared" si="20"/>
        <v>394</v>
      </c>
      <c r="B409" s="151">
        <f t="shared" ca="1" si="18"/>
        <v>111.04890788015717</v>
      </c>
      <c r="C409" s="158">
        <f t="shared" ca="1" si="19"/>
        <v>1</v>
      </c>
    </row>
    <row r="410" spans="1:3" x14ac:dyDescent="0.25">
      <c r="A410" s="155">
        <f t="shared" si="20"/>
        <v>395</v>
      </c>
      <c r="B410" s="151">
        <f t="shared" ca="1" si="18"/>
        <v>-40.303931508666864</v>
      </c>
      <c r="C410" s="158">
        <f t="shared" ca="1" si="19"/>
        <v>0</v>
      </c>
    </row>
    <row r="411" spans="1:3" x14ac:dyDescent="0.25">
      <c r="A411" s="155">
        <f t="shared" si="20"/>
        <v>396</v>
      </c>
      <c r="B411" s="151">
        <f t="shared" ca="1" si="18"/>
        <v>25.675379244867109</v>
      </c>
      <c r="C411" s="158">
        <f t="shared" ca="1" si="19"/>
        <v>1</v>
      </c>
    </row>
    <row r="412" spans="1:3" x14ac:dyDescent="0.25">
      <c r="A412" s="155">
        <f t="shared" si="20"/>
        <v>397</v>
      </c>
      <c r="B412" s="151">
        <f t="shared" ca="1" si="18"/>
        <v>30.786319053475228</v>
      </c>
      <c r="C412" s="158">
        <f t="shared" ca="1" si="19"/>
        <v>1</v>
      </c>
    </row>
    <row r="413" spans="1:3" x14ac:dyDescent="0.25">
      <c r="A413" s="155">
        <f t="shared" si="20"/>
        <v>398</v>
      </c>
      <c r="B413" s="151">
        <f t="shared" ca="1" si="18"/>
        <v>47.354548280198188</v>
      </c>
      <c r="C413" s="158">
        <f t="shared" ca="1" si="19"/>
        <v>1</v>
      </c>
    </row>
    <row r="414" spans="1:3" x14ac:dyDescent="0.25">
      <c r="A414" s="155">
        <f t="shared" si="20"/>
        <v>399</v>
      </c>
      <c r="B414" s="151">
        <f t="shared" ca="1" si="18"/>
        <v>30.165284001377184</v>
      </c>
      <c r="C414" s="158">
        <f t="shared" ca="1" si="19"/>
        <v>1</v>
      </c>
    </row>
    <row r="415" spans="1:3" x14ac:dyDescent="0.25">
      <c r="A415" s="155">
        <f t="shared" si="20"/>
        <v>400</v>
      </c>
      <c r="B415" s="151">
        <f t="shared" ca="1" si="18"/>
        <v>55.344511414954354</v>
      </c>
      <c r="C415" s="158">
        <f t="shared" ca="1" si="19"/>
        <v>1</v>
      </c>
    </row>
    <row r="416" spans="1:3" x14ac:dyDescent="0.25">
      <c r="A416" s="155">
        <f t="shared" si="20"/>
        <v>401</v>
      </c>
      <c r="B416" s="151">
        <f t="shared" ca="1" si="18"/>
        <v>-60.156423315077177</v>
      </c>
      <c r="C416" s="158">
        <f t="shared" ca="1" si="19"/>
        <v>0</v>
      </c>
    </row>
    <row r="417" spans="1:3" x14ac:dyDescent="0.25">
      <c r="A417" s="155">
        <f t="shared" si="20"/>
        <v>402</v>
      </c>
      <c r="B417" s="151">
        <f t="shared" ca="1" si="18"/>
        <v>36.965801886407377</v>
      </c>
      <c r="C417" s="158">
        <f t="shared" ca="1" si="19"/>
        <v>1</v>
      </c>
    </row>
    <row r="418" spans="1:3" x14ac:dyDescent="0.25">
      <c r="A418" s="155">
        <f t="shared" si="20"/>
        <v>403</v>
      </c>
      <c r="B418" s="151">
        <f t="shared" ca="1" si="18"/>
        <v>89.159818585365315</v>
      </c>
      <c r="C418" s="158">
        <f t="shared" ca="1" si="19"/>
        <v>1</v>
      </c>
    </row>
    <row r="419" spans="1:3" x14ac:dyDescent="0.25">
      <c r="A419" s="155">
        <f t="shared" si="20"/>
        <v>404</v>
      </c>
      <c r="B419" s="151">
        <f t="shared" ca="1" si="18"/>
        <v>101.94129657165838</v>
      </c>
      <c r="C419" s="158">
        <f t="shared" ca="1" si="19"/>
        <v>1</v>
      </c>
    </row>
    <row r="420" spans="1:3" x14ac:dyDescent="0.25">
      <c r="A420" s="155">
        <f t="shared" si="20"/>
        <v>405</v>
      </c>
      <c r="B420" s="151">
        <f t="shared" ca="1" si="18"/>
        <v>-23.304978962471274</v>
      </c>
      <c r="C420" s="158">
        <f t="shared" ca="1" si="19"/>
        <v>0</v>
      </c>
    </row>
    <row r="421" spans="1:3" x14ac:dyDescent="0.25">
      <c r="A421" s="155">
        <f t="shared" si="20"/>
        <v>406</v>
      </c>
      <c r="B421" s="151">
        <f t="shared" ca="1" si="18"/>
        <v>99.886052098114973</v>
      </c>
      <c r="C421" s="158">
        <f t="shared" ca="1" si="19"/>
        <v>1</v>
      </c>
    </row>
    <row r="422" spans="1:3" x14ac:dyDescent="0.25">
      <c r="A422" s="155">
        <f t="shared" si="20"/>
        <v>407</v>
      </c>
      <c r="B422" s="151">
        <f t="shared" ca="1" si="18"/>
        <v>28.908324615796055</v>
      </c>
      <c r="C422" s="158">
        <f t="shared" ca="1" si="19"/>
        <v>1</v>
      </c>
    </row>
    <row r="423" spans="1:3" x14ac:dyDescent="0.25">
      <c r="A423" s="155">
        <f t="shared" si="20"/>
        <v>408</v>
      </c>
      <c r="B423" s="151">
        <f t="shared" ca="1" si="18"/>
        <v>-75.101070732289301</v>
      </c>
      <c r="C423" s="158">
        <f t="shared" ca="1" si="19"/>
        <v>0</v>
      </c>
    </row>
    <row r="424" spans="1:3" x14ac:dyDescent="0.25">
      <c r="A424" s="155">
        <f t="shared" si="20"/>
        <v>409</v>
      </c>
      <c r="B424" s="151">
        <f t="shared" ca="1" si="18"/>
        <v>34.857832915627938</v>
      </c>
      <c r="C424" s="158">
        <f t="shared" ca="1" si="19"/>
        <v>1</v>
      </c>
    </row>
    <row r="425" spans="1:3" x14ac:dyDescent="0.25">
      <c r="A425" s="155">
        <f t="shared" si="20"/>
        <v>410</v>
      </c>
      <c r="B425" s="151">
        <f t="shared" ca="1" si="18"/>
        <v>-2.572322381286277</v>
      </c>
      <c r="C425" s="158">
        <f t="shared" ca="1" si="19"/>
        <v>0</v>
      </c>
    </row>
    <row r="426" spans="1:3" x14ac:dyDescent="0.25">
      <c r="A426" s="155">
        <f t="shared" si="20"/>
        <v>411</v>
      </c>
      <c r="B426" s="151">
        <f t="shared" ca="1" si="18"/>
        <v>19.038909367617304</v>
      </c>
      <c r="C426" s="158">
        <f t="shared" ca="1" si="19"/>
        <v>0</v>
      </c>
    </row>
    <row r="427" spans="1:3" x14ac:dyDescent="0.25">
      <c r="A427" s="155">
        <f t="shared" si="20"/>
        <v>412</v>
      </c>
      <c r="B427" s="151">
        <f t="shared" ca="1" si="18"/>
        <v>-54.848712611142645</v>
      </c>
      <c r="C427" s="158">
        <f t="shared" ca="1" si="19"/>
        <v>0</v>
      </c>
    </row>
    <row r="428" spans="1:3" x14ac:dyDescent="0.25">
      <c r="A428" s="155">
        <f t="shared" si="20"/>
        <v>413</v>
      </c>
      <c r="B428" s="151">
        <f t="shared" ca="1" si="18"/>
        <v>126.0417113556868</v>
      </c>
      <c r="C428" s="158">
        <f t="shared" ca="1" si="19"/>
        <v>1</v>
      </c>
    </row>
    <row r="429" spans="1:3" x14ac:dyDescent="0.25">
      <c r="A429" s="155">
        <f t="shared" si="20"/>
        <v>414</v>
      </c>
      <c r="B429" s="151">
        <f t="shared" ca="1" si="18"/>
        <v>13.137624712198807</v>
      </c>
      <c r="C429" s="158">
        <f t="shared" ca="1" si="19"/>
        <v>0</v>
      </c>
    </row>
    <row r="430" spans="1:3" x14ac:dyDescent="0.25">
      <c r="A430" s="155">
        <f t="shared" si="20"/>
        <v>415</v>
      </c>
      <c r="B430" s="151">
        <f t="shared" ca="1" si="18"/>
        <v>136.85744846236253</v>
      </c>
      <c r="C430" s="158">
        <f t="shared" ca="1" si="19"/>
        <v>1</v>
      </c>
    </row>
    <row r="431" spans="1:3" x14ac:dyDescent="0.25">
      <c r="A431" s="155">
        <f t="shared" si="20"/>
        <v>416</v>
      </c>
      <c r="B431" s="151">
        <f t="shared" ca="1" si="18"/>
        <v>44.769885388789461</v>
      </c>
      <c r="C431" s="158">
        <f t="shared" ca="1" si="19"/>
        <v>1</v>
      </c>
    </row>
    <row r="432" spans="1:3" x14ac:dyDescent="0.25">
      <c r="A432" s="155">
        <f t="shared" si="20"/>
        <v>417</v>
      </c>
      <c r="B432" s="151">
        <f t="shared" ca="1" si="18"/>
        <v>130.08614965351916</v>
      </c>
      <c r="C432" s="158">
        <f t="shared" ca="1" si="19"/>
        <v>1</v>
      </c>
    </row>
    <row r="433" spans="1:3" x14ac:dyDescent="0.25">
      <c r="A433" s="155">
        <f t="shared" si="20"/>
        <v>418</v>
      </c>
      <c r="B433" s="151">
        <f t="shared" ca="1" si="18"/>
        <v>-60.943645392908905</v>
      </c>
      <c r="C433" s="158">
        <f t="shared" ca="1" si="19"/>
        <v>0</v>
      </c>
    </row>
    <row r="434" spans="1:3" x14ac:dyDescent="0.25">
      <c r="A434" s="155">
        <f t="shared" si="20"/>
        <v>419</v>
      </c>
      <c r="B434" s="151">
        <f t="shared" ca="1" si="18"/>
        <v>28.304674306476397</v>
      </c>
      <c r="C434" s="158">
        <f t="shared" ca="1" si="19"/>
        <v>1</v>
      </c>
    </row>
    <row r="435" spans="1:3" x14ac:dyDescent="0.25">
      <c r="A435" s="155">
        <f t="shared" si="20"/>
        <v>420</v>
      </c>
      <c r="B435" s="151">
        <f t="shared" ca="1" si="18"/>
        <v>43.040402317918108</v>
      </c>
      <c r="C435" s="158">
        <f t="shared" ca="1" si="19"/>
        <v>1</v>
      </c>
    </row>
    <row r="436" spans="1:3" x14ac:dyDescent="0.25">
      <c r="A436" s="155">
        <f t="shared" si="20"/>
        <v>421</v>
      </c>
      <c r="B436" s="151">
        <f t="shared" ca="1" si="18"/>
        <v>61.6771218255451</v>
      </c>
      <c r="C436" s="158">
        <f t="shared" ca="1" si="19"/>
        <v>1</v>
      </c>
    </row>
    <row r="437" spans="1:3" x14ac:dyDescent="0.25">
      <c r="A437" s="155">
        <f t="shared" si="20"/>
        <v>422</v>
      </c>
      <c r="B437" s="151">
        <f t="shared" ca="1" si="18"/>
        <v>28.74157545916626</v>
      </c>
      <c r="C437" s="158">
        <f t="shared" ca="1" si="19"/>
        <v>1</v>
      </c>
    </row>
    <row r="438" spans="1:3" x14ac:dyDescent="0.25">
      <c r="A438" s="155">
        <f t="shared" si="20"/>
        <v>423</v>
      </c>
      <c r="B438" s="151">
        <f t="shared" ca="1" si="18"/>
        <v>101.76263626067963</v>
      </c>
      <c r="C438" s="158">
        <f t="shared" ca="1" si="19"/>
        <v>1</v>
      </c>
    </row>
    <row r="439" spans="1:3" x14ac:dyDescent="0.25">
      <c r="A439" s="155">
        <f t="shared" si="20"/>
        <v>424</v>
      </c>
      <c r="B439" s="151">
        <f t="shared" ca="1" si="18"/>
        <v>42.081977923858574</v>
      </c>
      <c r="C439" s="158">
        <f t="shared" ca="1" si="19"/>
        <v>1</v>
      </c>
    </row>
    <row r="440" spans="1:3" x14ac:dyDescent="0.25">
      <c r="A440" s="155">
        <f t="shared" si="20"/>
        <v>425</v>
      </c>
      <c r="B440" s="151">
        <f t="shared" ca="1" si="18"/>
        <v>4.8805745027274838</v>
      </c>
      <c r="C440" s="158">
        <f t="shared" ca="1" si="19"/>
        <v>0</v>
      </c>
    </row>
    <row r="441" spans="1:3" x14ac:dyDescent="0.25">
      <c r="A441" s="155">
        <f t="shared" si="20"/>
        <v>426</v>
      </c>
      <c r="B441" s="151">
        <f t="shared" ca="1" si="18"/>
        <v>52.942849404454925</v>
      </c>
      <c r="C441" s="158">
        <f t="shared" ca="1" si="19"/>
        <v>1</v>
      </c>
    </row>
    <row r="442" spans="1:3" x14ac:dyDescent="0.25">
      <c r="A442" s="155">
        <f t="shared" si="20"/>
        <v>427</v>
      </c>
      <c r="B442" s="151">
        <f t="shared" ca="1" si="18"/>
        <v>97.307766273880091</v>
      </c>
      <c r="C442" s="158">
        <f t="shared" ca="1" si="19"/>
        <v>1</v>
      </c>
    </row>
    <row r="443" spans="1:3" x14ac:dyDescent="0.25">
      <c r="A443" s="155">
        <f t="shared" si="20"/>
        <v>428</v>
      </c>
      <c r="B443" s="151">
        <f t="shared" ca="1" si="18"/>
        <v>44.350498837447802</v>
      </c>
      <c r="C443" s="158">
        <f t="shared" ca="1" si="19"/>
        <v>1</v>
      </c>
    </row>
    <row r="444" spans="1:3" x14ac:dyDescent="0.25">
      <c r="A444" s="155">
        <f t="shared" si="20"/>
        <v>429</v>
      </c>
      <c r="B444" s="151">
        <f t="shared" ca="1" si="18"/>
        <v>36.136334126352246</v>
      </c>
      <c r="C444" s="158">
        <f t="shared" ca="1" si="19"/>
        <v>1</v>
      </c>
    </row>
    <row r="445" spans="1:3" x14ac:dyDescent="0.25">
      <c r="A445" s="155">
        <f t="shared" si="20"/>
        <v>430</v>
      </c>
      <c r="B445" s="151">
        <f t="shared" ca="1" si="18"/>
        <v>1.9254572328789692</v>
      </c>
      <c r="C445" s="158">
        <f t="shared" ca="1" si="19"/>
        <v>0</v>
      </c>
    </row>
    <row r="446" spans="1:3" x14ac:dyDescent="0.25">
      <c r="A446" s="155">
        <f t="shared" si="20"/>
        <v>431</v>
      </c>
      <c r="B446" s="151">
        <f t="shared" ca="1" si="18"/>
        <v>101.94288084529688</v>
      </c>
      <c r="C446" s="158">
        <f t="shared" ca="1" si="19"/>
        <v>1</v>
      </c>
    </row>
    <row r="447" spans="1:3" x14ac:dyDescent="0.25">
      <c r="A447" s="155">
        <f t="shared" si="20"/>
        <v>432</v>
      </c>
      <c r="B447" s="151">
        <f t="shared" ca="1" si="18"/>
        <v>98.738683281043535</v>
      </c>
      <c r="C447" s="158">
        <f t="shared" ca="1" si="19"/>
        <v>1</v>
      </c>
    </row>
    <row r="448" spans="1:3" x14ac:dyDescent="0.25">
      <c r="A448" s="155">
        <f t="shared" si="20"/>
        <v>433</v>
      </c>
      <c r="B448" s="151">
        <f t="shared" ca="1" si="18"/>
        <v>-103.3612283791403</v>
      </c>
      <c r="C448" s="158">
        <f t="shared" ca="1" si="19"/>
        <v>0</v>
      </c>
    </row>
    <row r="449" spans="1:3" x14ac:dyDescent="0.25">
      <c r="A449" s="155">
        <f t="shared" si="20"/>
        <v>434</v>
      </c>
      <c r="B449" s="151">
        <f t="shared" ca="1" si="18"/>
        <v>-64.789672986681239</v>
      </c>
      <c r="C449" s="158">
        <f t="shared" ca="1" si="19"/>
        <v>0</v>
      </c>
    </row>
    <row r="450" spans="1:3" x14ac:dyDescent="0.25">
      <c r="A450" s="155">
        <f t="shared" si="20"/>
        <v>435</v>
      </c>
      <c r="B450" s="151">
        <f t="shared" ca="1" si="18"/>
        <v>52.028746324329433</v>
      </c>
      <c r="C450" s="158">
        <f t="shared" ca="1" si="19"/>
        <v>1</v>
      </c>
    </row>
    <row r="451" spans="1:3" x14ac:dyDescent="0.25">
      <c r="A451" s="155">
        <f t="shared" si="20"/>
        <v>436</v>
      </c>
      <c r="B451" s="151">
        <f t="shared" ca="1" si="18"/>
        <v>62.520715354265661</v>
      </c>
      <c r="C451" s="158">
        <f t="shared" ca="1" si="19"/>
        <v>1</v>
      </c>
    </row>
    <row r="452" spans="1:3" x14ac:dyDescent="0.25">
      <c r="A452" s="155">
        <f t="shared" si="20"/>
        <v>437</v>
      </c>
      <c r="B452" s="151">
        <f t="shared" ca="1" si="18"/>
        <v>44.453584979363967</v>
      </c>
      <c r="C452" s="158">
        <f t="shared" ca="1" si="19"/>
        <v>1</v>
      </c>
    </row>
    <row r="453" spans="1:3" x14ac:dyDescent="0.25">
      <c r="A453" s="155">
        <f t="shared" si="20"/>
        <v>438</v>
      </c>
      <c r="B453" s="151">
        <f t="shared" ca="1" si="18"/>
        <v>39.04558486441821</v>
      </c>
      <c r="C453" s="158">
        <f t="shared" ca="1" si="19"/>
        <v>1</v>
      </c>
    </row>
    <row r="454" spans="1:3" x14ac:dyDescent="0.25">
      <c r="A454" s="155">
        <f t="shared" si="20"/>
        <v>439</v>
      </c>
      <c r="B454" s="151">
        <f t="shared" ca="1" si="18"/>
        <v>52.675762721301844</v>
      </c>
      <c r="C454" s="158">
        <f t="shared" ca="1" si="19"/>
        <v>1</v>
      </c>
    </row>
    <row r="455" spans="1:3" x14ac:dyDescent="0.25">
      <c r="A455" s="155">
        <f t="shared" si="20"/>
        <v>440</v>
      </c>
      <c r="B455" s="151">
        <f t="shared" ca="1" si="18"/>
        <v>83.237336421794481</v>
      </c>
      <c r="C455" s="158">
        <f t="shared" ca="1" si="19"/>
        <v>1</v>
      </c>
    </row>
    <row r="456" spans="1:3" x14ac:dyDescent="0.25">
      <c r="A456" s="155">
        <f t="shared" si="20"/>
        <v>441</v>
      </c>
      <c r="B456" s="151">
        <f t="shared" ca="1" si="18"/>
        <v>-47.958388035351035</v>
      </c>
      <c r="C456" s="158">
        <f t="shared" ca="1" si="19"/>
        <v>0</v>
      </c>
    </row>
    <row r="457" spans="1:3" x14ac:dyDescent="0.25">
      <c r="A457" s="155">
        <f t="shared" si="20"/>
        <v>442</v>
      </c>
      <c r="B457" s="151">
        <f t="shared" ca="1" si="18"/>
        <v>117.19335936551171</v>
      </c>
      <c r="C457" s="158">
        <f t="shared" ca="1" si="19"/>
        <v>1</v>
      </c>
    </row>
    <row r="458" spans="1:3" x14ac:dyDescent="0.25">
      <c r="A458" s="155">
        <f t="shared" si="20"/>
        <v>443</v>
      </c>
      <c r="B458" s="151">
        <f t="shared" ca="1" si="18"/>
        <v>18.920271369673642</v>
      </c>
      <c r="C458" s="158">
        <f t="shared" ca="1" si="19"/>
        <v>0</v>
      </c>
    </row>
    <row r="459" spans="1:3" x14ac:dyDescent="0.25">
      <c r="A459" s="155">
        <f t="shared" si="20"/>
        <v>444</v>
      </c>
      <c r="B459" s="151">
        <f t="shared" ca="1" si="18"/>
        <v>58.728315691217659</v>
      </c>
      <c r="C459" s="158">
        <f t="shared" ca="1" si="19"/>
        <v>1</v>
      </c>
    </row>
    <row r="460" spans="1:3" x14ac:dyDescent="0.25">
      <c r="A460" s="155">
        <f t="shared" si="20"/>
        <v>445</v>
      </c>
      <c r="B460" s="151">
        <f t="shared" ca="1" si="18"/>
        <v>-83.25529670231208</v>
      </c>
      <c r="C460" s="158">
        <f t="shared" ca="1" si="19"/>
        <v>0</v>
      </c>
    </row>
    <row r="461" spans="1:3" x14ac:dyDescent="0.25">
      <c r="A461" s="155">
        <f t="shared" si="20"/>
        <v>446</v>
      </c>
      <c r="B461" s="151">
        <f t="shared" ca="1" si="18"/>
        <v>-59.729655004471084</v>
      </c>
      <c r="C461" s="158">
        <f t="shared" ca="1" si="19"/>
        <v>0</v>
      </c>
    </row>
    <row r="462" spans="1:3" x14ac:dyDescent="0.25">
      <c r="A462" s="155">
        <f t="shared" si="20"/>
        <v>447</v>
      </c>
      <c r="B462" s="151">
        <f t="shared" ca="1" si="18"/>
        <v>95.307512711159319</v>
      </c>
      <c r="C462" s="158">
        <f t="shared" ca="1" si="19"/>
        <v>1</v>
      </c>
    </row>
    <row r="463" spans="1:3" x14ac:dyDescent="0.25">
      <c r="A463" s="155">
        <f t="shared" si="20"/>
        <v>448</v>
      </c>
      <c r="B463" s="151">
        <f t="shared" ca="1" si="18"/>
        <v>-26.863670689174924</v>
      </c>
      <c r="C463" s="158">
        <f t="shared" ca="1" si="19"/>
        <v>0</v>
      </c>
    </row>
    <row r="464" spans="1:3" x14ac:dyDescent="0.25">
      <c r="A464" s="155">
        <f t="shared" si="20"/>
        <v>449</v>
      </c>
      <c r="B464" s="151">
        <f t="shared" ca="1" si="18"/>
        <v>-20.302786225868658</v>
      </c>
      <c r="C464" s="158">
        <f t="shared" ca="1" si="19"/>
        <v>0</v>
      </c>
    </row>
    <row r="465" spans="1:3" x14ac:dyDescent="0.25">
      <c r="A465" s="155">
        <f t="shared" si="20"/>
        <v>450</v>
      </c>
      <c r="B465" s="151">
        <f t="shared" ref="B465:B528" ca="1" si="21">_xlfn.NORM.INV(RAND(), $B$9, $B$10)</f>
        <v>-3.0911097897347446</v>
      </c>
      <c r="C465" s="158">
        <f t="shared" ref="C465:C528" ca="1" si="22">IF(B465 &gt;= $B$11, 1, 0)</f>
        <v>0</v>
      </c>
    </row>
    <row r="466" spans="1:3" x14ac:dyDescent="0.25">
      <c r="A466" s="155">
        <f t="shared" ref="A466:A529" si="23">+A465+1</f>
        <v>451</v>
      </c>
      <c r="B466" s="151">
        <f t="shared" ca="1" si="21"/>
        <v>123.89890458485038</v>
      </c>
      <c r="C466" s="158">
        <f t="shared" ca="1" si="22"/>
        <v>1</v>
      </c>
    </row>
    <row r="467" spans="1:3" x14ac:dyDescent="0.25">
      <c r="A467" s="155">
        <f t="shared" si="23"/>
        <v>452</v>
      </c>
      <c r="B467" s="151">
        <f t="shared" ca="1" si="21"/>
        <v>-39.707651448593552</v>
      </c>
      <c r="C467" s="158">
        <f t="shared" ca="1" si="22"/>
        <v>0</v>
      </c>
    </row>
    <row r="468" spans="1:3" x14ac:dyDescent="0.25">
      <c r="A468" s="155">
        <f t="shared" si="23"/>
        <v>453</v>
      </c>
      <c r="B468" s="151">
        <f t="shared" ca="1" si="21"/>
        <v>44.88117279412559</v>
      </c>
      <c r="C468" s="158">
        <f t="shared" ca="1" si="22"/>
        <v>1</v>
      </c>
    </row>
    <row r="469" spans="1:3" x14ac:dyDescent="0.25">
      <c r="A469" s="155">
        <f t="shared" si="23"/>
        <v>454</v>
      </c>
      <c r="B469" s="151">
        <f t="shared" ca="1" si="21"/>
        <v>-7.1679069065317478</v>
      </c>
      <c r="C469" s="158">
        <f t="shared" ca="1" si="22"/>
        <v>0</v>
      </c>
    </row>
    <row r="470" spans="1:3" x14ac:dyDescent="0.25">
      <c r="A470" s="155">
        <f t="shared" si="23"/>
        <v>455</v>
      </c>
      <c r="B470" s="151">
        <f t="shared" ca="1" si="21"/>
        <v>-11.151623810112554</v>
      </c>
      <c r="C470" s="158">
        <f t="shared" ca="1" si="22"/>
        <v>0</v>
      </c>
    </row>
    <row r="471" spans="1:3" x14ac:dyDescent="0.25">
      <c r="A471" s="155">
        <f t="shared" si="23"/>
        <v>456</v>
      </c>
      <c r="B471" s="151">
        <f t="shared" ca="1" si="21"/>
        <v>-11.533033169201367</v>
      </c>
      <c r="C471" s="158">
        <f t="shared" ca="1" si="22"/>
        <v>0</v>
      </c>
    </row>
    <row r="472" spans="1:3" x14ac:dyDescent="0.25">
      <c r="A472" s="155">
        <f t="shared" si="23"/>
        <v>457</v>
      </c>
      <c r="B472" s="151">
        <f t="shared" ca="1" si="21"/>
        <v>89.534493164557716</v>
      </c>
      <c r="C472" s="158">
        <f t="shared" ca="1" si="22"/>
        <v>1</v>
      </c>
    </row>
    <row r="473" spans="1:3" x14ac:dyDescent="0.25">
      <c r="A473" s="155">
        <f t="shared" si="23"/>
        <v>458</v>
      </c>
      <c r="B473" s="151">
        <f t="shared" ca="1" si="21"/>
        <v>-3.2808486369480576</v>
      </c>
      <c r="C473" s="158">
        <f t="shared" ca="1" si="22"/>
        <v>0</v>
      </c>
    </row>
    <row r="474" spans="1:3" x14ac:dyDescent="0.25">
      <c r="A474" s="155">
        <f t="shared" si="23"/>
        <v>459</v>
      </c>
      <c r="B474" s="151">
        <f t="shared" ca="1" si="21"/>
        <v>157.1448459373303</v>
      </c>
      <c r="C474" s="158">
        <f t="shared" ca="1" si="22"/>
        <v>1</v>
      </c>
    </row>
    <row r="475" spans="1:3" x14ac:dyDescent="0.25">
      <c r="A475" s="155">
        <f t="shared" si="23"/>
        <v>460</v>
      </c>
      <c r="B475" s="151">
        <f t="shared" ca="1" si="21"/>
        <v>32.542590016069568</v>
      </c>
      <c r="C475" s="158">
        <f t="shared" ca="1" si="22"/>
        <v>1</v>
      </c>
    </row>
    <row r="476" spans="1:3" x14ac:dyDescent="0.25">
      <c r="A476" s="155">
        <f t="shared" si="23"/>
        <v>461</v>
      </c>
      <c r="B476" s="151">
        <f t="shared" ca="1" si="21"/>
        <v>87.749993016910452</v>
      </c>
      <c r="C476" s="158">
        <f t="shared" ca="1" si="22"/>
        <v>1</v>
      </c>
    </row>
    <row r="477" spans="1:3" x14ac:dyDescent="0.25">
      <c r="A477" s="155">
        <f t="shared" si="23"/>
        <v>462</v>
      </c>
      <c r="B477" s="151">
        <f t="shared" ca="1" si="21"/>
        <v>-61.063358694864704</v>
      </c>
      <c r="C477" s="158">
        <f t="shared" ca="1" si="22"/>
        <v>0</v>
      </c>
    </row>
    <row r="478" spans="1:3" x14ac:dyDescent="0.25">
      <c r="A478" s="155">
        <f t="shared" si="23"/>
        <v>463</v>
      </c>
      <c r="B478" s="151">
        <f t="shared" ca="1" si="21"/>
        <v>65.091167089118073</v>
      </c>
      <c r="C478" s="158">
        <f t="shared" ca="1" si="22"/>
        <v>1</v>
      </c>
    </row>
    <row r="479" spans="1:3" x14ac:dyDescent="0.25">
      <c r="A479" s="155">
        <f t="shared" si="23"/>
        <v>464</v>
      </c>
      <c r="B479" s="151">
        <f t="shared" ca="1" si="21"/>
        <v>-30.116837548750311</v>
      </c>
      <c r="C479" s="158">
        <f t="shared" ca="1" si="22"/>
        <v>0</v>
      </c>
    </row>
    <row r="480" spans="1:3" x14ac:dyDescent="0.25">
      <c r="A480" s="155">
        <f t="shared" si="23"/>
        <v>465</v>
      </c>
      <c r="B480" s="151">
        <f t="shared" ca="1" si="21"/>
        <v>56.437122750146202</v>
      </c>
      <c r="C480" s="158">
        <f t="shared" ca="1" si="22"/>
        <v>1</v>
      </c>
    </row>
    <row r="481" spans="1:3" x14ac:dyDescent="0.25">
      <c r="A481" s="155">
        <f t="shared" si="23"/>
        <v>466</v>
      </c>
      <c r="B481" s="151">
        <f t="shared" ca="1" si="21"/>
        <v>64.603792699690445</v>
      </c>
      <c r="C481" s="158">
        <f t="shared" ca="1" si="22"/>
        <v>1</v>
      </c>
    </row>
    <row r="482" spans="1:3" x14ac:dyDescent="0.25">
      <c r="A482" s="155">
        <f t="shared" si="23"/>
        <v>467</v>
      </c>
      <c r="B482" s="151">
        <f t="shared" ca="1" si="21"/>
        <v>-38.810963605212095</v>
      </c>
      <c r="C482" s="158">
        <f t="shared" ca="1" si="22"/>
        <v>0</v>
      </c>
    </row>
    <row r="483" spans="1:3" x14ac:dyDescent="0.25">
      <c r="A483" s="155">
        <f t="shared" si="23"/>
        <v>468</v>
      </c>
      <c r="B483" s="151">
        <f t="shared" ca="1" si="21"/>
        <v>28.623515330218829</v>
      </c>
      <c r="C483" s="158">
        <f t="shared" ca="1" si="22"/>
        <v>1</v>
      </c>
    </row>
    <row r="484" spans="1:3" x14ac:dyDescent="0.25">
      <c r="A484" s="155">
        <f t="shared" si="23"/>
        <v>469</v>
      </c>
      <c r="B484" s="151">
        <f t="shared" ca="1" si="21"/>
        <v>72.901385777033568</v>
      </c>
      <c r="C484" s="158">
        <f t="shared" ca="1" si="22"/>
        <v>1</v>
      </c>
    </row>
    <row r="485" spans="1:3" x14ac:dyDescent="0.25">
      <c r="A485" s="155">
        <f t="shared" si="23"/>
        <v>470</v>
      </c>
      <c r="B485" s="151">
        <f t="shared" ca="1" si="21"/>
        <v>28.135559418915967</v>
      </c>
      <c r="C485" s="158">
        <f t="shared" ca="1" si="22"/>
        <v>1</v>
      </c>
    </row>
    <row r="486" spans="1:3" x14ac:dyDescent="0.25">
      <c r="A486" s="155">
        <f t="shared" si="23"/>
        <v>471</v>
      </c>
      <c r="B486" s="151">
        <f t="shared" ca="1" si="21"/>
        <v>30.087165351758941</v>
      </c>
      <c r="C486" s="158">
        <f t="shared" ca="1" si="22"/>
        <v>1</v>
      </c>
    </row>
    <row r="487" spans="1:3" x14ac:dyDescent="0.25">
      <c r="A487" s="155">
        <f t="shared" si="23"/>
        <v>472</v>
      </c>
      <c r="B487" s="151">
        <f t="shared" ca="1" si="21"/>
        <v>66.512121079309949</v>
      </c>
      <c r="C487" s="158">
        <f t="shared" ca="1" si="22"/>
        <v>1</v>
      </c>
    </row>
    <row r="488" spans="1:3" x14ac:dyDescent="0.25">
      <c r="A488" s="155">
        <f t="shared" si="23"/>
        <v>473</v>
      </c>
      <c r="B488" s="151">
        <f t="shared" ca="1" si="21"/>
        <v>58.145977351331069</v>
      </c>
      <c r="C488" s="158">
        <f t="shared" ca="1" si="22"/>
        <v>1</v>
      </c>
    </row>
    <row r="489" spans="1:3" x14ac:dyDescent="0.25">
      <c r="A489" s="155">
        <f t="shared" si="23"/>
        <v>474</v>
      </c>
      <c r="B489" s="151">
        <f t="shared" ca="1" si="21"/>
        <v>44.847804731533337</v>
      </c>
      <c r="C489" s="158">
        <f t="shared" ca="1" si="22"/>
        <v>1</v>
      </c>
    </row>
    <row r="490" spans="1:3" x14ac:dyDescent="0.25">
      <c r="A490" s="155">
        <f t="shared" si="23"/>
        <v>475</v>
      </c>
      <c r="B490" s="151">
        <f t="shared" ca="1" si="21"/>
        <v>27.319139937603659</v>
      </c>
      <c r="C490" s="158">
        <f t="shared" ca="1" si="22"/>
        <v>1</v>
      </c>
    </row>
    <row r="491" spans="1:3" x14ac:dyDescent="0.25">
      <c r="A491" s="155">
        <f t="shared" si="23"/>
        <v>476</v>
      </c>
      <c r="B491" s="151">
        <f t="shared" ca="1" si="21"/>
        <v>22.496520949418411</v>
      </c>
      <c r="C491" s="158">
        <f t="shared" ca="1" si="22"/>
        <v>0</v>
      </c>
    </row>
    <row r="492" spans="1:3" x14ac:dyDescent="0.25">
      <c r="A492" s="155">
        <f t="shared" si="23"/>
        <v>477</v>
      </c>
      <c r="B492" s="151">
        <f t="shared" ca="1" si="21"/>
        <v>-45.164624550443079</v>
      </c>
      <c r="C492" s="158">
        <f t="shared" ca="1" si="22"/>
        <v>0</v>
      </c>
    </row>
    <row r="493" spans="1:3" x14ac:dyDescent="0.25">
      <c r="A493" s="155">
        <f t="shared" si="23"/>
        <v>478</v>
      </c>
      <c r="B493" s="151">
        <f t="shared" ca="1" si="21"/>
        <v>44.688870526524205</v>
      </c>
      <c r="C493" s="158">
        <f t="shared" ca="1" si="22"/>
        <v>1</v>
      </c>
    </row>
    <row r="494" spans="1:3" x14ac:dyDescent="0.25">
      <c r="A494" s="155">
        <f t="shared" si="23"/>
        <v>479</v>
      </c>
      <c r="B494" s="151">
        <f t="shared" ca="1" si="21"/>
        <v>46.142124632678431</v>
      </c>
      <c r="C494" s="158">
        <f t="shared" ca="1" si="22"/>
        <v>1</v>
      </c>
    </row>
    <row r="495" spans="1:3" x14ac:dyDescent="0.25">
      <c r="A495" s="155">
        <f t="shared" si="23"/>
        <v>480</v>
      </c>
      <c r="B495" s="151">
        <f t="shared" ca="1" si="21"/>
        <v>58.984095689209546</v>
      </c>
      <c r="C495" s="158">
        <f t="shared" ca="1" si="22"/>
        <v>1</v>
      </c>
    </row>
    <row r="496" spans="1:3" x14ac:dyDescent="0.25">
      <c r="A496" s="155">
        <f t="shared" si="23"/>
        <v>481</v>
      </c>
      <c r="B496" s="151">
        <f t="shared" ca="1" si="21"/>
        <v>33.613187256375298</v>
      </c>
      <c r="C496" s="158">
        <f t="shared" ca="1" si="22"/>
        <v>1</v>
      </c>
    </row>
    <row r="497" spans="1:3" x14ac:dyDescent="0.25">
      <c r="A497" s="155">
        <f t="shared" si="23"/>
        <v>482</v>
      </c>
      <c r="B497" s="151">
        <f t="shared" ca="1" si="21"/>
        <v>71.672769688913519</v>
      </c>
      <c r="C497" s="158">
        <f t="shared" ca="1" si="22"/>
        <v>1</v>
      </c>
    </row>
    <row r="498" spans="1:3" x14ac:dyDescent="0.25">
      <c r="A498" s="155">
        <f t="shared" si="23"/>
        <v>483</v>
      </c>
      <c r="B498" s="151">
        <f t="shared" ca="1" si="21"/>
        <v>70.019890847272166</v>
      </c>
      <c r="C498" s="158">
        <f t="shared" ca="1" si="22"/>
        <v>1</v>
      </c>
    </row>
    <row r="499" spans="1:3" x14ac:dyDescent="0.25">
      <c r="A499" s="155">
        <f t="shared" si="23"/>
        <v>484</v>
      </c>
      <c r="B499" s="151">
        <f t="shared" ca="1" si="21"/>
        <v>87.814011255783242</v>
      </c>
      <c r="C499" s="158">
        <f t="shared" ca="1" si="22"/>
        <v>1</v>
      </c>
    </row>
    <row r="500" spans="1:3" x14ac:dyDescent="0.25">
      <c r="A500" s="155">
        <f t="shared" si="23"/>
        <v>485</v>
      </c>
      <c r="B500" s="151">
        <f t="shared" ca="1" si="21"/>
        <v>11.306998947126171</v>
      </c>
      <c r="C500" s="158">
        <f t="shared" ca="1" si="22"/>
        <v>0</v>
      </c>
    </row>
    <row r="501" spans="1:3" x14ac:dyDescent="0.25">
      <c r="A501" s="155">
        <f t="shared" si="23"/>
        <v>486</v>
      </c>
      <c r="B501" s="151">
        <f t="shared" ca="1" si="21"/>
        <v>-20.125962741721047</v>
      </c>
      <c r="C501" s="158">
        <f t="shared" ca="1" si="22"/>
        <v>0</v>
      </c>
    </row>
    <row r="502" spans="1:3" x14ac:dyDescent="0.25">
      <c r="A502" s="155">
        <f t="shared" si="23"/>
        <v>487</v>
      </c>
      <c r="B502" s="151">
        <f t="shared" ca="1" si="21"/>
        <v>40.515402486680692</v>
      </c>
      <c r="C502" s="158">
        <f t="shared" ca="1" si="22"/>
        <v>1</v>
      </c>
    </row>
    <row r="503" spans="1:3" x14ac:dyDescent="0.25">
      <c r="A503" s="155">
        <f t="shared" si="23"/>
        <v>488</v>
      </c>
      <c r="B503" s="151">
        <f t="shared" ca="1" si="21"/>
        <v>-8.9124171845989366</v>
      </c>
      <c r="C503" s="158">
        <f t="shared" ca="1" si="22"/>
        <v>0</v>
      </c>
    </row>
    <row r="504" spans="1:3" x14ac:dyDescent="0.25">
      <c r="A504" s="155">
        <f t="shared" si="23"/>
        <v>489</v>
      </c>
      <c r="B504" s="151">
        <f t="shared" ca="1" si="21"/>
        <v>44.03407273904925</v>
      </c>
      <c r="C504" s="158">
        <f t="shared" ca="1" si="22"/>
        <v>1</v>
      </c>
    </row>
    <row r="505" spans="1:3" x14ac:dyDescent="0.25">
      <c r="A505" s="155">
        <f t="shared" si="23"/>
        <v>490</v>
      </c>
      <c r="B505" s="151">
        <f t="shared" ca="1" si="21"/>
        <v>-32.286824230139956</v>
      </c>
      <c r="C505" s="158">
        <f t="shared" ca="1" si="22"/>
        <v>0</v>
      </c>
    </row>
    <row r="506" spans="1:3" x14ac:dyDescent="0.25">
      <c r="A506" s="155">
        <f t="shared" si="23"/>
        <v>491</v>
      </c>
      <c r="B506" s="151">
        <f t="shared" ca="1" si="21"/>
        <v>22.558593200983303</v>
      </c>
      <c r="C506" s="158">
        <f t="shared" ca="1" si="22"/>
        <v>0</v>
      </c>
    </row>
    <row r="507" spans="1:3" x14ac:dyDescent="0.25">
      <c r="A507" s="155">
        <f t="shared" si="23"/>
        <v>492</v>
      </c>
      <c r="B507" s="151">
        <f t="shared" ca="1" si="21"/>
        <v>20.343115301458926</v>
      </c>
      <c r="C507" s="158">
        <f t="shared" ca="1" si="22"/>
        <v>0</v>
      </c>
    </row>
    <row r="508" spans="1:3" x14ac:dyDescent="0.25">
      <c r="A508" s="155">
        <f t="shared" si="23"/>
        <v>493</v>
      </c>
      <c r="B508" s="151">
        <f t="shared" ca="1" si="21"/>
        <v>6.1537123208763553</v>
      </c>
      <c r="C508" s="158">
        <f t="shared" ca="1" si="22"/>
        <v>0</v>
      </c>
    </row>
    <row r="509" spans="1:3" x14ac:dyDescent="0.25">
      <c r="A509" s="155">
        <f t="shared" si="23"/>
        <v>494</v>
      </c>
      <c r="B509" s="151">
        <f t="shared" ca="1" si="21"/>
        <v>85.567443156670919</v>
      </c>
      <c r="C509" s="158">
        <f t="shared" ca="1" si="22"/>
        <v>1</v>
      </c>
    </row>
    <row r="510" spans="1:3" x14ac:dyDescent="0.25">
      <c r="A510" s="155">
        <f t="shared" si="23"/>
        <v>495</v>
      </c>
      <c r="B510" s="151">
        <f t="shared" ca="1" si="21"/>
        <v>78.024976599609374</v>
      </c>
      <c r="C510" s="158">
        <f t="shared" ca="1" si="22"/>
        <v>1</v>
      </c>
    </row>
    <row r="511" spans="1:3" x14ac:dyDescent="0.25">
      <c r="A511" s="155">
        <f t="shared" si="23"/>
        <v>496</v>
      </c>
      <c r="B511" s="151">
        <f t="shared" ca="1" si="21"/>
        <v>37.364241027103532</v>
      </c>
      <c r="C511" s="158">
        <f t="shared" ca="1" si="22"/>
        <v>1</v>
      </c>
    </row>
    <row r="512" spans="1:3" x14ac:dyDescent="0.25">
      <c r="A512" s="155">
        <f t="shared" si="23"/>
        <v>497</v>
      </c>
      <c r="B512" s="151">
        <f t="shared" ca="1" si="21"/>
        <v>32.884852935071606</v>
      </c>
      <c r="C512" s="158">
        <f t="shared" ca="1" si="22"/>
        <v>1</v>
      </c>
    </row>
    <row r="513" spans="1:3" x14ac:dyDescent="0.25">
      <c r="A513" s="155">
        <f t="shared" si="23"/>
        <v>498</v>
      </c>
      <c r="B513" s="151">
        <f t="shared" ca="1" si="21"/>
        <v>-39.17566615122945</v>
      </c>
      <c r="C513" s="158">
        <f t="shared" ca="1" si="22"/>
        <v>0</v>
      </c>
    </row>
    <row r="514" spans="1:3" x14ac:dyDescent="0.25">
      <c r="A514" s="155">
        <f t="shared" si="23"/>
        <v>499</v>
      </c>
      <c r="B514" s="151">
        <f t="shared" ca="1" si="21"/>
        <v>27.423051491323843</v>
      </c>
      <c r="C514" s="158">
        <f t="shared" ca="1" si="22"/>
        <v>1</v>
      </c>
    </row>
    <row r="515" spans="1:3" x14ac:dyDescent="0.25">
      <c r="A515" s="155">
        <f t="shared" si="23"/>
        <v>500</v>
      </c>
      <c r="B515" s="151">
        <f t="shared" ca="1" si="21"/>
        <v>31.881160432761479</v>
      </c>
      <c r="C515" s="158">
        <f t="shared" ca="1" si="22"/>
        <v>1</v>
      </c>
    </row>
    <row r="516" spans="1:3" x14ac:dyDescent="0.25">
      <c r="A516" s="155">
        <f t="shared" si="23"/>
        <v>501</v>
      </c>
      <c r="B516" s="151">
        <f t="shared" ca="1" si="21"/>
        <v>-31.713961222621393</v>
      </c>
      <c r="C516" s="158">
        <f t="shared" ca="1" si="22"/>
        <v>0</v>
      </c>
    </row>
    <row r="517" spans="1:3" x14ac:dyDescent="0.25">
      <c r="A517" s="155">
        <f t="shared" si="23"/>
        <v>502</v>
      </c>
      <c r="B517" s="151">
        <f t="shared" ca="1" si="21"/>
        <v>90.214153277652969</v>
      </c>
      <c r="C517" s="158">
        <f t="shared" ca="1" si="22"/>
        <v>1</v>
      </c>
    </row>
    <row r="518" spans="1:3" x14ac:dyDescent="0.25">
      <c r="A518" s="155">
        <f t="shared" si="23"/>
        <v>503</v>
      </c>
      <c r="B518" s="151">
        <f t="shared" ca="1" si="21"/>
        <v>81.744980225039996</v>
      </c>
      <c r="C518" s="158">
        <f t="shared" ca="1" si="22"/>
        <v>1</v>
      </c>
    </row>
    <row r="519" spans="1:3" x14ac:dyDescent="0.25">
      <c r="A519" s="155">
        <f t="shared" si="23"/>
        <v>504</v>
      </c>
      <c r="B519" s="151">
        <f t="shared" ca="1" si="21"/>
        <v>56.950445843660958</v>
      </c>
      <c r="C519" s="158">
        <f t="shared" ca="1" si="22"/>
        <v>1</v>
      </c>
    </row>
    <row r="520" spans="1:3" x14ac:dyDescent="0.25">
      <c r="A520" s="155">
        <f t="shared" si="23"/>
        <v>505</v>
      </c>
      <c r="B520" s="151">
        <f t="shared" ca="1" si="21"/>
        <v>-58.563673866325331</v>
      </c>
      <c r="C520" s="158">
        <f t="shared" ca="1" si="22"/>
        <v>0</v>
      </c>
    </row>
    <row r="521" spans="1:3" x14ac:dyDescent="0.25">
      <c r="A521" s="155">
        <f t="shared" si="23"/>
        <v>506</v>
      </c>
      <c r="B521" s="151">
        <f t="shared" ca="1" si="21"/>
        <v>77.918699724767009</v>
      </c>
      <c r="C521" s="158">
        <f t="shared" ca="1" si="22"/>
        <v>1</v>
      </c>
    </row>
    <row r="522" spans="1:3" x14ac:dyDescent="0.25">
      <c r="A522" s="155">
        <f t="shared" si="23"/>
        <v>507</v>
      </c>
      <c r="B522" s="151">
        <f t="shared" ca="1" si="21"/>
        <v>42.171630897208367</v>
      </c>
      <c r="C522" s="158">
        <f t="shared" ca="1" si="22"/>
        <v>1</v>
      </c>
    </row>
    <row r="523" spans="1:3" x14ac:dyDescent="0.25">
      <c r="A523" s="155">
        <f t="shared" si="23"/>
        <v>508</v>
      </c>
      <c r="B523" s="151">
        <f t="shared" ca="1" si="21"/>
        <v>25.037633870502212</v>
      </c>
      <c r="C523" s="158">
        <f t="shared" ca="1" si="22"/>
        <v>1</v>
      </c>
    </row>
    <row r="524" spans="1:3" x14ac:dyDescent="0.25">
      <c r="A524" s="155">
        <f t="shared" si="23"/>
        <v>509</v>
      </c>
      <c r="B524" s="151">
        <f t="shared" ca="1" si="21"/>
        <v>-44.88194480332939</v>
      </c>
      <c r="C524" s="158">
        <f t="shared" ca="1" si="22"/>
        <v>0</v>
      </c>
    </row>
    <row r="525" spans="1:3" x14ac:dyDescent="0.25">
      <c r="A525" s="155">
        <f t="shared" si="23"/>
        <v>510</v>
      </c>
      <c r="B525" s="151">
        <f t="shared" ca="1" si="21"/>
        <v>12.242637609934974</v>
      </c>
      <c r="C525" s="158">
        <f t="shared" ca="1" si="22"/>
        <v>0</v>
      </c>
    </row>
    <row r="526" spans="1:3" x14ac:dyDescent="0.25">
      <c r="A526" s="155">
        <f t="shared" si="23"/>
        <v>511</v>
      </c>
      <c r="B526" s="151">
        <f t="shared" ca="1" si="21"/>
        <v>90.704676622327355</v>
      </c>
      <c r="C526" s="158">
        <f t="shared" ca="1" si="22"/>
        <v>1</v>
      </c>
    </row>
    <row r="527" spans="1:3" x14ac:dyDescent="0.25">
      <c r="A527" s="155">
        <f t="shared" si="23"/>
        <v>512</v>
      </c>
      <c r="B527" s="151">
        <f t="shared" ca="1" si="21"/>
        <v>77.54181444847066</v>
      </c>
      <c r="C527" s="158">
        <f t="shared" ca="1" si="22"/>
        <v>1</v>
      </c>
    </row>
    <row r="528" spans="1:3" x14ac:dyDescent="0.25">
      <c r="A528" s="155">
        <f t="shared" si="23"/>
        <v>513</v>
      </c>
      <c r="B528" s="151">
        <f t="shared" ca="1" si="21"/>
        <v>69.275652824898373</v>
      </c>
      <c r="C528" s="158">
        <f t="shared" ca="1" si="22"/>
        <v>1</v>
      </c>
    </row>
    <row r="529" spans="1:3" x14ac:dyDescent="0.25">
      <c r="A529" s="155">
        <f t="shared" si="23"/>
        <v>514</v>
      </c>
      <c r="B529" s="151">
        <f t="shared" ref="B529:B592" ca="1" si="24">_xlfn.NORM.INV(RAND(), $B$9, $B$10)</f>
        <v>54.409650758709603</v>
      </c>
      <c r="C529" s="158">
        <f t="shared" ref="C529:C592" ca="1" si="25">IF(B529 &gt;= $B$11, 1, 0)</f>
        <v>1</v>
      </c>
    </row>
    <row r="530" spans="1:3" x14ac:dyDescent="0.25">
      <c r="A530" s="155">
        <f t="shared" ref="A530:A593" si="26">+A529+1</f>
        <v>515</v>
      </c>
      <c r="B530" s="151">
        <f t="shared" ca="1" si="24"/>
        <v>44.22821933870955</v>
      </c>
      <c r="C530" s="158">
        <f t="shared" ca="1" si="25"/>
        <v>1</v>
      </c>
    </row>
    <row r="531" spans="1:3" x14ac:dyDescent="0.25">
      <c r="A531" s="155">
        <f t="shared" si="26"/>
        <v>516</v>
      </c>
      <c r="B531" s="151">
        <f t="shared" ca="1" si="24"/>
        <v>148.71133034332138</v>
      </c>
      <c r="C531" s="158">
        <f t="shared" ca="1" si="25"/>
        <v>1</v>
      </c>
    </row>
    <row r="532" spans="1:3" x14ac:dyDescent="0.25">
      <c r="A532" s="155">
        <f t="shared" si="26"/>
        <v>517</v>
      </c>
      <c r="B532" s="151">
        <f t="shared" ca="1" si="24"/>
        <v>10.338167193408033</v>
      </c>
      <c r="C532" s="158">
        <f t="shared" ca="1" si="25"/>
        <v>0</v>
      </c>
    </row>
    <row r="533" spans="1:3" x14ac:dyDescent="0.25">
      <c r="A533" s="155">
        <f t="shared" si="26"/>
        <v>518</v>
      </c>
      <c r="B533" s="151">
        <f t="shared" ca="1" si="24"/>
        <v>56.575242119860533</v>
      </c>
      <c r="C533" s="158">
        <f t="shared" ca="1" si="25"/>
        <v>1</v>
      </c>
    </row>
    <row r="534" spans="1:3" x14ac:dyDescent="0.25">
      <c r="A534" s="155">
        <f t="shared" si="26"/>
        <v>519</v>
      </c>
      <c r="B534" s="151">
        <f t="shared" ca="1" si="24"/>
        <v>26.73350873011282</v>
      </c>
      <c r="C534" s="158">
        <f t="shared" ca="1" si="25"/>
        <v>1</v>
      </c>
    </row>
    <row r="535" spans="1:3" x14ac:dyDescent="0.25">
      <c r="A535" s="155">
        <f t="shared" si="26"/>
        <v>520</v>
      </c>
      <c r="B535" s="151">
        <f t="shared" ca="1" si="24"/>
        <v>64.194810306342831</v>
      </c>
      <c r="C535" s="158">
        <f t="shared" ca="1" si="25"/>
        <v>1</v>
      </c>
    </row>
    <row r="536" spans="1:3" x14ac:dyDescent="0.25">
      <c r="A536" s="155">
        <f t="shared" si="26"/>
        <v>521</v>
      </c>
      <c r="B536" s="151">
        <f t="shared" ca="1" si="24"/>
        <v>45.717707864665492</v>
      </c>
      <c r="C536" s="158">
        <f t="shared" ca="1" si="25"/>
        <v>1</v>
      </c>
    </row>
    <row r="537" spans="1:3" x14ac:dyDescent="0.25">
      <c r="A537" s="155">
        <f t="shared" si="26"/>
        <v>522</v>
      </c>
      <c r="B537" s="151">
        <f t="shared" ca="1" si="24"/>
        <v>119.08026966277745</v>
      </c>
      <c r="C537" s="158">
        <f t="shared" ca="1" si="25"/>
        <v>1</v>
      </c>
    </row>
    <row r="538" spans="1:3" x14ac:dyDescent="0.25">
      <c r="A538" s="155">
        <f t="shared" si="26"/>
        <v>523</v>
      </c>
      <c r="B538" s="151">
        <f t="shared" ca="1" si="24"/>
        <v>-34.740120009426093</v>
      </c>
      <c r="C538" s="158">
        <f t="shared" ca="1" si="25"/>
        <v>0</v>
      </c>
    </row>
    <row r="539" spans="1:3" x14ac:dyDescent="0.25">
      <c r="A539" s="155">
        <f t="shared" si="26"/>
        <v>524</v>
      </c>
      <c r="B539" s="151">
        <f t="shared" ca="1" si="24"/>
        <v>-12.087074666934036</v>
      </c>
      <c r="C539" s="158">
        <f t="shared" ca="1" si="25"/>
        <v>0</v>
      </c>
    </row>
    <row r="540" spans="1:3" x14ac:dyDescent="0.25">
      <c r="A540" s="155">
        <f t="shared" si="26"/>
        <v>525</v>
      </c>
      <c r="B540" s="151">
        <f t="shared" ca="1" si="24"/>
        <v>-33.650598160242865</v>
      </c>
      <c r="C540" s="158">
        <f t="shared" ca="1" si="25"/>
        <v>0</v>
      </c>
    </row>
    <row r="541" spans="1:3" x14ac:dyDescent="0.25">
      <c r="A541" s="155">
        <f t="shared" si="26"/>
        <v>526</v>
      </c>
      <c r="B541" s="151">
        <f t="shared" ca="1" si="24"/>
        <v>57.227709790069149</v>
      </c>
      <c r="C541" s="158">
        <f t="shared" ca="1" si="25"/>
        <v>1</v>
      </c>
    </row>
    <row r="542" spans="1:3" x14ac:dyDescent="0.25">
      <c r="A542" s="155">
        <f t="shared" si="26"/>
        <v>527</v>
      </c>
      <c r="B542" s="151">
        <f t="shared" ca="1" si="24"/>
        <v>157.23615116887751</v>
      </c>
      <c r="C542" s="158">
        <f t="shared" ca="1" si="25"/>
        <v>1</v>
      </c>
    </row>
    <row r="543" spans="1:3" x14ac:dyDescent="0.25">
      <c r="A543" s="155">
        <f t="shared" si="26"/>
        <v>528</v>
      </c>
      <c r="B543" s="151">
        <f t="shared" ca="1" si="24"/>
        <v>-53.631838699132786</v>
      </c>
      <c r="C543" s="158">
        <f t="shared" ca="1" si="25"/>
        <v>0</v>
      </c>
    </row>
    <row r="544" spans="1:3" x14ac:dyDescent="0.25">
      <c r="A544" s="155">
        <f t="shared" si="26"/>
        <v>529</v>
      </c>
      <c r="B544" s="151">
        <f t="shared" ca="1" si="24"/>
        <v>62.854197416150797</v>
      </c>
      <c r="C544" s="158">
        <f t="shared" ca="1" si="25"/>
        <v>1</v>
      </c>
    </row>
    <row r="545" spans="1:3" x14ac:dyDescent="0.25">
      <c r="A545" s="155">
        <f t="shared" si="26"/>
        <v>530</v>
      </c>
      <c r="B545" s="151">
        <f t="shared" ca="1" si="24"/>
        <v>79.51627524912324</v>
      </c>
      <c r="C545" s="158">
        <f t="shared" ca="1" si="25"/>
        <v>1</v>
      </c>
    </row>
    <row r="546" spans="1:3" x14ac:dyDescent="0.25">
      <c r="A546" s="155">
        <f t="shared" si="26"/>
        <v>531</v>
      </c>
      <c r="B546" s="151">
        <f t="shared" ca="1" si="24"/>
        <v>-31.950653079987831</v>
      </c>
      <c r="C546" s="158">
        <f t="shared" ca="1" si="25"/>
        <v>0</v>
      </c>
    </row>
    <row r="547" spans="1:3" x14ac:dyDescent="0.25">
      <c r="A547" s="155">
        <f t="shared" si="26"/>
        <v>532</v>
      </c>
      <c r="B547" s="151">
        <f t="shared" ca="1" si="24"/>
        <v>75.519899888763689</v>
      </c>
      <c r="C547" s="158">
        <f t="shared" ca="1" si="25"/>
        <v>1</v>
      </c>
    </row>
    <row r="548" spans="1:3" x14ac:dyDescent="0.25">
      <c r="A548" s="155">
        <f t="shared" si="26"/>
        <v>533</v>
      </c>
      <c r="B548" s="151">
        <f t="shared" ca="1" si="24"/>
        <v>-18.421448499605908</v>
      </c>
      <c r="C548" s="158">
        <f t="shared" ca="1" si="25"/>
        <v>0</v>
      </c>
    </row>
    <row r="549" spans="1:3" x14ac:dyDescent="0.25">
      <c r="A549" s="155">
        <f t="shared" si="26"/>
        <v>534</v>
      </c>
      <c r="B549" s="151">
        <f t="shared" ca="1" si="24"/>
        <v>-39.673226878381641</v>
      </c>
      <c r="C549" s="158">
        <f t="shared" ca="1" si="25"/>
        <v>0</v>
      </c>
    </row>
    <row r="550" spans="1:3" x14ac:dyDescent="0.25">
      <c r="A550" s="155">
        <f t="shared" si="26"/>
        <v>535</v>
      </c>
      <c r="B550" s="151">
        <f t="shared" ca="1" si="24"/>
        <v>47.174710549214637</v>
      </c>
      <c r="C550" s="158">
        <f t="shared" ca="1" si="25"/>
        <v>1</v>
      </c>
    </row>
    <row r="551" spans="1:3" x14ac:dyDescent="0.25">
      <c r="A551" s="155">
        <f t="shared" si="26"/>
        <v>536</v>
      </c>
      <c r="B551" s="151">
        <f t="shared" ca="1" si="24"/>
        <v>56.189342302946372</v>
      </c>
      <c r="C551" s="158">
        <f t="shared" ca="1" si="25"/>
        <v>1</v>
      </c>
    </row>
    <row r="552" spans="1:3" x14ac:dyDescent="0.25">
      <c r="A552" s="155">
        <f t="shared" si="26"/>
        <v>537</v>
      </c>
      <c r="B552" s="151">
        <f t="shared" ca="1" si="24"/>
        <v>6.2441615279976475</v>
      </c>
      <c r="C552" s="158">
        <f t="shared" ca="1" si="25"/>
        <v>0</v>
      </c>
    </row>
    <row r="553" spans="1:3" x14ac:dyDescent="0.25">
      <c r="A553" s="155">
        <f t="shared" si="26"/>
        <v>538</v>
      </c>
      <c r="B553" s="151">
        <f t="shared" ca="1" si="24"/>
        <v>38.154133650500931</v>
      </c>
      <c r="C553" s="158">
        <f t="shared" ca="1" si="25"/>
        <v>1</v>
      </c>
    </row>
    <row r="554" spans="1:3" x14ac:dyDescent="0.25">
      <c r="A554" s="155">
        <f t="shared" si="26"/>
        <v>539</v>
      </c>
      <c r="B554" s="151">
        <f t="shared" ca="1" si="24"/>
        <v>-87.878672141693897</v>
      </c>
      <c r="C554" s="158">
        <f t="shared" ca="1" si="25"/>
        <v>0</v>
      </c>
    </row>
    <row r="555" spans="1:3" x14ac:dyDescent="0.25">
      <c r="A555" s="155">
        <f t="shared" si="26"/>
        <v>540</v>
      </c>
      <c r="B555" s="151">
        <f t="shared" ca="1" si="24"/>
        <v>7.9890250909474751</v>
      </c>
      <c r="C555" s="158">
        <f t="shared" ca="1" si="25"/>
        <v>0</v>
      </c>
    </row>
    <row r="556" spans="1:3" x14ac:dyDescent="0.25">
      <c r="A556" s="155">
        <f t="shared" si="26"/>
        <v>541</v>
      </c>
      <c r="B556" s="151">
        <f t="shared" ca="1" si="24"/>
        <v>92.310150336987334</v>
      </c>
      <c r="C556" s="158">
        <f t="shared" ca="1" si="25"/>
        <v>1</v>
      </c>
    </row>
    <row r="557" spans="1:3" x14ac:dyDescent="0.25">
      <c r="A557" s="155">
        <f t="shared" si="26"/>
        <v>542</v>
      </c>
      <c r="B557" s="151">
        <f t="shared" ca="1" si="24"/>
        <v>68.535996411687677</v>
      </c>
      <c r="C557" s="158">
        <f t="shared" ca="1" si="25"/>
        <v>1</v>
      </c>
    </row>
    <row r="558" spans="1:3" x14ac:dyDescent="0.25">
      <c r="A558" s="155">
        <f t="shared" si="26"/>
        <v>543</v>
      </c>
      <c r="B558" s="151">
        <f t="shared" ca="1" si="24"/>
        <v>-9.0215415391814275</v>
      </c>
      <c r="C558" s="158">
        <f t="shared" ca="1" si="25"/>
        <v>0</v>
      </c>
    </row>
    <row r="559" spans="1:3" x14ac:dyDescent="0.25">
      <c r="A559" s="155">
        <f t="shared" si="26"/>
        <v>544</v>
      </c>
      <c r="B559" s="151">
        <f t="shared" ca="1" si="24"/>
        <v>-9.7780863288108648</v>
      </c>
      <c r="C559" s="158">
        <f t="shared" ca="1" si="25"/>
        <v>0</v>
      </c>
    </row>
    <row r="560" spans="1:3" x14ac:dyDescent="0.25">
      <c r="A560" s="155">
        <f t="shared" si="26"/>
        <v>545</v>
      </c>
      <c r="B560" s="151">
        <f t="shared" ca="1" si="24"/>
        <v>89.582311108447129</v>
      </c>
      <c r="C560" s="158">
        <f t="shared" ca="1" si="25"/>
        <v>1</v>
      </c>
    </row>
    <row r="561" spans="1:3" x14ac:dyDescent="0.25">
      <c r="A561" s="155">
        <f t="shared" si="26"/>
        <v>546</v>
      </c>
      <c r="B561" s="151">
        <f t="shared" ca="1" si="24"/>
        <v>127.02804706676534</v>
      </c>
      <c r="C561" s="158">
        <f t="shared" ca="1" si="25"/>
        <v>1</v>
      </c>
    </row>
    <row r="562" spans="1:3" x14ac:dyDescent="0.25">
      <c r="A562" s="155">
        <f t="shared" si="26"/>
        <v>547</v>
      </c>
      <c r="B562" s="151">
        <f t="shared" ca="1" si="24"/>
        <v>-76.97021319163602</v>
      </c>
      <c r="C562" s="158">
        <f t="shared" ca="1" si="25"/>
        <v>0</v>
      </c>
    </row>
    <row r="563" spans="1:3" x14ac:dyDescent="0.25">
      <c r="A563" s="155">
        <f t="shared" si="26"/>
        <v>548</v>
      </c>
      <c r="B563" s="151">
        <f t="shared" ca="1" si="24"/>
        <v>47.567806374602839</v>
      </c>
      <c r="C563" s="158">
        <f t="shared" ca="1" si="25"/>
        <v>1</v>
      </c>
    </row>
    <row r="564" spans="1:3" x14ac:dyDescent="0.25">
      <c r="A564" s="155">
        <f t="shared" si="26"/>
        <v>549</v>
      </c>
      <c r="B564" s="151">
        <f t="shared" ca="1" si="24"/>
        <v>57.776115879715057</v>
      </c>
      <c r="C564" s="158">
        <f t="shared" ca="1" si="25"/>
        <v>1</v>
      </c>
    </row>
    <row r="565" spans="1:3" x14ac:dyDescent="0.25">
      <c r="A565" s="155">
        <f t="shared" si="26"/>
        <v>550</v>
      </c>
      <c r="B565" s="151">
        <f t="shared" ca="1" si="24"/>
        <v>87.235106285785506</v>
      </c>
      <c r="C565" s="158">
        <f t="shared" ca="1" si="25"/>
        <v>1</v>
      </c>
    </row>
    <row r="566" spans="1:3" x14ac:dyDescent="0.25">
      <c r="A566" s="155">
        <f t="shared" si="26"/>
        <v>551</v>
      </c>
      <c r="B566" s="151">
        <f t="shared" ca="1" si="24"/>
        <v>-2.8759095198193876</v>
      </c>
      <c r="C566" s="158">
        <f t="shared" ca="1" si="25"/>
        <v>0</v>
      </c>
    </row>
    <row r="567" spans="1:3" x14ac:dyDescent="0.25">
      <c r="A567" s="155">
        <f t="shared" si="26"/>
        <v>552</v>
      </c>
      <c r="B567" s="151">
        <f t="shared" ca="1" si="24"/>
        <v>-89.607309007063535</v>
      </c>
      <c r="C567" s="158">
        <f t="shared" ca="1" si="25"/>
        <v>0</v>
      </c>
    </row>
    <row r="568" spans="1:3" x14ac:dyDescent="0.25">
      <c r="A568" s="155">
        <f t="shared" si="26"/>
        <v>553</v>
      </c>
      <c r="B568" s="151">
        <f t="shared" ca="1" si="24"/>
        <v>31.341958103260161</v>
      </c>
      <c r="C568" s="158">
        <f t="shared" ca="1" si="25"/>
        <v>1</v>
      </c>
    </row>
    <row r="569" spans="1:3" x14ac:dyDescent="0.25">
      <c r="A569" s="155">
        <f t="shared" si="26"/>
        <v>554</v>
      </c>
      <c r="B569" s="151">
        <f t="shared" ca="1" si="24"/>
        <v>-42.337008944152544</v>
      </c>
      <c r="C569" s="158">
        <f t="shared" ca="1" si="25"/>
        <v>0</v>
      </c>
    </row>
    <row r="570" spans="1:3" x14ac:dyDescent="0.25">
      <c r="A570" s="155">
        <f t="shared" si="26"/>
        <v>555</v>
      </c>
      <c r="B570" s="151">
        <f t="shared" ca="1" si="24"/>
        <v>81.783568664077777</v>
      </c>
      <c r="C570" s="158">
        <f t="shared" ca="1" si="25"/>
        <v>1</v>
      </c>
    </row>
    <row r="571" spans="1:3" x14ac:dyDescent="0.25">
      <c r="A571" s="155">
        <f t="shared" si="26"/>
        <v>556</v>
      </c>
      <c r="B571" s="151">
        <f t="shared" ca="1" si="24"/>
        <v>12.061723276865031</v>
      </c>
      <c r="C571" s="158">
        <f t="shared" ca="1" si="25"/>
        <v>0</v>
      </c>
    </row>
    <row r="572" spans="1:3" x14ac:dyDescent="0.25">
      <c r="A572" s="155">
        <f t="shared" si="26"/>
        <v>557</v>
      </c>
      <c r="B572" s="151">
        <f t="shared" ca="1" si="24"/>
        <v>112.72759123785487</v>
      </c>
      <c r="C572" s="158">
        <f t="shared" ca="1" si="25"/>
        <v>1</v>
      </c>
    </row>
    <row r="573" spans="1:3" x14ac:dyDescent="0.25">
      <c r="A573" s="155">
        <f t="shared" si="26"/>
        <v>558</v>
      </c>
      <c r="B573" s="151">
        <f t="shared" ca="1" si="24"/>
        <v>68.846325306251956</v>
      </c>
      <c r="C573" s="158">
        <f t="shared" ca="1" si="25"/>
        <v>1</v>
      </c>
    </row>
    <row r="574" spans="1:3" x14ac:dyDescent="0.25">
      <c r="A574" s="155">
        <f t="shared" si="26"/>
        <v>559</v>
      </c>
      <c r="B574" s="151">
        <f t="shared" ca="1" si="24"/>
        <v>18.91349088438195</v>
      </c>
      <c r="C574" s="158">
        <f t="shared" ca="1" si="25"/>
        <v>0</v>
      </c>
    </row>
    <row r="575" spans="1:3" x14ac:dyDescent="0.25">
      <c r="A575" s="155">
        <f t="shared" si="26"/>
        <v>560</v>
      </c>
      <c r="B575" s="151">
        <f t="shared" ca="1" si="24"/>
        <v>-56.814465669803482</v>
      </c>
      <c r="C575" s="158">
        <f t="shared" ca="1" si="25"/>
        <v>0</v>
      </c>
    </row>
    <row r="576" spans="1:3" x14ac:dyDescent="0.25">
      <c r="A576" s="155">
        <f t="shared" si="26"/>
        <v>561</v>
      </c>
      <c r="B576" s="151">
        <f t="shared" ca="1" si="24"/>
        <v>18.525000714613256</v>
      </c>
      <c r="C576" s="158">
        <f t="shared" ca="1" si="25"/>
        <v>0</v>
      </c>
    </row>
    <row r="577" spans="1:3" x14ac:dyDescent="0.25">
      <c r="A577" s="155">
        <f t="shared" si="26"/>
        <v>562</v>
      </c>
      <c r="B577" s="151">
        <f t="shared" ca="1" si="24"/>
        <v>141.96128841641257</v>
      </c>
      <c r="C577" s="158">
        <f t="shared" ca="1" si="25"/>
        <v>1</v>
      </c>
    </row>
    <row r="578" spans="1:3" x14ac:dyDescent="0.25">
      <c r="A578" s="155">
        <f t="shared" si="26"/>
        <v>563</v>
      </c>
      <c r="B578" s="151">
        <f t="shared" ca="1" si="24"/>
        <v>14.147814363686976</v>
      </c>
      <c r="C578" s="158">
        <f t="shared" ca="1" si="25"/>
        <v>0</v>
      </c>
    </row>
    <row r="579" spans="1:3" x14ac:dyDescent="0.25">
      <c r="A579" s="155">
        <f t="shared" si="26"/>
        <v>564</v>
      </c>
      <c r="B579" s="151">
        <f t="shared" ca="1" si="24"/>
        <v>111.57775424340551</v>
      </c>
      <c r="C579" s="158">
        <f t="shared" ca="1" si="25"/>
        <v>1</v>
      </c>
    </row>
    <row r="580" spans="1:3" x14ac:dyDescent="0.25">
      <c r="A580" s="155">
        <f t="shared" si="26"/>
        <v>565</v>
      </c>
      <c r="B580" s="151">
        <f t="shared" ca="1" si="24"/>
        <v>46.38336487458762</v>
      </c>
      <c r="C580" s="158">
        <f t="shared" ca="1" si="25"/>
        <v>1</v>
      </c>
    </row>
    <row r="581" spans="1:3" x14ac:dyDescent="0.25">
      <c r="A581" s="155">
        <f t="shared" si="26"/>
        <v>566</v>
      </c>
      <c r="B581" s="151">
        <f t="shared" ca="1" si="24"/>
        <v>38.594334841437863</v>
      </c>
      <c r="C581" s="158">
        <f t="shared" ca="1" si="25"/>
        <v>1</v>
      </c>
    </row>
    <row r="582" spans="1:3" x14ac:dyDescent="0.25">
      <c r="A582" s="155">
        <f t="shared" si="26"/>
        <v>567</v>
      </c>
      <c r="B582" s="151">
        <f t="shared" ca="1" si="24"/>
        <v>77.977592224991071</v>
      </c>
      <c r="C582" s="158">
        <f t="shared" ca="1" si="25"/>
        <v>1</v>
      </c>
    </row>
    <row r="583" spans="1:3" x14ac:dyDescent="0.25">
      <c r="A583" s="155">
        <f t="shared" si="26"/>
        <v>568</v>
      </c>
      <c r="B583" s="151">
        <f t="shared" ca="1" si="24"/>
        <v>27.70138128037113</v>
      </c>
      <c r="C583" s="158">
        <f t="shared" ca="1" si="25"/>
        <v>1</v>
      </c>
    </row>
    <row r="584" spans="1:3" x14ac:dyDescent="0.25">
      <c r="A584" s="155">
        <f t="shared" si="26"/>
        <v>569</v>
      </c>
      <c r="B584" s="151">
        <f t="shared" ca="1" si="24"/>
        <v>31.176806116161867</v>
      </c>
      <c r="C584" s="158">
        <f t="shared" ca="1" si="25"/>
        <v>1</v>
      </c>
    </row>
    <row r="585" spans="1:3" x14ac:dyDescent="0.25">
      <c r="A585" s="155">
        <f t="shared" si="26"/>
        <v>570</v>
      </c>
      <c r="B585" s="151">
        <f t="shared" ca="1" si="24"/>
        <v>-5.8054599182665001</v>
      </c>
      <c r="C585" s="158">
        <f t="shared" ca="1" si="25"/>
        <v>0</v>
      </c>
    </row>
    <row r="586" spans="1:3" x14ac:dyDescent="0.25">
      <c r="A586" s="155">
        <f t="shared" si="26"/>
        <v>571</v>
      </c>
      <c r="B586" s="151">
        <f t="shared" ca="1" si="24"/>
        <v>-26.675565300584289</v>
      </c>
      <c r="C586" s="158">
        <f t="shared" ca="1" si="25"/>
        <v>0</v>
      </c>
    </row>
    <row r="587" spans="1:3" x14ac:dyDescent="0.25">
      <c r="A587" s="155">
        <f t="shared" si="26"/>
        <v>572</v>
      </c>
      <c r="B587" s="151">
        <f t="shared" ca="1" si="24"/>
        <v>91.596681125008743</v>
      </c>
      <c r="C587" s="158">
        <f t="shared" ca="1" si="25"/>
        <v>1</v>
      </c>
    </row>
    <row r="588" spans="1:3" x14ac:dyDescent="0.25">
      <c r="A588" s="155">
        <f t="shared" si="26"/>
        <v>573</v>
      </c>
      <c r="B588" s="151">
        <f t="shared" ca="1" si="24"/>
        <v>31.727230225732626</v>
      </c>
      <c r="C588" s="158">
        <f t="shared" ca="1" si="25"/>
        <v>1</v>
      </c>
    </row>
    <row r="589" spans="1:3" x14ac:dyDescent="0.25">
      <c r="A589" s="155">
        <f t="shared" si="26"/>
        <v>574</v>
      </c>
      <c r="B589" s="151">
        <f t="shared" ca="1" si="24"/>
        <v>45.800370026450558</v>
      </c>
      <c r="C589" s="158">
        <f t="shared" ca="1" si="25"/>
        <v>1</v>
      </c>
    </row>
    <row r="590" spans="1:3" x14ac:dyDescent="0.25">
      <c r="A590" s="155">
        <f t="shared" si="26"/>
        <v>575</v>
      </c>
      <c r="B590" s="151">
        <f t="shared" ca="1" si="24"/>
        <v>-49.373702068492804</v>
      </c>
      <c r="C590" s="158">
        <f t="shared" ca="1" si="25"/>
        <v>0</v>
      </c>
    </row>
    <row r="591" spans="1:3" x14ac:dyDescent="0.25">
      <c r="A591" s="155">
        <f t="shared" si="26"/>
        <v>576</v>
      </c>
      <c r="B591" s="151">
        <f t="shared" ca="1" si="24"/>
        <v>68.342192044292119</v>
      </c>
      <c r="C591" s="158">
        <f t="shared" ca="1" si="25"/>
        <v>1</v>
      </c>
    </row>
    <row r="592" spans="1:3" x14ac:dyDescent="0.25">
      <c r="A592" s="155">
        <f t="shared" si="26"/>
        <v>577</v>
      </c>
      <c r="B592" s="151">
        <f t="shared" ca="1" si="24"/>
        <v>51.709745105751921</v>
      </c>
      <c r="C592" s="158">
        <f t="shared" ca="1" si="25"/>
        <v>1</v>
      </c>
    </row>
    <row r="593" spans="1:3" x14ac:dyDescent="0.25">
      <c r="A593" s="155">
        <f t="shared" si="26"/>
        <v>578</v>
      </c>
      <c r="B593" s="151">
        <f t="shared" ref="B593:B656" ca="1" si="27">_xlfn.NORM.INV(RAND(), $B$9, $B$10)</f>
        <v>93.688930071542075</v>
      </c>
      <c r="C593" s="158">
        <f t="shared" ref="C593:C656" ca="1" si="28">IF(B593 &gt;= $B$11, 1, 0)</f>
        <v>1</v>
      </c>
    </row>
    <row r="594" spans="1:3" x14ac:dyDescent="0.25">
      <c r="A594" s="155">
        <f t="shared" ref="A594:A657" si="29">+A593+1</f>
        <v>579</v>
      </c>
      <c r="B594" s="151">
        <f t="shared" ca="1" si="27"/>
        <v>100.1563297756072</v>
      </c>
      <c r="C594" s="158">
        <f t="shared" ca="1" si="28"/>
        <v>1</v>
      </c>
    </row>
    <row r="595" spans="1:3" x14ac:dyDescent="0.25">
      <c r="A595" s="155">
        <f t="shared" si="29"/>
        <v>580</v>
      </c>
      <c r="B595" s="151">
        <f t="shared" ca="1" si="27"/>
        <v>85.031568560487571</v>
      </c>
      <c r="C595" s="158">
        <f t="shared" ca="1" si="28"/>
        <v>1</v>
      </c>
    </row>
    <row r="596" spans="1:3" x14ac:dyDescent="0.25">
      <c r="A596" s="155">
        <f t="shared" si="29"/>
        <v>581</v>
      </c>
      <c r="B596" s="151">
        <f t="shared" ca="1" si="27"/>
        <v>34.561592030704212</v>
      </c>
      <c r="C596" s="158">
        <f t="shared" ca="1" si="28"/>
        <v>1</v>
      </c>
    </row>
    <row r="597" spans="1:3" x14ac:dyDescent="0.25">
      <c r="A597" s="155">
        <f t="shared" si="29"/>
        <v>582</v>
      </c>
      <c r="B597" s="151">
        <f t="shared" ca="1" si="27"/>
        <v>-23.922313596343415</v>
      </c>
      <c r="C597" s="158">
        <f t="shared" ca="1" si="28"/>
        <v>0</v>
      </c>
    </row>
    <row r="598" spans="1:3" x14ac:dyDescent="0.25">
      <c r="A598" s="155">
        <f t="shared" si="29"/>
        <v>583</v>
      </c>
      <c r="B598" s="151">
        <f t="shared" ca="1" si="27"/>
        <v>41.056480089914814</v>
      </c>
      <c r="C598" s="158">
        <f t="shared" ca="1" si="28"/>
        <v>1</v>
      </c>
    </row>
    <row r="599" spans="1:3" x14ac:dyDescent="0.25">
      <c r="A599" s="155">
        <f t="shared" si="29"/>
        <v>584</v>
      </c>
      <c r="B599" s="151">
        <f t="shared" ca="1" si="27"/>
        <v>3.7472235520926418</v>
      </c>
      <c r="C599" s="158">
        <f t="shared" ca="1" si="28"/>
        <v>0</v>
      </c>
    </row>
    <row r="600" spans="1:3" x14ac:dyDescent="0.25">
      <c r="A600" s="155">
        <f t="shared" si="29"/>
        <v>585</v>
      </c>
      <c r="B600" s="151">
        <f t="shared" ca="1" si="27"/>
        <v>70.659882795318396</v>
      </c>
      <c r="C600" s="158">
        <f t="shared" ca="1" si="28"/>
        <v>1</v>
      </c>
    </row>
    <row r="601" spans="1:3" x14ac:dyDescent="0.25">
      <c r="A601" s="155">
        <f t="shared" si="29"/>
        <v>586</v>
      </c>
      <c r="B601" s="151">
        <f t="shared" ca="1" si="27"/>
        <v>154.80665108780263</v>
      </c>
      <c r="C601" s="158">
        <f t="shared" ca="1" si="28"/>
        <v>1</v>
      </c>
    </row>
    <row r="602" spans="1:3" x14ac:dyDescent="0.25">
      <c r="A602" s="155">
        <f t="shared" si="29"/>
        <v>587</v>
      </c>
      <c r="B602" s="151">
        <f t="shared" ca="1" si="27"/>
        <v>26.635776090246793</v>
      </c>
      <c r="C602" s="158">
        <f t="shared" ca="1" si="28"/>
        <v>1</v>
      </c>
    </row>
    <row r="603" spans="1:3" x14ac:dyDescent="0.25">
      <c r="A603" s="155">
        <f t="shared" si="29"/>
        <v>588</v>
      </c>
      <c r="B603" s="151">
        <f t="shared" ca="1" si="27"/>
        <v>14.732265956311487</v>
      </c>
      <c r="C603" s="158">
        <f t="shared" ca="1" si="28"/>
        <v>0</v>
      </c>
    </row>
    <row r="604" spans="1:3" x14ac:dyDescent="0.25">
      <c r="A604" s="155">
        <f t="shared" si="29"/>
        <v>589</v>
      </c>
      <c r="B604" s="151">
        <f t="shared" ca="1" si="27"/>
        <v>-23.179677716773966</v>
      </c>
      <c r="C604" s="158">
        <f t="shared" ca="1" si="28"/>
        <v>0</v>
      </c>
    </row>
    <row r="605" spans="1:3" x14ac:dyDescent="0.25">
      <c r="A605" s="155">
        <f t="shared" si="29"/>
        <v>590</v>
      </c>
      <c r="B605" s="151">
        <f t="shared" ca="1" si="27"/>
        <v>-1.7329482055867373</v>
      </c>
      <c r="C605" s="158">
        <f t="shared" ca="1" si="28"/>
        <v>0</v>
      </c>
    </row>
    <row r="606" spans="1:3" x14ac:dyDescent="0.25">
      <c r="A606" s="155">
        <f t="shared" si="29"/>
        <v>591</v>
      </c>
      <c r="B606" s="151">
        <f t="shared" ca="1" si="27"/>
        <v>96.651757618709809</v>
      </c>
      <c r="C606" s="158">
        <f t="shared" ca="1" si="28"/>
        <v>1</v>
      </c>
    </row>
    <row r="607" spans="1:3" x14ac:dyDescent="0.25">
      <c r="A607" s="155">
        <f t="shared" si="29"/>
        <v>592</v>
      </c>
      <c r="B607" s="151">
        <f t="shared" ca="1" si="27"/>
        <v>-23.252746711608808</v>
      </c>
      <c r="C607" s="158">
        <f t="shared" ca="1" si="28"/>
        <v>0</v>
      </c>
    </row>
    <row r="608" spans="1:3" x14ac:dyDescent="0.25">
      <c r="A608" s="155">
        <f t="shared" si="29"/>
        <v>593</v>
      </c>
      <c r="B608" s="151">
        <f t="shared" ca="1" si="27"/>
        <v>70.00769885010294</v>
      </c>
      <c r="C608" s="158">
        <f t="shared" ca="1" si="28"/>
        <v>1</v>
      </c>
    </row>
    <row r="609" spans="1:3" x14ac:dyDescent="0.25">
      <c r="A609" s="155">
        <f t="shared" si="29"/>
        <v>594</v>
      </c>
      <c r="B609" s="151">
        <f t="shared" ca="1" si="27"/>
        <v>26.652435832463155</v>
      </c>
      <c r="C609" s="158">
        <f t="shared" ca="1" si="28"/>
        <v>1</v>
      </c>
    </row>
    <row r="610" spans="1:3" x14ac:dyDescent="0.25">
      <c r="A610" s="155">
        <f t="shared" si="29"/>
        <v>595</v>
      </c>
      <c r="B610" s="151">
        <f t="shared" ca="1" si="27"/>
        <v>11.426800061099236</v>
      </c>
      <c r="C610" s="158">
        <f t="shared" ca="1" si="28"/>
        <v>0</v>
      </c>
    </row>
    <row r="611" spans="1:3" x14ac:dyDescent="0.25">
      <c r="A611" s="155">
        <f t="shared" si="29"/>
        <v>596</v>
      </c>
      <c r="B611" s="151">
        <f t="shared" ca="1" si="27"/>
        <v>89.362976381566966</v>
      </c>
      <c r="C611" s="158">
        <f t="shared" ca="1" si="28"/>
        <v>1</v>
      </c>
    </row>
    <row r="612" spans="1:3" x14ac:dyDescent="0.25">
      <c r="A612" s="155">
        <f t="shared" si="29"/>
        <v>597</v>
      </c>
      <c r="B612" s="151">
        <f t="shared" ca="1" si="27"/>
        <v>-6.5342508062255931</v>
      </c>
      <c r="C612" s="158">
        <f t="shared" ca="1" si="28"/>
        <v>0</v>
      </c>
    </row>
    <row r="613" spans="1:3" x14ac:dyDescent="0.25">
      <c r="A613" s="155">
        <f t="shared" si="29"/>
        <v>598</v>
      </c>
      <c r="B613" s="151">
        <f t="shared" ca="1" si="27"/>
        <v>104.22089112507345</v>
      </c>
      <c r="C613" s="158">
        <f t="shared" ca="1" si="28"/>
        <v>1</v>
      </c>
    </row>
    <row r="614" spans="1:3" x14ac:dyDescent="0.25">
      <c r="A614" s="155">
        <f t="shared" si="29"/>
        <v>599</v>
      </c>
      <c r="B614" s="151">
        <f t="shared" ca="1" si="27"/>
        <v>8.9009779389706196</v>
      </c>
      <c r="C614" s="158">
        <f t="shared" ca="1" si="28"/>
        <v>0</v>
      </c>
    </row>
    <row r="615" spans="1:3" x14ac:dyDescent="0.25">
      <c r="A615" s="155">
        <f t="shared" si="29"/>
        <v>600</v>
      </c>
      <c r="B615" s="151">
        <f t="shared" ca="1" si="27"/>
        <v>30.994808861212277</v>
      </c>
      <c r="C615" s="158">
        <f t="shared" ca="1" si="28"/>
        <v>1</v>
      </c>
    </row>
    <row r="616" spans="1:3" x14ac:dyDescent="0.25">
      <c r="A616" s="155">
        <f t="shared" si="29"/>
        <v>601</v>
      </c>
      <c r="B616" s="151">
        <f t="shared" ca="1" si="27"/>
        <v>3.464586628371304</v>
      </c>
      <c r="C616" s="158">
        <f t="shared" ca="1" si="28"/>
        <v>0</v>
      </c>
    </row>
    <row r="617" spans="1:3" x14ac:dyDescent="0.25">
      <c r="A617" s="155">
        <f t="shared" si="29"/>
        <v>602</v>
      </c>
      <c r="B617" s="151">
        <f t="shared" ca="1" si="27"/>
        <v>93.319993753027404</v>
      </c>
      <c r="C617" s="158">
        <f t="shared" ca="1" si="28"/>
        <v>1</v>
      </c>
    </row>
    <row r="618" spans="1:3" x14ac:dyDescent="0.25">
      <c r="A618" s="155">
        <f t="shared" si="29"/>
        <v>603</v>
      </c>
      <c r="B618" s="151">
        <f t="shared" ca="1" si="27"/>
        <v>29.749654707026973</v>
      </c>
      <c r="C618" s="158">
        <f t="shared" ca="1" si="28"/>
        <v>1</v>
      </c>
    </row>
    <row r="619" spans="1:3" x14ac:dyDescent="0.25">
      <c r="A619" s="155">
        <f t="shared" si="29"/>
        <v>604</v>
      </c>
      <c r="B619" s="151">
        <f t="shared" ca="1" si="27"/>
        <v>6.7340834979955275</v>
      </c>
      <c r="C619" s="158">
        <f t="shared" ca="1" si="28"/>
        <v>0</v>
      </c>
    </row>
    <row r="620" spans="1:3" x14ac:dyDescent="0.25">
      <c r="A620" s="155">
        <f t="shared" si="29"/>
        <v>605</v>
      </c>
      <c r="B620" s="151">
        <f t="shared" ca="1" si="27"/>
        <v>-15.75324510929444</v>
      </c>
      <c r="C620" s="158">
        <f t="shared" ca="1" si="28"/>
        <v>0</v>
      </c>
    </row>
    <row r="621" spans="1:3" x14ac:dyDescent="0.25">
      <c r="A621" s="155">
        <f t="shared" si="29"/>
        <v>606</v>
      </c>
      <c r="B621" s="151">
        <f t="shared" ca="1" si="27"/>
        <v>33.693052868643882</v>
      </c>
      <c r="C621" s="158">
        <f t="shared" ca="1" si="28"/>
        <v>1</v>
      </c>
    </row>
    <row r="622" spans="1:3" x14ac:dyDescent="0.25">
      <c r="A622" s="155">
        <f t="shared" si="29"/>
        <v>607</v>
      </c>
      <c r="B622" s="151">
        <f t="shared" ca="1" si="27"/>
        <v>109.87824647230266</v>
      </c>
      <c r="C622" s="158">
        <f t="shared" ca="1" si="28"/>
        <v>1</v>
      </c>
    </row>
    <row r="623" spans="1:3" x14ac:dyDescent="0.25">
      <c r="A623" s="155">
        <f t="shared" si="29"/>
        <v>608</v>
      </c>
      <c r="B623" s="151">
        <f t="shared" ca="1" si="27"/>
        <v>39.589921151666353</v>
      </c>
      <c r="C623" s="158">
        <f t="shared" ca="1" si="28"/>
        <v>1</v>
      </c>
    </row>
    <row r="624" spans="1:3" x14ac:dyDescent="0.25">
      <c r="A624" s="155">
        <f t="shared" si="29"/>
        <v>609</v>
      </c>
      <c r="B624" s="151">
        <f t="shared" ca="1" si="27"/>
        <v>69.538151722155504</v>
      </c>
      <c r="C624" s="158">
        <f t="shared" ca="1" si="28"/>
        <v>1</v>
      </c>
    </row>
    <row r="625" spans="1:3" x14ac:dyDescent="0.25">
      <c r="A625" s="155">
        <f t="shared" si="29"/>
        <v>610</v>
      </c>
      <c r="B625" s="151">
        <f t="shared" ca="1" si="27"/>
        <v>44.130757083470378</v>
      </c>
      <c r="C625" s="158">
        <f t="shared" ca="1" si="28"/>
        <v>1</v>
      </c>
    </row>
    <row r="626" spans="1:3" x14ac:dyDescent="0.25">
      <c r="A626" s="155">
        <f t="shared" si="29"/>
        <v>611</v>
      </c>
      <c r="B626" s="151">
        <f t="shared" ca="1" si="27"/>
        <v>33.785682331347623</v>
      </c>
      <c r="C626" s="158">
        <f t="shared" ca="1" si="28"/>
        <v>1</v>
      </c>
    </row>
    <row r="627" spans="1:3" x14ac:dyDescent="0.25">
      <c r="A627" s="155">
        <f t="shared" si="29"/>
        <v>612</v>
      </c>
      <c r="B627" s="151">
        <f t="shared" ca="1" si="27"/>
        <v>10.371056082134601</v>
      </c>
      <c r="C627" s="158">
        <f t="shared" ca="1" si="28"/>
        <v>0</v>
      </c>
    </row>
    <row r="628" spans="1:3" x14ac:dyDescent="0.25">
      <c r="A628" s="155">
        <f t="shared" si="29"/>
        <v>613</v>
      </c>
      <c r="B628" s="151">
        <f t="shared" ca="1" si="27"/>
        <v>160.32498224033867</v>
      </c>
      <c r="C628" s="158">
        <f t="shared" ca="1" si="28"/>
        <v>1</v>
      </c>
    </row>
    <row r="629" spans="1:3" x14ac:dyDescent="0.25">
      <c r="A629" s="155">
        <f t="shared" si="29"/>
        <v>614</v>
      </c>
      <c r="B629" s="151">
        <f t="shared" ca="1" si="27"/>
        <v>-53.524206215822275</v>
      </c>
      <c r="C629" s="158">
        <f t="shared" ca="1" si="28"/>
        <v>0</v>
      </c>
    </row>
    <row r="630" spans="1:3" x14ac:dyDescent="0.25">
      <c r="A630" s="155">
        <f t="shared" si="29"/>
        <v>615</v>
      </c>
      <c r="B630" s="151">
        <f t="shared" ca="1" si="27"/>
        <v>-3.9888995964281548</v>
      </c>
      <c r="C630" s="158">
        <f t="shared" ca="1" si="28"/>
        <v>0</v>
      </c>
    </row>
    <row r="631" spans="1:3" x14ac:dyDescent="0.25">
      <c r="A631" s="155">
        <f t="shared" si="29"/>
        <v>616</v>
      </c>
      <c r="B631" s="151">
        <f t="shared" ca="1" si="27"/>
        <v>59.026241061398323</v>
      </c>
      <c r="C631" s="158">
        <f t="shared" ca="1" si="28"/>
        <v>1</v>
      </c>
    </row>
    <row r="632" spans="1:3" x14ac:dyDescent="0.25">
      <c r="A632" s="155">
        <f t="shared" si="29"/>
        <v>617</v>
      </c>
      <c r="B632" s="151">
        <f t="shared" ca="1" si="27"/>
        <v>56.854613801047847</v>
      </c>
      <c r="C632" s="158">
        <f t="shared" ca="1" si="28"/>
        <v>1</v>
      </c>
    </row>
    <row r="633" spans="1:3" x14ac:dyDescent="0.25">
      <c r="A633" s="155">
        <f t="shared" si="29"/>
        <v>618</v>
      </c>
      <c r="B633" s="151">
        <f t="shared" ca="1" si="27"/>
        <v>29.44293861802392</v>
      </c>
      <c r="C633" s="158">
        <f t="shared" ca="1" si="28"/>
        <v>1</v>
      </c>
    </row>
    <row r="634" spans="1:3" x14ac:dyDescent="0.25">
      <c r="A634" s="155">
        <f t="shared" si="29"/>
        <v>619</v>
      </c>
      <c r="B634" s="151">
        <f t="shared" ca="1" si="27"/>
        <v>40.219394995182697</v>
      </c>
      <c r="C634" s="158">
        <f t="shared" ca="1" si="28"/>
        <v>1</v>
      </c>
    </row>
    <row r="635" spans="1:3" x14ac:dyDescent="0.25">
      <c r="A635" s="155">
        <f t="shared" si="29"/>
        <v>620</v>
      </c>
      <c r="B635" s="151">
        <f t="shared" ca="1" si="27"/>
        <v>30.604659222823312</v>
      </c>
      <c r="C635" s="158">
        <f t="shared" ca="1" si="28"/>
        <v>1</v>
      </c>
    </row>
    <row r="636" spans="1:3" x14ac:dyDescent="0.25">
      <c r="A636" s="155">
        <f t="shared" si="29"/>
        <v>621</v>
      </c>
      <c r="B636" s="151">
        <f t="shared" ca="1" si="27"/>
        <v>51.409227619928714</v>
      </c>
      <c r="C636" s="158">
        <f t="shared" ca="1" si="28"/>
        <v>1</v>
      </c>
    </row>
    <row r="637" spans="1:3" x14ac:dyDescent="0.25">
      <c r="A637" s="155">
        <f t="shared" si="29"/>
        <v>622</v>
      </c>
      <c r="B637" s="151">
        <f t="shared" ca="1" si="27"/>
        <v>42.638070119045558</v>
      </c>
      <c r="C637" s="158">
        <f t="shared" ca="1" si="28"/>
        <v>1</v>
      </c>
    </row>
    <row r="638" spans="1:3" x14ac:dyDescent="0.25">
      <c r="A638" s="155">
        <f t="shared" si="29"/>
        <v>623</v>
      </c>
      <c r="B638" s="151">
        <f t="shared" ca="1" si="27"/>
        <v>57.289444942919125</v>
      </c>
      <c r="C638" s="158">
        <f t="shared" ca="1" si="28"/>
        <v>1</v>
      </c>
    </row>
    <row r="639" spans="1:3" x14ac:dyDescent="0.25">
      <c r="A639" s="155">
        <f t="shared" si="29"/>
        <v>624</v>
      </c>
      <c r="B639" s="151">
        <f t="shared" ca="1" si="27"/>
        <v>100.32397015425816</v>
      </c>
      <c r="C639" s="158">
        <f t="shared" ca="1" si="28"/>
        <v>1</v>
      </c>
    </row>
    <row r="640" spans="1:3" x14ac:dyDescent="0.25">
      <c r="A640" s="155">
        <f t="shared" si="29"/>
        <v>625</v>
      </c>
      <c r="B640" s="151">
        <f t="shared" ca="1" si="27"/>
        <v>10.750635462295183</v>
      </c>
      <c r="C640" s="158">
        <f t="shared" ca="1" si="28"/>
        <v>0</v>
      </c>
    </row>
    <row r="641" spans="1:3" x14ac:dyDescent="0.25">
      <c r="A641" s="155">
        <f t="shared" si="29"/>
        <v>626</v>
      </c>
      <c r="B641" s="151">
        <f t="shared" ca="1" si="27"/>
        <v>63.309968329837659</v>
      </c>
      <c r="C641" s="158">
        <f t="shared" ca="1" si="28"/>
        <v>1</v>
      </c>
    </row>
    <row r="642" spans="1:3" x14ac:dyDescent="0.25">
      <c r="A642" s="155">
        <f t="shared" si="29"/>
        <v>627</v>
      </c>
      <c r="B642" s="151">
        <f t="shared" ca="1" si="27"/>
        <v>-39.271942144350604</v>
      </c>
      <c r="C642" s="158">
        <f t="shared" ca="1" si="28"/>
        <v>0</v>
      </c>
    </row>
    <row r="643" spans="1:3" x14ac:dyDescent="0.25">
      <c r="A643" s="155">
        <f t="shared" si="29"/>
        <v>628</v>
      </c>
      <c r="B643" s="151">
        <f t="shared" ca="1" si="27"/>
        <v>10.477826544772945</v>
      </c>
      <c r="C643" s="158">
        <f t="shared" ca="1" si="28"/>
        <v>0</v>
      </c>
    </row>
    <row r="644" spans="1:3" x14ac:dyDescent="0.25">
      <c r="A644" s="155">
        <f t="shared" si="29"/>
        <v>629</v>
      </c>
      <c r="B644" s="151">
        <f t="shared" ca="1" si="27"/>
        <v>20.270565062195118</v>
      </c>
      <c r="C644" s="158">
        <f t="shared" ca="1" si="28"/>
        <v>0</v>
      </c>
    </row>
    <row r="645" spans="1:3" x14ac:dyDescent="0.25">
      <c r="A645" s="155">
        <f t="shared" si="29"/>
        <v>630</v>
      </c>
      <c r="B645" s="151">
        <f t="shared" ca="1" si="27"/>
        <v>117.178151707327</v>
      </c>
      <c r="C645" s="158">
        <f t="shared" ca="1" si="28"/>
        <v>1</v>
      </c>
    </row>
    <row r="646" spans="1:3" x14ac:dyDescent="0.25">
      <c r="A646" s="155">
        <f t="shared" si="29"/>
        <v>631</v>
      </c>
      <c r="B646" s="151">
        <f t="shared" ca="1" si="27"/>
        <v>-51.28282524314794</v>
      </c>
      <c r="C646" s="158">
        <f t="shared" ca="1" si="28"/>
        <v>0</v>
      </c>
    </row>
    <row r="647" spans="1:3" x14ac:dyDescent="0.25">
      <c r="A647" s="155">
        <f t="shared" si="29"/>
        <v>632</v>
      </c>
      <c r="B647" s="151">
        <f t="shared" ca="1" si="27"/>
        <v>81.995228402418903</v>
      </c>
      <c r="C647" s="158">
        <f t="shared" ca="1" si="28"/>
        <v>1</v>
      </c>
    </row>
    <row r="648" spans="1:3" x14ac:dyDescent="0.25">
      <c r="A648" s="155">
        <f t="shared" si="29"/>
        <v>633</v>
      </c>
      <c r="B648" s="151">
        <f t="shared" ca="1" si="27"/>
        <v>122.82366526257967</v>
      </c>
      <c r="C648" s="158">
        <f t="shared" ca="1" si="28"/>
        <v>1</v>
      </c>
    </row>
    <row r="649" spans="1:3" x14ac:dyDescent="0.25">
      <c r="A649" s="155">
        <f t="shared" si="29"/>
        <v>634</v>
      </c>
      <c r="B649" s="151">
        <f t="shared" ca="1" si="27"/>
        <v>102.23577905250654</v>
      </c>
      <c r="C649" s="158">
        <f t="shared" ca="1" si="28"/>
        <v>1</v>
      </c>
    </row>
    <row r="650" spans="1:3" x14ac:dyDescent="0.25">
      <c r="A650" s="155">
        <f t="shared" si="29"/>
        <v>635</v>
      </c>
      <c r="B650" s="151">
        <f t="shared" ca="1" si="27"/>
        <v>71.680610559694969</v>
      </c>
      <c r="C650" s="158">
        <f t="shared" ca="1" si="28"/>
        <v>1</v>
      </c>
    </row>
    <row r="651" spans="1:3" x14ac:dyDescent="0.25">
      <c r="A651" s="155">
        <f t="shared" si="29"/>
        <v>636</v>
      </c>
      <c r="B651" s="151">
        <f t="shared" ca="1" si="27"/>
        <v>6.555324020745271</v>
      </c>
      <c r="C651" s="158">
        <f t="shared" ca="1" si="28"/>
        <v>0</v>
      </c>
    </row>
    <row r="652" spans="1:3" x14ac:dyDescent="0.25">
      <c r="A652" s="155">
        <f t="shared" si="29"/>
        <v>637</v>
      </c>
      <c r="B652" s="151">
        <f t="shared" ca="1" si="27"/>
        <v>90.172157645148673</v>
      </c>
      <c r="C652" s="158">
        <f t="shared" ca="1" si="28"/>
        <v>1</v>
      </c>
    </row>
    <row r="653" spans="1:3" x14ac:dyDescent="0.25">
      <c r="A653" s="155">
        <f t="shared" si="29"/>
        <v>638</v>
      </c>
      <c r="B653" s="151">
        <f t="shared" ca="1" si="27"/>
        <v>29.092533929283821</v>
      </c>
      <c r="C653" s="158">
        <f t="shared" ca="1" si="28"/>
        <v>1</v>
      </c>
    </row>
    <row r="654" spans="1:3" x14ac:dyDescent="0.25">
      <c r="A654" s="155">
        <f t="shared" si="29"/>
        <v>639</v>
      </c>
      <c r="B654" s="151">
        <f t="shared" ca="1" si="27"/>
        <v>53.549382170647021</v>
      </c>
      <c r="C654" s="158">
        <f t="shared" ca="1" si="28"/>
        <v>1</v>
      </c>
    </row>
    <row r="655" spans="1:3" x14ac:dyDescent="0.25">
      <c r="A655" s="155">
        <f t="shared" si="29"/>
        <v>640</v>
      </c>
      <c r="B655" s="151">
        <f t="shared" ca="1" si="27"/>
        <v>-20.276027747913318</v>
      </c>
      <c r="C655" s="158">
        <f t="shared" ca="1" si="28"/>
        <v>0</v>
      </c>
    </row>
    <row r="656" spans="1:3" x14ac:dyDescent="0.25">
      <c r="A656" s="155">
        <f t="shared" si="29"/>
        <v>641</v>
      </c>
      <c r="B656" s="151">
        <f t="shared" ca="1" si="27"/>
        <v>9.3666549570377384</v>
      </c>
      <c r="C656" s="158">
        <f t="shared" ca="1" si="28"/>
        <v>0</v>
      </c>
    </row>
    <row r="657" spans="1:3" x14ac:dyDescent="0.25">
      <c r="A657" s="155">
        <f t="shared" si="29"/>
        <v>642</v>
      </c>
      <c r="B657" s="151">
        <f t="shared" ref="B657:B720" ca="1" si="30">_xlfn.NORM.INV(RAND(), $B$9, $B$10)</f>
        <v>11.095245188296566</v>
      </c>
      <c r="C657" s="158">
        <f t="shared" ref="C657:C720" ca="1" si="31">IF(B657 &gt;= $B$11, 1, 0)</f>
        <v>0</v>
      </c>
    </row>
    <row r="658" spans="1:3" x14ac:dyDescent="0.25">
      <c r="A658" s="155">
        <f t="shared" ref="A658:A721" si="32">+A657+1</f>
        <v>643</v>
      </c>
      <c r="B658" s="151">
        <f t="shared" ca="1" si="30"/>
        <v>93.49879052646321</v>
      </c>
      <c r="C658" s="158">
        <f t="shared" ca="1" si="31"/>
        <v>1</v>
      </c>
    </row>
    <row r="659" spans="1:3" x14ac:dyDescent="0.25">
      <c r="A659" s="155">
        <f t="shared" si="32"/>
        <v>644</v>
      </c>
      <c r="B659" s="151">
        <f t="shared" ca="1" si="30"/>
        <v>58.56325006640462</v>
      </c>
      <c r="C659" s="158">
        <f t="shared" ca="1" si="31"/>
        <v>1</v>
      </c>
    </row>
    <row r="660" spans="1:3" x14ac:dyDescent="0.25">
      <c r="A660" s="155">
        <f t="shared" si="32"/>
        <v>645</v>
      </c>
      <c r="B660" s="151">
        <f t="shared" ca="1" si="30"/>
        <v>10.804607315185727</v>
      </c>
      <c r="C660" s="158">
        <f t="shared" ca="1" si="31"/>
        <v>0</v>
      </c>
    </row>
    <row r="661" spans="1:3" x14ac:dyDescent="0.25">
      <c r="A661" s="155">
        <f t="shared" si="32"/>
        <v>646</v>
      </c>
      <c r="B661" s="151">
        <f t="shared" ca="1" si="30"/>
        <v>72.715073971112361</v>
      </c>
      <c r="C661" s="158">
        <f t="shared" ca="1" si="31"/>
        <v>1</v>
      </c>
    </row>
    <row r="662" spans="1:3" x14ac:dyDescent="0.25">
      <c r="A662" s="155">
        <f t="shared" si="32"/>
        <v>647</v>
      </c>
      <c r="B662" s="151">
        <f t="shared" ca="1" si="30"/>
        <v>30.550204322407936</v>
      </c>
      <c r="C662" s="158">
        <f t="shared" ca="1" si="31"/>
        <v>1</v>
      </c>
    </row>
    <row r="663" spans="1:3" x14ac:dyDescent="0.25">
      <c r="A663" s="155">
        <f t="shared" si="32"/>
        <v>648</v>
      </c>
      <c r="B663" s="151">
        <f t="shared" ca="1" si="30"/>
        <v>85.025594247698592</v>
      </c>
      <c r="C663" s="158">
        <f t="shared" ca="1" si="31"/>
        <v>1</v>
      </c>
    </row>
    <row r="664" spans="1:3" x14ac:dyDescent="0.25">
      <c r="A664" s="155">
        <f t="shared" si="32"/>
        <v>649</v>
      </c>
      <c r="B664" s="151">
        <f t="shared" ca="1" si="30"/>
        <v>149.63577265529037</v>
      </c>
      <c r="C664" s="158">
        <f t="shared" ca="1" si="31"/>
        <v>1</v>
      </c>
    </row>
    <row r="665" spans="1:3" x14ac:dyDescent="0.25">
      <c r="A665" s="155">
        <f t="shared" si="32"/>
        <v>650</v>
      </c>
      <c r="B665" s="151">
        <f t="shared" ca="1" si="30"/>
        <v>84.326913611028459</v>
      </c>
      <c r="C665" s="158">
        <f t="shared" ca="1" si="31"/>
        <v>1</v>
      </c>
    </row>
    <row r="666" spans="1:3" x14ac:dyDescent="0.25">
      <c r="A666" s="155">
        <f t="shared" si="32"/>
        <v>651</v>
      </c>
      <c r="B666" s="151">
        <f t="shared" ca="1" si="30"/>
        <v>90.254536686866516</v>
      </c>
      <c r="C666" s="158">
        <f t="shared" ca="1" si="31"/>
        <v>1</v>
      </c>
    </row>
    <row r="667" spans="1:3" x14ac:dyDescent="0.25">
      <c r="A667" s="155">
        <f t="shared" si="32"/>
        <v>652</v>
      </c>
      <c r="B667" s="151">
        <f t="shared" ca="1" si="30"/>
        <v>-76.814560969090977</v>
      </c>
      <c r="C667" s="158">
        <f t="shared" ca="1" si="31"/>
        <v>0</v>
      </c>
    </row>
    <row r="668" spans="1:3" x14ac:dyDescent="0.25">
      <c r="A668" s="155">
        <f t="shared" si="32"/>
        <v>653</v>
      </c>
      <c r="B668" s="151">
        <f t="shared" ca="1" si="30"/>
        <v>-1.0880816139829719</v>
      </c>
      <c r="C668" s="158">
        <f t="shared" ca="1" si="31"/>
        <v>0</v>
      </c>
    </row>
    <row r="669" spans="1:3" x14ac:dyDescent="0.25">
      <c r="A669" s="155">
        <f t="shared" si="32"/>
        <v>654</v>
      </c>
      <c r="B669" s="151">
        <f t="shared" ca="1" si="30"/>
        <v>33.742406358010371</v>
      </c>
      <c r="C669" s="158">
        <f t="shared" ca="1" si="31"/>
        <v>1</v>
      </c>
    </row>
    <row r="670" spans="1:3" x14ac:dyDescent="0.25">
      <c r="A670" s="155">
        <f t="shared" si="32"/>
        <v>655</v>
      </c>
      <c r="B670" s="151">
        <f t="shared" ca="1" si="30"/>
        <v>53.498928270954238</v>
      </c>
      <c r="C670" s="158">
        <f t="shared" ca="1" si="31"/>
        <v>1</v>
      </c>
    </row>
    <row r="671" spans="1:3" x14ac:dyDescent="0.25">
      <c r="A671" s="155">
        <f t="shared" si="32"/>
        <v>656</v>
      </c>
      <c r="B671" s="151">
        <f t="shared" ca="1" si="30"/>
        <v>84.228139012462776</v>
      </c>
      <c r="C671" s="158">
        <f t="shared" ca="1" si="31"/>
        <v>1</v>
      </c>
    </row>
    <row r="672" spans="1:3" x14ac:dyDescent="0.25">
      <c r="A672" s="155">
        <f t="shared" si="32"/>
        <v>657</v>
      </c>
      <c r="B672" s="151">
        <f t="shared" ca="1" si="30"/>
        <v>33.789826423156413</v>
      </c>
      <c r="C672" s="158">
        <f t="shared" ca="1" si="31"/>
        <v>1</v>
      </c>
    </row>
    <row r="673" spans="1:3" x14ac:dyDescent="0.25">
      <c r="A673" s="155">
        <f t="shared" si="32"/>
        <v>658</v>
      </c>
      <c r="B673" s="151">
        <f t="shared" ca="1" si="30"/>
        <v>-10.153295562854119</v>
      </c>
      <c r="C673" s="158">
        <f t="shared" ca="1" si="31"/>
        <v>0</v>
      </c>
    </row>
    <row r="674" spans="1:3" x14ac:dyDescent="0.25">
      <c r="A674" s="155">
        <f t="shared" si="32"/>
        <v>659</v>
      </c>
      <c r="B674" s="151">
        <f t="shared" ca="1" si="30"/>
        <v>39.413497442394387</v>
      </c>
      <c r="C674" s="158">
        <f t="shared" ca="1" si="31"/>
        <v>1</v>
      </c>
    </row>
    <row r="675" spans="1:3" x14ac:dyDescent="0.25">
      <c r="A675" s="155">
        <f t="shared" si="32"/>
        <v>660</v>
      </c>
      <c r="B675" s="151">
        <f t="shared" ca="1" si="30"/>
        <v>35.665304085827884</v>
      </c>
      <c r="C675" s="158">
        <f t="shared" ca="1" si="31"/>
        <v>1</v>
      </c>
    </row>
    <row r="676" spans="1:3" x14ac:dyDescent="0.25">
      <c r="A676" s="155">
        <f t="shared" si="32"/>
        <v>661</v>
      </c>
      <c r="B676" s="151">
        <f t="shared" ca="1" si="30"/>
        <v>17.277747903119387</v>
      </c>
      <c r="C676" s="158">
        <f t="shared" ca="1" si="31"/>
        <v>0</v>
      </c>
    </row>
    <row r="677" spans="1:3" x14ac:dyDescent="0.25">
      <c r="A677" s="155">
        <f t="shared" si="32"/>
        <v>662</v>
      </c>
      <c r="B677" s="151">
        <f t="shared" ca="1" si="30"/>
        <v>-0.29720001368839633</v>
      </c>
      <c r="C677" s="158">
        <f t="shared" ca="1" si="31"/>
        <v>0</v>
      </c>
    </row>
    <row r="678" spans="1:3" x14ac:dyDescent="0.25">
      <c r="A678" s="155">
        <f t="shared" si="32"/>
        <v>663</v>
      </c>
      <c r="B678" s="151">
        <f t="shared" ca="1" si="30"/>
        <v>-3.4690666295782648</v>
      </c>
      <c r="C678" s="158">
        <f t="shared" ca="1" si="31"/>
        <v>0</v>
      </c>
    </row>
    <row r="679" spans="1:3" x14ac:dyDescent="0.25">
      <c r="A679" s="155">
        <f t="shared" si="32"/>
        <v>664</v>
      </c>
      <c r="B679" s="151">
        <f t="shared" ca="1" si="30"/>
        <v>72.72477396776759</v>
      </c>
      <c r="C679" s="158">
        <f t="shared" ca="1" si="31"/>
        <v>1</v>
      </c>
    </row>
    <row r="680" spans="1:3" x14ac:dyDescent="0.25">
      <c r="A680" s="155">
        <f t="shared" si="32"/>
        <v>665</v>
      </c>
      <c r="B680" s="151">
        <f t="shared" ca="1" si="30"/>
        <v>23.52414532579364</v>
      </c>
      <c r="C680" s="158">
        <f t="shared" ca="1" si="31"/>
        <v>0</v>
      </c>
    </row>
    <row r="681" spans="1:3" x14ac:dyDescent="0.25">
      <c r="A681" s="155">
        <f t="shared" si="32"/>
        <v>666</v>
      </c>
      <c r="B681" s="151">
        <f t="shared" ca="1" si="30"/>
        <v>53.762434649609013</v>
      </c>
      <c r="C681" s="158">
        <f t="shared" ca="1" si="31"/>
        <v>1</v>
      </c>
    </row>
    <row r="682" spans="1:3" x14ac:dyDescent="0.25">
      <c r="A682" s="155">
        <f t="shared" si="32"/>
        <v>667</v>
      </c>
      <c r="B682" s="151">
        <f t="shared" ca="1" si="30"/>
        <v>52.292870086212226</v>
      </c>
      <c r="C682" s="158">
        <f t="shared" ca="1" si="31"/>
        <v>1</v>
      </c>
    </row>
    <row r="683" spans="1:3" x14ac:dyDescent="0.25">
      <c r="A683" s="155">
        <f t="shared" si="32"/>
        <v>668</v>
      </c>
      <c r="B683" s="151">
        <f t="shared" ca="1" si="30"/>
        <v>119.984843434732</v>
      </c>
      <c r="C683" s="158">
        <f t="shared" ca="1" si="31"/>
        <v>1</v>
      </c>
    </row>
    <row r="684" spans="1:3" x14ac:dyDescent="0.25">
      <c r="A684" s="155">
        <f t="shared" si="32"/>
        <v>669</v>
      </c>
      <c r="B684" s="151">
        <f t="shared" ca="1" si="30"/>
        <v>-41.981705225962997</v>
      </c>
      <c r="C684" s="158">
        <f t="shared" ca="1" si="31"/>
        <v>0</v>
      </c>
    </row>
    <row r="685" spans="1:3" x14ac:dyDescent="0.25">
      <c r="A685" s="155">
        <f t="shared" si="32"/>
        <v>670</v>
      </c>
      <c r="B685" s="151">
        <f t="shared" ca="1" si="30"/>
        <v>-1.9785841890566545</v>
      </c>
      <c r="C685" s="158">
        <f t="shared" ca="1" si="31"/>
        <v>0</v>
      </c>
    </row>
    <row r="686" spans="1:3" x14ac:dyDescent="0.25">
      <c r="A686" s="155">
        <f t="shared" si="32"/>
        <v>671</v>
      </c>
      <c r="B686" s="151">
        <f t="shared" ca="1" si="30"/>
        <v>-43.326618533180351</v>
      </c>
      <c r="C686" s="158">
        <f t="shared" ca="1" si="31"/>
        <v>0</v>
      </c>
    </row>
    <row r="687" spans="1:3" x14ac:dyDescent="0.25">
      <c r="A687" s="155">
        <f t="shared" si="32"/>
        <v>672</v>
      </c>
      <c r="B687" s="151">
        <f t="shared" ca="1" si="30"/>
        <v>9.3912979531246314</v>
      </c>
      <c r="C687" s="158">
        <f t="shared" ca="1" si="31"/>
        <v>0</v>
      </c>
    </row>
    <row r="688" spans="1:3" x14ac:dyDescent="0.25">
      <c r="A688" s="155">
        <f t="shared" si="32"/>
        <v>673</v>
      </c>
      <c r="B688" s="151">
        <f t="shared" ca="1" si="30"/>
        <v>136.51170261394321</v>
      </c>
      <c r="C688" s="158">
        <f t="shared" ca="1" si="31"/>
        <v>1</v>
      </c>
    </row>
    <row r="689" spans="1:3" x14ac:dyDescent="0.25">
      <c r="A689" s="155">
        <f t="shared" si="32"/>
        <v>674</v>
      </c>
      <c r="B689" s="151">
        <f t="shared" ca="1" si="30"/>
        <v>-55.214363278137455</v>
      </c>
      <c r="C689" s="158">
        <f t="shared" ca="1" si="31"/>
        <v>0</v>
      </c>
    </row>
    <row r="690" spans="1:3" x14ac:dyDescent="0.25">
      <c r="A690" s="155">
        <f t="shared" si="32"/>
        <v>675</v>
      </c>
      <c r="B690" s="151">
        <f t="shared" ca="1" si="30"/>
        <v>51.895006894644524</v>
      </c>
      <c r="C690" s="158">
        <f t="shared" ca="1" si="31"/>
        <v>1</v>
      </c>
    </row>
    <row r="691" spans="1:3" x14ac:dyDescent="0.25">
      <c r="A691" s="155">
        <f t="shared" si="32"/>
        <v>676</v>
      </c>
      <c r="B691" s="151">
        <f t="shared" ca="1" si="30"/>
        <v>37.293021082035324</v>
      </c>
      <c r="C691" s="158">
        <f t="shared" ca="1" si="31"/>
        <v>1</v>
      </c>
    </row>
    <row r="692" spans="1:3" x14ac:dyDescent="0.25">
      <c r="A692" s="155">
        <f t="shared" si="32"/>
        <v>677</v>
      </c>
      <c r="B692" s="151">
        <f t="shared" ca="1" si="30"/>
        <v>4.9894599536763522</v>
      </c>
      <c r="C692" s="158">
        <f t="shared" ca="1" si="31"/>
        <v>0</v>
      </c>
    </row>
    <row r="693" spans="1:3" x14ac:dyDescent="0.25">
      <c r="A693" s="155">
        <f t="shared" si="32"/>
        <v>678</v>
      </c>
      <c r="B693" s="151">
        <f t="shared" ca="1" si="30"/>
        <v>13.92514698206449</v>
      </c>
      <c r="C693" s="158">
        <f t="shared" ca="1" si="31"/>
        <v>0</v>
      </c>
    </row>
    <row r="694" spans="1:3" x14ac:dyDescent="0.25">
      <c r="A694" s="155">
        <f t="shared" si="32"/>
        <v>679</v>
      </c>
      <c r="B694" s="151">
        <f t="shared" ca="1" si="30"/>
        <v>9.7948938295899026</v>
      </c>
      <c r="C694" s="158">
        <f t="shared" ca="1" si="31"/>
        <v>0</v>
      </c>
    </row>
    <row r="695" spans="1:3" x14ac:dyDescent="0.25">
      <c r="A695" s="155">
        <f t="shared" si="32"/>
        <v>680</v>
      </c>
      <c r="B695" s="151">
        <f t="shared" ca="1" si="30"/>
        <v>-16.057116822904156</v>
      </c>
      <c r="C695" s="158">
        <f t="shared" ca="1" si="31"/>
        <v>0</v>
      </c>
    </row>
    <row r="696" spans="1:3" x14ac:dyDescent="0.25">
      <c r="A696" s="155">
        <f t="shared" si="32"/>
        <v>681</v>
      </c>
      <c r="B696" s="151">
        <f t="shared" ca="1" si="30"/>
        <v>48.507772400459302</v>
      </c>
      <c r="C696" s="158">
        <f t="shared" ca="1" si="31"/>
        <v>1</v>
      </c>
    </row>
    <row r="697" spans="1:3" x14ac:dyDescent="0.25">
      <c r="A697" s="155">
        <f t="shared" si="32"/>
        <v>682</v>
      </c>
      <c r="B697" s="151">
        <f t="shared" ca="1" si="30"/>
        <v>-6.7100731584761917</v>
      </c>
      <c r="C697" s="158">
        <f t="shared" ca="1" si="31"/>
        <v>0</v>
      </c>
    </row>
    <row r="698" spans="1:3" x14ac:dyDescent="0.25">
      <c r="A698" s="155">
        <f t="shared" si="32"/>
        <v>683</v>
      </c>
      <c r="B698" s="151">
        <f t="shared" ca="1" si="30"/>
        <v>89.334557217513421</v>
      </c>
      <c r="C698" s="158">
        <f t="shared" ca="1" si="31"/>
        <v>1</v>
      </c>
    </row>
    <row r="699" spans="1:3" x14ac:dyDescent="0.25">
      <c r="A699" s="155">
        <f t="shared" si="32"/>
        <v>684</v>
      </c>
      <c r="B699" s="151">
        <f t="shared" ca="1" si="30"/>
        <v>17.557040864824728</v>
      </c>
      <c r="C699" s="158">
        <f t="shared" ca="1" si="31"/>
        <v>0</v>
      </c>
    </row>
    <row r="700" spans="1:3" x14ac:dyDescent="0.25">
      <c r="A700" s="155">
        <f t="shared" si="32"/>
        <v>685</v>
      </c>
      <c r="B700" s="151">
        <f t="shared" ca="1" si="30"/>
        <v>-60.526721625507022</v>
      </c>
      <c r="C700" s="158">
        <f t="shared" ca="1" si="31"/>
        <v>0</v>
      </c>
    </row>
    <row r="701" spans="1:3" x14ac:dyDescent="0.25">
      <c r="A701" s="155">
        <f t="shared" si="32"/>
        <v>686</v>
      </c>
      <c r="B701" s="151">
        <f t="shared" ca="1" si="30"/>
        <v>-7.1114547538750088</v>
      </c>
      <c r="C701" s="158">
        <f t="shared" ca="1" si="31"/>
        <v>0</v>
      </c>
    </row>
    <row r="702" spans="1:3" x14ac:dyDescent="0.25">
      <c r="A702" s="155">
        <f t="shared" si="32"/>
        <v>687</v>
      </c>
      <c r="B702" s="151">
        <f t="shared" ca="1" si="30"/>
        <v>158.35674293315535</v>
      </c>
      <c r="C702" s="158">
        <f t="shared" ca="1" si="31"/>
        <v>1</v>
      </c>
    </row>
    <row r="703" spans="1:3" x14ac:dyDescent="0.25">
      <c r="A703" s="155">
        <f t="shared" si="32"/>
        <v>688</v>
      </c>
      <c r="B703" s="151">
        <f t="shared" ca="1" si="30"/>
        <v>33.80182369895482</v>
      </c>
      <c r="C703" s="158">
        <f t="shared" ca="1" si="31"/>
        <v>1</v>
      </c>
    </row>
    <row r="704" spans="1:3" x14ac:dyDescent="0.25">
      <c r="A704" s="155">
        <f t="shared" si="32"/>
        <v>689</v>
      </c>
      <c r="B704" s="151">
        <f t="shared" ca="1" si="30"/>
        <v>51.121344236492263</v>
      </c>
      <c r="C704" s="158">
        <f t="shared" ca="1" si="31"/>
        <v>1</v>
      </c>
    </row>
    <row r="705" spans="1:3" x14ac:dyDescent="0.25">
      <c r="A705" s="155">
        <f t="shared" si="32"/>
        <v>690</v>
      </c>
      <c r="B705" s="151">
        <f t="shared" ca="1" si="30"/>
        <v>76.14525939846645</v>
      </c>
      <c r="C705" s="158">
        <f t="shared" ca="1" si="31"/>
        <v>1</v>
      </c>
    </row>
    <row r="706" spans="1:3" x14ac:dyDescent="0.25">
      <c r="A706" s="155">
        <f t="shared" si="32"/>
        <v>691</v>
      </c>
      <c r="B706" s="151">
        <f t="shared" ca="1" si="30"/>
        <v>-67.466751036402187</v>
      </c>
      <c r="C706" s="158">
        <f t="shared" ca="1" si="31"/>
        <v>0</v>
      </c>
    </row>
    <row r="707" spans="1:3" x14ac:dyDescent="0.25">
      <c r="A707" s="155">
        <f t="shared" si="32"/>
        <v>692</v>
      </c>
      <c r="B707" s="151">
        <f t="shared" ca="1" si="30"/>
        <v>49.441826864714074</v>
      </c>
      <c r="C707" s="158">
        <f t="shared" ca="1" si="31"/>
        <v>1</v>
      </c>
    </row>
    <row r="708" spans="1:3" x14ac:dyDescent="0.25">
      <c r="A708" s="155">
        <f t="shared" si="32"/>
        <v>693</v>
      </c>
      <c r="B708" s="151">
        <f t="shared" ca="1" si="30"/>
        <v>63.244789780405355</v>
      </c>
      <c r="C708" s="158">
        <f t="shared" ca="1" si="31"/>
        <v>1</v>
      </c>
    </row>
    <row r="709" spans="1:3" x14ac:dyDescent="0.25">
      <c r="A709" s="155">
        <f t="shared" si="32"/>
        <v>694</v>
      </c>
      <c r="B709" s="151">
        <f t="shared" ca="1" si="30"/>
        <v>62.953365397174522</v>
      </c>
      <c r="C709" s="158">
        <f t="shared" ca="1" si="31"/>
        <v>1</v>
      </c>
    </row>
    <row r="710" spans="1:3" x14ac:dyDescent="0.25">
      <c r="A710" s="155">
        <f t="shared" si="32"/>
        <v>695</v>
      </c>
      <c r="B710" s="151">
        <f t="shared" ca="1" si="30"/>
        <v>38.438514680783918</v>
      </c>
      <c r="C710" s="158">
        <f t="shared" ca="1" si="31"/>
        <v>1</v>
      </c>
    </row>
    <row r="711" spans="1:3" x14ac:dyDescent="0.25">
      <c r="A711" s="155">
        <f t="shared" si="32"/>
        <v>696</v>
      </c>
      <c r="B711" s="151">
        <f t="shared" ca="1" si="30"/>
        <v>71.544953745020365</v>
      </c>
      <c r="C711" s="158">
        <f t="shared" ca="1" si="31"/>
        <v>1</v>
      </c>
    </row>
    <row r="712" spans="1:3" x14ac:dyDescent="0.25">
      <c r="A712" s="155">
        <f t="shared" si="32"/>
        <v>697</v>
      </c>
      <c r="B712" s="151">
        <f t="shared" ca="1" si="30"/>
        <v>87.577285568363294</v>
      </c>
      <c r="C712" s="158">
        <f t="shared" ca="1" si="31"/>
        <v>1</v>
      </c>
    </row>
    <row r="713" spans="1:3" x14ac:dyDescent="0.25">
      <c r="A713" s="155">
        <f t="shared" si="32"/>
        <v>698</v>
      </c>
      <c r="B713" s="151">
        <f t="shared" ca="1" si="30"/>
        <v>31.369664433129554</v>
      </c>
      <c r="C713" s="158">
        <f t="shared" ca="1" si="31"/>
        <v>1</v>
      </c>
    </row>
    <row r="714" spans="1:3" x14ac:dyDescent="0.25">
      <c r="A714" s="155">
        <f t="shared" si="32"/>
        <v>699</v>
      </c>
      <c r="B714" s="151">
        <f t="shared" ca="1" si="30"/>
        <v>64.241748802108177</v>
      </c>
      <c r="C714" s="158">
        <f t="shared" ca="1" si="31"/>
        <v>1</v>
      </c>
    </row>
    <row r="715" spans="1:3" x14ac:dyDescent="0.25">
      <c r="A715" s="155">
        <f t="shared" si="32"/>
        <v>700</v>
      </c>
      <c r="B715" s="151">
        <f t="shared" ca="1" si="30"/>
        <v>68.416003852607929</v>
      </c>
      <c r="C715" s="158">
        <f t="shared" ca="1" si="31"/>
        <v>1</v>
      </c>
    </row>
    <row r="716" spans="1:3" x14ac:dyDescent="0.25">
      <c r="A716" s="155">
        <f t="shared" si="32"/>
        <v>701</v>
      </c>
      <c r="B716" s="151">
        <f t="shared" ca="1" si="30"/>
        <v>54.439649302022382</v>
      </c>
      <c r="C716" s="158">
        <f t="shared" ca="1" si="31"/>
        <v>1</v>
      </c>
    </row>
    <row r="717" spans="1:3" x14ac:dyDescent="0.25">
      <c r="A717" s="155">
        <f t="shared" si="32"/>
        <v>702</v>
      </c>
      <c r="B717" s="151">
        <f t="shared" ca="1" si="30"/>
        <v>45.690471610031601</v>
      </c>
      <c r="C717" s="158">
        <f t="shared" ca="1" si="31"/>
        <v>1</v>
      </c>
    </row>
    <row r="718" spans="1:3" x14ac:dyDescent="0.25">
      <c r="A718" s="155">
        <f t="shared" si="32"/>
        <v>703</v>
      </c>
      <c r="B718" s="151">
        <f t="shared" ca="1" si="30"/>
        <v>72.74146464105101</v>
      </c>
      <c r="C718" s="158">
        <f t="shared" ca="1" si="31"/>
        <v>1</v>
      </c>
    </row>
    <row r="719" spans="1:3" x14ac:dyDescent="0.25">
      <c r="A719" s="155">
        <f t="shared" si="32"/>
        <v>704</v>
      </c>
      <c r="B719" s="151">
        <f t="shared" ca="1" si="30"/>
        <v>60.025161822296617</v>
      </c>
      <c r="C719" s="158">
        <f t="shared" ca="1" si="31"/>
        <v>1</v>
      </c>
    </row>
    <row r="720" spans="1:3" x14ac:dyDescent="0.25">
      <c r="A720" s="155">
        <f t="shared" si="32"/>
        <v>705</v>
      </c>
      <c r="B720" s="151">
        <f t="shared" ca="1" si="30"/>
        <v>7.2779611879650901</v>
      </c>
      <c r="C720" s="158">
        <f t="shared" ca="1" si="31"/>
        <v>0</v>
      </c>
    </row>
    <row r="721" spans="1:3" x14ac:dyDescent="0.25">
      <c r="A721" s="155">
        <f t="shared" si="32"/>
        <v>706</v>
      </c>
      <c r="B721" s="151">
        <f t="shared" ref="B721:B784" ca="1" si="33">_xlfn.NORM.INV(RAND(), $B$9, $B$10)</f>
        <v>-18.03444871806802</v>
      </c>
      <c r="C721" s="158">
        <f t="shared" ref="C721:C784" ca="1" si="34">IF(B721 &gt;= $B$11, 1, 0)</f>
        <v>0</v>
      </c>
    </row>
    <row r="722" spans="1:3" x14ac:dyDescent="0.25">
      <c r="A722" s="155">
        <f t="shared" ref="A722:A785" si="35">+A721+1</f>
        <v>707</v>
      </c>
      <c r="B722" s="151">
        <f t="shared" ca="1" si="33"/>
        <v>74.994350651793638</v>
      </c>
      <c r="C722" s="158">
        <f t="shared" ca="1" si="34"/>
        <v>1</v>
      </c>
    </row>
    <row r="723" spans="1:3" x14ac:dyDescent="0.25">
      <c r="A723" s="155">
        <f t="shared" si="35"/>
        <v>708</v>
      </c>
      <c r="B723" s="151">
        <f t="shared" ca="1" si="33"/>
        <v>114.80065669137227</v>
      </c>
      <c r="C723" s="158">
        <f t="shared" ca="1" si="34"/>
        <v>1</v>
      </c>
    </row>
    <row r="724" spans="1:3" x14ac:dyDescent="0.25">
      <c r="A724" s="155">
        <f t="shared" si="35"/>
        <v>709</v>
      </c>
      <c r="B724" s="151">
        <f t="shared" ca="1" si="33"/>
        <v>-78.666328054979743</v>
      </c>
      <c r="C724" s="158">
        <f t="shared" ca="1" si="34"/>
        <v>0</v>
      </c>
    </row>
    <row r="725" spans="1:3" x14ac:dyDescent="0.25">
      <c r="A725" s="155">
        <f t="shared" si="35"/>
        <v>710</v>
      </c>
      <c r="B725" s="151">
        <f t="shared" ca="1" si="33"/>
        <v>-9.1402057825227701</v>
      </c>
      <c r="C725" s="158">
        <f t="shared" ca="1" si="34"/>
        <v>0</v>
      </c>
    </row>
    <row r="726" spans="1:3" x14ac:dyDescent="0.25">
      <c r="A726" s="155">
        <f t="shared" si="35"/>
        <v>711</v>
      </c>
      <c r="B726" s="151">
        <f t="shared" ca="1" si="33"/>
        <v>41.201074566796073</v>
      </c>
      <c r="C726" s="158">
        <f t="shared" ca="1" si="34"/>
        <v>1</v>
      </c>
    </row>
    <row r="727" spans="1:3" x14ac:dyDescent="0.25">
      <c r="A727" s="155">
        <f t="shared" si="35"/>
        <v>712</v>
      </c>
      <c r="B727" s="151">
        <f t="shared" ca="1" si="33"/>
        <v>84.747816491609328</v>
      </c>
      <c r="C727" s="158">
        <f t="shared" ca="1" si="34"/>
        <v>1</v>
      </c>
    </row>
    <row r="728" spans="1:3" x14ac:dyDescent="0.25">
      <c r="A728" s="155">
        <f t="shared" si="35"/>
        <v>713</v>
      </c>
      <c r="B728" s="151">
        <f t="shared" ca="1" si="33"/>
        <v>-46.889522681987899</v>
      </c>
      <c r="C728" s="158">
        <f t="shared" ca="1" si="34"/>
        <v>0</v>
      </c>
    </row>
    <row r="729" spans="1:3" x14ac:dyDescent="0.25">
      <c r="A729" s="155">
        <f t="shared" si="35"/>
        <v>714</v>
      </c>
      <c r="B729" s="151">
        <f t="shared" ca="1" si="33"/>
        <v>-50.761439518106783</v>
      </c>
      <c r="C729" s="158">
        <f t="shared" ca="1" si="34"/>
        <v>0</v>
      </c>
    </row>
    <row r="730" spans="1:3" x14ac:dyDescent="0.25">
      <c r="A730" s="155">
        <f t="shared" si="35"/>
        <v>715</v>
      </c>
      <c r="B730" s="151">
        <f t="shared" ca="1" si="33"/>
        <v>74.983161785106674</v>
      </c>
      <c r="C730" s="158">
        <f t="shared" ca="1" si="34"/>
        <v>1</v>
      </c>
    </row>
    <row r="731" spans="1:3" x14ac:dyDescent="0.25">
      <c r="A731" s="155">
        <f t="shared" si="35"/>
        <v>716</v>
      </c>
      <c r="B731" s="151">
        <f t="shared" ca="1" si="33"/>
        <v>33.583509058653341</v>
      </c>
      <c r="C731" s="158">
        <f t="shared" ca="1" si="34"/>
        <v>1</v>
      </c>
    </row>
    <row r="732" spans="1:3" x14ac:dyDescent="0.25">
      <c r="A732" s="155">
        <f t="shared" si="35"/>
        <v>717</v>
      </c>
      <c r="B732" s="151">
        <f t="shared" ca="1" si="33"/>
        <v>35.121533792441902</v>
      </c>
      <c r="C732" s="158">
        <f t="shared" ca="1" si="34"/>
        <v>1</v>
      </c>
    </row>
    <row r="733" spans="1:3" x14ac:dyDescent="0.25">
      <c r="A733" s="155">
        <f t="shared" si="35"/>
        <v>718</v>
      </c>
      <c r="B733" s="151">
        <f t="shared" ca="1" si="33"/>
        <v>-10.429158308975239</v>
      </c>
      <c r="C733" s="158">
        <f t="shared" ca="1" si="34"/>
        <v>0</v>
      </c>
    </row>
    <row r="734" spans="1:3" x14ac:dyDescent="0.25">
      <c r="A734" s="155">
        <f t="shared" si="35"/>
        <v>719</v>
      </c>
      <c r="B734" s="151">
        <f t="shared" ca="1" si="33"/>
        <v>120.10976521697836</v>
      </c>
      <c r="C734" s="158">
        <f t="shared" ca="1" si="34"/>
        <v>1</v>
      </c>
    </row>
    <row r="735" spans="1:3" x14ac:dyDescent="0.25">
      <c r="A735" s="155">
        <f t="shared" si="35"/>
        <v>720</v>
      </c>
      <c r="B735" s="151">
        <f t="shared" ca="1" si="33"/>
        <v>76.625291801027004</v>
      </c>
      <c r="C735" s="158">
        <f t="shared" ca="1" si="34"/>
        <v>1</v>
      </c>
    </row>
    <row r="736" spans="1:3" x14ac:dyDescent="0.25">
      <c r="A736" s="155">
        <f t="shared" si="35"/>
        <v>721</v>
      </c>
      <c r="B736" s="151">
        <f t="shared" ca="1" si="33"/>
        <v>66.259083720823469</v>
      </c>
      <c r="C736" s="158">
        <f t="shared" ca="1" si="34"/>
        <v>1</v>
      </c>
    </row>
    <row r="737" spans="1:3" x14ac:dyDescent="0.25">
      <c r="A737" s="155">
        <f t="shared" si="35"/>
        <v>722</v>
      </c>
      <c r="B737" s="151">
        <f t="shared" ca="1" si="33"/>
        <v>15.587144607898438</v>
      </c>
      <c r="C737" s="158">
        <f t="shared" ca="1" si="34"/>
        <v>0</v>
      </c>
    </row>
    <row r="738" spans="1:3" x14ac:dyDescent="0.25">
      <c r="A738" s="155">
        <f t="shared" si="35"/>
        <v>723</v>
      </c>
      <c r="B738" s="151">
        <f t="shared" ca="1" si="33"/>
        <v>-0.89600258392817977</v>
      </c>
      <c r="C738" s="158">
        <f t="shared" ca="1" si="34"/>
        <v>0</v>
      </c>
    </row>
    <row r="739" spans="1:3" x14ac:dyDescent="0.25">
      <c r="A739" s="155">
        <f t="shared" si="35"/>
        <v>724</v>
      </c>
      <c r="B739" s="151">
        <f t="shared" ca="1" si="33"/>
        <v>17.885233020483327</v>
      </c>
      <c r="C739" s="158">
        <f t="shared" ca="1" si="34"/>
        <v>0</v>
      </c>
    </row>
    <row r="740" spans="1:3" x14ac:dyDescent="0.25">
      <c r="A740" s="155">
        <f t="shared" si="35"/>
        <v>725</v>
      </c>
      <c r="B740" s="151">
        <f t="shared" ca="1" si="33"/>
        <v>42.585574619945561</v>
      </c>
      <c r="C740" s="158">
        <f t="shared" ca="1" si="34"/>
        <v>1</v>
      </c>
    </row>
    <row r="741" spans="1:3" x14ac:dyDescent="0.25">
      <c r="A741" s="155">
        <f t="shared" si="35"/>
        <v>726</v>
      </c>
      <c r="B741" s="151">
        <f t="shared" ca="1" si="33"/>
        <v>5.4665486230838702</v>
      </c>
      <c r="C741" s="158">
        <f t="shared" ca="1" si="34"/>
        <v>0</v>
      </c>
    </row>
    <row r="742" spans="1:3" x14ac:dyDescent="0.25">
      <c r="A742" s="155">
        <f t="shared" si="35"/>
        <v>727</v>
      </c>
      <c r="B742" s="151">
        <f t="shared" ca="1" si="33"/>
        <v>40.931027056227514</v>
      </c>
      <c r="C742" s="158">
        <f t="shared" ca="1" si="34"/>
        <v>1</v>
      </c>
    </row>
    <row r="743" spans="1:3" x14ac:dyDescent="0.25">
      <c r="A743" s="155">
        <f t="shared" si="35"/>
        <v>728</v>
      </c>
      <c r="B743" s="151">
        <f t="shared" ca="1" si="33"/>
        <v>14.926197202445554</v>
      </c>
      <c r="C743" s="158">
        <f t="shared" ca="1" si="34"/>
        <v>0</v>
      </c>
    </row>
    <row r="744" spans="1:3" x14ac:dyDescent="0.25">
      <c r="A744" s="155">
        <f t="shared" si="35"/>
        <v>729</v>
      </c>
      <c r="B744" s="151">
        <f t="shared" ca="1" si="33"/>
        <v>69.10294505199866</v>
      </c>
      <c r="C744" s="158">
        <f t="shared" ca="1" si="34"/>
        <v>1</v>
      </c>
    </row>
    <row r="745" spans="1:3" x14ac:dyDescent="0.25">
      <c r="A745" s="155">
        <f t="shared" si="35"/>
        <v>730</v>
      </c>
      <c r="B745" s="151">
        <f t="shared" ca="1" si="33"/>
        <v>7.2591798891239492</v>
      </c>
      <c r="C745" s="158">
        <f t="shared" ca="1" si="34"/>
        <v>0</v>
      </c>
    </row>
    <row r="746" spans="1:3" x14ac:dyDescent="0.25">
      <c r="A746" s="155">
        <f t="shared" si="35"/>
        <v>731</v>
      </c>
      <c r="B746" s="151">
        <f t="shared" ca="1" si="33"/>
        <v>20.005269594988683</v>
      </c>
      <c r="C746" s="158">
        <f t="shared" ca="1" si="34"/>
        <v>0</v>
      </c>
    </row>
    <row r="747" spans="1:3" x14ac:dyDescent="0.25">
      <c r="A747" s="155">
        <f t="shared" si="35"/>
        <v>732</v>
      </c>
      <c r="B747" s="151">
        <f t="shared" ca="1" si="33"/>
        <v>-19.102317546416621</v>
      </c>
      <c r="C747" s="158">
        <f t="shared" ca="1" si="34"/>
        <v>0</v>
      </c>
    </row>
    <row r="748" spans="1:3" x14ac:dyDescent="0.25">
      <c r="A748" s="155">
        <f t="shared" si="35"/>
        <v>733</v>
      </c>
      <c r="B748" s="151">
        <f t="shared" ca="1" si="33"/>
        <v>61.021331626432101</v>
      </c>
      <c r="C748" s="158">
        <f t="shared" ca="1" si="34"/>
        <v>1</v>
      </c>
    </row>
    <row r="749" spans="1:3" x14ac:dyDescent="0.25">
      <c r="A749" s="155">
        <f t="shared" si="35"/>
        <v>734</v>
      </c>
      <c r="B749" s="151">
        <f t="shared" ca="1" si="33"/>
        <v>34.357228571939977</v>
      </c>
      <c r="C749" s="158">
        <f t="shared" ca="1" si="34"/>
        <v>1</v>
      </c>
    </row>
    <row r="750" spans="1:3" x14ac:dyDescent="0.25">
      <c r="A750" s="155">
        <f t="shared" si="35"/>
        <v>735</v>
      </c>
      <c r="B750" s="151">
        <f t="shared" ca="1" si="33"/>
        <v>101.58523847669426</v>
      </c>
      <c r="C750" s="158">
        <f t="shared" ca="1" si="34"/>
        <v>1</v>
      </c>
    </row>
    <row r="751" spans="1:3" x14ac:dyDescent="0.25">
      <c r="A751" s="155">
        <f t="shared" si="35"/>
        <v>736</v>
      </c>
      <c r="B751" s="151">
        <f t="shared" ca="1" si="33"/>
        <v>72.115318036186537</v>
      </c>
      <c r="C751" s="158">
        <f t="shared" ca="1" si="34"/>
        <v>1</v>
      </c>
    </row>
    <row r="752" spans="1:3" x14ac:dyDescent="0.25">
      <c r="A752" s="155">
        <f t="shared" si="35"/>
        <v>737</v>
      </c>
      <c r="B752" s="151">
        <f t="shared" ca="1" si="33"/>
        <v>84.225510600751704</v>
      </c>
      <c r="C752" s="158">
        <f t="shared" ca="1" si="34"/>
        <v>1</v>
      </c>
    </row>
    <row r="753" spans="1:3" x14ac:dyDescent="0.25">
      <c r="A753" s="155">
        <f t="shared" si="35"/>
        <v>738</v>
      </c>
      <c r="B753" s="151">
        <f t="shared" ca="1" si="33"/>
        <v>21.917437145576262</v>
      </c>
      <c r="C753" s="158">
        <f t="shared" ca="1" si="34"/>
        <v>0</v>
      </c>
    </row>
    <row r="754" spans="1:3" x14ac:dyDescent="0.25">
      <c r="A754" s="155">
        <f t="shared" si="35"/>
        <v>739</v>
      </c>
      <c r="B754" s="151">
        <f t="shared" ca="1" si="33"/>
        <v>12.084086274015263</v>
      </c>
      <c r="C754" s="158">
        <f t="shared" ca="1" si="34"/>
        <v>0</v>
      </c>
    </row>
    <row r="755" spans="1:3" x14ac:dyDescent="0.25">
      <c r="A755" s="155">
        <f t="shared" si="35"/>
        <v>740</v>
      </c>
      <c r="B755" s="151">
        <f t="shared" ca="1" si="33"/>
        <v>184.3628752798686</v>
      </c>
      <c r="C755" s="158">
        <f t="shared" ca="1" si="34"/>
        <v>1</v>
      </c>
    </row>
    <row r="756" spans="1:3" x14ac:dyDescent="0.25">
      <c r="A756" s="155">
        <f t="shared" si="35"/>
        <v>741</v>
      </c>
      <c r="B756" s="151">
        <f t="shared" ca="1" si="33"/>
        <v>55.349385019631825</v>
      </c>
      <c r="C756" s="158">
        <f t="shared" ca="1" si="34"/>
        <v>1</v>
      </c>
    </row>
    <row r="757" spans="1:3" x14ac:dyDescent="0.25">
      <c r="A757" s="155">
        <f t="shared" si="35"/>
        <v>742</v>
      </c>
      <c r="B757" s="151">
        <f t="shared" ca="1" si="33"/>
        <v>20.382454086226375</v>
      </c>
      <c r="C757" s="158">
        <f t="shared" ca="1" si="34"/>
        <v>0</v>
      </c>
    </row>
    <row r="758" spans="1:3" x14ac:dyDescent="0.25">
      <c r="A758" s="155">
        <f t="shared" si="35"/>
        <v>743</v>
      </c>
      <c r="B758" s="151">
        <f t="shared" ca="1" si="33"/>
        <v>82.244106922321009</v>
      </c>
      <c r="C758" s="158">
        <f t="shared" ca="1" si="34"/>
        <v>1</v>
      </c>
    </row>
    <row r="759" spans="1:3" x14ac:dyDescent="0.25">
      <c r="A759" s="155">
        <f t="shared" si="35"/>
        <v>744</v>
      </c>
      <c r="B759" s="151">
        <f t="shared" ca="1" si="33"/>
        <v>0.57793998291849391</v>
      </c>
      <c r="C759" s="158">
        <f t="shared" ca="1" si="34"/>
        <v>0</v>
      </c>
    </row>
    <row r="760" spans="1:3" x14ac:dyDescent="0.25">
      <c r="A760" s="155">
        <f t="shared" si="35"/>
        <v>745</v>
      </c>
      <c r="B760" s="151">
        <f t="shared" ca="1" si="33"/>
        <v>-90.569328116681561</v>
      </c>
      <c r="C760" s="158">
        <f t="shared" ca="1" si="34"/>
        <v>0</v>
      </c>
    </row>
    <row r="761" spans="1:3" x14ac:dyDescent="0.25">
      <c r="A761" s="155">
        <f t="shared" si="35"/>
        <v>746</v>
      </c>
      <c r="B761" s="151">
        <f t="shared" ca="1" si="33"/>
        <v>62.562556794763907</v>
      </c>
      <c r="C761" s="158">
        <f t="shared" ca="1" si="34"/>
        <v>1</v>
      </c>
    </row>
    <row r="762" spans="1:3" x14ac:dyDescent="0.25">
      <c r="A762" s="155">
        <f t="shared" si="35"/>
        <v>747</v>
      </c>
      <c r="B762" s="151">
        <f t="shared" ca="1" si="33"/>
        <v>-4.6513554601377507</v>
      </c>
      <c r="C762" s="158">
        <f t="shared" ca="1" si="34"/>
        <v>0</v>
      </c>
    </row>
    <row r="763" spans="1:3" x14ac:dyDescent="0.25">
      <c r="A763" s="155">
        <f t="shared" si="35"/>
        <v>748</v>
      </c>
      <c r="B763" s="151">
        <f t="shared" ca="1" si="33"/>
        <v>36.269965490206523</v>
      </c>
      <c r="C763" s="158">
        <f t="shared" ca="1" si="34"/>
        <v>1</v>
      </c>
    </row>
    <row r="764" spans="1:3" x14ac:dyDescent="0.25">
      <c r="A764" s="155">
        <f t="shared" si="35"/>
        <v>749</v>
      </c>
      <c r="B764" s="151">
        <f t="shared" ca="1" si="33"/>
        <v>83.235413979741566</v>
      </c>
      <c r="C764" s="158">
        <f t="shared" ca="1" si="34"/>
        <v>1</v>
      </c>
    </row>
    <row r="765" spans="1:3" x14ac:dyDescent="0.25">
      <c r="A765" s="155">
        <f t="shared" si="35"/>
        <v>750</v>
      </c>
      <c r="B765" s="151">
        <f t="shared" ca="1" si="33"/>
        <v>36.193668398704688</v>
      </c>
      <c r="C765" s="158">
        <f t="shared" ca="1" si="34"/>
        <v>1</v>
      </c>
    </row>
    <row r="766" spans="1:3" x14ac:dyDescent="0.25">
      <c r="A766" s="155">
        <f t="shared" si="35"/>
        <v>751</v>
      </c>
      <c r="B766" s="151">
        <f t="shared" ca="1" si="33"/>
        <v>94.364433591088485</v>
      </c>
      <c r="C766" s="158">
        <f t="shared" ca="1" si="34"/>
        <v>1</v>
      </c>
    </row>
    <row r="767" spans="1:3" x14ac:dyDescent="0.25">
      <c r="A767" s="155">
        <f t="shared" si="35"/>
        <v>752</v>
      </c>
      <c r="B767" s="151">
        <f t="shared" ca="1" si="33"/>
        <v>33.894154656910935</v>
      </c>
      <c r="C767" s="158">
        <f t="shared" ca="1" si="34"/>
        <v>1</v>
      </c>
    </row>
    <row r="768" spans="1:3" x14ac:dyDescent="0.25">
      <c r="A768" s="155">
        <f t="shared" si="35"/>
        <v>753</v>
      </c>
      <c r="B768" s="151">
        <f t="shared" ca="1" si="33"/>
        <v>45.937454609648867</v>
      </c>
      <c r="C768" s="158">
        <f t="shared" ca="1" si="34"/>
        <v>1</v>
      </c>
    </row>
    <row r="769" spans="1:3" x14ac:dyDescent="0.25">
      <c r="A769" s="155">
        <f t="shared" si="35"/>
        <v>754</v>
      </c>
      <c r="B769" s="151">
        <f t="shared" ca="1" si="33"/>
        <v>14.662649651481793</v>
      </c>
      <c r="C769" s="158">
        <f t="shared" ca="1" si="34"/>
        <v>0</v>
      </c>
    </row>
    <row r="770" spans="1:3" x14ac:dyDescent="0.25">
      <c r="A770" s="155">
        <f t="shared" si="35"/>
        <v>755</v>
      </c>
      <c r="B770" s="151">
        <f t="shared" ca="1" si="33"/>
        <v>-79.149942978995611</v>
      </c>
      <c r="C770" s="158">
        <f t="shared" ca="1" si="34"/>
        <v>0</v>
      </c>
    </row>
    <row r="771" spans="1:3" x14ac:dyDescent="0.25">
      <c r="A771" s="155">
        <f t="shared" si="35"/>
        <v>756</v>
      </c>
      <c r="B771" s="151">
        <f t="shared" ca="1" si="33"/>
        <v>36.09680448837733</v>
      </c>
      <c r="C771" s="158">
        <f t="shared" ca="1" si="34"/>
        <v>1</v>
      </c>
    </row>
    <row r="772" spans="1:3" x14ac:dyDescent="0.25">
      <c r="A772" s="155">
        <f t="shared" si="35"/>
        <v>757</v>
      </c>
      <c r="B772" s="151">
        <f t="shared" ca="1" si="33"/>
        <v>23.652082282896906</v>
      </c>
      <c r="C772" s="158">
        <f t="shared" ca="1" si="34"/>
        <v>0</v>
      </c>
    </row>
    <row r="773" spans="1:3" x14ac:dyDescent="0.25">
      <c r="A773" s="155">
        <f t="shared" si="35"/>
        <v>758</v>
      </c>
      <c r="B773" s="151">
        <f t="shared" ca="1" si="33"/>
        <v>15.89238766963193</v>
      </c>
      <c r="C773" s="158">
        <f t="shared" ca="1" si="34"/>
        <v>0</v>
      </c>
    </row>
    <row r="774" spans="1:3" x14ac:dyDescent="0.25">
      <c r="A774" s="155">
        <f t="shared" si="35"/>
        <v>759</v>
      </c>
      <c r="B774" s="151">
        <f t="shared" ca="1" si="33"/>
        <v>43.936873758544152</v>
      </c>
      <c r="C774" s="158">
        <f t="shared" ca="1" si="34"/>
        <v>1</v>
      </c>
    </row>
    <row r="775" spans="1:3" x14ac:dyDescent="0.25">
      <c r="A775" s="155">
        <f t="shared" si="35"/>
        <v>760</v>
      </c>
      <c r="B775" s="151">
        <f t="shared" ca="1" si="33"/>
        <v>24.954765375411277</v>
      </c>
      <c r="C775" s="158">
        <f t="shared" ca="1" si="34"/>
        <v>0</v>
      </c>
    </row>
    <row r="776" spans="1:3" x14ac:dyDescent="0.25">
      <c r="A776" s="155">
        <f t="shared" si="35"/>
        <v>761</v>
      </c>
      <c r="B776" s="151">
        <f t="shared" ca="1" si="33"/>
        <v>17.889317280812357</v>
      </c>
      <c r="C776" s="158">
        <f t="shared" ca="1" si="34"/>
        <v>0</v>
      </c>
    </row>
    <row r="777" spans="1:3" x14ac:dyDescent="0.25">
      <c r="A777" s="155">
        <f t="shared" si="35"/>
        <v>762</v>
      </c>
      <c r="B777" s="151">
        <f t="shared" ca="1" si="33"/>
        <v>34.756693781836276</v>
      </c>
      <c r="C777" s="158">
        <f t="shared" ca="1" si="34"/>
        <v>1</v>
      </c>
    </row>
    <row r="778" spans="1:3" x14ac:dyDescent="0.25">
      <c r="A778" s="155">
        <f t="shared" si="35"/>
        <v>763</v>
      </c>
      <c r="B778" s="151">
        <f t="shared" ca="1" si="33"/>
        <v>-62.383148515728607</v>
      </c>
      <c r="C778" s="158">
        <f t="shared" ca="1" si="34"/>
        <v>0</v>
      </c>
    </row>
    <row r="779" spans="1:3" x14ac:dyDescent="0.25">
      <c r="A779" s="155">
        <f t="shared" si="35"/>
        <v>764</v>
      </c>
      <c r="B779" s="151">
        <f t="shared" ca="1" si="33"/>
        <v>38.828706293631846</v>
      </c>
      <c r="C779" s="158">
        <f t="shared" ca="1" si="34"/>
        <v>1</v>
      </c>
    </row>
    <row r="780" spans="1:3" x14ac:dyDescent="0.25">
      <c r="A780" s="155">
        <f t="shared" si="35"/>
        <v>765</v>
      </c>
      <c r="B780" s="151">
        <f t="shared" ca="1" si="33"/>
        <v>6.2640897345564568</v>
      </c>
      <c r="C780" s="158">
        <f t="shared" ca="1" si="34"/>
        <v>0</v>
      </c>
    </row>
    <row r="781" spans="1:3" x14ac:dyDescent="0.25">
      <c r="A781" s="155">
        <f t="shared" si="35"/>
        <v>766</v>
      </c>
      <c r="B781" s="151">
        <f t="shared" ca="1" si="33"/>
        <v>-2.8924829086342001</v>
      </c>
      <c r="C781" s="158">
        <f t="shared" ca="1" si="34"/>
        <v>0</v>
      </c>
    </row>
    <row r="782" spans="1:3" x14ac:dyDescent="0.25">
      <c r="A782" s="155">
        <f t="shared" si="35"/>
        <v>767</v>
      </c>
      <c r="B782" s="151">
        <f t="shared" ca="1" si="33"/>
        <v>55.434607041736513</v>
      </c>
      <c r="C782" s="158">
        <f t="shared" ca="1" si="34"/>
        <v>1</v>
      </c>
    </row>
    <row r="783" spans="1:3" x14ac:dyDescent="0.25">
      <c r="A783" s="155">
        <f t="shared" si="35"/>
        <v>768</v>
      </c>
      <c r="B783" s="151">
        <f t="shared" ca="1" si="33"/>
        <v>92.309246682719859</v>
      </c>
      <c r="C783" s="158">
        <f t="shared" ca="1" si="34"/>
        <v>1</v>
      </c>
    </row>
    <row r="784" spans="1:3" x14ac:dyDescent="0.25">
      <c r="A784" s="155">
        <f t="shared" si="35"/>
        <v>769</v>
      </c>
      <c r="B784" s="151">
        <f t="shared" ca="1" si="33"/>
        <v>83.996888318758351</v>
      </c>
      <c r="C784" s="158">
        <f t="shared" ca="1" si="34"/>
        <v>1</v>
      </c>
    </row>
    <row r="785" spans="1:3" x14ac:dyDescent="0.25">
      <c r="A785" s="155">
        <f t="shared" si="35"/>
        <v>770</v>
      </c>
      <c r="B785" s="151">
        <f t="shared" ref="B785:B848" ca="1" si="36">_xlfn.NORM.INV(RAND(), $B$9, $B$10)</f>
        <v>17.08005314086601</v>
      </c>
      <c r="C785" s="158">
        <f t="shared" ref="C785:C848" ca="1" si="37">IF(B785 &gt;= $B$11, 1, 0)</f>
        <v>0</v>
      </c>
    </row>
    <row r="786" spans="1:3" x14ac:dyDescent="0.25">
      <c r="A786" s="155">
        <f t="shared" ref="A786:A849" si="38">+A785+1</f>
        <v>771</v>
      </c>
      <c r="B786" s="151">
        <f t="shared" ca="1" si="36"/>
        <v>96.423816239778176</v>
      </c>
      <c r="C786" s="158">
        <f t="shared" ca="1" si="37"/>
        <v>1</v>
      </c>
    </row>
    <row r="787" spans="1:3" x14ac:dyDescent="0.25">
      <c r="A787" s="155">
        <f t="shared" si="38"/>
        <v>772</v>
      </c>
      <c r="B787" s="151">
        <f t="shared" ca="1" si="36"/>
        <v>74.23166485219943</v>
      </c>
      <c r="C787" s="158">
        <f t="shared" ca="1" si="37"/>
        <v>1</v>
      </c>
    </row>
    <row r="788" spans="1:3" x14ac:dyDescent="0.25">
      <c r="A788" s="155">
        <f t="shared" si="38"/>
        <v>773</v>
      </c>
      <c r="B788" s="151">
        <f t="shared" ca="1" si="36"/>
        <v>-44.538796498111438</v>
      </c>
      <c r="C788" s="158">
        <f t="shared" ca="1" si="37"/>
        <v>0</v>
      </c>
    </row>
    <row r="789" spans="1:3" x14ac:dyDescent="0.25">
      <c r="A789" s="155">
        <f t="shared" si="38"/>
        <v>774</v>
      </c>
      <c r="B789" s="151">
        <f t="shared" ca="1" si="36"/>
        <v>-9.3149082262497629</v>
      </c>
      <c r="C789" s="158">
        <f t="shared" ca="1" si="37"/>
        <v>0</v>
      </c>
    </row>
    <row r="790" spans="1:3" x14ac:dyDescent="0.25">
      <c r="A790" s="155">
        <f t="shared" si="38"/>
        <v>775</v>
      </c>
      <c r="B790" s="151">
        <f t="shared" ca="1" si="36"/>
        <v>-19.975600632154219</v>
      </c>
      <c r="C790" s="158">
        <f t="shared" ca="1" si="37"/>
        <v>0</v>
      </c>
    </row>
    <row r="791" spans="1:3" x14ac:dyDescent="0.25">
      <c r="A791" s="155">
        <f t="shared" si="38"/>
        <v>776</v>
      </c>
      <c r="B791" s="151">
        <f t="shared" ca="1" si="36"/>
        <v>36.732417054075164</v>
      </c>
      <c r="C791" s="158">
        <f t="shared" ca="1" si="37"/>
        <v>1</v>
      </c>
    </row>
    <row r="792" spans="1:3" x14ac:dyDescent="0.25">
      <c r="A792" s="155">
        <f t="shared" si="38"/>
        <v>777</v>
      </c>
      <c r="B792" s="151">
        <f t="shared" ca="1" si="36"/>
        <v>54.760021399781166</v>
      </c>
      <c r="C792" s="158">
        <f t="shared" ca="1" si="37"/>
        <v>1</v>
      </c>
    </row>
    <row r="793" spans="1:3" x14ac:dyDescent="0.25">
      <c r="A793" s="155">
        <f t="shared" si="38"/>
        <v>778</v>
      </c>
      <c r="B793" s="151">
        <f t="shared" ca="1" si="36"/>
        <v>56.011583566008753</v>
      </c>
      <c r="C793" s="158">
        <f t="shared" ca="1" si="37"/>
        <v>1</v>
      </c>
    </row>
    <row r="794" spans="1:3" x14ac:dyDescent="0.25">
      <c r="A794" s="155">
        <f t="shared" si="38"/>
        <v>779</v>
      </c>
      <c r="B794" s="151">
        <f t="shared" ca="1" si="36"/>
        <v>-35.690814028082983</v>
      </c>
      <c r="C794" s="158">
        <f t="shared" ca="1" si="37"/>
        <v>0</v>
      </c>
    </row>
    <row r="795" spans="1:3" x14ac:dyDescent="0.25">
      <c r="A795" s="155">
        <f t="shared" si="38"/>
        <v>780</v>
      </c>
      <c r="B795" s="151">
        <f t="shared" ca="1" si="36"/>
        <v>140.975664151655</v>
      </c>
      <c r="C795" s="158">
        <f t="shared" ca="1" si="37"/>
        <v>1</v>
      </c>
    </row>
    <row r="796" spans="1:3" x14ac:dyDescent="0.25">
      <c r="A796" s="155">
        <f t="shared" si="38"/>
        <v>781</v>
      </c>
      <c r="B796" s="151">
        <f t="shared" ca="1" si="36"/>
        <v>23.634590277383225</v>
      </c>
      <c r="C796" s="158">
        <f t="shared" ca="1" si="37"/>
        <v>0</v>
      </c>
    </row>
    <row r="797" spans="1:3" x14ac:dyDescent="0.25">
      <c r="A797" s="155">
        <f t="shared" si="38"/>
        <v>782</v>
      </c>
      <c r="B797" s="151">
        <f t="shared" ca="1" si="36"/>
        <v>75.398275060999509</v>
      </c>
      <c r="C797" s="158">
        <f t="shared" ca="1" si="37"/>
        <v>1</v>
      </c>
    </row>
    <row r="798" spans="1:3" x14ac:dyDescent="0.25">
      <c r="A798" s="155">
        <f t="shared" si="38"/>
        <v>783</v>
      </c>
      <c r="B798" s="151">
        <f t="shared" ca="1" si="36"/>
        <v>18.249295196001817</v>
      </c>
      <c r="C798" s="158">
        <f t="shared" ca="1" si="37"/>
        <v>0</v>
      </c>
    </row>
    <row r="799" spans="1:3" x14ac:dyDescent="0.25">
      <c r="A799" s="155">
        <f t="shared" si="38"/>
        <v>784</v>
      </c>
      <c r="B799" s="151">
        <f t="shared" ca="1" si="36"/>
        <v>-9.6840999901191083</v>
      </c>
      <c r="C799" s="158">
        <f t="shared" ca="1" si="37"/>
        <v>0</v>
      </c>
    </row>
    <row r="800" spans="1:3" x14ac:dyDescent="0.25">
      <c r="A800" s="155">
        <f t="shared" si="38"/>
        <v>785</v>
      </c>
      <c r="B800" s="151">
        <f t="shared" ca="1" si="36"/>
        <v>-32.647420921892703</v>
      </c>
      <c r="C800" s="158">
        <f t="shared" ca="1" si="37"/>
        <v>0</v>
      </c>
    </row>
    <row r="801" spans="1:3" x14ac:dyDescent="0.25">
      <c r="A801" s="155">
        <f t="shared" si="38"/>
        <v>786</v>
      </c>
      <c r="B801" s="151">
        <f t="shared" ca="1" si="36"/>
        <v>20.951541741769006</v>
      </c>
      <c r="C801" s="158">
        <f t="shared" ca="1" si="37"/>
        <v>0</v>
      </c>
    </row>
    <row r="802" spans="1:3" x14ac:dyDescent="0.25">
      <c r="A802" s="155">
        <f t="shared" si="38"/>
        <v>787</v>
      </c>
      <c r="B802" s="151">
        <f t="shared" ca="1" si="36"/>
        <v>18.633883238932491</v>
      </c>
      <c r="C802" s="158">
        <f t="shared" ca="1" si="37"/>
        <v>0</v>
      </c>
    </row>
    <row r="803" spans="1:3" x14ac:dyDescent="0.25">
      <c r="A803" s="155">
        <f t="shared" si="38"/>
        <v>788</v>
      </c>
      <c r="B803" s="151">
        <f t="shared" ca="1" si="36"/>
        <v>39.818048128644122</v>
      </c>
      <c r="C803" s="158">
        <f t="shared" ca="1" si="37"/>
        <v>1</v>
      </c>
    </row>
    <row r="804" spans="1:3" x14ac:dyDescent="0.25">
      <c r="A804" s="155">
        <f t="shared" si="38"/>
        <v>789</v>
      </c>
      <c r="B804" s="151">
        <f t="shared" ca="1" si="36"/>
        <v>116.85971161789749</v>
      </c>
      <c r="C804" s="158">
        <f t="shared" ca="1" si="37"/>
        <v>1</v>
      </c>
    </row>
    <row r="805" spans="1:3" x14ac:dyDescent="0.25">
      <c r="A805" s="155">
        <f t="shared" si="38"/>
        <v>790</v>
      </c>
      <c r="B805" s="151">
        <f t="shared" ca="1" si="36"/>
        <v>56.533368579440058</v>
      </c>
      <c r="C805" s="158">
        <f t="shared" ca="1" si="37"/>
        <v>1</v>
      </c>
    </row>
    <row r="806" spans="1:3" x14ac:dyDescent="0.25">
      <c r="A806" s="155">
        <f t="shared" si="38"/>
        <v>791</v>
      </c>
      <c r="B806" s="151">
        <f t="shared" ca="1" si="36"/>
        <v>81.49324518472821</v>
      </c>
      <c r="C806" s="158">
        <f t="shared" ca="1" si="37"/>
        <v>1</v>
      </c>
    </row>
    <row r="807" spans="1:3" x14ac:dyDescent="0.25">
      <c r="A807" s="155">
        <f t="shared" si="38"/>
        <v>792</v>
      </c>
      <c r="B807" s="151">
        <f t="shared" ca="1" si="36"/>
        <v>34.492407539102359</v>
      </c>
      <c r="C807" s="158">
        <f t="shared" ca="1" si="37"/>
        <v>1</v>
      </c>
    </row>
    <row r="808" spans="1:3" x14ac:dyDescent="0.25">
      <c r="A808" s="155">
        <f t="shared" si="38"/>
        <v>793</v>
      </c>
      <c r="B808" s="151">
        <f t="shared" ca="1" si="36"/>
        <v>18.861626981449614</v>
      </c>
      <c r="C808" s="158">
        <f t="shared" ca="1" si="37"/>
        <v>0</v>
      </c>
    </row>
    <row r="809" spans="1:3" x14ac:dyDescent="0.25">
      <c r="A809" s="155">
        <f t="shared" si="38"/>
        <v>794</v>
      </c>
      <c r="B809" s="151">
        <f t="shared" ca="1" si="36"/>
        <v>54.442649722077498</v>
      </c>
      <c r="C809" s="158">
        <f t="shared" ca="1" si="37"/>
        <v>1</v>
      </c>
    </row>
    <row r="810" spans="1:3" x14ac:dyDescent="0.25">
      <c r="A810" s="155">
        <f t="shared" si="38"/>
        <v>795</v>
      </c>
      <c r="B810" s="151">
        <f t="shared" ca="1" si="36"/>
        <v>45.187829063119757</v>
      </c>
      <c r="C810" s="158">
        <f t="shared" ca="1" si="37"/>
        <v>1</v>
      </c>
    </row>
    <row r="811" spans="1:3" x14ac:dyDescent="0.25">
      <c r="A811" s="155">
        <f t="shared" si="38"/>
        <v>796</v>
      </c>
      <c r="B811" s="151">
        <f t="shared" ca="1" si="36"/>
        <v>39.160521459780234</v>
      </c>
      <c r="C811" s="158">
        <f t="shared" ca="1" si="37"/>
        <v>1</v>
      </c>
    </row>
    <row r="812" spans="1:3" x14ac:dyDescent="0.25">
      <c r="A812" s="155">
        <f t="shared" si="38"/>
        <v>797</v>
      </c>
      <c r="B812" s="151">
        <f t="shared" ca="1" si="36"/>
        <v>-71.155595010914382</v>
      </c>
      <c r="C812" s="158">
        <f t="shared" ca="1" si="37"/>
        <v>0</v>
      </c>
    </row>
    <row r="813" spans="1:3" x14ac:dyDescent="0.25">
      <c r="A813" s="155">
        <f t="shared" si="38"/>
        <v>798</v>
      </c>
      <c r="B813" s="151">
        <f t="shared" ca="1" si="36"/>
        <v>62.120151197951927</v>
      </c>
      <c r="C813" s="158">
        <f t="shared" ca="1" si="37"/>
        <v>1</v>
      </c>
    </row>
    <row r="814" spans="1:3" x14ac:dyDescent="0.25">
      <c r="A814" s="155">
        <f t="shared" si="38"/>
        <v>799</v>
      </c>
      <c r="B814" s="151">
        <f t="shared" ca="1" si="36"/>
        <v>-39.993903643147988</v>
      </c>
      <c r="C814" s="158">
        <f t="shared" ca="1" si="37"/>
        <v>0</v>
      </c>
    </row>
    <row r="815" spans="1:3" x14ac:dyDescent="0.25">
      <c r="A815" s="155">
        <f t="shared" si="38"/>
        <v>800</v>
      </c>
      <c r="B815" s="151">
        <f t="shared" ca="1" si="36"/>
        <v>3.5218794769478627</v>
      </c>
      <c r="C815" s="158">
        <f t="shared" ca="1" si="37"/>
        <v>0</v>
      </c>
    </row>
    <row r="816" spans="1:3" x14ac:dyDescent="0.25">
      <c r="A816" s="155">
        <f t="shared" si="38"/>
        <v>801</v>
      </c>
      <c r="B816" s="151">
        <f t="shared" ca="1" si="36"/>
        <v>31.2304573690053</v>
      </c>
      <c r="C816" s="158">
        <f t="shared" ca="1" si="37"/>
        <v>1</v>
      </c>
    </row>
    <row r="817" spans="1:3" x14ac:dyDescent="0.25">
      <c r="A817" s="155">
        <f t="shared" si="38"/>
        <v>802</v>
      </c>
      <c r="B817" s="151">
        <f t="shared" ca="1" si="36"/>
        <v>73.361250812242261</v>
      </c>
      <c r="C817" s="158">
        <f t="shared" ca="1" si="37"/>
        <v>1</v>
      </c>
    </row>
    <row r="818" spans="1:3" x14ac:dyDescent="0.25">
      <c r="A818" s="155">
        <f t="shared" si="38"/>
        <v>803</v>
      </c>
      <c r="B818" s="151">
        <f t="shared" ca="1" si="36"/>
        <v>89.816532215645481</v>
      </c>
      <c r="C818" s="158">
        <f t="shared" ca="1" si="37"/>
        <v>1</v>
      </c>
    </row>
    <row r="819" spans="1:3" x14ac:dyDescent="0.25">
      <c r="A819" s="155">
        <f t="shared" si="38"/>
        <v>804</v>
      </c>
      <c r="B819" s="151">
        <f t="shared" ca="1" si="36"/>
        <v>-80.544652233591364</v>
      </c>
      <c r="C819" s="158">
        <f t="shared" ca="1" si="37"/>
        <v>0</v>
      </c>
    </row>
    <row r="820" spans="1:3" x14ac:dyDescent="0.25">
      <c r="A820" s="155">
        <f t="shared" si="38"/>
        <v>805</v>
      </c>
      <c r="B820" s="151">
        <f t="shared" ca="1" si="36"/>
        <v>-8.6457944045031496</v>
      </c>
      <c r="C820" s="158">
        <f t="shared" ca="1" si="37"/>
        <v>0</v>
      </c>
    </row>
    <row r="821" spans="1:3" x14ac:dyDescent="0.25">
      <c r="A821" s="155">
        <f t="shared" si="38"/>
        <v>806</v>
      </c>
      <c r="B821" s="151">
        <f t="shared" ca="1" si="36"/>
        <v>74.992409188495287</v>
      </c>
      <c r="C821" s="158">
        <f t="shared" ca="1" si="37"/>
        <v>1</v>
      </c>
    </row>
    <row r="822" spans="1:3" x14ac:dyDescent="0.25">
      <c r="A822" s="155">
        <f t="shared" si="38"/>
        <v>807</v>
      </c>
      <c r="B822" s="151">
        <f t="shared" ca="1" si="36"/>
        <v>31.35467583331776</v>
      </c>
      <c r="C822" s="158">
        <f t="shared" ca="1" si="37"/>
        <v>1</v>
      </c>
    </row>
    <row r="823" spans="1:3" x14ac:dyDescent="0.25">
      <c r="A823" s="155">
        <f t="shared" si="38"/>
        <v>808</v>
      </c>
      <c r="B823" s="151">
        <f t="shared" ca="1" si="36"/>
        <v>35.150781510206407</v>
      </c>
      <c r="C823" s="158">
        <f t="shared" ca="1" si="37"/>
        <v>1</v>
      </c>
    </row>
    <row r="824" spans="1:3" x14ac:dyDescent="0.25">
      <c r="A824" s="155">
        <f t="shared" si="38"/>
        <v>809</v>
      </c>
      <c r="B824" s="151">
        <f t="shared" ca="1" si="36"/>
        <v>33.519812521057517</v>
      </c>
      <c r="C824" s="158">
        <f t="shared" ca="1" si="37"/>
        <v>1</v>
      </c>
    </row>
    <row r="825" spans="1:3" x14ac:dyDescent="0.25">
      <c r="A825" s="155">
        <f t="shared" si="38"/>
        <v>810</v>
      </c>
      <c r="B825" s="151">
        <f t="shared" ca="1" si="36"/>
        <v>2.5908781844529827</v>
      </c>
      <c r="C825" s="158">
        <f t="shared" ca="1" si="37"/>
        <v>0</v>
      </c>
    </row>
    <row r="826" spans="1:3" x14ac:dyDescent="0.25">
      <c r="A826" s="155">
        <f t="shared" si="38"/>
        <v>811</v>
      </c>
      <c r="B826" s="151">
        <f t="shared" ca="1" si="36"/>
        <v>-73.064458282315883</v>
      </c>
      <c r="C826" s="158">
        <f t="shared" ca="1" si="37"/>
        <v>0</v>
      </c>
    </row>
    <row r="827" spans="1:3" x14ac:dyDescent="0.25">
      <c r="A827" s="155">
        <f t="shared" si="38"/>
        <v>812</v>
      </c>
      <c r="B827" s="151">
        <f t="shared" ca="1" si="36"/>
        <v>28.518151535906153</v>
      </c>
      <c r="C827" s="158">
        <f t="shared" ca="1" si="37"/>
        <v>1</v>
      </c>
    </row>
    <row r="828" spans="1:3" x14ac:dyDescent="0.25">
      <c r="A828" s="155">
        <f t="shared" si="38"/>
        <v>813</v>
      </c>
      <c r="B828" s="151">
        <f t="shared" ca="1" si="36"/>
        <v>-42.971989576720304</v>
      </c>
      <c r="C828" s="158">
        <f t="shared" ca="1" si="37"/>
        <v>0</v>
      </c>
    </row>
    <row r="829" spans="1:3" x14ac:dyDescent="0.25">
      <c r="A829" s="155">
        <f t="shared" si="38"/>
        <v>814</v>
      </c>
      <c r="B829" s="151">
        <f t="shared" ca="1" si="36"/>
        <v>-1.2983848423785602</v>
      </c>
      <c r="C829" s="158">
        <f t="shared" ca="1" si="37"/>
        <v>0</v>
      </c>
    </row>
    <row r="830" spans="1:3" x14ac:dyDescent="0.25">
      <c r="A830" s="155">
        <f t="shared" si="38"/>
        <v>815</v>
      </c>
      <c r="B830" s="151">
        <f t="shared" ca="1" si="36"/>
        <v>123.581785768533</v>
      </c>
      <c r="C830" s="158">
        <f t="shared" ca="1" si="37"/>
        <v>1</v>
      </c>
    </row>
    <row r="831" spans="1:3" x14ac:dyDescent="0.25">
      <c r="A831" s="155">
        <f t="shared" si="38"/>
        <v>816</v>
      </c>
      <c r="B831" s="151">
        <f t="shared" ca="1" si="36"/>
        <v>31.26143224596342</v>
      </c>
      <c r="C831" s="158">
        <f t="shared" ca="1" si="37"/>
        <v>1</v>
      </c>
    </row>
    <row r="832" spans="1:3" x14ac:dyDescent="0.25">
      <c r="A832" s="155">
        <f t="shared" si="38"/>
        <v>817</v>
      </c>
      <c r="B832" s="151">
        <f t="shared" ca="1" si="36"/>
        <v>48.31607291232978</v>
      </c>
      <c r="C832" s="158">
        <f t="shared" ca="1" si="37"/>
        <v>1</v>
      </c>
    </row>
    <row r="833" spans="1:3" x14ac:dyDescent="0.25">
      <c r="A833" s="155">
        <f t="shared" si="38"/>
        <v>818</v>
      </c>
      <c r="B833" s="151">
        <f t="shared" ca="1" si="36"/>
        <v>-18.109642681942269</v>
      </c>
      <c r="C833" s="158">
        <f t="shared" ca="1" si="37"/>
        <v>0</v>
      </c>
    </row>
    <row r="834" spans="1:3" x14ac:dyDescent="0.25">
      <c r="A834" s="155">
        <f t="shared" si="38"/>
        <v>819</v>
      </c>
      <c r="B834" s="151">
        <f t="shared" ca="1" si="36"/>
        <v>-12.244731040002506</v>
      </c>
      <c r="C834" s="158">
        <f t="shared" ca="1" si="37"/>
        <v>0</v>
      </c>
    </row>
    <row r="835" spans="1:3" x14ac:dyDescent="0.25">
      <c r="A835" s="155">
        <f t="shared" si="38"/>
        <v>820</v>
      </c>
      <c r="B835" s="151">
        <f t="shared" ca="1" si="36"/>
        <v>92.892972871898095</v>
      </c>
      <c r="C835" s="158">
        <f t="shared" ca="1" si="37"/>
        <v>1</v>
      </c>
    </row>
    <row r="836" spans="1:3" x14ac:dyDescent="0.25">
      <c r="A836" s="155">
        <f t="shared" si="38"/>
        <v>821</v>
      </c>
      <c r="B836" s="151">
        <f t="shared" ca="1" si="36"/>
        <v>15.505315463483527</v>
      </c>
      <c r="C836" s="158">
        <f t="shared" ca="1" si="37"/>
        <v>0</v>
      </c>
    </row>
    <row r="837" spans="1:3" x14ac:dyDescent="0.25">
      <c r="A837" s="155">
        <f t="shared" si="38"/>
        <v>822</v>
      </c>
      <c r="B837" s="151">
        <f t="shared" ca="1" si="36"/>
        <v>-13.600141297721677</v>
      </c>
      <c r="C837" s="158">
        <f t="shared" ca="1" si="37"/>
        <v>0</v>
      </c>
    </row>
    <row r="838" spans="1:3" x14ac:dyDescent="0.25">
      <c r="A838" s="155">
        <f t="shared" si="38"/>
        <v>823</v>
      </c>
      <c r="B838" s="151">
        <f t="shared" ca="1" si="36"/>
        <v>48.308204564864873</v>
      </c>
      <c r="C838" s="158">
        <f t="shared" ca="1" si="37"/>
        <v>1</v>
      </c>
    </row>
    <row r="839" spans="1:3" x14ac:dyDescent="0.25">
      <c r="A839" s="155">
        <f t="shared" si="38"/>
        <v>824</v>
      </c>
      <c r="B839" s="151">
        <f t="shared" ca="1" si="36"/>
        <v>33.529598482364854</v>
      </c>
      <c r="C839" s="158">
        <f t="shared" ca="1" si="37"/>
        <v>1</v>
      </c>
    </row>
    <row r="840" spans="1:3" x14ac:dyDescent="0.25">
      <c r="A840" s="155">
        <f t="shared" si="38"/>
        <v>825</v>
      </c>
      <c r="B840" s="151">
        <f t="shared" ca="1" si="36"/>
        <v>87.861205656789338</v>
      </c>
      <c r="C840" s="158">
        <f t="shared" ca="1" si="37"/>
        <v>1</v>
      </c>
    </row>
    <row r="841" spans="1:3" x14ac:dyDescent="0.25">
      <c r="A841" s="155">
        <f t="shared" si="38"/>
        <v>826</v>
      </c>
      <c r="B841" s="151">
        <f t="shared" ca="1" si="36"/>
        <v>5.8332042296369657</v>
      </c>
      <c r="C841" s="158">
        <f t="shared" ca="1" si="37"/>
        <v>0</v>
      </c>
    </row>
    <row r="842" spans="1:3" x14ac:dyDescent="0.25">
      <c r="A842" s="155">
        <f t="shared" si="38"/>
        <v>827</v>
      </c>
      <c r="B842" s="151">
        <f t="shared" ca="1" si="36"/>
        <v>57.285926459034954</v>
      </c>
      <c r="C842" s="158">
        <f t="shared" ca="1" si="37"/>
        <v>1</v>
      </c>
    </row>
    <row r="843" spans="1:3" x14ac:dyDescent="0.25">
      <c r="A843" s="155">
        <f t="shared" si="38"/>
        <v>828</v>
      </c>
      <c r="B843" s="151">
        <f t="shared" ca="1" si="36"/>
        <v>39.792934725640308</v>
      </c>
      <c r="C843" s="158">
        <f t="shared" ca="1" si="37"/>
        <v>1</v>
      </c>
    </row>
    <row r="844" spans="1:3" x14ac:dyDescent="0.25">
      <c r="A844" s="155">
        <f t="shared" si="38"/>
        <v>829</v>
      </c>
      <c r="B844" s="151">
        <f t="shared" ca="1" si="36"/>
        <v>99.446654452805802</v>
      </c>
      <c r="C844" s="158">
        <f t="shared" ca="1" si="37"/>
        <v>1</v>
      </c>
    </row>
    <row r="845" spans="1:3" x14ac:dyDescent="0.25">
      <c r="A845" s="155">
        <f t="shared" si="38"/>
        <v>830</v>
      </c>
      <c r="B845" s="151">
        <f t="shared" ca="1" si="36"/>
        <v>45.393638343934377</v>
      </c>
      <c r="C845" s="158">
        <f t="shared" ca="1" si="37"/>
        <v>1</v>
      </c>
    </row>
    <row r="846" spans="1:3" x14ac:dyDescent="0.25">
      <c r="A846" s="155">
        <f t="shared" si="38"/>
        <v>831</v>
      </c>
      <c r="B846" s="151">
        <f t="shared" ca="1" si="36"/>
        <v>-25.285409778406631</v>
      </c>
      <c r="C846" s="158">
        <f t="shared" ca="1" si="37"/>
        <v>0</v>
      </c>
    </row>
    <row r="847" spans="1:3" x14ac:dyDescent="0.25">
      <c r="A847" s="155">
        <f t="shared" si="38"/>
        <v>832</v>
      </c>
      <c r="B847" s="151">
        <f t="shared" ca="1" si="36"/>
        <v>42.851525667893405</v>
      </c>
      <c r="C847" s="158">
        <f t="shared" ca="1" si="37"/>
        <v>1</v>
      </c>
    </row>
    <row r="848" spans="1:3" x14ac:dyDescent="0.25">
      <c r="A848" s="155">
        <f t="shared" si="38"/>
        <v>833</v>
      </c>
      <c r="B848" s="151">
        <f t="shared" ca="1" si="36"/>
        <v>33.602908868628994</v>
      </c>
      <c r="C848" s="158">
        <f t="shared" ca="1" si="37"/>
        <v>1</v>
      </c>
    </row>
    <row r="849" spans="1:3" x14ac:dyDescent="0.25">
      <c r="A849" s="155">
        <f t="shared" si="38"/>
        <v>834</v>
      </c>
      <c r="B849" s="151">
        <f t="shared" ref="B849:B912" ca="1" si="39">_xlfn.NORM.INV(RAND(), $B$9, $B$10)</f>
        <v>-57.245932348139462</v>
      </c>
      <c r="C849" s="158">
        <f t="shared" ref="C849:C912" ca="1" si="40">IF(B849 &gt;= $B$11, 1, 0)</f>
        <v>0</v>
      </c>
    </row>
    <row r="850" spans="1:3" x14ac:dyDescent="0.25">
      <c r="A850" s="155">
        <f t="shared" ref="A850:A913" si="41">+A849+1</f>
        <v>835</v>
      </c>
      <c r="B850" s="151">
        <f t="shared" ca="1" si="39"/>
        <v>5.6852276008405127</v>
      </c>
      <c r="C850" s="158">
        <f t="shared" ca="1" si="40"/>
        <v>0</v>
      </c>
    </row>
    <row r="851" spans="1:3" x14ac:dyDescent="0.25">
      <c r="A851" s="155">
        <f t="shared" si="41"/>
        <v>836</v>
      </c>
      <c r="B851" s="151">
        <f t="shared" ca="1" si="39"/>
        <v>-54.919398667801403</v>
      </c>
      <c r="C851" s="158">
        <f t="shared" ca="1" si="40"/>
        <v>0</v>
      </c>
    </row>
    <row r="852" spans="1:3" x14ac:dyDescent="0.25">
      <c r="A852" s="155">
        <f t="shared" si="41"/>
        <v>837</v>
      </c>
      <c r="B852" s="151">
        <f t="shared" ca="1" si="39"/>
        <v>28.738095103911132</v>
      </c>
      <c r="C852" s="158">
        <f t="shared" ca="1" si="40"/>
        <v>1</v>
      </c>
    </row>
    <row r="853" spans="1:3" x14ac:dyDescent="0.25">
      <c r="A853" s="155">
        <f t="shared" si="41"/>
        <v>838</v>
      </c>
      <c r="B853" s="151">
        <f t="shared" ca="1" si="39"/>
        <v>-3.0001779206419172</v>
      </c>
      <c r="C853" s="158">
        <f t="shared" ca="1" si="40"/>
        <v>0</v>
      </c>
    </row>
    <row r="854" spans="1:3" x14ac:dyDescent="0.25">
      <c r="A854" s="155">
        <f t="shared" si="41"/>
        <v>839</v>
      </c>
      <c r="B854" s="151">
        <f t="shared" ca="1" si="39"/>
        <v>12.45640615115073</v>
      </c>
      <c r="C854" s="158">
        <f t="shared" ca="1" si="40"/>
        <v>0</v>
      </c>
    </row>
    <row r="855" spans="1:3" x14ac:dyDescent="0.25">
      <c r="A855" s="155">
        <f t="shared" si="41"/>
        <v>840</v>
      </c>
      <c r="B855" s="151">
        <f t="shared" ca="1" si="39"/>
        <v>64.745108103721066</v>
      </c>
      <c r="C855" s="158">
        <f t="shared" ca="1" si="40"/>
        <v>1</v>
      </c>
    </row>
    <row r="856" spans="1:3" x14ac:dyDescent="0.25">
      <c r="A856" s="155">
        <f t="shared" si="41"/>
        <v>841</v>
      </c>
      <c r="B856" s="151">
        <f t="shared" ca="1" si="39"/>
        <v>93.799976282706268</v>
      </c>
      <c r="C856" s="158">
        <f t="shared" ca="1" si="40"/>
        <v>1</v>
      </c>
    </row>
    <row r="857" spans="1:3" x14ac:dyDescent="0.25">
      <c r="A857" s="155">
        <f t="shared" si="41"/>
        <v>842</v>
      </c>
      <c r="B857" s="151">
        <f t="shared" ca="1" si="39"/>
        <v>-79.305396824204152</v>
      </c>
      <c r="C857" s="158">
        <f t="shared" ca="1" si="40"/>
        <v>0</v>
      </c>
    </row>
    <row r="858" spans="1:3" x14ac:dyDescent="0.25">
      <c r="A858" s="155">
        <f t="shared" si="41"/>
        <v>843</v>
      </c>
      <c r="B858" s="151">
        <f t="shared" ca="1" si="39"/>
        <v>60.792976160463141</v>
      </c>
      <c r="C858" s="158">
        <f t="shared" ca="1" si="40"/>
        <v>1</v>
      </c>
    </row>
    <row r="859" spans="1:3" x14ac:dyDescent="0.25">
      <c r="A859" s="155">
        <f t="shared" si="41"/>
        <v>844</v>
      </c>
      <c r="B859" s="151">
        <f t="shared" ca="1" si="39"/>
        <v>46.768457380746121</v>
      </c>
      <c r="C859" s="158">
        <f t="shared" ca="1" si="40"/>
        <v>1</v>
      </c>
    </row>
    <row r="860" spans="1:3" x14ac:dyDescent="0.25">
      <c r="A860" s="155">
        <f t="shared" si="41"/>
        <v>845</v>
      </c>
      <c r="B860" s="151">
        <f t="shared" ca="1" si="39"/>
        <v>-34.849967495938785</v>
      </c>
      <c r="C860" s="158">
        <f t="shared" ca="1" si="40"/>
        <v>0</v>
      </c>
    </row>
    <row r="861" spans="1:3" x14ac:dyDescent="0.25">
      <c r="A861" s="155">
        <f t="shared" si="41"/>
        <v>846</v>
      </c>
      <c r="B861" s="151">
        <f t="shared" ca="1" si="39"/>
        <v>15.829171526107771</v>
      </c>
      <c r="C861" s="158">
        <f t="shared" ca="1" si="40"/>
        <v>0</v>
      </c>
    </row>
    <row r="862" spans="1:3" x14ac:dyDescent="0.25">
      <c r="A862" s="155">
        <f t="shared" si="41"/>
        <v>847</v>
      </c>
      <c r="B862" s="151">
        <f t="shared" ca="1" si="39"/>
        <v>-2.1301444193783823</v>
      </c>
      <c r="C862" s="158">
        <f t="shared" ca="1" si="40"/>
        <v>0</v>
      </c>
    </row>
    <row r="863" spans="1:3" x14ac:dyDescent="0.25">
      <c r="A863" s="155">
        <f t="shared" si="41"/>
        <v>848</v>
      </c>
      <c r="B863" s="151">
        <f t="shared" ca="1" si="39"/>
        <v>39.43406948088181</v>
      </c>
      <c r="C863" s="158">
        <f t="shared" ca="1" si="40"/>
        <v>1</v>
      </c>
    </row>
    <row r="864" spans="1:3" x14ac:dyDescent="0.25">
      <c r="A864" s="155">
        <f t="shared" si="41"/>
        <v>849</v>
      </c>
      <c r="B864" s="151">
        <f t="shared" ca="1" si="39"/>
        <v>69.546026033091863</v>
      </c>
      <c r="C864" s="158">
        <f t="shared" ca="1" si="40"/>
        <v>1</v>
      </c>
    </row>
    <row r="865" spans="1:3" x14ac:dyDescent="0.25">
      <c r="A865" s="155">
        <f t="shared" si="41"/>
        <v>850</v>
      </c>
      <c r="B865" s="151">
        <f t="shared" ca="1" si="39"/>
        <v>71.369909489416372</v>
      </c>
      <c r="C865" s="158">
        <f t="shared" ca="1" si="40"/>
        <v>1</v>
      </c>
    </row>
    <row r="866" spans="1:3" x14ac:dyDescent="0.25">
      <c r="A866" s="155">
        <f t="shared" si="41"/>
        <v>851</v>
      </c>
      <c r="B866" s="151">
        <f t="shared" ca="1" si="39"/>
        <v>118.64479602205182</v>
      </c>
      <c r="C866" s="158">
        <f t="shared" ca="1" si="40"/>
        <v>1</v>
      </c>
    </row>
    <row r="867" spans="1:3" x14ac:dyDescent="0.25">
      <c r="A867" s="155">
        <f t="shared" si="41"/>
        <v>852</v>
      </c>
      <c r="B867" s="151">
        <f t="shared" ca="1" si="39"/>
        <v>65.45449273993998</v>
      </c>
      <c r="C867" s="158">
        <f t="shared" ca="1" si="40"/>
        <v>1</v>
      </c>
    </row>
    <row r="868" spans="1:3" x14ac:dyDescent="0.25">
      <c r="A868" s="155">
        <f t="shared" si="41"/>
        <v>853</v>
      </c>
      <c r="B868" s="151">
        <f t="shared" ca="1" si="39"/>
        <v>14.599925375024242</v>
      </c>
      <c r="C868" s="158">
        <f t="shared" ca="1" si="40"/>
        <v>0</v>
      </c>
    </row>
    <row r="869" spans="1:3" x14ac:dyDescent="0.25">
      <c r="A869" s="155">
        <f t="shared" si="41"/>
        <v>854</v>
      </c>
      <c r="B869" s="151">
        <f t="shared" ca="1" si="39"/>
        <v>93.404647385711485</v>
      </c>
      <c r="C869" s="158">
        <f t="shared" ca="1" si="40"/>
        <v>1</v>
      </c>
    </row>
    <row r="870" spans="1:3" x14ac:dyDescent="0.25">
      <c r="A870" s="155">
        <f t="shared" si="41"/>
        <v>855</v>
      </c>
      <c r="B870" s="151">
        <f t="shared" ca="1" si="39"/>
        <v>42.907065061193229</v>
      </c>
      <c r="C870" s="158">
        <f t="shared" ca="1" si="40"/>
        <v>1</v>
      </c>
    </row>
    <row r="871" spans="1:3" x14ac:dyDescent="0.25">
      <c r="A871" s="155">
        <f t="shared" si="41"/>
        <v>856</v>
      </c>
      <c r="B871" s="151">
        <f t="shared" ca="1" si="39"/>
        <v>5.2742183469028987</v>
      </c>
      <c r="C871" s="158">
        <f t="shared" ca="1" si="40"/>
        <v>0</v>
      </c>
    </row>
    <row r="872" spans="1:3" x14ac:dyDescent="0.25">
      <c r="A872" s="155">
        <f t="shared" si="41"/>
        <v>857</v>
      </c>
      <c r="B872" s="151">
        <f t="shared" ca="1" si="39"/>
        <v>75.483001787888412</v>
      </c>
      <c r="C872" s="158">
        <f t="shared" ca="1" si="40"/>
        <v>1</v>
      </c>
    </row>
    <row r="873" spans="1:3" x14ac:dyDescent="0.25">
      <c r="A873" s="155">
        <f t="shared" si="41"/>
        <v>858</v>
      </c>
      <c r="B873" s="151">
        <f t="shared" ca="1" si="39"/>
        <v>94.933445525070624</v>
      </c>
      <c r="C873" s="158">
        <f t="shared" ca="1" si="40"/>
        <v>1</v>
      </c>
    </row>
    <row r="874" spans="1:3" x14ac:dyDescent="0.25">
      <c r="A874" s="155">
        <f t="shared" si="41"/>
        <v>859</v>
      </c>
      <c r="B874" s="151">
        <f t="shared" ca="1" si="39"/>
        <v>-32.719874903924477</v>
      </c>
      <c r="C874" s="158">
        <f t="shared" ca="1" si="40"/>
        <v>0</v>
      </c>
    </row>
    <row r="875" spans="1:3" x14ac:dyDescent="0.25">
      <c r="A875" s="155">
        <f t="shared" si="41"/>
        <v>860</v>
      </c>
      <c r="B875" s="151">
        <f t="shared" ca="1" si="39"/>
        <v>112.7540318808115</v>
      </c>
      <c r="C875" s="158">
        <f t="shared" ca="1" si="40"/>
        <v>1</v>
      </c>
    </row>
    <row r="876" spans="1:3" x14ac:dyDescent="0.25">
      <c r="A876" s="155">
        <f t="shared" si="41"/>
        <v>861</v>
      </c>
      <c r="B876" s="151">
        <f t="shared" ca="1" si="39"/>
        <v>-45.672965646342476</v>
      </c>
      <c r="C876" s="158">
        <f t="shared" ca="1" si="40"/>
        <v>0</v>
      </c>
    </row>
    <row r="877" spans="1:3" x14ac:dyDescent="0.25">
      <c r="A877" s="155">
        <f t="shared" si="41"/>
        <v>862</v>
      </c>
      <c r="B877" s="151">
        <f t="shared" ca="1" si="39"/>
        <v>63.52940534353182</v>
      </c>
      <c r="C877" s="158">
        <f t="shared" ca="1" si="40"/>
        <v>1</v>
      </c>
    </row>
    <row r="878" spans="1:3" x14ac:dyDescent="0.25">
      <c r="A878" s="155">
        <f t="shared" si="41"/>
        <v>863</v>
      </c>
      <c r="B878" s="151">
        <f t="shared" ca="1" si="39"/>
        <v>127.15633090595763</v>
      </c>
      <c r="C878" s="158">
        <f t="shared" ca="1" si="40"/>
        <v>1</v>
      </c>
    </row>
    <row r="879" spans="1:3" x14ac:dyDescent="0.25">
      <c r="A879" s="155">
        <f t="shared" si="41"/>
        <v>864</v>
      </c>
      <c r="B879" s="151">
        <f t="shared" ca="1" si="39"/>
        <v>31.781542522809936</v>
      </c>
      <c r="C879" s="158">
        <f t="shared" ca="1" si="40"/>
        <v>1</v>
      </c>
    </row>
    <row r="880" spans="1:3" x14ac:dyDescent="0.25">
      <c r="A880" s="155">
        <f t="shared" si="41"/>
        <v>865</v>
      </c>
      <c r="B880" s="151">
        <f t="shared" ca="1" si="39"/>
        <v>15.557522366356753</v>
      </c>
      <c r="C880" s="158">
        <f t="shared" ca="1" si="40"/>
        <v>0</v>
      </c>
    </row>
    <row r="881" spans="1:3" x14ac:dyDescent="0.25">
      <c r="A881" s="155">
        <f t="shared" si="41"/>
        <v>866</v>
      </c>
      <c r="B881" s="151">
        <f t="shared" ca="1" si="39"/>
        <v>53.069748890735433</v>
      </c>
      <c r="C881" s="158">
        <f t="shared" ca="1" si="40"/>
        <v>1</v>
      </c>
    </row>
    <row r="882" spans="1:3" x14ac:dyDescent="0.25">
      <c r="A882" s="155">
        <f t="shared" si="41"/>
        <v>867</v>
      </c>
      <c r="B882" s="151">
        <f t="shared" ca="1" si="39"/>
        <v>-87.609472125482995</v>
      </c>
      <c r="C882" s="158">
        <f t="shared" ca="1" si="40"/>
        <v>0</v>
      </c>
    </row>
    <row r="883" spans="1:3" x14ac:dyDescent="0.25">
      <c r="A883" s="155">
        <f t="shared" si="41"/>
        <v>868</v>
      </c>
      <c r="B883" s="151">
        <f t="shared" ca="1" si="39"/>
        <v>66.354458534355459</v>
      </c>
      <c r="C883" s="158">
        <f t="shared" ca="1" si="40"/>
        <v>1</v>
      </c>
    </row>
    <row r="884" spans="1:3" x14ac:dyDescent="0.25">
      <c r="A884" s="155">
        <f t="shared" si="41"/>
        <v>869</v>
      </c>
      <c r="B884" s="151">
        <f t="shared" ca="1" si="39"/>
        <v>51.01511042472022</v>
      </c>
      <c r="C884" s="158">
        <f t="shared" ca="1" si="40"/>
        <v>1</v>
      </c>
    </row>
    <row r="885" spans="1:3" x14ac:dyDescent="0.25">
      <c r="A885" s="155">
        <f t="shared" si="41"/>
        <v>870</v>
      </c>
      <c r="B885" s="151">
        <f t="shared" ca="1" si="39"/>
        <v>13.377398817147114</v>
      </c>
      <c r="C885" s="158">
        <f t="shared" ca="1" si="40"/>
        <v>0</v>
      </c>
    </row>
    <row r="886" spans="1:3" x14ac:dyDescent="0.25">
      <c r="A886" s="155">
        <f t="shared" si="41"/>
        <v>871</v>
      </c>
      <c r="B886" s="151">
        <f t="shared" ca="1" si="39"/>
        <v>151.95130987545156</v>
      </c>
      <c r="C886" s="158">
        <f t="shared" ca="1" si="40"/>
        <v>1</v>
      </c>
    </row>
    <row r="887" spans="1:3" x14ac:dyDescent="0.25">
      <c r="A887" s="155">
        <f t="shared" si="41"/>
        <v>872</v>
      </c>
      <c r="B887" s="151">
        <f t="shared" ca="1" si="39"/>
        <v>57.161877746018092</v>
      </c>
      <c r="C887" s="158">
        <f t="shared" ca="1" si="40"/>
        <v>1</v>
      </c>
    </row>
    <row r="888" spans="1:3" x14ac:dyDescent="0.25">
      <c r="A888" s="155">
        <f t="shared" si="41"/>
        <v>873</v>
      </c>
      <c r="B888" s="151">
        <f t="shared" ca="1" si="39"/>
        <v>74.33939026270356</v>
      </c>
      <c r="C888" s="158">
        <f t="shared" ca="1" si="40"/>
        <v>1</v>
      </c>
    </row>
    <row r="889" spans="1:3" x14ac:dyDescent="0.25">
      <c r="A889" s="155">
        <f t="shared" si="41"/>
        <v>874</v>
      </c>
      <c r="B889" s="151">
        <f t="shared" ca="1" si="39"/>
        <v>121.84354966948946</v>
      </c>
      <c r="C889" s="158">
        <f t="shared" ca="1" si="40"/>
        <v>1</v>
      </c>
    </row>
    <row r="890" spans="1:3" x14ac:dyDescent="0.25">
      <c r="A890" s="155">
        <f t="shared" si="41"/>
        <v>875</v>
      </c>
      <c r="B890" s="151">
        <f t="shared" ca="1" si="39"/>
        <v>13.66960462773898</v>
      </c>
      <c r="C890" s="158">
        <f t="shared" ca="1" si="40"/>
        <v>0</v>
      </c>
    </row>
    <row r="891" spans="1:3" x14ac:dyDescent="0.25">
      <c r="A891" s="155">
        <f t="shared" si="41"/>
        <v>876</v>
      </c>
      <c r="B891" s="151">
        <f t="shared" ca="1" si="39"/>
        <v>104.94701306849142</v>
      </c>
      <c r="C891" s="158">
        <f t="shared" ca="1" si="40"/>
        <v>1</v>
      </c>
    </row>
    <row r="892" spans="1:3" x14ac:dyDescent="0.25">
      <c r="A892" s="155">
        <f t="shared" si="41"/>
        <v>877</v>
      </c>
      <c r="B892" s="151">
        <f t="shared" ca="1" si="39"/>
        <v>-66.331556182489322</v>
      </c>
      <c r="C892" s="158">
        <f t="shared" ca="1" si="40"/>
        <v>0</v>
      </c>
    </row>
    <row r="893" spans="1:3" x14ac:dyDescent="0.25">
      <c r="A893" s="155">
        <f t="shared" si="41"/>
        <v>878</v>
      </c>
      <c r="B893" s="151">
        <f t="shared" ca="1" si="39"/>
        <v>81.977637430876698</v>
      </c>
      <c r="C893" s="158">
        <f t="shared" ca="1" si="40"/>
        <v>1</v>
      </c>
    </row>
    <row r="894" spans="1:3" x14ac:dyDescent="0.25">
      <c r="A894" s="155">
        <f t="shared" si="41"/>
        <v>879</v>
      </c>
      <c r="B894" s="151">
        <f t="shared" ca="1" si="39"/>
        <v>83.130640543057751</v>
      </c>
      <c r="C894" s="158">
        <f t="shared" ca="1" si="40"/>
        <v>1</v>
      </c>
    </row>
    <row r="895" spans="1:3" x14ac:dyDescent="0.25">
      <c r="A895" s="155">
        <f t="shared" si="41"/>
        <v>880</v>
      </c>
      <c r="B895" s="151">
        <f t="shared" ca="1" si="39"/>
        <v>4.2085540632040548</v>
      </c>
      <c r="C895" s="158">
        <f t="shared" ca="1" si="40"/>
        <v>0</v>
      </c>
    </row>
    <row r="896" spans="1:3" x14ac:dyDescent="0.25">
      <c r="A896" s="155">
        <f t="shared" si="41"/>
        <v>881</v>
      </c>
      <c r="B896" s="151">
        <f t="shared" ca="1" si="39"/>
        <v>65.611195683894522</v>
      </c>
      <c r="C896" s="158">
        <f t="shared" ca="1" si="40"/>
        <v>1</v>
      </c>
    </row>
    <row r="897" spans="1:3" x14ac:dyDescent="0.25">
      <c r="A897" s="155">
        <f t="shared" si="41"/>
        <v>882</v>
      </c>
      <c r="B897" s="151">
        <f t="shared" ca="1" si="39"/>
        <v>21.251654090070375</v>
      </c>
      <c r="C897" s="158">
        <f t="shared" ca="1" si="40"/>
        <v>0</v>
      </c>
    </row>
    <row r="898" spans="1:3" x14ac:dyDescent="0.25">
      <c r="A898" s="155">
        <f t="shared" si="41"/>
        <v>883</v>
      </c>
      <c r="B898" s="151">
        <f t="shared" ca="1" si="39"/>
        <v>78.836241651410688</v>
      </c>
      <c r="C898" s="158">
        <f t="shared" ca="1" si="40"/>
        <v>1</v>
      </c>
    </row>
    <row r="899" spans="1:3" x14ac:dyDescent="0.25">
      <c r="A899" s="155">
        <f t="shared" si="41"/>
        <v>884</v>
      </c>
      <c r="B899" s="151">
        <f t="shared" ca="1" si="39"/>
        <v>4.2389142358959546</v>
      </c>
      <c r="C899" s="158">
        <f t="shared" ca="1" si="40"/>
        <v>0</v>
      </c>
    </row>
    <row r="900" spans="1:3" x14ac:dyDescent="0.25">
      <c r="A900" s="155">
        <f t="shared" si="41"/>
        <v>885</v>
      </c>
      <c r="B900" s="151">
        <f t="shared" ca="1" si="39"/>
        <v>19.499119529316491</v>
      </c>
      <c r="C900" s="158">
        <f t="shared" ca="1" si="40"/>
        <v>0</v>
      </c>
    </row>
    <row r="901" spans="1:3" x14ac:dyDescent="0.25">
      <c r="A901" s="155">
        <f t="shared" si="41"/>
        <v>886</v>
      </c>
      <c r="B901" s="151">
        <f t="shared" ca="1" si="39"/>
        <v>133.79651511179844</v>
      </c>
      <c r="C901" s="158">
        <f t="shared" ca="1" si="40"/>
        <v>1</v>
      </c>
    </row>
    <row r="902" spans="1:3" x14ac:dyDescent="0.25">
      <c r="A902" s="155">
        <f t="shared" si="41"/>
        <v>887</v>
      </c>
      <c r="B902" s="151">
        <f t="shared" ca="1" si="39"/>
        <v>94.990952681996291</v>
      </c>
      <c r="C902" s="158">
        <f t="shared" ca="1" si="40"/>
        <v>1</v>
      </c>
    </row>
    <row r="903" spans="1:3" x14ac:dyDescent="0.25">
      <c r="A903" s="155">
        <f t="shared" si="41"/>
        <v>888</v>
      </c>
      <c r="B903" s="151">
        <f t="shared" ca="1" si="39"/>
        <v>100.82774202442282</v>
      </c>
      <c r="C903" s="158">
        <f t="shared" ca="1" si="40"/>
        <v>1</v>
      </c>
    </row>
    <row r="904" spans="1:3" x14ac:dyDescent="0.25">
      <c r="A904" s="155">
        <f t="shared" si="41"/>
        <v>889</v>
      </c>
      <c r="B904" s="151">
        <f t="shared" ca="1" si="39"/>
        <v>7.7107532304845918</v>
      </c>
      <c r="C904" s="158">
        <f t="shared" ca="1" si="40"/>
        <v>0</v>
      </c>
    </row>
    <row r="905" spans="1:3" x14ac:dyDescent="0.25">
      <c r="A905" s="155">
        <f t="shared" si="41"/>
        <v>890</v>
      </c>
      <c r="B905" s="151">
        <f t="shared" ca="1" si="39"/>
        <v>39.159684607946666</v>
      </c>
      <c r="C905" s="158">
        <f t="shared" ca="1" si="40"/>
        <v>1</v>
      </c>
    </row>
    <row r="906" spans="1:3" x14ac:dyDescent="0.25">
      <c r="A906" s="155">
        <f t="shared" si="41"/>
        <v>891</v>
      </c>
      <c r="B906" s="151">
        <f t="shared" ca="1" si="39"/>
        <v>49.890759698944649</v>
      </c>
      <c r="C906" s="158">
        <f t="shared" ca="1" si="40"/>
        <v>1</v>
      </c>
    </row>
    <row r="907" spans="1:3" x14ac:dyDescent="0.25">
      <c r="A907" s="155">
        <f t="shared" si="41"/>
        <v>892</v>
      </c>
      <c r="B907" s="151">
        <f t="shared" ca="1" si="39"/>
        <v>-12.098501542350093</v>
      </c>
      <c r="C907" s="158">
        <f t="shared" ca="1" si="40"/>
        <v>0</v>
      </c>
    </row>
    <row r="908" spans="1:3" x14ac:dyDescent="0.25">
      <c r="A908" s="155">
        <f t="shared" si="41"/>
        <v>893</v>
      </c>
      <c r="B908" s="151">
        <f t="shared" ca="1" si="39"/>
        <v>-50.930722097711126</v>
      </c>
      <c r="C908" s="158">
        <f t="shared" ca="1" si="40"/>
        <v>0</v>
      </c>
    </row>
    <row r="909" spans="1:3" x14ac:dyDescent="0.25">
      <c r="A909" s="155">
        <f t="shared" si="41"/>
        <v>894</v>
      </c>
      <c r="B909" s="151">
        <f t="shared" ca="1" si="39"/>
        <v>2.2438401374053925</v>
      </c>
      <c r="C909" s="158">
        <f t="shared" ca="1" si="40"/>
        <v>0</v>
      </c>
    </row>
    <row r="910" spans="1:3" x14ac:dyDescent="0.25">
      <c r="A910" s="155">
        <f t="shared" si="41"/>
        <v>895</v>
      </c>
      <c r="B910" s="151">
        <f t="shared" ca="1" si="39"/>
        <v>-113.73794113796208</v>
      </c>
      <c r="C910" s="158">
        <f t="shared" ca="1" si="40"/>
        <v>0</v>
      </c>
    </row>
    <row r="911" spans="1:3" x14ac:dyDescent="0.25">
      <c r="A911" s="155">
        <f t="shared" si="41"/>
        <v>896</v>
      </c>
      <c r="B911" s="151">
        <f t="shared" ca="1" si="39"/>
        <v>72.154191164013454</v>
      </c>
      <c r="C911" s="158">
        <f t="shared" ca="1" si="40"/>
        <v>1</v>
      </c>
    </row>
    <row r="912" spans="1:3" x14ac:dyDescent="0.25">
      <c r="A912" s="155">
        <f t="shared" si="41"/>
        <v>897</v>
      </c>
      <c r="B912" s="151">
        <f t="shared" ca="1" si="39"/>
        <v>-42.11668074151676</v>
      </c>
      <c r="C912" s="158">
        <f t="shared" ca="1" si="40"/>
        <v>0</v>
      </c>
    </row>
    <row r="913" spans="1:3" x14ac:dyDescent="0.25">
      <c r="A913" s="155">
        <f t="shared" si="41"/>
        <v>898</v>
      </c>
      <c r="B913" s="151">
        <f t="shared" ref="B913:B976" ca="1" si="42">_xlfn.NORM.INV(RAND(), $B$9, $B$10)</f>
        <v>100.83949444406858</v>
      </c>
      <c r="C913" s="158">
        <f t="shared" ref="C913:C976" ca="1" si="43">IF(B913 &gt;= $B$11, 1, 0)</f>
        <v>1</v>
      </c>
    </row>
    <row r="914" spans="1:3" x14ac:dyDescent="0.25">
      <c r="A914" s="155">
        <f t="shared" ref="A914:A977" si="44">+A913+1</f>
        <v>899</v>
      </c>
      <c r="B914" s="151">
        <f t="shared" ca="1" si="42"/>
        <v>-22.271832625659577</v>
      </c>
      <c r="C914" s="158">
        <f t="shared" ca="1" si="43"/>
        <v>0</v>
      </c>
    </row>
    <row r="915" spans="1:3" x14ac:dyDescent="0.25">
      <c r="A915" s="155">
        <f t="shared" si="44"/>
        <v>900</v>
      </c>
      <c r="B915" s="151">
        <f t="shared" ca="1" si="42"/>
        <v>74.955310767654623</v>
      </c>
      <c r="C915" s="158">
        <f t="shared" ca="1" si="43"/>
        <v>1</v>
      </c>
    </row>
    <row r="916" spans="1:3" x14ac:dyDescent="0.25">
      <c r="A916" s="155">
        <f t="shared" si="44"/>
        <v>901</v>
      </c>
      <c r="B916" s="151">
        <f t="shared" ca="1" si="42"/>
        <v>35.240837502220401</v>
      </c>
      <c r="C916" s="158">
        <f t="shared" ca="1" si="43"/>
        <v>1</v>
      </c>
    </row>
    <row r="917" spans="1:3" x14ac:dyDescent="0.25">
      <c r="A917" s="155">
        <f t="shared" si="44"/>
        <v>902</v>
      </c>
      <c r="B917" s="151">
        <f t="shared" ca="1" si="42"/>
        <v>41.008514720166993</v>
      </c>
      <c r="C917" s="158">
        <f t="shared" ca="1" si="43"/>
        <v>1</v>
      </c>
    </row>
    <row r="918" spans="1:3" x14ac:dyDescent="0.25">
      <c r="A918" s="155">
        <f t="shared" si="44"/>
        <v>903</v>
      </c>
      <c r="B918" s="151">
        <f t="shared" ca="1" si="42"/>
        <v>78.234731695659747</v>
      </c>
      <c r="C918" s="158">
        <f t="shared" ca="1" si="43"/>
        <v>1</v>
      </c>
    </row>
    <row r="919" spans="1:3" x14ac:dyDescent="0.25">
      <c r="A919" s="155">
        <f t="shared" si="44"/>
        <v>904</v>
      </c>
      <c r="B919" s="151">
        <f t="shared" ca="1" si="42"/>
        <v>20.924275457479148</v>
      </c>
      <c r="C919" s="158">
        <f t="shared" ca="1" si="43"/>
        <v>0</v>
      </c>
    </row>
    <row r="920" spans="1:3" x14ac:dyDescent="0.25">
      <c r="A920" s="155">
        <f t="shared" si="44"/>
        <v>905</v>
      </c>
      <c r="B920" s="151">
        <f t="shared" ca="1" si="42"/>
        <v>91.311026407810232</v>
      </c>
      <c r="C920" s="158">
        <f t="shared" ca="1" si="43"/>
        <v>1</v>
      </c>
    </row>
    <row r="921" spans="1:3" x14ac:dyDescent="0.25">
      <c r="A921" s="155">
        <f t="shared" si="44"/>
        <v>906</v>
      </c>
      <c r="B921" s="151">
        <f t="shared" ca="1" si="42"/>
        <v>0.37335273915306288</v>
      </c>
      <c r="C921" s="158">
        <f t="shared" ca="1" si="43"/>
        <v>0</v>
      </c>
    </row>
    <row r="922" spans="1:3" x14ac:dyDescent="0.25">
      <c r="A922" s="155">
        <f t="shared" si="44"/>
        <v>907</v>
      </c>
      <c r="B922" s="151">
        <f t="shared" ca="1" si="42"/>
        <v>57.274836366731648</v>
      </c>
      <c r="C922" s="158">
        <f t="shared" ca="1" si="43"/>
        <v>1</v>
      </c>
    </row>
    <row r="923" spans="1:3" x14ac:dyDescent="0.25">
      <c r="A923" s="155">
        <f t="shared" si="44"/>
        <v>908</v>
      </c>
      <c r="B923" s="151">
        <f t="shared" ca="1" si="42"/>
        <v>91.30114250269331</v>
      </c>
      <c r="C923" s="158">
        <f t="shared" ca="1" si="43"/>
        <v>1</v>
      </c>
    </row>
    <row r="924" spans="1:3" x14ac:dyDescent="0.25">
      <c r="A924" s="155">
        <f t="shared" si="44"/>
        <v>909</v>
      </c>
      <c r="B924" s="151">
        <f t="shared" ca="1" si="42"/>
        <v>-6.801336424150243</v>
      </c>
      <c r="C924" s="158">
        <f t="shared" ca="1" si="43"/>
        <v>0</v>
      </c>
    </row>
    <row r="925" spans="1:3" x14ac:dyDescent="0.25">
      <c r="A925" s="155">
        <f t="shared" si="44"/>
        <v>910</v>
      </c>
      <c r="B925" s="151">
        <f t="shared" ca="1" si="42"/>
        <v>36.825180274923653</v>
      </c>
      <c r="C925" s="158">
        <f t="shared" ca="1" si="43"/>
        <v>1</v>
      </c>
    </row>
    <row r="926" spans="1:3" x14ac:dyDescent="0.25">
      <c r="A926" s="155">
        <f t="shared" si="44"/>
        <v>911</v>
      </c>
      <c r="B926" s="151">
        <f t="shared" ca="1" si="42"/>
        <v>21.291899396582842</v>
      </c>
      <c r="C926" s="158">
        <f t="shared" ca="1" si="43"/>
        <v>0</v>
      </c>
    </row>
    <row r="927" spans="1:3" x14ac:dyDescent="0.25">
      <c r="A927" s="155">
        <f t="shared" si="44"/>
        <v>912</v>
      </c>
      <c r="B927" s="151">
        <f t="shared" ca="1" si="42"/>
        <v>45.955083683367121</v>
      </c>
      <c r="C927" s="158">
        <f t="shared" ca="1" si="43"/>
        <v>1</v>
      </c>
    </row>
    <row r="928" spans="1:3" x14ac:dyDescent="0.25">
      <c r="A928" s="155">
        <f t="shared" si="44"/>
        <v>913</v>
      </c>
      <c r="B928" s="151">
        <f t="shared" ca="1" si="42"/>
        <v>38.908936123285613</v>
      </c>
      <c r="C928" s="158">
        <f t="shared" ca="1" si="43"/>
        <v>1</v>
      </c>
    </row>
    <row r="929" spans="1:3" x14ac:dyDescent="0.25">
      <c r="A929" s="155">
        <f t="shared" si="44"/>
        <v>914</v>
      </c>
      <c r="B929" s="151">
        <f t="shared" ca="1" si="42"/>
        <v>67.766231665610718</v>
      </c>
      <c r="C929" s="158">
        <f t="shared" ca="1" si="43"/>
        <v>1</v>
      </c>
    </row>
    <row r="930" spans="1:3" x14ac:dyDescent="0.25">
      <c r="A930" s="155">
        <f t="shared" si="44"/>
        <v>915</v>
      </c>
      <c r="B930" s="151">
        <f t="shared" ca="1" si="42"/>
        <v>-27.524984648644065</v>
      </c>
      <c r="C930" s="158">
        <f t="shared" ca="1" si="43"/>
        <v>0</v>
      </c>
    </row>
    <row r="931" spans="1:3" x14ac:dyDescent="0.25">
      <c r="A931" s="155">
        <f t="shared" si="44"/>
        <v>916</v>
      </c>
      <c r="B931" s="151">
        <f t="shared" ca="1" si="42"/>
        <v>97.391361145735104</v>
      </c>
      <c r="C931" s="158">
        <f t="shared" ca="1" si="43"/>
        <v>1</v>
      </c>
    </row>
    <row r="932" spans="1:3" x14ac:dyDescent="0.25">
      <c r="A932" s="155">
        <f t="shared" si="44"/>
        <v>917</v>
      </c>
      <c r="B932" s="151">
        <f t="shared" ca="1" si="42"/>
        <v>0.20023759956239218</v>
      </c>
      <c r="C932" s="158">
        <f t="shared" ca="1" si="43"/>
        <v>0</v>
      </c>
    </row>
    <row r="933" spans="1:3" x14ac:dyDescent="0.25">
      <c r="A933" s="155">
        <f t="shared" si="44"/>
        <v>918</v>
      </c>
      <c r="B933" s="151">
        <f t="shared" ca="1" si="42"/>
        <v>146.83900744055694</v>
      </c>
      <c r="C933" s="158">
        <f t="shared" ca="1" si="43"/>
        <v>1</v>
      </c>
    </row>
    <row r="934" spans="1:3" x14ac:dyDescent="0.25">
      <c r="A934" s="155">
        <f t="shared" si="44"/>
        <v>919</v>
      </c>
      <c r="B934" s="151">
        <f t="shared" ca="1" si="42"/>
        <v>24.112568886788978</v>
      </c>
      <c r="C934" s="158">
        <f t="shared" ca="1" si="43"/>
        <v>0</v>
      </c>
    </row>
    <row r="935" spans="1:3" x14ac:dyDescent="0.25">
      <c r="A935" s="155">
        <f t="shared" si="44"/>
        <v>920</v>
      </c>
      <c r="B935" s="151">
        <f t="shared" ca="1" si="42"/>
        <v>38.216032290583534</v>
      </c>
      <c r="C935" s="158">
        <f t="shared" ca="1" si="43"/>
        <v>1</v>
      </c>
    </row>
    <row r="936" spans="1:3" x14ac:dyDescent="0.25">
      <c r="A936" s="155">
        <f t="shared" si="44"/>
        <v>921</v>
      </c>
      <c r="B936" s="151">
        <f t="shared" ca="1" si="42"/>
        <v>77.205582509785842</v>
      </c>
      <c r="C936" s="158">
        <f t="shared" ca="1" si="43"/>
        <v>1</v>
      </c>
    </row>
    <row r="937" spans="1:3" x14ac:dyDescent="0.25">
      <c r="A937" s="155">
        <f t="shared" si="44"/>
        <v>922</v>
      </c>
      <c r="B937" s="151">
        <f t="shared" ca="1" si="42"/>
        <v>27.984682169753242</v>
      </c>
      <c r="C937" s="158">
        <f t="shared" ca="1" si="43"/>
        <v>1</v>
      </c>
    </row>
    <row r="938" spans="1:3" x14ac:dyDescent="0.25">
      <c r="A938" s="155">
        <f t="shared" si="44"/>
        <v>923</v>
      </c>
      <c r="B938" s="151">
        <f t="shared" ca="1" si="42"/>
        <v>66.631208323178853</v>
      </c>
      <c r="C938" s="158">
        <f t="shared" ca="1" si="43"/>
        <v>1</v>
      </c>
    </row>
    <row r="939" spans="1:3" x14ac:dyDescent="0.25">
      <c r="A939" s="155">
        <f t="shared" si="44"/>
        <v>924</v>
      </c>
      <c r="B939" s="151">
        <f t="shared" ca="1" si="42"/>
        <v>65.090357994102106</v>
      </c>
      <c r="C939" s="158">
        <f t="shared" ca="1" si="43"/>
        <v>1</v>
      </c>
    </row>
    <row r="940" spans="1:3" x14ac:dyDescent="0.25">
      <c r="A940" s="155">
        <f t="shared" si="44"/>
        <v>925</v>
      </c>
      <c r="B940" s="151">
        <f t="shared" ca="1" si="42"/>
        <v>64.008323219999482</v>
      </c>
      <c r="C940" s="158">
        <f t="shared" ca="1" si="43"/>
        <v>1</v>
      </c>
    </row>
    <row r="941" spans="1:3" x14ac:dyDescent="0.25">
      <c r="A941" s="155">
        <f t="shared" si="44"/>
        <v>926</v>
      </c>
      <c r="B941" s="151">
        <f t="shared" ca="1" si="42"/>
        <v>60.609198079341617</v>
      </c>
      <c r="C941" s="158">
        <f t="shared" ca="1" si="43"/>
        <v>1</v>
      </c>
    </row>
    <row r="942" spans="1:3" x14ac:dyDescent="0.25">
      <c r="A942" s="155">
        <f t="shared" si="44"/>
        <v>927</v>
      </c>
      <c r="B942" s="151">
        <f t="shared" ca="1" si="42"/>
        <v>109.28439801022975</v>
      </c>
      <c r="C942" s="158">
        <f t="shared" ca="1" si="43"/>
        <v>1</v>
      </c>
    </row>
    <row r="943" spans="1:3" x14ac:dyDescent="0.25">
      <c r="A943" s="155">
        <f t="shared" si="44"/>
        <v>928</v>
      </c>
      <c r="B943" s="151">
        <f t="shared" ca="1" si="42"/>
        <v>132.06027940773038</v>
      </c>
      <c r="C943" s="158">
        <f t="shared" ca="1" si="43"/>
        <v>1</v>
      </c>
    </row>
    <row r="944" spans="1:3" x14ac:dyDescent="0.25">
      <c r="A944" s="155">
        <f t="shared" si="44"/>
        <v>929</v>
      </c>
      <c r="B944" s="151">
        <f t="shared" ca="1" si="42"/>
        <v>46.270653013764502</v>
      </c>
      <c r="C944" s="158">
        <f t="shared" ca="1" si="43"/>
        <v>1</v>
      </c>
    </row>
    <row r="945" spans="1:3" x14ac:dyDescent="0.25">
      <c r="A945" s="155">
        <f t="shared" si="44"/>
        <v>930</v>
      </c>
      <c r="B945" s="151">
        <f t="shared" ca="1" si="42"/>
        <v>36.09183731809884</v>
      </c>
      <c r="C945" s="158">
        <f t="shared" ca="1" si="43"/>
        <v>1</v>
      </c>
    </row>
    <row r="946" spans="1:3" x14ac:dyDescent="0.25">
      <c r="A946" s="155">
        <f t="shared" si="44"/>
        <v>931</v>
      </c>
      <c r="B946" s="151">
        <f t="shared" ca="1" si="42"/>
        <v>3.9205222660509271</v>
      </c>
      <c r="C946" s="158">
        <f t="shared" ca="1" si="43"/>
        <v>0</v>
      </c>
    </row>
    <row r="947" spans="1:3" x14ac:dyDescent="0.25">
      <c r="A947" s="155">
        <f t="shared" si="44"/>
        <v>932</v>
      </c>
      <c r="B947" s="151">
        <f t="shared" ca="1" si="42"/>
        <v>68.81645955986555</v>
      </c>
      <c r="C947" s="158">
        <f t="shared" ca="1" si="43"/>
        <v>1</v>
      </c>
    </row>
    <row r="948" spans="1:3" x14ac:dyDescent="0.25">
      <c r="A948" s="155">
        <f t="shared" si="44"/>
        <v>933</v>
      </c>
      <c r="B948" s="151">
        <f t="shared" ca="1" si="42"/>
        <v>32.867241483437937</v>
      </c>
      <c r="C948" s="158">
        <f t="shared" ca="1" si="43"/>
        <v>1</v>
      </c>
    </row>
    <row r="949" spans="1:3" x14ac:dyDescent="0.25">
      <c r="A949" s="155">
        <f t="shared" si="44"/>
        <v>934</v>
      </c>
      <c r="B949" s="151">
        <f t="shared" ca="1" si="42"/>
        <v>55.766200747630393</v>
      </c>
      <c r="C949" s="158">
        <f t="shared" ca="1" si="43"/>
        <v>1</v>
      </c>
    </row>
    <row r="950" spans="1:3" x14ac:dyDescent="0.25">
      <c r="A950" s="155">
        <f t="shared" si="44"/>
        <v>935</v>
      </c>
      <c r="B950" s="151">
        <f t="shared" ca="1" si="42"/>
        <v>23.358973738618097</v>
      </c>
      <c r="C950" s="158">
        <f t="shared" ca="1" si="43"/>
        <v>0</v>
      </c>
    </row>
    <row r="951" spans="1:3" x14ac:dyDescent="0.25">
      <c r="A951" s="155">
        <f t="shared" si="44"/>
        <v>936</v>
      </c>
      <c r="B951" s="151">
        <f t="shared" ca="1" si="42"/>
        <v>-11.030211320417344</v>
      </c>
      <c r="C951" s="158">
        <f t="shared" ca="1" si="43"/>
        <v>0</v>
      </c>
    </row>
    <row r="952" spans="1:3" x14ac:dyDescent="0.25">
      <c r="A952" s="155">
        <f t="shared" si="44"/>
        <v>937</v>
      </c>
      <c r="B952" s="151">
        <f t="shared" ca="1" si="42"/>
        <v>6.9918866718042381</v>
      </c>
      <c r="C952" s="158">
        <f t="shared" ca="1" si="43"/>
        <v>0</v>
      </c>
    </row>
    <row r="953" spans="1:3" x14ac:dyDescent="0.25">
      <c r="A953" s="155">
        <f t="shared" si="44"/>
        <v>938</v>
      </c>
      <c r="B953" s="151">
        <f t="shared" ca="1" si="42"/>
        <v>5.0123232007777254</v>
      </c>
      <c r="C953" s="158">
        <f t="shared" ca="1" si="43"/>
        <v>0</v>
      </c>
    </row>
    <row r="954" spans="1:3" x14ac:dyDescent="0.25">
      <c r="A954" s="155">
        <f t="shared" si="44"/>
        <v>939</v>
      </c>
      <c r="B954" s="151">
        <f t="shared" ca="1" si="42"/>
        <v>75.531678362352878</v>
      </c>
      <c r="C954" s="158">
        <f t="shared" ca="1" si="43"/>
        <v>1</v>
      </c>
    </row>
    <row r="955" spans="1:3" x14ac:dyDescent="0.25">
      <c r="A955" s="155">
        <f t="shared" si="44"/>
        <v>940</v>
      </c>
      <c r="B955" s="151">
        <f t="shared" ca="1" si="42"/>
        <v>27.521287582672887</v>
      </c>
      <c r="C955" s="158">
        <f t="shared" ca="1" si="43"/>
        <v>1</v>
      </c>
    </row>
    <row r="956" spans="1:3" x14ac:dyDescent="0.25">
      <c r="A956" s="155">
        <f t="shared" si="44"/>
        <v>941</v>
      </c>
      <c r="B956" s="151">
        <f t="shared" ca="1" si="42"/>
        <v>39.479466719889245</v>
      </c>
      <c r="C956" s="158">
        <f t="shared" ca="1" si="43"/>
        <v>1</v>
      </c>
    </row>
    <row r="957" spans="1:3" x14ac:dyDescent="0.25">
      <c r="A957" s="155">
        <f t="shared" si="44"/>
        <v>942</v>
      </c>
      <c r="B957" s="151">
        <f t="shared" ca="1" si="42"/>
        <v>67.026347462054247</v>
      </c>
      <c r="C957" s="158">
        <f t="shared" ca="1" si="43"/>
        <v>1</v>
      </c>
    </row>
    <row r="958" spans="1:3" x14ac:dyDescent="0.25">
      <c r="A958" s="155">
        <f t="shared" si="44"/>
        <v>943</v>
      </c>
      <c r="B958" s="151">
        <f t="shared" ca="1" si="42"/>
        <v>-27.891130339592124</v>
      </c>
      <c r="C958" s="158">
        <f t="shared" ca="1" si="43"/>
        <v>0</v>
      </c>
    </row>
    <row r="959" spans="1:3" x14ac:dyDescent="0.25">
      <c r="A959" s="155">
        <f t="shared" si="44"/>
        <v>944</v>
      </c>
      <c r="B959" s="151">
        <f t="shared" ca="1" si="42"/>
        <v>5.244521566243499</v>
      </c>
      <c r="C959" s="158">
        <f t="shared" ca="1" si="43"/>
        <v>0</v>
      </c>
    </row>
    <row r="960" spans="1:3" x14ac:dyDescent="0.25">
      <c r="A960" s="155">
        <f t="shared" si="44"/>
        <v>945</v>
      </c>
      <c r="B960" s="151">
        <f t="shared" ca="1" si="42"/>
        <v>33.529780321974798</v>
      </c>
      <c r="C960" s="158">
        <f t="shared" ca="1" si="43"/>
        <v>1</v>
      </c>
    </row>
    <row r="961" spans="1:3" x14ac:dyDescent="0.25">
      <c r="A961" s="155">
        <f t="shared" si="44"/>
        <v>946</v>
      </c>
      <c r="B961" s="151">
        <f t="shared" ca="1" si="42"/>
        <v>50.233655187919439</v>
      </c>
      <c r="C961" s="158">
        <f t="shared" ca="1" si="43"/>
        <v>1</v>
      </c>
    </row>
    <row r="962" spans="1:3" x14ac:dyDescent="0.25">
      <c r="A962" s="155">
        <f t="shared" si="44"/>
        <v>947</v>
      </c>
      <c r="B962" s="151">
        <f t="shared" ca="1" si="42"/>
        <v>47.379119541879859</v>
      </c>
      <c r="C962" s="158">
        <f t="shared" ca="1" si="43"/>
        <v>1</v>
      </c>
    </row>
    <row r="963" spans="1:3" x14ac:dyDescent="0.25">
      <c r="A963" s="155">
        <f t="shared" si="44"/>
        <v>948</v>
      </c>
      <c r="B963" s="151">
        <f t="shared" ca="1" si="42"/>
        <v>1.8226046755146683</v>
      </c>
      <c r="C963" s="158">
        <f t="shared" ca="1" si="43"/>
        <v>0</v>
      </c>
    </row>
    <row r="964" spans="1:3" x14ac:dyDescent="0.25">
      <c r="A964" s="155">
        <f t="shared" si="44"/>
        <v>949</v>
      </c>
      <c r="B964" s="151">
        <f t="shared" ca="1" si="42"/>
        <v>53.163360607912281</v>
      </c>
      <c r="C964" s="158">
        <f t="shared" ca="1" si="43"/>
        <v>1</v>
      </c>
    </row>
    <row r="965" spans="1:3" x14ac:dyDescent="0.25">
      <c r="A965" s="155">
        <f t="shared" si="44"/>
        <v>950</v>
      </c>
      <c r="B965" s="151">
        <f t="shared" ca="1" si="42"/>
        <v>75.810641053799571</v>
      </c>
      <c r="C965" s="158">
        <f t="shared" ca="1" si="43"/>
        <v>1</v>
      </c>
    </row>
    <row r="966" spans="1:3" x14ac:dyDescent="0.25">
      <c r="A966" s="155">
        <f t="shared" si="44"/>
        <v>951</v>
      </c>
      <c r="B966" s="151">
        <f t="shared" ca="1" si="42"/>
        <v>56.312808219703143</v>
      </c>
      <c r="C966" s="158">
        <f t="shared" ca="1" si="43"/>
        <v>1</v>
      </c>
    </row>
    <row r="967" spans="1:3" x14ac:dyDescent="0.25">
      <c r="A967" s="155">
        <f t="shared" si="44"/>
        <v>952</v>
      </c>
      <c r="B967" s="151">
        <f t="shared" ca="1" si="42"/>
        <v>-28.421982717537105</v>
      </c>
      <c r="C967" s="158">
        <f t="shared" ca="1" si="43"/>
        <v>0</v>
      </c>
    </row>
    <row r="968" spans="1:3" x14ac:dyDescent="0.25">
      <c r="A968" s="155">
        <f t="shared" si="44"/>
        <v>953</v>
      </c>
      <c r="B968" s="151">
        <f t="shared" ca="1" si="42"/>
        <v>71.351631217794136</v>
      </c>
      <c r="C968" s="158">
        <f t="shared" ca="1" si="43"/>
        <v>1</v>
      </c>
    </row>
    <row r="969" spans="1:3" x14ac:dyDescent="0.25">
      <c r="A969" s="155">
        <f t="shared" si="44"/>
        <v>954</v>
      </c>
      <c r="B969" s="151">
        <f t="shared" ca="1" si="42"/>
        <v>25.532904615556248</v>
      </c>
      <c r="C969" s="158">
        <f t="shared" ca="1" si="43"/>
        <v>1</v>
      </c>
    </row>
    <row r="970" spans="1:3" x14ac:dyDescent="0.25">
      <c r="A970" s="155">
        <f t="shared" si="44"/>
        <v>955</v>
      </c>
      <c r="B970" s="151">
        <f t="shared" ca="1" si="42"/>
        <v>74.868431737091186</v>
      </c>
      <c r="C970" s="158">
        <f t="shared" ca="1" si="43"/>
        <v>1</v>
      </c>
    </row>
    <row r="971" spans="1:3" x14ac:dyDescent="0.25">
      <c r="A971" s="155">
        <f t="shared" si="44"/>
        <v>956</v>
      </c>
      <c r="B971" s="151">
        <f t="shared" ca="1" si="42"/>
        <v>10.916562044485417</v>
      </c>
      <c r="C971" s="158">
        <f t="shared" ca="1" si="43"/>
        <v>0</v>
      </c>
    </row>
    <row r="972" spans="1:3" x14ac:dyDescent="0.25">
      <c r="A972" s="155">
        <f t="shared" si="44"/>
        <v>957</v>
      </c>
      <c r="B972" s="151">
        <f t="shared" ca="1" si="42"/>
        <v>34.979862484725558</v>
      </c>
      <c r="C972" s="158">
        <f t="shared" ca="1" si="43"/>
        <v>1</v>
      </c>
    </row>
    <row r="973" spans="1:3" x14ac:dyDescent="0.25">
      <c r="A973" s="155">
        <f t="shared" si="44"/>
        <v>958</v>
      </c>
      <c r="B973" s="151">
        <f t="shared" ca="1" si="42"/>
        <v>110.77943854389336</v>
      </c>
      <c r="C973" s="158">
        <f t="shared" ca="1" si="43"/>
        <v>1</v>
      </c>
    </row>
    <row r="974" spans="1:3" x14ac:dyDescent="0.25">
      <c r="A974" s="155">
        <f t="shared" si="44"/>
        <v>959</v>
      </c>
      <c r="B974" s="151">
        <f t="shared" ca="1" si="42"/>
        <v>6.8589750795815547</v>
      </c>
      <c r="C974" s="158">
        <f t="shared" ca="1" si="43"/>
        <v>0</v>
      </c>
    </row>
    <row r="975" spans="1:3" x14ac:dyDescent="0.25">
      <c r="A975" s="155">
        <f t="shared" si="44"/>
        <v>960</v>
      </c>
      <c r="B975" s="151">
        <f t="shared" ca="1" si="42"/>
        <v>38.174535800445355</v>
      </c>
      <c r="C975" s="158">
        <f t="shared" ca="1" si="43"/>
        <v>1</v>
      </c>
    </row>
    <row r="976" spans="1:3" x14ac:dyDescent="0.25">
      <c r="A976" s="155">
        <f t="shared" si="44"/>
        <v>961</v>
      </c>
      <c r="B976" s="151">
        <f t="shared" ca="1" si="42"/>
        <v>85.028116016483452</v>
      </c>
      <c r="C976" s="158">
        <f t="shared" ca="1" si="43"/>
        <v>1</v>
      </c>
    </row>
    <row r="977" spans="1:3" x14ac:dyDescent="0.25">
      <c r="A977" s="155">
        <f t="shared" si="44"/>
        <v>962</v>
      </c>
      <c r="B977" s="151">
        <f t="shared" ref="B977:B1015" ca="1" si="45">_xlfn.NORM.INV(RAND(), $B$9, $B$10)</f>
        <v>75.763957224046166</v>
      </c>
      <c r="C977" s="158">
        <f t="shared" ref="C977:C1015" ca="1" si="46">IF(B977 &gt;= $B$11, 1, 0)</f>
        <v>1</v>
      </c>
    </row>
    <row r="978" spans="1:3" x14ac:dyDescent="0.25">
      <c r="A978" s="155">
        <f t="shared" ref="A978:A1015" si="47">+A977+1</f>
        <v>963</v>
      </c>
      <c r="B978" s="151">
        <f t="shared" ca="1" si="45"/>
        <v>31.455519996431931</v>
      </c>
      <c r="C978" s="158">
        <f t="shared" ca="1" si="46"/>
        <v>1</v>
      </c>
    </row>
    <row r="979" spans="1:3" x14ac:dyDescent="0.25">
      <c r="A979" s="155">
        <f t="shared" si="47"/>
        <v>964</v>
      </c>
      <c r="B979" s="151">
        <f t="shared" ca="1" si="45"/>
        <v>79.08394713391327</v>
      </c>
      <c r="C979" s="158">
        <f t="shared" ca="1" si="46"/>
        <v>1</v>
      </c>
    </row>
    <row r="980" spans="1:3" x14ac:dyDescent="0.25">
      <c r="A980" s="155">
        <f t="shared" si="47"/>
        <v>965</v>
      </c>
      <c r="B980" s="151">
        <f t="shared" ca="1" si="45"/>
        <v>-45.286964713659344</v>
      </c>
      <c r="C980" s="158">
        <f t="shared" ca="1" si="46"/>
        <v>0</v>
      </c>
    </row>
    <row r="981" spans="1:3" x14ac:dyDescent="0.25">
      <c r="A981" s="155">
        <f t="shared" si="47"/>
        <v>966</v>
      </c>
      <c r="B981" s="151">
        <f t="shared" ca="1" si="45"/>
        <v>18.963541578492976</v>
      </c>
      <c r="C981" s="158">
        <f t="shared" ca="1" si="46"/>
        <v>0</v>
      </c>
    </row>
    <row r="982" spans="1:3" x14ac:dyDescent="0.25">
      <c r="A982" s="155">
        <f t="shared" si="47"/>
        <v>967</v>
      </c>
      <c r="B982" s="151">
        <f t="shared" ca="1" si="45"/>
        <v>24.117558916892797</v>
      </c>
      <c r="C982" s="158">
        <f t="shared" ca="1" si="46"/>
        <v>0</v>
      </c>
    </row>
    <row r="983" spans="1:3" x14ac:dyDescent="0.25">
      <c r="A983" s="155">
        <f t="shared" si="47"/>
        <v>968</v>
      </c>
      <c r="B983" s="151">
        <f t="shared" ca="1" si="45"/>
        <v>-19.70274183124836</v>
      </c>
      <c r="C983" s="158">
        <f t="shared" ca="1" si="46"/>
        <v>0</v>
      </c>
    </row>
    <row r="984" spans="1:3" x14ac:dyDescent="0.25">
      <c r="A984" s="155">
        <f t="shared" si="47"/>
        <v>969</v>
      </c>
      <c r="B984" s="151">
        <f t="shared" ca="1" si="45"/>
        <v>57.078918547380752</v>
      </c>
      <c r="C984" s="158">
        <f t="shared" ca="1" si="46"/>
        <v>1</v>
      </c>
    </row>
    <row r="985" spans="1:3" x14ac:dyDescent="0.25">
      <c r="A985" s="155">
        <f t="shared" si="47"/>
        <v>970</v>
      </c>
      <c r="B985" s="151">
        <f t="shared" ca="1" si="45"/>
        <v>67.474572510596516</v>
      </c>
      <c r="C985" s="158">
        <f t="shared" ca="1" si="46"/>
        <v>1</v>
      </c>
    </row>
    <row r="986" spans="1:3" x14ac:dyDescent="0.25">
      <c r="A986" s="155">
        <f t="shared" si="47"/>
        <v>971</v>
      </c>
      <c r="B986" s="151">
        <f t="shared" ca="1" si="45"/>
        <v>106.34084000059532</v>
      </c>
      <c r="C986" s="158">
        <f t="shared" ca="1" si="46"/>
        <v>1</v>
      </c>
    </row>
    <row r="987" spans="1:3" x14ac:dyDescent="0.25">
      <c r="A987" s="155">
        <f t="shared" si="47"/>
        <v>972</v>
      </c>
      <c r="B987" s="151">
        <f t="shared" ca="1" si="45"/>
        <v>80.852953382131403</v>
      </c>
      <c r="C987" s="158">
        <f t="shared" ca="1" si="46"/>
        <v>1</v>
      </c>
    </row>
    <row r="988" spans="1:3" x14ac:dyDescent="0.25">
      <c r="A988" s="155">
        <f t="shared" si="47"/>
        <v>973</v>
      </c>
      <c r="B988" s="151">
        <f t="shared" ca="1" si="45"/>
        <v>-4.2592924574664366</v>
      </c>
      <c r="C988" s="158">
        <f t="shared" ca="1" si="46"/>
        <v>0</v>
      </c>
    </row>
    <row r="989" spans="1:3" x14ac:dyDescent="0.25">
      <c r="A989" s="155">
        <f t="shared" si="47"/>
        <v>974</v>
      </c>
      <c r="B989" s="151">
        <f t="shared" ca="1" si="45"/>
        <v>15.769416512911192</v>
      </c>
      <c r="C989" s="158">
        <f t="shared" ca="1" si="46"/>
        <v>0</v>
      </c>
    </row>
    <row r="990" spans="1:3" x14ac:dyDescent="0.25">
      <c r="A990" s="155">
        <f t="shared" si="47"/>
        <v>975</v>
      </c>
      <c r="B990" s="151">
        <f t="shared" ca="1" si="45"/>
        <v>1.0813788869303664</v>
      </c>
      <c r="C990" s="158">
        <f t="shared" ca="1" si="46"/>
        <v>0</v>
      </c>
    </row>
    <row r="991" spans="1:3" x14ac:dyDescent="0.25">
      <c r="A991" s="155">
        <f t="shared" si="47"/>
        <v>976</v>
      </c>
      <c r="B991" s="151">
        <f t="shared" ca="1" si="45"/>
        <v>17.060969466104382</v>
      </c>
      <c r="C991" s="158">
        <f t="shared" ca="1" si="46"/>
        <v>0</v>
      </c>
    </row>
    <row r="992" spans="1:3" x14ac:dyDescent="0.25">
      <c r="A992" s="155">
        <f t="shared" si="47"/>
        <v>977</v>
      </c>
      <c r="B992" s="151">
        <f t="shared" ca="1" si="45"/>
        <v>29.333317975350301</v>
      </c>
      <c r="C992" s="158">
        <f t="shared" ca="1" si="46"/>
        <v>1</v>
      </c>
    </row>
    <row r="993" spans="1:3" x14ac:dyDescent="0.25">
      <c r="A993" s="155">
        <f t="shared" si="47"/>
        <v>978</v>
      </c>
      <c r="B993" s="151">
        <f t="shared" ca="1" si="45"/>
        <v>-36.269029265301882</v>
      </c>
      <c r="C993" s="158">
        <f t="shared" ca="1" si="46"/>
        <v>0</v>
      </c>
    </row>
    <row r="994" spans="1:3" x14ac:dyDescent="0.25">
      <c r="A994" s="155">
        <f t="shared" si="47"/>
        <v>979</v>
      </c>
      <c r="B994" s="151">
        <f t="shared" ca="1" si="45"/>
        <v>-2.8350371477142602</v>
      </c>
      <c r="C994" s="158">
        <f t="shared" ca="1" si="46"/>
        <v>0</v>
      </c>
    </row>
    <row r="995" spans="1:3" x14ac:dyDescent="0.25">
      <c r="A995" s="155">
        <f t="shared" si="47"/>
        <v>980</v>
      </c>
      <c r="B995" s="151">
        <f t="shared" ca="1" si="45"/>
        <v>-54.13274962197174</v>
      </c>
      <c r="C995" s="158">
        <f t="shared" ca="1" si="46"/>
        <v>0</v>
      </c>
    </row>
    <row r="996" spans="1:3" x14ac:dyDescent="0.25">
      <c r="A996" s="155">
        <f t="shared" si="47"/>
        <v>981</v>
      </c>
      <c r="B996" s="151">
        <f t="shared" ca="1" si="45"/>
        <v>51.50042800545792</v>
      </c>
      <c r="C996" s="158">
        <f t="shared" ca="1" si="46"/>
        <v>1</v>
      </c>
    </row>
    <row r="997" spans="1:3" x14ac:dyDescent="0.25">
      <c r="A997" s="155">
        <f t="shared" si="47"/>
        <v>982</v>
      </c>
      <c r="B997" s="151">
        <f t="shared" ca="1" si="45"/>
        <v>68.356958459693416</v>
      </c>
      <c r="C997" s="158">
        <f t="shared" ca="1" si="46"/>
        <v>1</v>
      </c>
    </row>
    <row r="998" spans="1:3" x14ac:dyDescent="0.25">
      <c r="A998" s="155">
        <f t="shared" si="47"/>
        <v>983</v>
      </c>
      <c r="B998" s="151">
        <f t="shared" ca="1" si="45"/>
        <v>7.6025409606156131</v>
      </c>
      <c r="C998" s="158">
        <f t="shared" ca="1" si="46"/>
        <v>0</v>
      </c>
    </row>
    <row r="999" spans="1:3" x14ac:dyDescent="0.25">
      <c r="A999" s="155">
        <f t="shared" si="47"/>
        <v>984</v>
      </c>
      <c r="B999" s="151">
        <f t="shared" ca="1" si="45"/>
        <v>127.14066664810672</v>
      </c>
      <c r="C999" s="158">
        <f t="shared" ca="1" si="46"/>
        <v>1</v>
      </c>
    </row>
    <row r="1000" spans="1:3" x14ac:dyDescent="0.25">
      <c r="A1000" s="155">
        <f t="shared" si="47"/>
        <v>985</v>
      </c>
      <c r="B1000" s="151">
        <f t="shared" ca="1" si="45"/>
        <v>77.897699721447424</v>
      </c>
      <c r="C1000" s="158">
        <f t="shared" ca="1" si="46"/>
        <v>1</v>
      </c>
    </row>
    <row r="1001" spans="1:3" x14ac:dyDescent="0.25">
      <c r="A1001" s="155">
        <f t="shared" si="47"/>
        <v>986</v>
      </c>
      <c r="B1001" s="151">
        <f t="shared" ca="1" si="45"/>
        <v>43.972375758652248</v>
      </c>
      <c r="C1001" s="158">
        <f t="shared" ca="1" si="46"/>
        <v>1</v>
      </c>
    </row>
    <row r="1002" spans="1:3" x14ac:dyDescent="0.25">
      <c r="A1002" s="155">
        <f t="shared" si="47"/>
        <v>987</v>
      </c>
      <c r="B1002" s="151">
        <f t="shared" ca="1" si="45"/>
        <v>111.12238211291694</v>
      </c>
      <c r="C1002" s="158">
        <f t="shared" ca="1" si="46"/>
        <v>1</v>
      </c>
    </row>
    <row r="1003" spans="1:3" x14ac:dyDescent="0.25">
      <c r="A1003" s="155">
        <f t="shared" si="47"/>
        <v>988</v>
      </c>
      <c r="B1003" s="151">
        <f t="shared" ca="1" si="45"/>
        <v>-1.7061085731215684</v>
      </c>
      <c r="C1003" s="158">
        <f t="shared" ca="1" si="46"/>
        <v>0</v>
      </c>
    </row>
    <row r="1004" spans="1:3" x14ac:dyDescent="0.25">
      <c r="A1004" s="155">
        <f t="shared" si="47"/>
        <v>989</v>
      </c>
      <c r="B1004" s="151">
        <f t="shared" ca="1" si="45"/>
        <v>46.073313305718088</v>
      </c>
      <c r="C1004" s="158">
        <f t="shared" ca="1" si="46"/>
        <v>1</v>
      </c>
    </row>
    <row r="1005" spans="1:3" x14ac:dyDescent="0.25">
      <c r="A1005" s="155">
        <f t="shared" si="47"/>
        <v>990</v>
      </c>
      <c r="B1005" s="151">
        <f t="shared" ca="1" si="45"/>
        <v>-18.201267012574625</v>
      </c>
      <c r="C1005" s="158">
        <f t="shared" ca="1" si="46"/>
        <v>0</v>
      </c>
    </row>
    <row r="1006" spans="1:3" x14ac:dyDescent="0.25">
      <c r="A1006" s="155">
        <f t="shared" si="47"/>
        <v>991</v>
      </c>
      <c r="B1006" s="151">
        <f t="shared" ca="1" si="45"/>
        <v>94.092743102005016</v>
      </c>
      <c r="C1006" s="158">
        <f t="shared" ca="1" si="46"/>
        <v>1</v>
      </c>
    </row>
    <row r="1007" spans="1:3" x14ac:dyDescent="0.25">
      <c r="A1007" s="155">
        <f t="shared" si="47"/>
        <v>992</v>
      </c>
      <c r="B1007" s="151">
        <f t="shared" ca="1" si="45"/>
        <v>77.203987293726172</v>
      </c>
      <c r="C1007" s="158">
        <f t="shared" ca="1" si="46"/>
        <v>1</v>
      </c>
    </row>
    <row r="1008" spans="1:3" x14ac:dyDescent="0.25">
      <c r="A1008" s="155">
        <f t="shared" si="47"/>
        <v>993</v>
      </c>
      <c r="B1008" s="151">
        <f t="shared" ca="1" si="45"/>
        <v>-4.9952281581206961</v>
      </c>
      <c r="C1008" s="158">
        <f t="shared" ca="1" si="46"/>
        <v>0</v>
      </c>
    </row>
    <row r="1009" spans="1:3" x14ac:dyDescent="0.25">
      <c r="A1009" s="155">
        <f t="shared" si="47"/>
        <v>994</v>
      </c>
      <c r="B1009" s="151">
        <f t="shared" ca="1" si="45"/>
        <v>28.493381613699221</v>
      </c>
      <c r="C1009" s="158">
        <f t="shared" ca="1" si="46"/>
        <v>1</v>
      </c>
    </row>
    <row r="1010" spans="1:3" x14ac:dyDescent="0.25">
      <c r="A1010" s="155">
        <f t="shared" si="47"/>
        <v>995</v>
      </c>
      <c r="B1010" s="151">
        <f t="shared" ca="1" si="45"/>
        <v>-4.1740171864092019</v>
      </c>
      <c r="C1010" s="158">
        <f t="shared" ca="1" si="46"/>
        <v>0</v>
      </c>
    </row>
    <row r="1011" spans="1:3" x14ac:dyDescent="0.25">
      <c r="A1011" s="155">
        <f t="shared" si="47"/>
        <v>996</v>
      </c>
      <c r="B1011" s="151">
        <f t="shared" ca="1" si="45"/>
        <v>-9.0679746964043986</v>
      </c>
      <c r="C1011" s="158">
        <f t="shared" ca="1" si="46"/>
        <v>0</v>
      </c>
    </row>
    <row r="1012" spans="1:3" x14ac:dyDescent="0.25">
      <c r="A1012" s="155">
        <f t="shared" si="47"/>
        <v>997</v>
      </c>
      <c r="B1012" s="151">
        <f t="shared" ca="1" si="45"/>
        <v>3.4249961053633662</v>
      </c>
      <c r="C1012" s="158">
        <f t="shared" ca="1" si="46"/>
        <v>0</v>
      </c>
    </row>
    <row r="1013" spans="1:3" x14ac:dyDescent="0.25">
      <c r="A1013" s="155">
        <f t="shared" si="47"/>
        <v>998</v>
      </c>
      <c r="B1013" s="151">
        <f t="shared" ca="1" si="45"/>
        <v>-50.735981100936868</v>
      </c>
      <c r="C1013" s="158">
        <f t="shared" ca="1" si="46"/>
        <v>0</v>
      </c>
    </row>
    <row r="1014" spans="1:3" x14ac:dyDescent="0.25">
      <c r="A1014" s="155">
        <f t="shared" si="47"/>
        <v>999</v>
      </c>
      <c r="B1014" s="151">
        <f t="shared" ca="1" si="45"/>
        <v>73.997655280803002</v>
      </c>
      <c r="C1014" s="158">
        <f t="shared" ca="1" si="46"/>
        <v>1</v>
      </c>
    </row>
    <row r="1015" spans="1:3" ht="15.75" thickBot="1" x14ac:dyDescent="0.3">
      <c r="A1015" s="156">
        <f t="shared" si="47"/>
        <v>1000</v>
      </c>
      <c r="B1015" s="153">
        <f t="shared" ca="1" si="45"/>
        <v>-4.2187777071525261</v>
      </c>
      <c r="C1015" s="159">
        <f t="shared" ca="1" si="46"/>
        <v>0</v>
      </c>
    </row>
  </sheetData>
  <mergeCells count="4">
    <mergeCell ref="A1:G1"/>
    <mergeCell ref="A2:G2"/>
    <mergeCell ref="A6:B6"/>
    <mergeCell ref="F6:G6"/>
  </mergeCells>
  <conditionalFormatting sqref="A16:C1015">
    <cfRule type="expression" dxfId="2" priority="1">
      <formula>MOD(ROW(),2)=0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E04B-E389-4688-805E-9554A26CAE02}">
  <dimension ref="A1:I1015"/>
  <sheetViews>
    <sheetView showGridLines="0" workbookViewId="0">
      <selection activeCell="E33" sqref="E33"/>
    </sheetView>
  </sheetViews>
  <sheetFormatPr defaultRowHeight="15" x14ac:dyDescent="0.25"/>
  <cols>
    <col min="1" max="1" width="10.42578125" customWidth="1"/>
    <col min="2" max="2" width="15.28515625" customWidth="1"/>
    <col min="3" max="3" width="17.140625" customWidth="1"/>
    <col min="4" max="5" width="15.28515625" customWidth="1"/>
    <col min="6" max="6" width="24.7109375" customWidth="1"/>
    <col min="7" max="7" width="15.28515625" customWidth="1"/>
  </cols>
  <sheetData>
    <row r="1" spans="1:9" ht="32.1" customHeight="1" x14ac:dyDescent="0.35">
      <c r="A1" s="133" t="s">
        <v>62</v>
      </c>
      <c r="B1" s="133"/>
      <c r="C1" s="133"/>
      <c r="D1" s="133"/>
      <c r="E1" s="133"/>
      <c r="F1" s="133"/>
      <c r="G1" s="133"/>
    </row>
    <row r="2" spans="1:9" ht="18" customHeight="1" x14ac:dyDescent="0.25">
      <c r="A2" s="272" t="s">
        <v>166</v>
      </c>
      <c r="B2" s="20"/>
      <c r="C2" s="20"/>
      <c r="D2" s="20"/>
      <c r="E2" s="20"/>
      <c r="F2" s="20"/>
      <c r="G2" s="20"/>
    </row>
    <row r="3" spans="1:9" ht="8.1" customHeight="1" x14ac:dyDescent="0.25"/>
    <row r="4" spans="1:9" ht="6" customHeight="1" x14ac:dyDescent="0.25"/>
    <row r="5" spans="1:9" ht="6" customHeight="1" thickBot="1" x14ac:dyDescent="0.3"/>
    <row r="6" spans="1:9" ht="20.100000000000001" customHeight="1" x14ac:dyDescent="0.25">
      <c r="A6" s="135" t="s">
        <v>63</v>
      </c>
      <c r="B6" s="136"/>
      <c r="F6" s="141" t="s">
        <v>69</v>
      </c>
      <c r="G6" s="142"/>
    </row>
    <row r="7" spans="1:9" ht="18.95" customHeight="1" x14ac:dyDescent="0.25">
      <c r="A7" s="137" t="s">
        <v>64</v>
      </c>
      <c r="B7" s="138">
        <v>1000</v>
      </c>
      <c r="F7" s="143" t="s">
        <v>70</v>
      </c>
      <c r="G7" s="144">
        <f ca="1">AVERAGE(B16:B1015)</f>
        <v>36.450051047793522</v>
      </c>
    </row>
    <row r="8" spans="1:9" ht="18.95" customHeight="1" x14ac:dyDescent="0.25">
      <c r="A8" s="137" t="s">
        <v>65</v>
      </c>
      <c r="B8" s="138">
        <v>115</v>
      </c>
      <c r="F8" s="143" t="s">
        <v>71</v>
      </c>
      <c r="G8" s="144">
        <f ca="1">PERCENTILE(B16:B1015, 0.025)</f>
        <v>-7.7517048461433884</v>
      </c>
    </row>
    <row r="9" spans="1:9" ht="18.95" customHeight="1" x14ac:dyDescent="0.25">
      <c r="A9" s="137" t="s">
        <v>66</v>
      </c>
      <c r="B9" s="138">
        <v>35</v>
      </c>
      <c r="F9" s="143" t="s">
        <v>72</v>
      </c>
      <c r="G9" s="144">
        <f ca="1">PERCENTILE(B16:B1015, 0.975)</f>
        <v>85.226546127683335</v>
      </c>
    </row>
    <row r="10" spans="1:9" ht="24" customHeight="1" x14ac:dyDescent="0.25">
      <c r="A10" s="137" t="s">
        <v>67</v>
      </c>
      <c r="B10" s="138">
        <v>25</v>
      </c>
      <c r="F10" s="145" t="s">
        <v>36</v>
      </c>
      <c r="G10" s="146">
        <f ca="1">AVERAGE(C16:C1015)</f>
        <v>0.66600000000000004</v>
      </c>
    </row>
    <row r="11" spans="1:9" ht="18.95" customHeight="1" thickBot="1" x14ac:dyDescent="0.3">
      <c r="A11" s="139" t="s">
        <v>68</v>
      </c>
      <c r="B11" s="140">
        <v>25</v>
      </c>
      <c r="F11" s="143" t="s">
        <v>73</v>
      </c>
      <c r="G11" s="147">
        <v>25</v>
      </c>
    </row>
    <row r="12" spans="1:9" ht="18.95" customHeight="1" thickBot="1" x14ac:dyDescent="0.3">
      <c r="F12" s="148" t="s">
        <v>74</v>
      </c>
      <c r="G12" s="149">
        <v>1000</v>
      </c>
    </row>
    <row r="14" spans="1:9" ht="15.75" thickBot="1" x14ac:dyDescent="0.3"/>
    <row r="15" spans="1:9" ht="21.95" customHeight="1" x14ac:dyDescent="0.25">
      <c r="A15" s="154" t="s">
        <v>12</v>
      </c>
      <c r="B15" s="152" t="s">
        <v>75</v>
      </c>
      <c r="C15" s="157" t="s">
        <v>11</v>
      </c>
      <c r="D15" s="160" t="s">
        <v>76</v>
      </c>
      <c r="E15" s="160" t="s">
        <v>77</v>
      </c>
      <c r="F15" s="150"/>
      <c r="G15" s="150"/>
      <c r="H15" s="150"/>
      <c r="I15" s="150"/>
    </row>
    <row r="16" spans="1:9" x14ac:dyDescent="0.25">
      <c r="A16" s="155">
        <v>1</v>
      </c>
      <c r="B16" s="151">
        <f ca="1">_xlfn.NORM.INV(RAND(), $B$9, $B$10)</f>
        <v>29.477160548845809</v>
      </c>
      <c r="C16" s="158">
        <f ca="1">IF(B16 &gt;= $B$11, 1, 0)</f>
        <v>1</v>
      </c>
      <c r="D16" s="162" t="s">
        <v>78</v>
      </c>
      <c r="E16" s="162">
        <f ca="1">COUNTIFS(B16:B1015,"&gt;=-75",B16:B1015,"&lt;-50")</f>
        <v>0</v>
      </c>
    </row>
    <row r="17" spans="1:5" x14ac:dyDescent="0.25">
      <c r="A17" s="155">
        <f>+A16+1</f>
        <v>2</v>
      </c>
      <c r="B17" s="151">
        <f t="shared" ref="B17:B80" ca="1" si="0">_xlfn.NORM.INV(RAND(), $B$9, $B$10)</f>
        <v>53.186642177706887</v>
      </c>
      <c r="C17" s="158">
        <f t="shared" ref="C17:C80" ca="1" si="1">IF(B17 &gt;= $B$11, 1, 0)</f>
        <v>1</v>
      </c>
      <c r="D17" s="162" t="s">
        <v>79</v>
      </c>
      <c r="E17" s="162">
        <f ca="1">COUNTIFS(B16:B1015,"&gt;=-50",B16:B1015,"&lt;-25")</f>
        <v>3</v>
      </c>
    </row>
    <row r="18" spans="1:5" x14ac:dyDescent="0.25">
      <c r="A18" s="155">
        <f t="shared" ref="A18:A81" si="2">+A17+1</f>
        <v>3</v>
      </c>
      <c r="B18" s="151">
        <f t="shared" ca="1" si="0"/>
        <v>5.6994159741642605</v>
      </c>
      <c r="C18" s="158">
        <f t="shared" ca="1" si="1"/>
        <v>0</v>
      </c>
      <c r="D18" s="162" t="s">
        <v>80</v>
      </c>
      <c r="E18" s="162">
        <f ca="1">COUNTIFS(B16:B1015,"&gt;=-25",B16:B1015,"&lt;0")</f>
        <v>68</v>
      </c>
    </row>
    <row r="19" spans="1:5" x14ac:dyDescent="0.25">
      <c r="A19" s="155">
        <f t="shared" si="2"/>
        <v>4</v>
      </c>
      <c r="B19" s="151">
        <f t="shared" ca="1" si="0"/>
        <v>46.617527618981825</v>
      </c>
      <c r="C19" s="158">
        <f t="shared" ca="1" si="1"/>
        <v>1</v>
      </c>
      <c r="D19" s="162" t="s">
        <v>81</v>
      </c>
      <c r="E19" s="162">
        <f ca="1">COUNTIFS(B16:B1015,"&gt;=0",B16:B1015,"&lt;25")</f>
        <v>263</v>
      </c>
    </row>
    <row r="20" spans="1:5" x14ac:dyDescent="0.25">
      <c r="A20" s="155">
        <f t="shared" si="2"/>
        <v>5</v>
      </c>
      <c r="B20" s="151">
        <f t="shared" ca="1" si="0"/>
        <v>36.674546898176992</v>
      </c>
      <c r="C20" s="158">
        <f t="shared" ca="1" si="1"/>
        <v>1</v>
      </c>
      <c r="D20" s="161" t="s">
        <v>82</v>
      </c>
      <c r="E20" s="161">
        <f ca="1">COUNTIFS(B16:B1015,"&gt;=25",B16:B1015,"&lt;50")</f>
        <v>365</v>
      </c>
    </row>
    <row r="21" spans="1:5" x14ac:dyDescent="0.25">
      <c r="A21" s="155">
        <f t="shared" si="2"/>
        <v>6</v>
      </c>
      <c r="B21" s="151">
        <f t="shared" ca="1" si="0"/>
        <v>35.252819419449175</v>
      </c>
      <c r="C21" s="158">
        <f t="shared" ca="1" si="1"/>
        <v>1</v>
      </c>
      <c r="D21" s="161" t="s">
        <v>83</v>
      </c>
      <c r="E21" s="161">
        <f ca="1">COUNTIFS(B16:B1015,"&gt;=50",B16:B1015,"&lt;75")</f>
        <v>234</v>
      </c>
    </row>
    <row r="22" spans="1:5" x14ac:dyDescent="0.25">
      <c r="A22" s="155">
        <f t="shared" si="2"/>
        <v>7</v>
      </c>
      <c r="B22" s="151">
        <f t="shared" ca="1" si="0"/>
        <v>82.964120088451736</v>
      </c>
      <c r="C22" s="158">
        <f t="shared" ca="1" si="1"/>
        <v>1</v>
      </c>
      <c r="D22" s="161" t="s">
        <v>84</v>
      </c>
      <c r="E22" s="161">
        <f ca="1">COUNTIFS(B16:B1015,"&gt;=75",B16:B1015,"&lt;100")</f>
        <v>58</v>
      </c>
    </row>
    <row r="23" spans="1:5" x14ac:dyDescent="0.25">
      <c r="A23" s="155">
        <f t="shared" si="2"/>
        <v>8</v>
      </c>
      <c r="B23" s="151">
        <f t="shared" ca="1" si="0"/>
        <v>22.046059651818123</v>
      </c>
      <c r="C23" s="158">
        <f t="shared" ca="1" si="1"/>
        <v>0</v>
      </c>
      <c r="D23" s="161" t="s">
        <v>85</v>
      </c>
      <c r="E23" s="161">
        <f ca="1">COUNTIFS(B16:B1015,"&gt;=100",B16:B1015,"&lt;125")</f>
        <v>9</v>
      </c>
    </row>
    <row r="24" spans="1:5" x14ac:dyDescent="0.25">
      <c r="A24" s="155">
        <f t="shared" si="2"/>
        <v>9</v>
      </c>
      <c r="B24" s="151">
        <f t="shared" ca="1" si="0"/>
        <v>-4.8040093289428327</v>
      </c>
      <c r="C24" s="158">
        <f t="shared" ca="1" si="1"/>
        <v>0</v>
      </c>
    </row>
    <row r="25" spans="1:5" x14ac:dyDescent="0.25">
      <c r="A25" s="155">
        <f t="shared" si="2"/>
        <v>10</v>
      </c>
      <c r="B25" s="151">
        <f t="shared" ca="1" si="0"/>
        <v>5.7402163697750268</v>
      </c>
      <c r="C25" s="158">
        <f t="shared" ca="1" si="1"/>
        <v>0</v>
      </c>
    </row>
    <row r="26" spans="1:5" x14ac:dyDescent="0.25">
      <c r="A26" s="155">
        <f t="shared" si="2"/>
        <v>11</v>
      </c>
      <c r="B26" s="151">
        <f t="shared" ca="1" si="0"/>
        <v>83.140015190445695</v>
      </c>
      <c r="C26" s="158">
        <f t="shared" ca="1" si="1"/>
        <v>1</v>
      </c>
    </row>
    <row r="27" spans="1:5" x14ac:dyDescent="0.25">
      <c r="A27" s="155">
        <f t="shared" si="2"/>
        <v>12</v>
      </c>
      <c r="B27" s="151">
        <f t="shared" ca="1" si="0"/>
        <v>59.961181567620606</v>
      </c>
      <c r="C27" s="158">
        <f t="shared" ca="1" si="1"/>
        <v>1</v>
      </c>
    </row>
    <row r="28" spans="1:5" x14ac:dyDescent="0.25">
      <c r="A28" s="155">
        <f t="shared" si="2"/>
        <v>13</v>
      </c>
      <c r="B28" s="151">
        <f t="shared" ca="1" si="0"/>
        <v>-3.496498144409621</v>
      </c>
      <c r="C28" s="158">
        <f t="shared" ca="1" si="1"/>
        <v>0</v>
      </c>
    </row>
    <row r="29" spans="1:5" x14ac:dyDescent="0.25">
      <c r="A29" s="155">
        <f t="shared" si="2"/>
        <v>14</v>
      </c>
      <c r="B29" s="151">
        <f t="shared" ca="1" si="0"/>
        <v>59.249343885546153</v>
      </c>
      <c r="C29" s="158">
        <f t="shared" ca="1" si="1"/>
        <v>1</v>
      </c>
    </row>
    <row r="30" spans="1:5" x14ac:dyDescent="0.25">
      <c r="A30" s="155">
        <f t="shared" si="2"/>
        <v>15</v>
      </c>
      <c r="B30" s="151">
        <f t="shared" ca="1" si="0"/>
        <v>-12.824953302594061</v>
      </c>
      <c r="C30" s="158">
        <f t="shared" ca="1" si="1"/>
        <v>0</v>
      </c>
    </row>
    <row r="31" spans="1:5" x14ac:dyDescent="0.25">
      <c r="A31" s="155">
        <f t="shared" si="2"/>
        <v>16</v>
      </c>
      <c r="B31" s="151">
        <f t="shared" ca="1" si="0"/>
        <v>28.022058057254071</v>
      </c>
      <c r="C31" s="158">
        <f t="shared" ca="1" si="1"/>
        <v>1</v>
      </c>
    </row>
    <row r="32" spans="1:5" x14ac:dyDescent="0.25">
      <c r="A32" s="155">
        <f t="shared" si="2"/>
        <v>17</v>
      </c>
      <c r="B32" s="151">
        <f t="shared" ca="1" si="0"/>
        <v>55.51385911249924</v>
      </c>
      <c r="C32" s="158">
        <f t="shared" ca="1" si="1"/>
        <v>1</v>
      </c>
    </row>
    <row r="33" spans="1:3" x14ac:dyDescent="0.25">
      <c r="A33" s="155">
        <f t="shared" si="2"/>
        <v>18</v>
      </c>
      <c r="B33" s="151">
        <f t="shared" ca="1" si="0"/>
        <v>61.939295856283309</v>
      </c>
      <c r="C33" s="158">
        <f t="shared" ca="1" si="1"/>
        <v>1</v>
      </c>
    </row>
    <row r="34" spans="1:3" x14ac:dyDescent="0.25">
      <c r="A34" s="155">
        <f t="shared" si="2"/>
        <v>19</v>
      </c>
      <c r="B34" s="151">
        <f t="shared" ca="1" si="0"/>
        <v>61.088717196417484</v>
      </c>
      <c r="C34" s="158">
        <f t="shared" ca="1" si="1"/>
        <v>1</v>
      </c>
    </row>
    <row r="35" spans="1:3" x14ac:dyDescent="0.25">
      <c r="A35" s="155">
        <f t="shared" si="2"/>
        <v>20</v>
      </c>
      <c r="B35" s="151">
        <f t="shared" ca="1" si="0"/>
        <v>-0.26029039675849219</v>
      </c>
      <c r="C35" s="158">
        <f t="shared" ca="1" si="1"/>
        <v>0</v>
      </c>
    </row>
    <row r="36" spans="1:3" x14ac:dyDescent="0.25">
      <c r="A36" s="155">
        <f t="shared" si="2"/>
        <v>21</v>
      </c>
      <c r="B36" s="151">
        <f t="shared" ca="1" si="0"/>
        <v>9.6700460109758382</v>
      </c>
      <c r="C36" s="158">
        <f t="shared" ca="1" si="1"/>
        <v>0</v>
      </c>
    </row>
    <row r="37" spans="1:3" x14ac:dyDescent="0.25">
      <c r="A37" s="155">
        <f t="shared" si="2"/>
        <v>22</v>
      </c>
      <c r="B37" s="151">
        <f t="shared" ca="1" si="0"/>
        <v>52.367345283746445</v>
      </c>
      <c r="C37" s="158">
        <f t="shared" ca="1" si="1"/>
        <v>1</v>
      </c>
    </row>
    <row r="38" spans="1:3" x14ac:dyDescent="0.25">
      <c r="A38" s="155">
        <f t="shared" si="2"/>
        <v>23</v>
      </c>
      <c r="B38" s="151">
        <f t="shared" ca="1" si="0"/>
        <v>30.460890266945373</v>
      </c>
      <c r="C38" s="158">
        <f t="shared" ca="1" si="1"/>
        <v>1</v>
      </c>
    </row>
    <row r="39" spans="1:3" x14ac:dyDescent="0.25">
      <c r="A39" s="155">
        <f t="shared" si="2"/>
        <v>24</v>
      </c>
      <c r="B39" s="151">
        <f t="shared" ca="1" si="0"/>
        <v>10.403279108157804</v>
      </c>
      <c r="C39" s="158">
        <f t="shared" ca="1" si="1"/>
        <v>0</v>
      </c>
    </row>
    <row r="40" spans="1:3" x14ac:dyDescent="0.25">
      <c r="A40" s="155">
        <f t="shared" si="2"/>
        <v>25</v>
      </c>
      <c r="B40" s="151">
        <f t="shared" ca="1" si="0"/>
        <v>28.211941952249006</v>
      </c>
      <c r="C40" s="158">
        <f t="shared" ca="1" si="1"/>
        <v>1</v>
      </c>
    </row>
    <row r="41" spans="1:3" x14ac:dyDescent="0.25">
      <c r="A41" s="155">
        <f t="shared" si="2"/>
        <v>26</v>
      </c>
      <c r="B41" s="151">
        <f t="shared" ca="1" si="0"/>
        <v>63.118690729767032</v>
      </c>
      <c r="C41" s="158">
        <f t="shared" ca="1" si="1"/>
        <v>1</v>
      </c>
    </row>
    <row r="42" spans="1:3" x14ac:dyDescent="0.25">
      <c r="A42" s="155">
        <f t="shared" si="2"/>
        <v>27</v>
      </c>
      <c r="B42" s="151">
        <f t="shared" ca="1" si="0"/>
        <v>57.859057307740898</v>
      </c>
      <c r="C42" s="158">
        <f t="shared" ca="1" si="1"/>
        <v>1</v>
      </c>
    </row>
    <row r="43" spans="1:3" x14ac:dyDescent="0.25">
      <c r="A43" s="155">
        <f t="shared" si="2"/>
        <v>28</v>
      </c>
      <c r="B43" s="151">
        <f t="shared" ca="1" si="0"/>
        <v>4.7212851481837745</v>
      </c>
      <c r="C43" s="158">
        <f t="shared" ca="1" si="1"/>
        <v>0</v>
      </c>
    </row>
    <row r="44" spans="1:3" x14ac:dyDescent="0.25">
      <c r="A44" s="155">
        <f t="shared" si="2"/>
        <v>29</v>
      </c>
      <c r="B44" s="151">
        <f t="shared" ca="1" si="0"/>
        <v>30.208729022775088</v>
      </c>
      <c r="C44" s="158">
        <f t="shared" ca="1" si="1"/>
        <v>1</v>
      </c>
    </row>
    <row r="45" spans="1:3" x14ac:dyDescent="0.25">
      <c r="A45" s="155">
        <f t="shared" si="2"/>
        <v>30</v>
      </c>
      <c r="B45" s="151">
        <f t="shared" ca="1" si="0"/>
        <v>59.309700784748955</v>
      </c>
      <c r="C45" s="158">
        <f t="shared" ca="1" si="1"/>
        <v>1</v>
      </c>
    </row>
    <row r="46" spans="1:3" x14ac:dyDescent="0.25">
      <c r="A46" s="155">
        <f t="shared" si="2"/>
        <v>31</v>
      </c>
      <c r="B46" s="151">
        <f t="shared" ca="1" si="0"/>
        <v>23.740696762662839</v>
      </c>
      <c r="C46" s="158">
        <f t="shared" ca="1" si="1"/>
        <v>0</v>
      </c>
    </row>
    <row r="47" spans="1:3" x14ac:dyDescent="0.25">
      <c r="A47" s="155">
        <f t="shared" si="2"/>
        <v>32</v>
      </c>
      <c r="B47" s="151">
        <f t="shared" ca="1" si="0"/>
        <v>49.681375666945243</v>
      </c>
      <c r="C47" s="158">
        <f t="shared" ca="1" si="1"/>
        <v>1</v>
      </c>
    </row>
    <row r="48" spans="1:3" x14ac:dyDescent="0.25">
      <c r="A48" s="155">
        <f t="shared" si="2"/>
        <v>33</v>
      </c>
      <c r="B48" s="151">
        <f t="shared" ca="1" si="0"/>
        <v>70.768012230466212</v>
      </c>
      <c r="C48" s="158">
        <f t="shared" ca="1" si="1"/>
        <v>1</v>
      </c>
    </row>
    <row r="49" spans="1:3" x14ac:dyDescent="0.25">
      <c r="A49" s="155">
        <f t="shared" si="2"/>
        <v>34</v>
      </c>
      <c r="B49" s="151">
        <f t="shared" ca="1" si="0"/>
        <v>40.281166581921916</v>
      </c>
      <c r="C49" s="158">
        <f t="shared" ca="1" si="1"/>
        <v>1</v>
      </c>
    </row>
    <row r="50" spans="1:3" x14ac:dyDescent="0.25">
      <c r="A50" s="155">
        <f t="shared" si="2"/>
        <v>35</v>
      </c>
      <c r="B50" s="151">
        <f t="shared" ca="1" si="0"/>
        <v>95.847148179496216</v>
      </c>
      <c r="C50" s="158">
        <f t="shared" ca="1" si="1"/>
        <v>1</v>
      </c>
    </row>
    <row r="51" spans="1:3" x14ac:dyDescent="0.25">
      <c r="A51" s="155">
        <f t="shared" si="2"/>
        <v>36</v>
      </c>
      <c r="B51" s="151">
        <f t="shared" ca="1" si="0"/>
        <v>3.2195780556798184</v>
      </c>
      <c r="C51" s="158">
        <f t="shared" ca="1" si="1"/>
        <v>0</v>
      </c>
    </row>
    <row r="52" spans="1:3" x14ac:dyDescent="0.25">
      <c r="A52" s="155">
        <f t="shared" si="2"/>
        <v>37</v>
      </c>
      <c r="B52" s="151">
        <f t="shared" ca="1" si="0"/>
        <v>51.687901117343912</v>
      </c>
      <c r="C52" s="158">
        <f t="shared" ca="1" si="1"/>
        <v>1</v>
      </c>
    </row>
    <row r="53" spans="1:3" x14ac:dyDescent="0.25">
      <c r="A53" s="155">
        <f t="shared" si="2"/>
        <v>38</v>
      </c>
      <c r="B53" s="151">
        <f t="shared" ca="1" si="0"/>
        <v>27.237817574578578</v>
      </c>
      <c r="C53" s="158">
        <f t="shared" ca="1" si="1"/>
        <v>1</v>
      </c>
    </row>
    <row r="54" spans="1:3" x14ac:dyDescent="0.25">
      <c r="A54" s="155">
        <f t="shared" si="2"/>
        <v>39</v>
      </c>
      <c r="B54" s="151">
        <f t="shared" ca="1" si="0"/>
        <v>30.659035741638373</v>
      </c>
      <c r="C54" s="158">
        <f t="shared" ca="1" si="1"/>
        <v>1</v>
      </c>
    </row>
    <row r="55" spans="1:3" x14ac:dyDescent="0.25">
      <c r="A55" s="155">
        <f t="shared" si="2"/>
        <v>40</v>
      </c>
      <c r="B55" s="151">
        <f t="shared" ca="1" si="0"/>
        <v>21.094796682171541</v>
      </c>
      <c r="C55" s="158">
        <f t="shared" ca="1" si="1"/>
        <v>0</v>
      </c>
    </row>
    <row r="56" spans="1:3" x14ac:dyDescent="0.25">
      <c r="A56" s="155">
        <f t="shared" si="2"/>
        <v>41</v>
      </c>
      <c r="B56" s="151">
        <f t="shared" ca="1" si="0"/>
        <v>29.582129273986432</v>
      </c>
      <c r="C56" s="158">
        <f t="shared" ca="1" si="1"/>
        <v>1</v>
      </c>
    </row>
    <row r="57" spans="1:3" x14ac:dyDescent="0.25">
      <c r="A57" s="155">
        <f t="shared" si="2"/>
        <v>42</v>
      </c>
      <c r="B57" s="151">
        <f t="shared" ca="1" si="0"/>
        <v>40.2411047298379</v>
      </c>
      <c r="C57" s="158">
        <f t="shared" ca="1" si="1"/>
        <v>1</v>
      </c>
    </row>
    <row r="58" spans="1:3" x14ac:dyDescent="0.25">
      <c r="A58" s="155">
        <f t="shared" si="2"/>
        <v>43</v>
      </c>
      <c r="B58" s="151">
        <f t="shared" ca="1" si="0"/>
        <v>15.418090453334433</v>
      </c>
      <c r="C58" s="158">
        <f t="shared" ca="1" si="1"/>
        <v>0</v>
      </c>
    </row>
    <row r="59" spans="1:3" x14ac:dyDescent="0.25">
      <c r="A59" s="155">
        <f t="shared" si="2"/>
        <v>44</v>
      </c>
      <c r="B59" s="151">
        <f t="shared" ca="1" si="0"/>
        <v>36.206423410625902</v>
      </c>
      <c r="C59" s="158">
        <f t="shared" ca="1" si="1"/>
        <v>1</v>
      </c>
    </row>
    <row r="60" spans="1:3" x14ac:dyDescent="0.25">
      <c r="A60" s="155">
        <f t="shared" si="2"/>
        <v>45</v>
      </c>
      <c r="B60" s="151">
        <f t="shared" ca="1" si="0"/>
        <v>73.499574289842258</v>
      </c>
      <c r="C60" s="158">
        <f t="shared" ca="1" si="1"/>
        <v>1</v>
      </c>
    </row>
    <row r="61" spans="1:3" x14ac:dyDescent="0.25">
      <c r="A61" s="155">
        <f t="shared" si="2"/>
        <v>46</v>
      </c>
      <c r="B61" s="151">
        <f t="shared" ca="1" si="0"/>
        <v>18.866734487873149</v>
      </c>
      <c r="C61" s="158">
        <f t="shared" ca="1" si="1"/>
        <v>0</v>
      </c>
    </row>
    <row r="62" spans="1:3" x14ac:dyDescent="0.25">
      <c r="A62" s="155">
        <f t="shared" si="2"/>
        <v>47</v>
      </c>
      <c r="B62" s="151">
        <f t="shared" ca="1" si="0"/>
        <v>-1.8823625920416376</v>
      </c>
      <c r="C62" s="158">
        <f t="shared" ca="1" si="1"/>
        <v>0</v>
      </c>
    </row>
    <row r="63" spans="1:3" x14ac:dyDescent="0.25">
      <c r="A63" s="155">
        <f t="shared" si="2"/>
        <v>48</v>
      </c>
      <c r="B63" s="151">
        <f t="shared" ca="1" si="0"/>
        <v>53.509734830240149</v>
      </c>
      <c r="C63" s="158">
        <f t="shared" ca="1" si="1"/>
        <v>1</v>
      </c>
    </row>
    <row r="64" spans="1:3" x14ac:dyDescent="0.25">
      <c r="A64" s="155">
        <f t="shared" si="2"/>
        <v>49</v>
      </c>
      <c r="B64" s="151">
        <f t="shared" ca="1" si="0"/>
        <v>92.441647706590089</v>
      </c>
      <c r="C64" s="158">
        <f t="shared" ca="1" si="1"/>
        <v>1</v>
      </c>
    </row>
    <row r="65" spans="1:3" x14ac:dyDescent="0.25">
      <c r="A65" s="155">
        <f t="shared" si="2"/>
        <v>50</v>
      </c>
      <c r="B65" s="151">
        <f t="shared" ca="1" si="0"/>
        <v>44.271731171906303</v>
      </c>
      <c r="C65" s="158">
        <f t="shared" ca="1" si="1"/>
        <v>1</v>
      </c>
    </row>
    <row r="66" spans="1:3" x14ac:dyDescent="0.25">
      <c r="A66" s="155">
        <f t="shared" si="2"/>
        <v>51</v>
      </c>
      <c r="B66" s="151">
        <f t="shared" ca="1" si="0"/>
        <v>33.314321225111584</v>
      </c>
      <c r="C66" s="158">
        <f t="shared" ca="1" si="1"/>
        <v>1</v>
      </c>
    </row>
    <row r="67" spans="1:3" x14ac:dyDescent="0.25">
      <c r="A67" s="155">
        <f t="shared" si="2"/>
        <v>52</v>
      </c>
      <c r="B67" s="151">
        <f t="shared" ca="1" si="0"/>
        <v>38.800886894819762</v>
      </c>
      <c r="C67" s="158">
        <f t="shared" ca="1" si="1"/>
        <v>1</v>
      </c>
    </row>
    <row r="68" spans="1:3" x14ac:dyDescent="0.25">
      <c r="A68" s="155">
        <f t="shared" si="2"/>
        <v>53</v>
      </c>
      <c r="B68" s="151">
        <f t="shared" ca="1" si="0"/>
        <v>33.256657001089764</v>
      </c>
      <c r="C68" s="158">
        <f t="shared" ca="1" si="1"/>
        <v>1</v>
      </c>
    </row>
    <row r="69" spans="1:3" x14ac:dyDescent="0.25">
      <c r="A69" s="155">
        <f t="shared" si="2"/>
        <v>54</v>
      </c>
      <c r="B69" s="151">
        <f t="shared" ca="1" si="0"/>
        <v>48.369688870054645</v>
      </c>
      <c r="C69" s="158">
        <f t="shared" ca="1" si="1"/>
        <v>1</v>
      </c>
    </row>
    <row r="70" spans="1:3" x14ac:dyDescent="0.25">
      <c r="A70" s="155">
        <f t="shared" si="2"/>
        <v>55</v>
      </c>
      <c r="B70" s="151">
        <f t="shared" ca="1" si="0"/>
        <v>31.51870349143239</v>
      </c>
      <c r="C70" s="158">
        <f t="shared" ca="1" si="1"/>
        <v>1</v>
      </c>
    </row>
    <row r="71" spans="1:3" x14ac:dyDescent="0.25">
      <c r="A71" s="155">
        <f t="shared" si="2"/>
        <v>56</v>
      </c>
      <c r="B71" s="151">
        <f t="shared" ca="1" si="0"/>
        <v>36.17865656468954</v>
      </c>
      <c r="C71" s="158">
        <f t="shared" ca="1" si="1"/>
        <v>1</v>
      </c>
    </row>
    <row r="72" spans="1:3" x14ac:dyDescent="0.25">
      <c r="A72" s="155">
        <f t="shared" si="2"/>
        <v>57</v>
      </c>
      <c r="B72" s="151">
        <f t="shared" ca="1" si="0"/>
        <v>3.3347080750799201</v>
      </c>
      <c r="C72" s="158">
        <f t="shared" ca="1" si="1"/>
        <v>0</v>
      </c>
    </row>
    <row r="73" spans="1:3" x14ac:dyDescent="0.25">
      <c r="A73" s="155">
        <f t="shared" si="2"/>
        <v>58</v>
      </c>
      <c r="B73" s="151">
        <f t="shared" ca="1" si="0"/>
        <v>24.235722247042798</v>
      </c>
      <c r="C73" s="158">
        <f t="shared" ca="1" si="1"/>
        <v>0</v>
      </c>
    </row>
    <row r="74" spans="1:3" x14ac:dyDescent="0.25">
      <c r="A74" s="155">
        <f t="shared" si="2"/>
        <v>59</v>
      </c>
      <c r="B74" s="151">
        <f t="shared" ca="1" si="0"/>
        <v>40.852103829499562</v>
      </c>
      <c r="C74" s="158">
        <f t="shared" ca="1" si="1"/>
        <v>1</v>
      </c>
    </row>
    <row r="75" spans="1:3" x14ac:dyDescent="0.25">
      <c r="A75" s="155">
        <f t="shared" si="2"/>
        <v>60</v>
      </c>
      <c r="B75" s="151">
        <f t="shared" ca="1" si="0"/>
        <v>49.865173755779409</v>
      </c>
      <c r="C75" s="158">
        <f t="shared" ca="1" si="1"/>
        <v>1</v>
      </c>
    </row>
    <row r="76" spans="1:3" x14ac:dyDescent="0.25">
      <c r="A76" s="155">
        <f t="shared" si="2"/>
        <v>61</v>
      </c>
      <c r="B76" s="151">
        <f t="shared" ca="1" si="0"/>
        <v>34.257791654632086</v>
      </c>
      <c r="C76" s="158">
        <f t="shared" ca="1" si="1"/>
        <v>1</v>
      </c>
    </row>
    <row r="77" spans="1:3" x14ac:dyDescent="0.25">
      <c r="A77" s="155">
        <f t="shared" si="2"/>
        <v>62</v>
      </c>
      <c r="B77" s="151">
        <f t="shared" ca="1" si="0"/>
        <v>23.54780244187662</v>
      </c>
      <c r="C77" s="158">
        <f t="shared" ca="1" si="1"/>
        <v>0</v>
      </c>
    </row>
    <row r="78" spans="1:3" x14ac:dyDescent="0.25">
      <c r="A78" s="155">
        <f t="shared" si="2"/>
        <v>63</v>
      </c>
      <c r="B78" s="151">
        <f t="shared" ca="1" si="0"/>
        <v>29.640704691881744</v>
      </c>
      <c r="C78" s="158">
        <f t="shared" ca="1" si="1"/>
        <v>1</v>
      </c>
    </row>
    <row r="79" spans="1:3" x14ac:dyDescent="0.25">
      <c r="A79" s="155">
        <f t="shared" si="2"/>
        <v>64</v>
      </c>
      <c r="B79" s="151">
        <f t="shared" ca="1" si="0"/>
        <v>84.419575451257685</v>
      </c>
      <c r="C79" s="158">
        <f t="shared" ca="1" si="1"/>
        <v>1</v>
      </c>
    </row>
    <row r="80" spans="1:3" x14ac:dyDescent="0.25">
      <c r="A80" s="155">
        <f t="shared" si="2"/>
        <v>65</v>
      </c>
      <c r="B80" s="151">
        <f t="shared" ca="1" si="0"/>
        <v>42.508097294888913</v>
      </c>
      <c r="C80" s="158">
        <f t="shared" ca="1" si="1"/>
        <v>1</v>
      </c>
    </row>
    <row r="81" spans="1:3" x14ac:dyDescent="0.25">
      <c r="A81" s="155">
        <f t="shared" si="2"/>
        <v>66</v>
      </c>
      <c r="B81" s="151">
        <f t="shared" ref="B81:B144" ca="1" si="3">_xlfn.NORM.INV(RAND(), $B$9, $B$10)</f>
        <v>30.112399119523058</v>
      </c>
      <c r="C81" s="158">
        <f t="shared" ref="C81:C144" ca="1" si="4">IF(B81 &gt;= $B$11, 1, 0)</f>
        <v>1</v>
      </c>
    </row>
    <row r="82" spans="1:3" x14ac:dyDescent="0.25">
      <c r="A82" s="155">
        <f t="shared" ref="A82:A145" si="5">+A81+1</f>
        <v>67</v>
      </c>
      <c r="B82" s="151">
        <f t="shared" ca="1" si="3"/>
        <v>43.105263642738137</v>
      </c>
      <c r="C82" s="158">
        <f t="shared" ca="1" si="4"/>
        <v>1</v>
      </c>
    </row>
    <row r="83" spans="1:3" x14ac:dyDescent="0.25">
      <c r="A83" s="155">
        <f t="shared" si="5"/>
        <v>68</v>
      </c>
      <c r="B83" s="151">
        <f t="shared" ca="1" si="3"/>
        <v>17.488579648762599</v>
      </c>
      <c r="C83" s="158">
        <f t="shared" ca="1" si="4"/>
        <v>0</v>
      </c>
    </row>
    <row r="84" spans="1:3" x14ac:dyDescent="0.25">
      <c r="A84" s="155">
        <f t="shared" si="5"/>
        <v>69</v>
      </c>
      <c r="B84" s="151">
        <f t="shared" ca="1" si="3"/>
        <v>41.388194356643609</v>
      </c>
      <c r="C84" s="158">
        <f t="shared" ca="1" si="4"/>
        <v>1</v>
      </c>
    </row>
    <row r="85" spans="1:3" x14ac:dyDescent="0.25">
      <c r="A85" s="155">
        <f t="shared" si="5"/>
        <v>70</v>
      </c>
      <c r="B85" s="151">
        <f t="shared" ca="1" si="3"/>
        <v>43.479471736792931</v>
      </c>
      <c r="C85" s="158">
        <f t="shared" ca="1" si="4"/>
        <v>1</v>
      </c>
    </row>
    <row r="86" spans="1:3" x14ac:dyDescent="0.25">
      <c r="A86" s="155">
        <f t="shared" si="5"/>
        <v>71</v>
      </c>
      <c r="B86" s="151">
        <f t="shared" ca="1" si="3"/>
        <v>18.062500028661688</v>
      </c>
      <c r="C86" s="158">
        <f t="shared" ca="1" si="4"/>
        <v>0</v>
      </c>
    </row>
    <row r="87" spans="1:3" x14ac:dyDescent="0.25">
      <c r="A87" s="155">
        <f t="shared" si="5"/>
        <v>72</v>
      </c>
      <c r="B87" s="151">
        <f t="shared" ca="1" si="3"/>
        <v>33.8564819990549</v>
      </c>
      <c r="C87" s="158">
        <f t="shared" ca="1" si="4"/>
        <v>1</v>
      </c>
    </row>
    <row r="88" spans="1:3" x14ac:dyDescent="0.25">
      <c r="A88" s="155">
        <f t="shared" si="5"/>
        <v>73</v>
      </c>
      <c r="B88" s="151">
        <f t="shared" ca="1" si="3"/>
        <v>33.134648806879667</v>
      </c>
      <c r="C88" s="158">
        <f t="shared" ca="1" si="4"/>
        <v>1</v>
      </c>
    </row>
    <row r="89" spans="1:3" x14ac:dyDescent="0.25">
      <c r="A89" s="155">
        <f t="shared" si="5"/>
        <v>74</v>
      </c>
      <c r="B89" s="151">
        <f t="shared" ca="1" si="3"/>
        <v>-15.676766756650572</v>
      </c>
      <c r="C89" s="158">
        <f t="shared" ca="1" si="4"/>
        <v>0</v>
      </c>
    </row>
    <row r="90" spans="1:3" x14ac:dyDescent="0.25">
      <c r="A90" s="155">
        <f t="shared" si="5"/>
        <v>75</v>
      </c>
      <c r="B90" s="151">
        <f t="shared" ca="1" si="3"/>
        <v>50.621084171394529</v>
      </c>
      <c r="C90" s="158">
        <f t="shared" ca="1" si="4"/>
        <v>1</v>
      </c>
    </row>
    <row r="91" spans="1:3" x14ac:dyDescent="0.25">
      <c r="A91" s="155">
        <f t="shared" si="5"/>
        <v>76</v>
      </c>
      <c r="B91" s="151">
        <f t="shared" ca="1" si="3"/>
        <v>32.856588021741914</v>
      </c>
      <c r="C91" s="158">
        <f t="shared" ca="1" si="4"/>
        <v>1</v>
      </c>
    </row>
    <row r="92" spans="1:3" x14ac:dyDescent="0.25">
      <c r="A92" s="155">
        <f t="shared" si="5"/>
        <v>77</v>
      </c>
      <c r="B92" s="151">
        <f t="shared" ca="1" si="3"/>
        <v>33.458719392937766</v>
      </c>
      <c r="C92" s="158">
        <f t="shared" ca="1" si="4"/>
        <v>1</v>
      </c>
    </row>
    <row r="93" spans="1:3" x14ac:dyDescent="0.25">
      <c r="A93" s="155">
        <f t="shared" si="5"/>
        <v>78</v>
      </c>
      <c r="B93" s="151">
        <f t="shared" ca="1" si="3"/>
        <v>25.426154501435057</v>
      </c>
      <c r="C93" s="158">
        <f t="shared" ca="1" si="4"/>
        <v>1</v>
      </c>
    </row>
    <row r="94" spans="1:3" x14ac:dyDescent="0.25">
      <c r="A94" s="155">
        <f t="shared" si="5"/>
        <v>79</v>
      </c>
      <c r="B94" s="151">
        <f t="shared" ca="1" si="3"/>
        <v>40.186653097413448</v>
      </c>
      <c r="C94" s="158">
        <f t="shared" ca="1" si="4"/>
        <v>1</v>
      </c>
    </row>
    <row r="95" spans="1:3" x14ac:dyDescent="0.25">
      <c r="A95" s="155">
        <f t="shared" si="5"/>
        <v>80</v>
      </c>
      <c r="B95" s="151">
        <f t="shared" ca="1" si="3"/>
        <v>81.941240698538905</v>
      </c>
      <c r="C95" s="158">
        <f t="shared" ca="1" si="4"/>
        <v>1</v>
      </c>
    </row>
    <row r="96" spans="1:3" x14ac:dyDescent="0.25">
      <c r="A96" s="155">
        <f t="shared" si="5"/>
        <v>81</v>
      </c>
      <c r="B96" s="151">
        <f t="shared" ca="1" si="3"/>
        <v>7.3911364250173115</v>
      </c>
      <c r="C96" s="158">
        <f t="shared" ca="1" si="4"/>
        <v>0</v>
      </c>
    </row>
    <row r="97" spans="1:3" x14ac:dyDescent="0.25">
      <c r="A97" s="155">
        <f t="shared" si="5"/>
        <v>82</v>
      </c>
      <c r="B97" s="151">
        <f t="shared" ca="1" si="3"/>
        <v>20.707359825632484</v>
      </c>
      <c r="C97" s="158">
        <f t="shared" ca="1" si="4"/>
        <v>0</v>
      </c>
    </row>
    <row r="98" spans="1:3" x14ac:dyDescent="0.25">
      <c r="A98" s="155">
        <f t="shared" si="5"/>
        <v>83</v>
      </c>
      <c r="B98" s="151">
        <f t="shared" ca="1" si="3"/>
        <v>43.287161670999851</v>
      </c>
      <c r="C98" s="158">
        <f t="shared" ca="1" si="4"/>
        <v>1</v>
      </c>
    </row>
    <row r="99" spans="1:3" x14ac:dyDescent="0.25">
      <c r="A99" s="155">
        <f t="shared" si="5"/>
        <v>84</v>
      </c>
      <c r="B99" s="151">
        <f t="shared" ca="1" si="3"/>
        <v>14.873777371047638</v>
      </c>
      <c r="C99" s="158">
        <f t="shared" ca="1" si="4"/>
        <v>0</v>
      </c>
    </row>
    <row r="100" spans="1:3" x14ac:dyDescent="0.25">
      <c r="A100" s="155">
        <f t="shared" si="5"/>
        <v>85</v>
      </c>
      <c r="B100" s="151">
        <f t="shared" ca="1" si="3"/>
        <v>57.270505255381323</v>
      </c>
      <c r="C100" s="158">
        <f t="shared" ca="1" si="4"/>
        <v>1</v>
      </c>
    </row>
    <row r="101" spans="1:3" x14ac:dyDescent="0.25">
      <c r="A101" s="155">
        <f t="shared" si="5"/>
        <v>86</v>
      </c>
      <c r="B101" s="151">
        <f t="shared" ca="1" si="3"/>
        <v>14.586010209218308</v>
      </c>
      <c r="C101" s="158">
        <f t="shared" ca="1" si="4"/>
        <v>0</v>
      </c>
    </row>
    <row r="102" spans="1:3" x14ac:dyDescent="0.25">
      <c r="A102" s="155">
        <f t="shared" si="5"/>
        <v>87</v>
      </c>
      <c r="B102" s="151">
        <f t="shared" ca="1" si="3"/>
        <v>0.87933527826477587</v>
      </c>
      <c r="C102" s="158">
        <f t="shared" ca="1" si="4"/>
        <v>0</v>
      </c>
    </row>
    <row r="103" spans="1:3" x14ac:dyDescent="0.25">
      <c r="A103" s="155">
        <f t="shared" si="5"/>
        <v>88</v>
      </c>
      <c r="B103" s="151">
        <f t="shared" ca="1" si="3"/>
        <v>20.628594070267425</v>
      </c>
      <c r="C103" s="158">
        <f t="shared" ca="1" si="4"/>
        <v>0</v>
      </c>
    </row>
    <row r="104" spans="1:3" x14ac:dyDescent="0.25">
      <c r="A104" s="155">
        <f t="shared" si="5"/>
        <v>89</v>
      </c>
      <c r="B104" s="151">
        <f t="shared" ca="1" si="3"/>
        <v>85.807624860156579</v>
      </c>
      <c r="C104" s="158">
        <f t="shared" ca="1" si="4"/>
        <v>1</v>
      </c>
    </row>
    <row r="105" spans="1:3" x14ac:dyDescent="0.25">
      <c r="A105" s="155">
        <f t="shared" si="5"/>
        <v>90</v>
      </c>
      <c r="B105" s="151">
        <f t="shared" ca="1" si="3"/>
        <v>56.141903270714216</v>
      </c>
      <c r="C105" s="158">
        <f t="shared" ca="1" si="4"/>
        <v>1</v>
      </c>
    </row>
    <row r="106" spans="1:3" x14ac:dyDescent="0.25">
      <c r="A106" s="155">
        <f t="shared" si="5"/>
        <v>91</v>
      </c>
      <c r="B106" s="151">
        <f t="shared" ca="1" si="3"/>
        <v>-1.1189521644777685</v>
      </c>
      <c r="C106" s="158">
        <f t="shared" ca="1" si="4"/>
        <v>0</v>
      </c>
    </row>
    <row r="107" spans="1:3" x14ac:dyDescent="0.25">
      <c r="A107" s="155">
        <f t="shared" si="5"/>
        <v>92</v>
      </c>
      <c r="B107" s="151">
        <f t="shared" ca="1" si="3"/>
        <v>61.238808530400988</v>
      </c>
      <c r="C107" s="158">
        <f t="shared" ca="1" si="4"/>
        <v>1</v>
      </c>
    </row>
    <row r="108" spans="1:3" x14ac:dyDescent="0.25">
      <c r="A108" s="155">
        <f t="shared" si="5"/>
        <v>93</v>
      </c>
      <c r="B108" s="151">
        <f t="shared" ca="1" si="3"/>
        <v>64.936306160973189</v>
      </c>
      <c r="C108" s="158">
        <f t="shared" ca="1" si="4"/>
        <v>1</v>
      </c>
    </row>
    <row r="109" spans="1:3" x14ac:dyDescent="0.25">
      <c r="A109" s="155">
        <f t="shared" si="5"/>
        <v>94</v>
      </c>
      <c r="B109" s="151">
        <f t="shared" ca="1" si="3"/>
        <v>46.684425780980966</v>
      </c>
      <c r="C109" s="158">
        <f t="shared" ca="1" si="4"/>
        <v>1</v>
      </c>
    </row>
    <row r="110" spans="1:3" x14ac:dyDescent="0.25">
      <c r="A110" s="155">
        <f t="shared" si="5"/>
        <v>95</v>
      </c>
      <c r="B110" s="151">
        <f t="shared" ca="1" si="3"/>
        <v>24.401665473604872</v>
      </c>
      <c r="C110" s="158">
        <f t="shared" ca="1" si="4"/>
        <v>0</v>
      </c>
    </row>
    <row r="111" spans="1:3" x14ac:dyDescent="0.25">
      <c r="A111" s="155">
        <f t="shared" si="5"/>
        <v>96</v>
      </c>
      <c r="B111" s="151">
        <f t="shared" ca="1" si="3"/>
        <v>14.329642893808373</v>
      </c>
      <c r="C111" s="158">
        <f t="shared" ca="1" si="4"/>
        <v>0</v>
      </c>
    </row>
    <row r="112" spans="1:3" x14ac:dyDescent="0.25">
      <c r="A112" s="155">
        <f t="shared" si="5"/>
        <v>97</v>
      </c>
      <c r="B112" s="151">
        <f t="shared" ca="1" si="3"/>
        <v>44.153925984731707</v>
      </c>
      <c r="C112" s="158">
        <f t="shared" ca="1" si="4"/>
        <v>1</v>
      </c>
    </row>
    <row r="113" spans="1:3" x14ac:dyDescent="0.25">
      <c r="A113" s="155">
        <f t="shared" si="5"/>
        <v>98</v>
      </c>
      <c r="B113" s="151">
        <f t="shared" ca="1" si="3"/>
        <v>44.93788067153379</v>
      </c>
      <c r="C113" s="158">
        <f t="shared" ca="1" si="4"/>
        <v>1</v>
      </c>
    </row>
    <row r="114" spans="1:3" x14ac:dyDescent="0.25">
      <c r="A114" s="155">
        <f t="shared" si="5"/>
        <v>99</v>
      </c>
      <c r="B114" s="151">
        <f t="shared" ca="1" si="3"/>
        <v>31.742426092370575</v>
      </c>
      <c r="C114" s="158">
        <f t="shared" ca="1" si="4"/>
        <v>1</v>
      </c>
    </row>
    <row r="115" spans="1:3" x14ac:dyDescent="0.25">
      <c r="A115" s="155">
        <f t="shared" si="5"/>
        <v>100</v>
      </c>
      <c r="B115" s="151">
        <f t="shared" ca="1" si="3"/>
        <v>31.21092285549333</v>
      </c>
      <c r="C115" s="158">
        <f t="shared" ca="1" si="4"/>
        <v>1</v>
      </c>
    </row>
    <row r="116" spans="1:3" x14ac:dyDescent="0.25">
      <c r="A116" s="155">
        <f t="shared" si="5"/>
        <v>101</v>
      </c>
      <c r="B116" s="151">
        <f t="shared" ca="1" si="3"/>
        <v>50.132748673229855</v>
      </c>
      <c r="C116" s="158">
        <f t="shared" ca="1" si="4"/>
        <v>1</v>
      </c>
    </row>
    <row r="117" spans="1:3" x14ac:dyDescent="0.25">
      <c r="A117" s="155">
        <f t="shared" si="5"/>
        <v>102</v>
      </c>
      <c r="B117" s="151">
        <f t="shared" ca="1" si="3"/>
        <v>31.903568747405185</v>
      </c>
      <c r="C117" s="158">
        <f t="shared" ca="1" si="4"/>
        <v>1</v>
      </c>
    </row>
    <row r="118" spans="1:3" x14ac:dyDescent="0.25">
      <c r="A118" s="155">
        <f t="shared" si="5"/>
        <v>103</v>
      </c>
      <c r="B118" s="151">
        <f t="shared" ca="1" si="3"/>
        <v>20.708114884673442</v>
      </c>
      <c r="C118" s="158">
        <f t="shared" ca="1" si="4"/>
        <v>0</v>
      </c>
    </row>
    <row r="119" spans="1:3" x14ac:dyDescent="0.25">
      <c r="A119" s="155">
        <f t="shared" si="5"/>
        <v>104</v>
      </c>
      <c r="B119" s="151">
        <f t="shared" ca="1" si="3"/>
        <v>42.75045025725116</v>
      </c>
      <c r="C119" s="158">
        <f t="shared" ca="1" si="4"/>
        <v>1</v>
      </c>
    </row>
    <row r="120" spans="1:3" x14ac:dyDescent="0.25">
      <c r="A120" s="155">
        <f t="shared" si="5"/>
        <v>105</v>
      </c>
      <c r="B120" s="151">
        <f t="shared" ca="1" si="3"/>
        <v>30.380003678774308</v>
      </c>
      <c r="C120" s="158">
        <f t="shared" ca="1" si="4"/>
        <v>1</v>
      </c>
    </row>
    <row r="121" spans="1:3" x14ac:dyDescent="0.25">
      <c r="A121" s="155">
        <f t="shared" si="5"/>
        <v>106</v>
      </c>
      <c r="B121" s="151">
        <f t="shared" ca="1" si="3"/>
        <v>-2.5460007875979329</v>
      </c>
      <c r="C121" s="158">
        <f t="shared" ca="1" si="4"/>
        <v>0</v>
      </c>
    </row>
    <row r="122" spans="1:3" x14ac:dyDescent="0.25">
      <c r="A122" s="155">
        <f t="shared" si="5"/>
        <v>107</v>
      </c>
      <c r="B122" s="151">
        <f t="shared" ca="1" si="3"/>
        <v>25.537754523056947</v>
      </c>
      <c r="C122" s="158">
        <f t="shared" ca="1" si="4"/>
        <v>1</v>
      </c>
    </row>
    <row r="123" spans="1:3" x14ac:dyDescent="0.25">
      <c r="A123" s="155">
        <f t="shared" si="5"/>
        <v>108</v>
      </c>
      <c r="B123" s="151">
        <f t="shared" ca="1" si="3"/>
        <v>11.112987120735841</v>
      </c>
      <c r="C123" s="158">
        <f t="shared" ca="1" si="4"/>
        <v>0</v>
      </c>
    </row>
    <row r="124" spans="1:3" x14ac:dyDescent="0.25">
      <c r="A124" s="155">
        <f t="shared" si="5"/>
        <v>109</v>
      </c>
      <c r="B124" s="151">
        <f t="shared" ca="1" si="3"/>
        <v>-0.11643867861414492</v>
      </c>
      <c r="C124" s="158">
        <f t="shared" ca="1" si="4"/>
        <v>0</v>
      </c>
    </row>
    <row r="125" spans="1:3" x14ac:dyDescent="0.25">
      <c r="A125" s="155">
        <f t="shared" si="5"/>
        <v>110</v>
      </c>
      <c r="B125" s="151">
        <f t="shared" ca="1" si="3"/>
        <v>58.764508911754888</v>
      </c>
      <c r="C125" s="158">
        <f t="shared" ca="1" si="4"/>
        <v>1</v>
      </c>
    </row>
    <row r="126" spans="1:3" x14ac:dyDescent="0.25">
      <c r="A126" s="155">
        <f t="shared" si="5"/>
        <v>111</v>
      </c>
      <c r="B126" s="151">
        <f t="shared" ca="1" si="3"/>
        <v>21.762519271384541</v>
      </c>
      <c r="C126" s="158">
        <f t="shared" ca="1" si="4"/>
        <v>0</v>
      </c>
    </row>
    <row r="127" spans="1:3" x14ac:dyDescent="0.25">
      <c r="A127" s="155">
        <f t="shared" si="5"/>
        <v>112</v>
      </c>
      <c r="B127" s="151">
        <f t="shared" ca="1" si="3"/>
        <v>73.647219399793755</v>
      </c>
      <c r="C127" s="158">
        <f t="shared" ca="1" si="4"/>
        <v>1</v>
      </c>
    </row>
    <row r="128" spans="1:3" x14ac:dyDescent="0.25">
      <c r="A128" s="155">
        <f t="shared" si="5"/>
        <v>113</v>
      </c>
      <c r="B128" s="151">
        <f t="shared" ca="1" si="3"/>
        <v>77.464558867417821</v>
      </c>
      <c r="C128" s="158">
        <f t="shared" ca="1" si="4"/>
        <v>1</v>
      </c>
    </row>
    <row r="129" spans="1:3" x14ac:dyDescent="0.25">
      <c r="A129" s="155">
        <f t="shared" si="5"/>
        <v>114</v>
      </c>
      <c r="B129" s="151">
        <f t="shared" ca="1" si="3"/>
        <v>12.014040346344594</v>
      </c>
      <c r="C129" s="158">
        <f t="shared" ca="1" si="4"/>
        <v>0</v>
      </c>
    </row>
    <row r="130" spans="1:3" x14ac:dyDescent="0.25">
      <c r="A130" s="155">
        <f t="shared" si="5"/>
        <v>115</v>
      </c>
      <c r="B130" s="151">
        <f t="shared" ca="1" si="3"/>
        <v>55.167575900521825</v>
      </c>
      <c r="C130" s="158">
        <f t="shared" ca="1" si="4"/>
        <v>1</v>
      </c>
    </row>
    <row r="131" spans="1:3" x14ac:dyDescent="0.25">
      <c r="A131" s="155">
        <f t="shared" si="5"/>
        <v>116</v>
      </c>
      <c r="B131" s="151">
        <f t="shared" ca="1" si="3"/>
        <v>23.885280552143378</v>
      </c>
      <c r="C131" s="158">
        <f t="shared" ca="1" si="4"/>
        <v>0</v>
      </c>
    </row>
    <row r="132" spans="1:3" x14ac:dyDescent="0.25">
      <c r="A132" s="155">
        <f t="shared" si="5"/>
        <v>117</v>
      </c>
      <c r="B132" s="151">
        <f t="shared" ca="1" si="3"/>
        <v>-6.6454207026983312</v>
      </c>
      <c r="C132" s="158">
        <f t="shared" ca="1" si="4"/>
        <v>0</v>
      </c>
    </row>
    <row r="133" spans="1:3" x14ac:dyDescent="0.25">
      <c r="A133" s="155">
        <f t="shared" si="5"/>
        <v>118</v>
      </c>
      <c r="B133" s="151">
        <f t="shared" ca="1" si="3"/>
        <v>52.183772786717185</v>
      </c>
      <c r="C133" s="158">
        <f t="shared" ca="1" si="4"/>
        <v>1</v>
      </c>
    </row>
    <row r="134" spans="1:3" x14ac:dyDescent="0.25">
      <c r="A134" s="155">
        <f t="shared" si="5"/>
        <v>119</v>
      </c>
      <c r="B134" s="151">
        <f t="shared" ca="1" si="3"/>
        <v>-20.216277407830376</v>
      </c>
      <c r="C134" s="158">
        <f t="shared" ca="1" si="4"/>
        <v>0</v>
      </c>
    </row>
    <row r="135" spans="1:3" x14ac:dyDescent="0.25">
      <c r="A135" s="155">
        <f t="shared" si="5"/>
        <v>120</v>
      </c>
      <c r="B135" s="151">
        <f t="shared" ca="1" si="3"/>
        <v>24.231914836502639</v>
      </c>
      <c r="C135" s="158">
        <f t="shared" ca="1" si="4"/>
        <v>0</v>
      </c>
    </row>
    <row r="136" spans="1:3" x14ac:dyDescent="0.25">
      <c r="A136" s="155">
        <f t="shared" si="5"/>
        <v>121</v>
      </c>
      <c r="B136" s="151">
        <f t="shared" ca="1" si="3"/>
        <v>14.493049450285152</v>
      </c>
      <c r="C136" s="158">
        <f t="shared" ca="1" si="4"/>
        <v>0</v>
      </c>
    </row>
    <row r="137" spans="1:3" x14ac:dyDescent="0.25">
      <c r="A137" s="155">
        <f t="shared" si="5"/>
        <v>122</v>
      </c>
      <c r="B137" s="151">
        <f t="shared" ca="1" si="3"/>
        <v>14.163005542875325</v>
      </c>
      <c r="C137" s="158">
        <f t="shared" ca="1" si="4"/>
        <v>0</v>
      </c>
    </row>
    <row r="138" spans="1:3" x14ac:dyDescent="0.25">
      <c r="A138" s="155">
        <f t="shared" si="5"/>
        <v>123</v>
      </c>
      <c r="B138" s="151">
        <f t="shared" ca="1" si="3"/>
        <v>30.083886661872313</v>
      </c>
      <c r="C138" s="158">
        <f t="shared" ca="1" si="4"/>
        <v>1</v>
      </c>
    </row>
    <row r="139" spans="1:3" x14ac:dyDescent="0.25">
      <c r="A139" s="155">
        <f t="shared" si="5"/>
        <v>124</v>
      </c>
      <c r="B139" s="151">
        <f t="shared" ca="1" si="3"/>
        <v>16.009553368536896</v>
      </c>
      <c r="C139" s="158">
        <f t="shared" ca="1" si="4"/>
        <v>0</v>
      </c>
    </row>
    <row r="140" spans="1:3" x14ac:dyDescent="0.25">
      <c r="A140" s="155">
        <f t="shared" si="5"/>
        <v>125</v>
      </c>
      <c r="B140" s="151">
        <f t="shared" ca="1" si="3"/>
        <v>30.183299671475989</v>
      </c>
      <c r="C140" s="158">
        <f t="shared" ca="1" si="4"/>
        <v>1</v>
      </c>
    </row>
    <row r="141" spans="1:3" x14ac:dyDescent="0.25">
      <c r="A141" s="155">
        <f t="shared" si="5"/>
        <v>126</v>
      </c>
      <c r="B141" s="151">
        <f t="shared" ca="1" si="3"/>
        <v>62.158242549271009</v>
      </c>
      <c r="C141" s="158">
        <f t="shared" ca="1" si="4"/>
        <v>1</v>
      </c>
    </row>
    <row r="142" spans="1:3" x14ac:dyDescent="0.25">
      <c r="A142" s="155">
        <f t="shared" si="5"/>
        <v>127</v>
      </c>
      <c r="B142" s="151">
        <f t="shared" ca="1" si="3"/>
        <v>120.34093029862139</v>
      </c>
      <c r="C142" s="158">
        <f t="shared" ca="1" si="4"/>
        <v>1</v>
      </c>
    </row>
    <row r="143" spans="1:3" x14ac:dyDescent="0.25">
      <c r="A143" s="155">
        <f t="shared" si="5"/>
        <v>128</v>
      </c>
      <c r="B143" s="151">
        <f t="shared" ca="1" si="3"/>
        <v>33.234880003283628</v>
      </c>
      <c r="C143" s="158">
        <f t="shared" ca="1" si="4"/>
        <v>1</v>
      </c>
    </row>
    <row r="144" spans="1:3" x14ac:dyDescent="0.25">
      <c r="A144" s="155">
        <f t="shared" si="5"/>
        <v>129</v>
      </c>
      <c r="B144" s="151">
        <f t="shared" ca="1" si="3"/>
        <v>39.739132616406465</v>
      </c>
      <c r="C144" s="158">
        <f t="shared" ca="1" si="4"/>
        <v>1</v>
      </c>
    </row>
    <row r="145" spans="1:3" x14ac:dyDescent="0.25">
      <c r="A145" s="155">
        <f t="shared" si="5"/>
        <v>130</v>
      </c>
      <c r="B145" s="151">
        <f t="shared" ref="B145:B208" ca="1" si="6">_xlfn.NORM.INV(RAND(), $B$9, $B$10)</f>
        <v>48.210960514991413</v>
      </c>
      <c r="C145" s="158">
        <f t="shared" ref="C145:C208" ca="1" si="7">IF(B145 &gt;= $B$11, 1, 0)</f>
        <v>1</v>
      </c>
    </row>
    <row r="146" spans="1:3" x14ac:dyDescent="0.25">
      <c r="A146" s="155">
        <f t="shared" ref="A146:A209" si="8">+A145+1</f>
        <v>131</v>
      </c>
      <c r="B146" s="151">
        <f t="shared" ca="1" si="6"/>
        <v>-3.3349609901681063</v>
      </c>
      <c r="C146" s="158">
        <f t="shared" ca="1" si="7"/>
        <v>0</v>
      </c>
    </row>
    <row r="147" spans="1:3" x14ac:dyDescent="0.25">
      <c r="A147" s="155">
        <f t="shared" si="8"/>
        <v>132</v>
      </c>
      <c r="B147" s="151">
        <f t="shared" ca="1" si="6"/>
        <v>-4.0584521486028535</v>
      </c>
      <c r="C147" s="158">
        <f t="shared" ca="1" si="7"/>
        <v>0</v>
      </c>
    </row>
    <row r="148" spans="1:3" x14ac:dyDescent="0.25">
      <c r="A148" s="155">
        <f t="shared" si="8"/>
        <v>133</v>
      </c>
      <c r="B148" s="151">
        <f t="shared" ca="1" si="6"/>
        <v>40.873102862273839</v>
      </c>
      <c r="C148" s="158">
        <f t="shared" ca="1" si="7"/>
        <v>1</v>
      </c>
    </row>
    <row r="149" spans="1:3" x14ac:dyDescent="0.25">
      <c r="A149" s="155">
        <f t="shared" si="8"/>
        <v>134</v>
      </c>
      <c r="B149" s="151">
        <f t="shared" ca="1" si="6"/>
        <v>47.164456399233899</v>
      </c>
      <c r="C149" s="158">
        <f t="shared" ca="1" si="7"/>
        <v>1</v>
      </c>
    </row>
    <row r="150" spans="1:3" x14ac:dyDescent="0.25">
      <c r="A150" s="155">
        <f t="shared" si="8"/>
        <v>135</v>
      </c>
      <c r="B150" s="151">
        <f t="shared" ca="1" si="6"/>
        <v>28.213942196710278</v>
      </c>
      <c r="C150" s="158">
        <f t="shared" ca="1" si="7"/>
        <v>1</v>
      </c>
    </row>
    <row r="151" spans="1:3" x14ac:dyDescent="0.25">
      <c r="A151" s="155">
        <f t="shared" si="8"/>
        <v>136</v>
      </c>
      <c r="B151" s="151">
        <f t="shared" ca="1" si="6"/>
        <v>59.575784974078886</v>
      </c>
      <c r="C151" s="158">
        <f t="shared" ca="1" si="7"/>
        <v>1</v>
      </c>
    </row>
    <row r="152" spans="1:3" x14ac:dyDescent="0.25">
      <c r="A152" s="155">
        <f t="shared" si="8"/>
        <v>137</v>
      </c>
      <c r="B152" s="151">
        <f t="shared" ca="1" si="6"/>
        <v>28.279904240006985</v>
      </c>
      <c r="C152" s="158">
        <f t="shared" ca="1" si="7"/>
        <v>1</v>
      </c>
    </row>
    <row r="153" spans="1:3" x14ac:dyDescent="0.25">
      <c r="A153" s="155">
        <f t="shared" si="8"/>
        <v>138</v>
      </c>
      <c r="B153" s="151">
        <f t="shared" ca="1" si="6"/>
        <v>118.66520249556345</v>
      </c>
      <c r="C153" s="158">
        <f t="shared" ca="1" si="7"/>
        <v>1</v>
      </c>
    </row>
    <row r="154" spans="1:3" x14ac:dyDescent="0.25">
      <c r="A154" s="155">
        <f t="shared" si="8"/>
        <v>139</v>
      </c>
      <c r="B154" s="151">
        <f t="shared" ca="1" si="6"/>
        <v>29.962671293185434</v>
      </c>
      <c r="C154" s="158">
        <f t="shared" ca="1" si="7"/>
        <v>1</v>
      </c>
    </row>
    <row r="155" spans="1:3" x14ac:dyDescent="0.25">
      <c r="A155" s="155">
        <f t="shared" si="8"/>
        <v>140</v>
      </c>
      <c r="B155" s="151">
        <f t="shared" ca="1" si="6"/>
        <v>45.809109632367871</v>
      </c>
      <c r="C155" s="158">
        <f t="shared" ca="1" si="7"/>
        <v>1</v>
      </c>
    </row>
    <row r="156" spans="1:3" x14ac:dyDescent="0.25">
      <c r="A156" s="155">
        <f t="shared" si="8"/>
        <v>141</v>
      </c>
      <c r="B156" s="151">
        <f t="shared" ca="1" si="6"/>
        <v>21.933967369552391</v>
      </c>
      <c r="C156" s="158">
        <f t="shared" ca="1" si="7"/>
        <v>0</v>
      </c>
    </row>
    <row r="157" spans="1:3" x14ac:dyDescent="0.25">
      <c r="A157" s="155">
        <f t="shared" si="8"/>
        <v>142</v>
      </c>
      <c r="B157" s="151">
        <f t="shared" ca="1" si="6"/>
        <v>9.8063067921692877</v>
      </c>
      <c r="C157" s="158">
        <f t="shared" ca="1" si="7"/>
        <v>0</v>
      </c>
    </row>
    <row r="158" spans="1:3" x14ac:dyDescent="0.25">
      <c r="A158" s="155">
        <f t="shared" si="8"/>
        <v>143</v>
      </c>
      <c r="B158" s="151">
        <f t="shared" ca="1" si="6"/>
        <v>60.063610290499142</v>
      </c>
      <c r="C158" s="158">
        <f t="shared" ca="1" si="7"/>
        <v>1</v>
      </c>
    </row>
    <row r="159" spans="1:3" x14ac:dyDescent="0.25">
      <c r="A159" s="155">
        <f t="shared" si="8"/>
        <v>144</v>
      </c>
      <c r="B159" s="151">
        <f t="shared" ca="1" si="6"/>
        <v>67.223587934229812</v>
      </c>
      <c r="C159" s="158">
        <f t="shared" ca="1" si="7"/>
        <v>1</v>
      </c>
    </row>
    <row r="160" spans="1:3" x14ac:dyDescent="0.25">
      <c r="A160" s="155">
        <f t="shared" si="8"/>
        <v>145</v>
      </c>
      <c r="B160" s="151">
        <f t="shared" ca="1" si="6"/>
        <v>36.556709215754431</v>
      </c>
      <c r="C160" s="158">
        <f t="shared" ca="1" si="7"/>
        <v>1</v>
      </c>
    </row>
    <row r="161" spans="1:3" x14ac:dyDescent="0.25">
      <c r="A161" s="155">
        <f t="shared" si="8"/>
        <v>146</v>
      </c>
      <c r="B161" s="151">
        <f t="shared" ca="1" si="6"/>
        <v>15.235987589951833</v>
      </c>
      <c r="C161" s="158">
        <f t="shared" ca="1" si="7"/>
        <v>0</v>
      </c>
    </row>
    <row r="162" spans="1:3" x14ac:dyDescent="0.25">
      <c r="A162" s="155">
        <f t="shared" si="8"/>
        <v>147</v>
      </c>
      <c r="B162" s="151">
        <f t="shared" ca="1" si="6"/>
        <v>73.607290925790153</v>
      </c>
      <c r="C162" s="158">
        <f t="shared" ca="1" si="7"/>
        <v>1</v>
      </c>
    </row>
    <row r="163" spans="1:3" x14ac:dyDescent="0.25">
      <c r="A163" s="155">
        <f t="shared" si="8"/>
        <v>148</v>
      </c>
      <c r="B163" s="151">
        <f t="shared" ca="1" si="6"/>
        <v>32.799152104671819</v>
      </c>
      <c r="C163" s="158">
        <f t="shared" ca="1" si="7"/>
        <v>1</v>
      </c>
    </row>
    <row r="164" spans="1:3" x14ac:dyDescent="0.25">
      <c r="A164" s="155">
        <f t="shared" si="8"/>
        <v>149</v>
      </c>
      <c r="B164" s="151">
        <f t="shared" ca="1" si="6"/>
        <v>26.723522421179048</v>
      </c>
      <c r="C164" s="158">
        <f t="shared" ca="1" si="7"/>
        <v>1</v>
      </c>
    </row>
    <row r="165" spans="1:3" x14ac:dyDescent="0.25">
      <c r="A165" s="155">
        <f t="shared" si="8"/>
        <v>150</v>
      </c>
      <c r="B165" s="151">
        <f t="shared" ca="1" si="6"/>
        <v>49.68632498172439</v>
      </c>
      <c r="C165" s="158">
        <f t="shared" ca="1" si="7"/>
        <v>1</v>
      </c>
    </row>
    <row r="166" spans="1:3" x14ac:dyDescent="0.25">
      <c r="A166" s="155">
        <f t="shared" si="8"/>
        <v>151</v>
      </c>
      <c r="B166" s="151">
        <f t="shared" ca="1" si="6"/>
        <v>-0.61790473296660764</v>
      </c>
      <c r="C166" s="158">
        <f t="shared" ca="1" si="7"/>
        <v>0</v>
      </c>
    </row>
    <row r="167" spans="1:3" x14ac:dyDescent="0.25">
      <c r="A167" s="155">
        <f t="shared" si="8"/>
        <v>152</v>
      </c>
      <c r="B167" s="151">
        <f t="shared" ca="1" si="6"/>
        <v>48.820069743637497</v>
      </c>
      <c r="C167" s="158">
        <f t="shared" ca="1" si="7"/>
        <v>1</v>
      </c>
    </row>
    <row r="168" spans="1:3" x14ac:dyDescent="0.25">
      <c r="A168" s="155">
        <f t="shared" si="8"/>
        <v>153</v>
      </c>
      <c r="B168" s="151">
        <f t="shared" ca="1" si="6"/>
        <v>21.423303374389111</v>
      </c>
      <c r="C168" s="158">
        <f t="shared" ca="1" si="7"/>
        <v>0</v>
      </c>
    </row>
    <row r="169" spans="1:3" x14ac:dyDescent="0.25">
      <c r="A169" s="155">
        <f t="shared" si="8"/>
        <v>154</v>
      </c>
      <c r="B169" s="151">
        <f t="shared" ca="1" si="6"/>
        <v>34.561163909402467</v>
      </c>
      <c r="C169" s="158">
        <f t="shared" ca="1" si="7"/>
        <v>1</v>
      </c>
    </row>
    <row r="170" spans="1:3" x14ac:dyDescent="0.25">
      <c r="A170" s="155">
        <f t="shared" si="8"/>
        <v>155</v>
      </c>
      <c r="B170" s="151">
        <f t="shared" ca="1" si="6"/>
        <v>59.923227676634397</v>
      </c>
      <c r="C170" s="158">
        <f t="shared" ca="1" si="7"/>
        <v>1</v>
      </c>
    </row>
    <row r="171" spans="1:3" x14ac:dyDescent="0.25">
      <c r="A171" s="155">
        <f t="shared" si="8"/>
        <v>156</v>
      </c>
      <c r="B171" s="151">
        <f t="shared" ca="1" si="6"/>
        <v>57.934021605450937</v>
      </c>
      <c r="C171" s="158">
        <f t="shared" ca="1" si="7"/>
        <v>1</v>
      </c>
    </row>
    <row r="172" spans="1:3" x14ac:dyDescent="0.25">
      <c r="A172" s="155">
        <f t="shared" si="8"/>
        <v>157</v>
      </c>
      <c r="B172" s="151">
        <f t="shared" ca="1" si="6"/>
        <v>59.064701468822889</v>
      </c>
      <c r="C172" s="158">
        <f t="shared" ca="1" si="7"/>
        <v>1</v>
      </c>
    </row>
    <row r="173" spans="1:3" x14ac:dyDescent="0.25">
      <c r="A173" s="155">
        <f t="shared" si="8"/>
        <v>158</v>
      </c>
      <c r="B173" s="151">
        <f t="shared" ca="1" si="6"/>
        <v>67.817925294547919</v>
      </c>
      <c r="C173" s="158">
        <f t="shared" ca="1" si="7"/>
        <v>1</v>
      </c>
    </row>
    <row r="174" spans="1:3" x14ac:dyDescent="0.25">
      <c r="A174" s="155">
        <f t="shared" si="8"/>
        <v>159</v>
      </c>
      <c r="B174" s="151">
        <f t="shared" ca="1" si="6"/>
        <v>59.569767803829635</v>
      </c>
      <c r="C174" s="158">
        <f t="shared" ca="1" si="7"/>
        <v>1</v>
      </c>
    </row>
    <row r="175" spans="1:3" x14ac:dyDescent="0.25">
      <c r="A175" s="155">
        <f t="shared" si="8"/>
        <v>160</v>
      </c>
      <c r="B175" s="151">
        <f t="shared" ca="1" si="6"/>
        <v>33.32031068559138</v>
      </c>
      <c r="C175" s="158">
        <f t="shared" ca="1" si="7"/>
        <v>1</v>
      </c>
    </row>
    <row r="176" spans="1:3" x14ac:dyDescent="0.25">
      <c r="A176" s="155">
        <f t="shared" si="8"/>
        <v>161</v>
      </c>
      <c r="B176" s="151">
        <f t="shared" ca="1" si="6"/>
        <v>35.975052497516181</v>
      </c>
      <c r="C176" s="158">
        <f t="shared" ca="1" si="7"/>
        <v>1</v>
      </c>
    </row>
    <row r="177" spans="1:3" x14ac:dyDescent="0.25">
      <c r="A177" s="155">
        <f t="shared" si="8"/>
        <v>162</v>
      </c>
      <c r="B177" s="151">
        <f t="shared" ca="1" si="6"/>
        <v>59.470629268321176</v>
      </c>
      <c r="C177" s="158">
        <f t="shared" ca="1" si="7"/>
        <v>1</v>
      </c>
    </row>
    <row r="178" spans="1:3" x14ac:dyDescent="0.25">
      <c r="A178" s="155">
        <f t="shared" si="8"/>
        <v>163</v>
      </c>
      <c r="B178" s="151">
        <f t="shared" ca="1" si="6"/>
        <v>46.387210762856377</v>
      </c>
      <c r="C178" s="158">
        <f t="shared" ca="1" si="7"/>
        <v>1</v>
      </c>
    </row>
    <row r="179" spans="1:3" x14ac:dyDescent="0.25">
      <c r="A179" s="155">
        <f t="shared" si="8"/>
        <v>164</v>
      </c>
      <c r="B179" s="151">
        <f t="shared" ca="1" si="6"/>
        <v>66.545888528108776</v>
      </c>
      <c r="C179" s="158">
        <f t="shared" ca="1" si="7"/>
        <v>1</v>
      </c>
    </row>
    <row r="180" spans="1:3" x14ac:dyDescent="0.25">
      <c r="A180" s="155">
        <f t="shared" si="8"/>
        <v>165</v>
      </c>
      <c r="B180" s="151">
        <f t="shared" ca="1" si="6"/>
        <v>31.95101557024395</v>
      </c>
      <c r="C180" s="158">
        <f t="shared" ca="1" si="7"/>
        <v>1</v>
      </c>
    </row>
    <row r="181" spans="1:3" x14ac:dyDescent="0.25">
      <c r="A181" s="155">
        <f t="shared" si="8"/>
        <v>166</v>
      </c>
      <c r="B181" s="151">
        <f t="shared" ca="1" si="6"/>
        <v>46.599811209649339</v>
      </c>
      <c r="C181" s="158">
        <f t="shared" ca="1" si="7"/>
        <v>1</v>
      </c>
    </row>
    <row r="182" spans="1:3" x14ac:dyDescent="0.25">
      <c r="A182" s="155">
        <f t="shared" si="8"/>
        <v>167</v>
      </c>
      <c r="B182" s="151">
        <f t="shared" ca="1" si="6"/>
        <v>39.306860364798595</v>
      </c>
      <c r="C182" s="158">
        <f t="shared" ca="1" si="7"/>
        <v>1</v>
      </c>
    </row>
    <row r="183" spans="1:3" x14ac:dyDescent="0.25">
      <c r="A183" s="155">
        <f t="shared" si="8"/>
        <v>168</v>
      </c>
      <c r="B183" s="151">
        <f t="shared" ca="1" si="6"/>
        <v>13.788179139106262</v>
      </c>
      <c r="C183" s="158">
        <f t="shared" ca="1" si="7"/>
        <v>0</v>
      </c>
    </row>
    <row r="184" spans="1:3" x14ac:dyDescent="0.25">
      <c r="A184" s="155">
        <f t="shared" si="8"/>
        <v>169</v>
      </c>
      <c r="B184" s="151">
        <f t="shared" ca="1" si="6"/>
        <v>89.099136904805817</v>
      </c>
      <c r="C184" s="158">
        <f t="shared" ca="1" si="7"/>
        <v>1</v>
      </c>
    </row>
    <row r="185" spans="1:3" x14ac:dyDescent="0.25">
      <c r="A185" s="155">
        <f t="shared" si="8"/>
        <v>170</v>
      </c>
      <c r="B185" s="151">
        <f t="shared" ca="1" si="6"/>
        <v>51.506370224808975</v>
      </c>
      <c r="C185" s="158">
        <f t="shared" ca="1" si="7"/>
        <v>1</v>
      </c>
    </row>
    <row r="186" spans="1:3" x14ac:dyDescent="0.25">
      <c r="A186" s="155">
        <f t="shared" si="8"/>
        <v>171</v>
      </c>
      <c r="B186" s="151">
        <f t="shared" ca="1" si="6"/>
        <v>108.70319081407118</v>
      </c>
      <c r="C186" s="158">
        <f t="shared" ca="1" si="7"/>
        <v>1</v>
      </c>
    </row>
    <row r="187" spans="1:3" x14ac:dyDescent="0.25">
      <c r="A187" s="155">
        <f t="shared" si="8"/>
        <v>172</v>
      </c>
      <c r="B187" s="151">
        <f t="shared" ca="1" si="6"/>
        <v>-3.9759551926508365</v>
      </c>
      <c r="C187" s="158">
        <f t="shared" ca="1" si="7"/>
        <v>0</v>
      </c>
    </row>
    <row r="188" spans="1:3" x14ac:dyDescent="0.25">
      <c r="A188" s="155">
        <f t="shared" si="8"/>
        <v>173</v>
      </c>
      <c r="B188" s="151">
        <f t="shared" ca="1" si="6"/>
        <v>23.469128184351259</v>
      </c>
      <c r="C188" s="158">
        <f t="shared" ca="1" si="7"/>
        <v>0</v>
      </c>
    </row>
    <row r="189" spans="1:3" x14ac:dyDescent="0.25">
      <c r="A189" s="155">
        <f t="shared" si="8"/>
        <v>174</v>
      </c>
      <c r="B189" s="151">
        <f t="shared" ca="1" si="6"/>
        <v>33.157541751446075</v>
      </c>
      <c r="C189" s="158">
        <f t="shared" ca="1" si="7"/>
        <v>1</v>
      </c>
    </row>
    <row r="190" spans="1:3" x14ac:dyDescent="0.25">
      <c r="A190" s="155">
        <f t="shared" si="8"/>
        <v>175</v>
      </c>
      <c r="B190" s="151">
        <f t="shared" ca="1" si="6"/>
        <v>63.750490789857459</v>
      </c>
      <c r="C190" s="158">
        <f t="shared" ca="1" si="7"/>
        <v>1</v>
      </c>
    </row>
    <row r="191" spans="1:3" x14ac:dyDescent="0.25">
      <c r="A191" s="155">
        <f t="shared" si="8"/>
        <v>176</v>
      </c>
      <c r="B191" s="151">
        <f t="shared" ca="1" si="6"/>
        <v>24.439715945683425</v>
      </c>
      <c r="C191" s="158">
        <f t="shared" ca="1" si="7"/>
        <v>0</v>
      </c>
    </row>
    <row r="192" spans="1:3" x14ac:dyDescent="0.25">
      <c r="A192" s="155">
        <f t="shared" si="8"/>
        <v>177</v>
      </c>
      <c r="B192" s="151">
        <f t="shared" ca="1" si="6"/>
        <v>-6.0498890229851838</v>
      </c>
      <c r="C192" s="158">
        <f t="shared" ca="1" si="7"/>
        <v>0</v>
      </c>
    </row>
    <row r="193" spans="1:3" x14ac:dyDescent="0.25">
      <c r="A193" s="155">
        <f t="shared" si="8"/>
        <v>178</v>
      </c>
      <c r="B193" s="151">
        <f t="shared" ca="1" si="6"/>
        <v>37.003329869222313</v>
      </c>
      <c r="C193" s="158">
        <f t="shared" ca="1" si="7"/>
        <v>1</v>
      </c>
    </row>
    <row r="194" spans="1:3" x14ac:dyDescent="0.25">
      <c r="A194" s="155">
        <f t="shared" si="8"/>
        <v>179</v>
      </c>
      <c r="B194" s="151">
        <f t="shared" ca="1" si="6"/>
        <v>4.5498057113906398</v>
      </c>
      <c r="C194" s="158">
        <f t="shared" ca="1" si="7"/>
        <v>0</v>
      </c>
    </row>
    <row r="195" spans="1:3" x14ac:dyDescent="0.25">
      <c r="A195" s="155">
        <f t="shared" si="8"/>
        <v>180</v>
      </c>
      <c r="B195" s="151">
        <f t="shared" ca="1" si="6"/>
        <v>27.074242376209426</v>
      </c>
      <c r="C195" s="158">
        <f t="shared" ca="1" si="7"/>
        <v>1</v>
      </c>
    </row>
    <row r="196" spans="1:3" x14ac:dyDescent="0.25">
      <c r="A196" s="155">
        <f t="shared" si="8"/>
        <v>181</v>
      </c>
      <c r="B196" s="151">
        <f t="shared" ca="1" si="6"/>
        <v>-23.384035482501481</v>
      </c>
      <c r="C196" s="158">
        <f t="shared" ca="1" si="7"/>
        <v>0</v>
      </c>
    </row>
    <row r="197" spans="1:3" x14ac:dyDescent="0.25">
      <c r="A197" s="155">
        <f t="shared" si="8"/>
        <v>182</v>
      </c>
      <c r="B197" s="151">
        <f t="shared" ca="1" si="6"/>
        <v>31.33184802918516</v>
      </c>
      <c r="C197" s="158">
        <f t="shared" ca="1" si="7"/>
        <v>1</v>
      </c>
    </row>
    <row r="198" spans="1:3" x14ac:dyDescent="0.25">
      <c r="A198" s="155">
        <f t="shared" si="8"/>
        <v>183</v>
      </c>
      <c r="B198" s="151">
        <f t="shared" ca="1" si="6"/>
        <v>55.431271001208202</v>
      </c>
      <c r="C198" s="158">
        <f t="shared" ca="1" si="7"/>
        <v>1</v>
      </c>
    </row>
    <row r="199" spans="1:3" x14ac:dyDescent="0.25">
      <c r="A199" s="155">
        <f t="shared" si="8"/>
        <v>184</v>
      </c>
      <c r="B199" s="151">
        <f t="shared" ca="1" si="6"/>
        <v>49.623717480692676</v>
      </c>
      <c r="C199" s="158">
        <f t="shared" ca="1" si="7"/>
        <v>1</v>
      </c>
    </row>
    <row r="200" spans="1:3" x14ac:dyDescent="0.25">
      <c r="A200" s="155">
        <f t="shared" si="8"/>
        <v>185</v>
      </c>
      <c r="B200" s="151">
        <f t="shared" ca="1" si="6"/>
        <v>34.76769816164726</v>
      </c>
      <c r="C200" s="158">
        <f t="shared" ca="1" si="7"/>
        <v>1</v>
      </c>
    </row>
    <row r="201" spans="1:3" x14ac:dyDescent="0.25">
      <c r="A201" s="155">
        <f t="shared" si="8"/>
        <v>186</v>
      </c>
      <c r="B201" s="151">
        <f t="shared" ca="1" si="6"/>
        <v>-10.087238733463067</v>
      </c>
      <c r="C201" s="158">
        <f t="shared" ca="1" si="7"/>
        <v>0</v>
      </c>
    </row>
    <row r="202" spans="1:3" x14ac:dyDescent="0.25">
      <c r="A202" s="155">
        <f t="shared" si="8"/>
        <v>187</v>
      </c>
      <c r="B202" s="151">
        <f t="shared" ca="1" si="6"/>
        <v>79.174052882011253</v>
      </c>
      <c r="C202" s="158">
        <f t="shared" ca="1" si="7"/>
        <v>1</v>
      </c>
    </row>
    <row r="203" spans="1:3" x14ac:dyDescent="0.25">
      <c r="A203" s="155">
        <f t="shared" si="8"/>
        <v>188</v>
      </c>
      <c r="B203" s="151">
        <f t="shared" ca="1" si="6"/>
        <v>20.847139733051719</v>
      </c>
      <c r="C203" s="158">
        <f t="shared" ca="1" si="7"/>
        <v>0</v>
      </c>
    </row>
    <row r="204" spans="1:3" x14ac:dyDescent="0.25">
      <c r="A204" s="155">
        <f t="shared" si="8"/>
        <v>189</v>
      </c>
      <c r="B204" s="151">
        <f t="shared" ca="1" si="6"/>
        <v>67.386098057322016</v>
      </c>
      <c r="C204" s="158">
        <f t="shared" ca="1" si="7"/>
        <v>1</v>
      </c>
    </row>
    <row r="205" spans="1:3" x14ac:dyDescent="0.25">
      <c r="A205" s="155">
        <f t="shared" si="8"/>
        <v>190</v>
      </c>
      <c r="B205" s="151">
        <f t="shared" ca="1" si="6"/>
        <v>49.026192060032358</v>
      </c>
      <c r="C205" s="158">
        <f t="shared" ca="1" si="7"/>
        <v>1</v>
      </c>
    </row>
    <row r="206" spans="1:3" x14ac:dyDescent="0.25">
      <c r="A206" s="155">
        <f t="shared" si="8"/>
        <v>191</v>
      </c>
      <c r="B206" s="151">
        <f t="shared" ca="1" si="6"/>
        <v>67.606364269264077</v>
      </c>
      <c r="C206" s="158">
        <f t="shared" ca="1" si="7"/>
        <v>1</v>
      </c>
    </row>
    <row r="207" spans="1:3" x14ac:dyDescent="0.25">
      <c r="A207" s="155">
        <f t="shared" si="8"/>
        <v>192</v>
      </c>
      <c r="B207" s="151">
        <f t="shared" ca="1" si="6"/>
        <v>14.889282930520451</v>
      </c>
      <c r="C207" s="158">
        <f t="shared" ca="1" si="7"/>
        <v>0</v>
      </c>
    </row>
    <row r="208" spans="1:3" x14ac:dyDescent="0.25">
      <c r="A208" s="155">
        <f t="shared" si="8"/>
        <v>193</v>
      </c>
      <c r="B208" s="151">
        <f t="shared" ca="1" si="6"/>
        <v>59.282902296720337</v>
      </c>
      <c r="C208" s="158">
        <f t="shared" ca="1" si="7"/>
        <v>1</v>
      </c>
    </row>
    <row r="209" spans="1:3" x14ac:dyDescent="0.25">
      <c r="A209" s="155">
        <f t="shared" si="8"/>
        <v>194</v>
      </c>
      <c r="B209" s="151">
        <f t="shared" ref="B209:B272" ca="1" si="9">_xlfn.NORM.INV(RAND(), $B$9, $B$10)</f>
        <v>56.503082092970025</v>
      </c>
      <c r="C209" s="158">
        <f t="shared" ref="C209:C272" ca="1" si="10">IF(B209 &gt;= $B$11, 1, 0)</f>
        <v>1</v>
      </c>
    </row>
    <row r="210" spans="1:3" x14ac:dyDescent="0.25">
      <c r="A210" s="155">
        <f t="shared" ref="A210:A273" si="11">+A209+1</f>
        <v>195</v>
      </c>
      <c r="B210" s="151">
        <f t="shared" ca="1" si="9"/>
        <v>7.5372101456678458</v>
      </c>
      <c r="C210" s="158">
        <f t="shared" ca="1" si="10"/>
        <v>0</v>
      </c>
    </row>
    <row r="211" spans="1:3" x14ac:dyDescent="0.25">
      <c r="A211" s="155">
        <f t="shared" si="11"/>
        <v>196</v>
      </c>
      <c r="B211" s="151">
        <f t="shared" ca="1" si="9"/>
        <v>45.609478050648676</v>
      </c>
      <c r="C211" s="158">
        <f t="shared" ca="1" si="10"/>
        <v>1</v>
      </c>
    </row>
    <row r="212" spans="1:3" x14ac:dyDescent="0.25">
      <c r="A212" s="155">
        <f t="shared" si="11"/>
        <v>197</v>
      </c>
      <c r="B212" s="151">
        <f t="shared" ca="1" si="9"/>
        <v>55.23019665524307</v>
      </c>
      <c r="C212" s="158">
        <f t="shared" ca="1" si="10"/>
        <v>1</v>
      </c>
    </row>
    <row r="213" spans="1:3" x14ac:dyDescent="0.25">
      <c r="A213" s="155">
        <f t="shared" si="11"/>
        <v>198</v>
      </c>
      <c r="B213" s="151">
        <f t="shared" ca="1" si="9"/>
        <v>13.695377470792309</v>
      </c>
      <c r="C213" s="158">
        <f t="shared" ca="1" si="10"/>
        <v>0</v>
      </c>
    </row>
    <row r="214" spans="1:3" x14ac:dyDescent="0.25">
      <c r="A214" s="155">
        <f t="shared" si="11"/>
        <v>199</v>
      </c>
      <c r="B214" s="151">
        <f t="shared" ca="1" si="9"/>
        <v>58.235348792117492</v>
      </c>
      <c r="C214" s="158">
        <f t="shared" ca="1" si="10"/>
        <v>1</v>
      </c>
    </row>
    <row r="215" spans="1:3" x14ac:dyDescent="0.25">
      <c r="A215" s="155">
        <f t="shared" si="11"/>
        <v>200</v>
      </c>
      <c r="B215" s="151">
        <f t="shared" ca="1" si="9"/>
        <v>34.60950373138531</v>
      </c>
      <c r="C215" s="158">
        <f t="shared" ca="1" si="10"/>
        <v>1</v>
      </c>
    </row>
    <row r="216" spans="1:3" x14ac:dyDescent="0.25">
      <c r="A216" s="155">
        <f t="shared" si="11"/>
        <v>201</v>
      </c>
      <c r="B216" s="151">
        <f t="shared" ca="1" si="9"/>
        <v>29.643803454266418</v>
      </c>
      <c r="C216" s="158">
        <f t="shared" ca="1" si="10"/>
        <v>1</v>
      </c>
    </row>
    <row r="217" spans="1:3" x14ac:dyDescent="0.25">
      <c r="A217" s="155">
        <f t="shared" si="11"/>
        <v>202</v>
      </c>
      <c r="B217" s="151">
        <f t="shared" ca="1" si="9"/>
        <v>39.374374996933639</v>
      </c>
      <c r="C217" s="158">
        <f t="shared" ca="1" si="10"/>
        <v>1</v>
      </c>
    </row>
    <row r="218" spans="1:3" x14ac:dyDescent="0.25">
      <c r="A218" s="155">
        <f t="shared" si="11"/>
        <v>203</v>
      </c>
      <c r="B218" s="151">
        <f t="shared" ca="1" si="9"/>
        <v>6.117550502903061</v>
      </c>
      <c r="C218" s="158">
        <f t="shared" ca="1" si="10"/>
        <v>0</v>
      </c>
    </row>
    <row r="219" spans="1:3" x14ac:dyDescent="0.25">
      <c r="A219" s="155">
        <f t="shared" si="11"/>
        <v>204</v>
      </c>
      <c r="B219" s="151">
        <f t="shared" ca="1" si="9"/>
        <v>4.2378784159931264</v>
      </c>
      <c r="C219" s="158">
        <f t="shared" ca="1" si="10"/>
        <v>0</v>
      </c>
    </row>
    <row r="220" spans="1:3" x14ac:dyDescent="0.25">
      <c r="A220" s="155">
        <f t="shared" si="11"/>
        <v>205</v>
      </c>
      <c r="B220" s="151">
        <f t="shared" ca="1" si="9"/>
        <v>100.81882934966731</v>
      </c>
      <c r="C220" s="158">
        <f t="shared" ca="1" si="10"/>
        <v>1</v>
      </c>
    </row>
    <row r="221" spans="1:3" x14ac:dyDescent="0.25">
      <c r="A221" s="155">
        <f t="shared" si="11"/>
        <v>206</v>
      </c>
      <c r="B221" s="151">
        <f t="shared" ca="1" si="9"/>
        <v>42.860888495967345</v>
      </c>
      <c r="C221" s="158">
        <f t="shared" ca="1" si="10"/>
        <v>1</v>
      </c>
    </row>
    <row r="222" spans="1:3" x14ac:dyDescent="0.25">
      <c r="A222" s="155">
        <f t="shared" si="11"/>
        <v>207</v>
      </c>
      <c r="B222" s="151">
        <f t="shared" ca="1" si="9"/>
        <v>39.752937956170008</v>
      </c>
      <c r="C222" s="158">
        <f t="shared" ca="1" si="10"/>
        <v>1</v>
      </c>
    </row>
    <row r="223" spans="1:3" x14ac:dyDescent="0.25">
      <c r="A223" s="155">
        <f t="shared" si="11"/>
        <v>208</v>
      </c>
      <c r="B223" s="151">
        <f t="shared" ca="1" si="9"/>
        <v>38.722169188532042</v>
      </c>
      <c r="C223" s="158">
        <f t="shared" ca="1" si="10"/>
        <v>1</v>
      </c>
    </row>
    <row r="224" spans="1:3" x14ac:dyDescent="0.25">
      <c r="A224" s="155">
        <f t="shared" si="11"/>
        <v>209</v>
      </c>
      <c r="B224" s="151">
        <f t="shared" ca="1" si="9"/>
        <v>32.627520617481487</v>
      </c>
      <c r="C224" s="158">
        <f t="shared" ca="1" si="10"/>
        <v>1</v>
      </c>
    </row>
    <row r="225" spans="1:3" x14ac:dyDescent="0.25">
      <c r="A225" s="155">
        <f t="shared" si="11"/>
        <v>210</v>
      </c>
      <c r="B225" s="151">
        <f t="shared" ca="1" si="9"/>
        <v>28.180787604819479</v>
      </c>
      <c r="C225" s="158">
        <f t="shared" ca="1" si="10"/>
        <v>1</v>
      </c>
    </row>
    <row r="226" spans="1:3" x14ac:dyDescent="0.25">
      <c r="A226" s="155">
        <f t="shared" si="11"/>
        <v>211</v>
      </c>
      <c r="B226" s="151">
        <f t="shared" ca="1" si="9"/>
        <v>0.57141373341718094</v>
      </c>
      <c r="C226" s="158">
        <f t="shared" ca="1" si="10"/>
        <v>0</v>
      </c>
    </row>
    <row r="227" spans="1:3" x14ac:dyDescent="0.25">
      <c r="A227" s="155">
        <f t="shared" si="11"/>
        <v>212</v>
      </c>
      <c r="B227" s="151">
        <f t="shared" ca="1" si="9"/>
        <v>49.835215786886501</v>
      </c>
      <c r="C227" s="158">
        <f t="shared" ca="1" si="10"/>
        <v>1</v>
      </c>
    </row>
    <row r="228" spans="1:3" x14ac:dyDescent="0.25">
      <c r="A228" s="155">
        <f t="shared" si="11"/>
        <v>213</v>
      </c>
      <c r="B228" s="151">
        <f t="shared" ca="1" si="9"/>
        <v>0.11470444236110922</v>
      </c>
      <c r="C228" s="158">
        <f t="shared" ca="1" si="10"/>
        <v>0</v>
      </c>
    </row>
    <row r="229" spans="1:3" x14ac:dyDescent="0.25">
      <c r="A229" s="155">
        <f t="shared" si="11"/>
        <v>214</v>
      </c>
      <c r="B229" s="151">
        <f t="shared" ca="1" si="9"/>
        <v>26.956359538723525</v>
      </c>
      <c r="C229" s="158">
        <f t="shared" ca="1" si="10"/>
        <v>1</v>
      </c>
    </row>
    <row r="230" spans="1:3" x14ac:dyDescent="0.25">
      <c r="A230" s="155">
        <f t="shared" si="11"/>
        <v>215</v>
      </c>
      <c r="B230" s="151">
        <f t="shared" ca="1" si="9"/>
        <v>14.594839000957869</v>
      </c>
      <c r="C230" s="158">
        <f t="shared" ca="1" si="10"/>
        <v>0</v>
      </c>
    </row>
    <row r="231" spans="1:3" x14ac:dyDescent="0.25">
      <c r="A231" s="155">
        <f t="shared" si="11"/>
        <v>216</v>
      </c>
      <c r="B231" s="151">
        <f t="shared" ca="1" si="9"/>
        <v>53.807872135896588</v>
      </c>
      <c r="C231" s="158">
        <f t="shared" ca="1" si="10"/>
        <v>1</v>
      </c>
    </row>
    <row r="232" spans="1:3" x14ac:dyDescent="0.25">
      <c r="A232" s="155">
        <f t="shared" si="11"/>
        <v>217</v>
      </c>
      <c r="B232" s="151">
        <f t="shared" ca="1" si="9"/>
        <v>50.543629234145868</v>
      </c>
      <c r="C232" s="158">
        <f t="shared" ca="1" si="10"/>
        <v>1</v>
      </c>
    </row>
    <row r="233" spans="1:3" x14ac:dyDescent="0.25">
      <c r="A233" s="155">
        <f t="shared" si="11"/>
        <v>218</v>
      </c>
      <c r="B233" s="151">
        <f t="shared" ca="1" si="9"/>
        <v>99.261304190987673</v>
      </c>
      <c r="C233" s="158">
        <f t="shared" ca="1" si="10"/>
        <v>1</v>
      </c>
    </row>
    <row r="234" spans="1:3" x14ac:dyDescent="0.25">
      <c r="A234" s="155">
        <f t="shared" si="11"/>
        <v>219</v>
      </c>
      <c r="B234" s="151">
        <f t="shared" ca="1" si="9"/>
        <v>56.905476946530321</v>
      </c>
      <c r="C234" s="158">
        <f t="shared" ca="1" si="10"/>
        <v>1</v>
      </c>
    </row>
    <row r="235" spans="1:3" x14ac:dyDescent="0.25">
      <c r="A235" s="155">
        <f t="shared" si="11"/>
        <v>220</v>
      </c>
      <c r="B235" s="151">
        <f t="shared" ca="1" si="9"/>
        <v>103.85426234204401</v>
      </c>
      <c r="C235" s="158">
        <f t="shared" ca="1" si="10"/>
        <v>1</v>
      </c>
    </row>
    <row r="236" spans="1:3" x14ac:dyDescent="0.25">
      <c r="A236" s="155">
        <f t="shared" si="11"/>
        <v>221</v>
      </c>
      <c r="B236" s="151">
        <f t="shared" ca="1" si="9"/>
        <v>18.174653376931008</v>
      </c>
      <c r="C236" s="158">
        <f t="shared" ca="1" si="10"/>
        <v>0</v>
      </c>
    </row>
    <row r="237" spans="1:3" x14ac:dyDescent="0.25">
      <c r="A237" s="155">
        <f t="shared" si="11"/>
        <v>222</v>
      </c>
      <c r="B237" s="151">
        <f t="shared" ca="1" si="9"/>
        <v>38.640114703719163</v>
      </c>
      <c r="C237" s="158">
        <f t="shared" ca="1" si="10"/>
        <v>1</v>
      </c>
    </row>
    <row r="238" spans="1:3" x14ac:dyDescent="0.25">
      <c r="A238" s="155">
        <f t="shared" si="11"/>
        <v>223</v>
      </c>
      <c r="B238" s="151">
        <f t="shared" ca="1" si="9"/>
        <v>55.499064023057542</v>
      </c>
      <c r="C238" s="158">
        <f t="shared" ca="1" si="10"/>
        <v>1</v>
      </c>
    </row>
    <row r="239" spans="1:3" x14ac:dyDescent="0.25">
      <c r="A239" s="155">
        <f t="shared" si="11"/>
        <v>224</v>
      </c>
      <c r="B239" s="151">
        <f t="shared" ca="1" si="9"/>
        <v>63.07037486209579</v>
      </c>
      <c r="C239" s="158">
        <f t="shared" ca="1" si="10"/>
        <v>1</v>
      </c>
    </row>
    <row r="240" spans="1:3" x14ac:dyDescent="0.25">
      <c r="A240" s="155">
        <f t="shared" si="11"/>
        <v>225</v>
      </c>
      <c r="B240" s="151">
        <f t="shared" ca="1" si="9"/>
        <v>9.399563246644508</v>
      </c>
      <c r="C240" s="158">
        <f t="shared" ca="1" si="10"/>
        <v>0</v>
      </c>
    </row>
    <row r="241" spans="1:3" x14ac:dyDescent="0.25">
      <c r="A241" s="155">
        <f t="shared" si="11"/>
        <v>226</v>
      </c>
      <c r="B241" s="151">
        <f t="shared" ca="1" si="9"/>
        <v>39.342625758902443</v>
      </c>
      <c r="C241" s="158">
        <f t="shared" ca="1" si="10"/>
        <v>1</v>
      </c>
    </row>
    <row r="242" spans="1:3" x14ac:dyDescent="0.25">
      <c r="A242" s="155">
        <f t="shared" si="11"/>
        <v>227</v>
      </c>
      <c r="B242" s="151">
        <f t="shared" ca="1" si="9"/>
        <v>15.452120389252073</v>
      </c>
      <c r="C242" s="158">
        <f t="shared" ca="1" si="10"/>
        <v>0</v>
      </c>
    </row>
    <row r="243" spans="1:3" x14ac:dyDescent="0.25">
      <c r="A243" s="155">
        <f t="shared" si="11"/>
        <v>228</v>
      </c>
      <c r="B243" s="151">
        <f t="shared" ca="1" si="9"/>
        <v>81.750534513365182</v>
      </c>
      <c r="C243" s="158">
        <f t="shared" ca="1" si="10"/>
        <v>1</v>
      </c>
    </row>
    <row r="244" spans="1:3" x14ac:dyDescent="0.25">
      <c r="A244" s="155">
        <f t="shared" si="11"/>
        <v>229</v>
      </c>
      <c r="B244" s="151">
        <f t="shared" ca="1" si="9"/>
        <v>44.352645500565473</v>
      </c>
      <c r="C244" s="158">
        <f t="shared" ca="1" si="10"/>
        <v>1</v>
      </c>
    </row>
    <row r="245" spans="1:3" x14ac:dyDescent="0.25">
      <c r="A245" s="155">
        <f t="shared" si="11"/>
        <v>230</v>
      </c>
      <c r="B245" s="151">
        <f t="shared" ca="1" si="9"/>
        <v>60.906075201736471</v>
      </c>
      <c r="C245" s="158">
        <f t="shared" ca="1" si="10"/>
        <v>1</v>
      </c>
    </row>
    <row r="246" spans="1:3" x14ac:dyDescent="0.25">
      <c r="A246" s="155">
        <f t="shared" si="11"/>
        <v>231</v>
      </c>
      <c r="B246" s="151">
        <f t="shared" ca="1" si="9"/>
        <v>69.876538700148188</v>
      </c>
      <c r="C246" s="158">
        <f t="shared" ca="1" si="10"/>
        <v>1</v>
      </c>
    </row>
    <row r="247" spans="1:3" x14ac:dyDescent="0.25">
      <c r="A247" s="155">
        <f t="shared" si="11"/>
        <v>232</v>
      </c>
      <c r="B247" s="151">
        <f t="shared" ca="1" si="9"/>
        <v>40.971486111171096</v>
      </c>
      <c r="C247" s="158">
        <f t="shared" ca="1" si="10"/>
        <v>1</v>
      </c>
    </row>
    <row r="248" spans="1:3" x14ac:dyDescent="0.25">
      <c r="A248" s="155">
        <f t="shared" si="11"/>
        <v>233</v>
      </c>
      <c r="B248" s="151">
        <f t="shared" ca="1" si="9"/>
        <v>71.033890998521301</v>
      </c>
      <c r="C248" s="158">
        <f t="shared" ca="1" si="10"/>
        <v>1</v>
      </c>
    </row>
    <row r="249" spans="1:3" x14ac:dyDescent="0.25">
      <c r="A249" s="155">
        <f t="shared" si="11"/>
        <v>234</v>
      </c>
      <c r="B249" s="151">
        <f t="shared" ca="1" si="9"/>
        <v>47.195496627906714</v>
      </c>
      <c r="C249" s="158">
        <f t="shared" ca="1" si="10"/>
        <v>1</v>
      </c>
    </row>
    <row r="250" spans="1:3" x14ac:dyDescent="0.25">
      <c r="A250" s="155">
        <f t="shared" si="11"/>
        <v>235</v>
      </c>
      <c r="B250" s="151">
        <f t="shared" ca="1" si="9"/>
        <v>32.815159265053502</v>
      </c>
      <c r="C250" s="158">
        <f t="shared" ca="1" si="10"/>
        <v>1</v>
      </c>
    </row>
    <row r="251" spans="1:3" x14ac:dyDescent="0.25">
      <c r="A251" s="155">
        <f t="shared" si="11"/>
        <v>236</v>
      </c>
      <c r="B251" s="151">
        <f t="shared" ca="1" si="9"/>
        <v>12.307161790371232</v>
      </c>
      <c r="C251" s="158">
        <f t="shared" ca="1" si="10"/>
        <v>0</v>
      </c>
    </row>
    <row r="252" spans="1:3" x14ac:dyDescent="0.25">
      <c r="A252" s="155">
        <f t="shared" si="11"/>
        <v>237</v>
      </c>
      <c r="B252" s="151">
        <f t="shared" ca="1" si="9"/>
        <v>17.356925015749937</v>
      </c>
      <c r="C252" s="158">
        <f t="shared" ca="1" si="10"/>
        <v>0</v>
      </c>
    </row>
    <row r="253" spans="1:3" x14ac:dyDescent="0.25">
      <c r="A253" s="155">
        <f t="shared" si="11"/>
        <v>238</v>
      </c>
      <c r="B253" s="151">
        <f t="shared" ca="1" si="9"/>
        <v>40.623040213315178</v>
      </c>
      <c r="C253" s="158">
        <f t="shared" ca="1" si="10"/>
        <v>1</v>
      </c>
    </row>
    <row r="254" spans="1:3" x14ac:dyDescent="0.25">
      <c r="A254" s="155">
        <f t="shared" si="11"/>
        <v>239</v>
      </c>
      <c r="B254" s="151">
        <f t="shared" ca="1" si="9"/>
        <v>66.379219352419</v>
      </c>
      <c r="C254" s="158">
        <f t="shared" ca="1" si="10"/>
        <v>1</v>
      </c>
    </row>
    <row r="255" spans="1:3" x14ac:dyDescent="0.25">
      <c r="A255" s="155">
        <f t="shared" si="11"/>
        <v>240</v>
      </c>
      <c r="B255" s="151">
        <f t="shared" ca="1" si="9"/>
        <v>20.817783614824336</v>
      </c>
      <c r="C255" s="158">
        <f t="shared" ca="1" si="10"/>
        <v>0</v>
      </c>
    </row>
    <row r="256" spans="1:3" x14ac:dyDescent="0.25">
      <c r="A256" s="155">
        <f t="shared" si="11"/>
        <v>241</v>
      </c>
      <c r="B256" s="151">
        <f t="shared" ca="1" si="9"/>
        <v>16.211773396996854</v>
      </c>
      <c r="C256" s="158">
        <f t="shared" ca="1" si="10"/>
        <v>0</v>
      </c>
    </row>
    <row r="257" spans="1:3" x14ac:dyDescent="0.25">
      <c r="A257" s="155">
        <f t="shared" si="11"/>
        <v>242</v>
      </c>
      <c r="B257" s="151">
        <f t="shared" ca="1" si="9"/>
        <v>61.008258968572989</v>
      </c>
      <c r="C257" s="158">
        <f t="shared" ca="1" si="10"/>
        <v>1</v>
      </c>
    </row>
    <row r="258" spans="1:3" x14ac:dyDescent="0.25">
      <c r="A258" s="155">
        <f t="shared" si="11"/>
        <v>243</v>
      </c>
      <c r="B258" s="151">
        <f t="shared" ca="1" si="9"/>
        <v>4.1233896955284024</v>
      </c>
      <c r="C258" s="158">
        <f t="shared" ca="1" si="10"/>
        <v>0</v>
      </c>
    </row>
    <row r="259" spans="1:3" x14ac:dyDescent="0.25">
      <c r="A259" s="155">
        <f t="shared" si="11"/>
        <v>244</v>
      </c>
      <c r="B259" s="151">
        <f t="shared" ca="1" si="9"/>
        <v>13.686819164000291</v>
      </c>
      <c r="C259" s="158">
        <f t="shared" ca="1" si="10"/>
        <v>0</v>
      </c>
    </row>
    <row r="260" spans="1:3" x14ac:dyDescent="0.25">
      <c r="A260" s="155">
        <f t="shared" si="11"/>
        <v>245</v>
      </c>
      <c r="B260" s="151">
        <f t="shared" ca="1" si="9"/>
        <v>52.902892079773622</v>
      </c>
      <c r="C260" s="158">
        <f t="shared" ca="1" si="10"/>
        <v>1</v>
      </c>
    </row>
    <row r="261" spans="1:3" x14ac:dyDescent="0.25">
      <c r="A261" s="155">
        <f t="shared" si="11"/>
        <v>246</v>
      </c>
      <c r="B261" s="151">
        <f t="shared" ca="1" si="9"/>
        <v>23.749829027993847</v>
      </c>
      <c r="C261" s="158">
        <f t="shared" ca="1" si="10"/>
        <v>0</v>
      </c>
    </row>
    <row r="262" spans="1:3" x14ac:dyDescent="0.25">
      <c r="A262" s="155">
        <f t="shared" si="11"/>
        <v>247</v>
      </c>
      <c r="B262" s="151">
        <f t="shared" ca="1" si="9"/>
        <v>45.457235380675741</v>
      </c>
      <c r="C262" s="158">
        <f t="shared" ca="1" si="10"/>
        <v>1</v>
      </c>
    </row>
    <row r="263" spans="1:3" x14ac:dyDescent="0.25">
      <c r="A263" s="155">
        <f t="shared" si="11"/>
        <v>248</v>
      </c>
      <c r="B263" s="151">
        <f t="shared" ca="1" si="9"/>
        <v>13.207430815749408</v>
      </c>
      <c r="C263" s="158">
        <f t="shared" ca="1" si="10"/>
        <v>0</v>
      </c>
    </row>
    <row r="264" spans="1:3" x14ac:dyDescent="0.25">
      <c r="A264" s="155">
        <f t="shared" si="11"/>
        <v>249</v>
      </c>
      <c r="B264" s="151">
        <f t="shared" ca="1" si="9"/>
        <v>24.056819083233094</v>
      </c>
      <c r="C264" s="158">
        <f t="shared" ca="1" si="10"/>
        <v>0</v>
      </c>
    </row>
    <row r="265" spans="1:3" x14ac:dyDescent="0.25">
      <c r="A265" s="155">
        <f t="shared" si="11"/>
        <v>250</v>
      </c>
      <c r="B265" s="151">
        <f t="shared" ca="1" si="9"/>
        <v>25.646745263066801</v>
      </c>
      <c r="C265" s="158">
        <f t="shared" ca="1" si="10"/>
        <v>1</v>
      </c>
    </row>
    <row r="266" spans="1:3" x14ac:dyDescent="0.25">
      <c r="A266" s="155">
        <f t="shared" si="11"/>
        <v>251</v>
      </c>
      <c r="B266" s="151">
        <f t="shared" ca="1" si="9"/>
        <v>21.352471899739413</v>
      </c>
      <c r="C266" s="158">
        <f t="shared" ca="1" si="10"/>
        <v>0</v>
      </c>
    </row>
    <row r="267" spans="1:3" x14ac:dyDescent="0.25">
      <c r="A267" s="155">
        <f t="shared" si="11"/>
        <v>252</v>
      </c>
      <c r="B267" s="151">
        <f t="shared" ca="1" si="9"/>
        <v>-1.9719914296338032</v>
      </c>
      <c r="C267" s="158">
        <f t="shared" ca="1" si="10"/>
        <v>0</v>
      </c>
    </row>
    <row r="268" spans="1:3" x14ac:dyDescent="0.25">
      <c r="A268" s="155">
        <f t="shared" si="11"/>
        <v>253</v>
      </c>
      <c r="B268" s="151">
        <f t="shared" ca="1" si="9"/>
        <v>50.71942021834893</v>
      </c>
      <c r="C268" s="158">
        <f t="shared" ca="1" si="10"/>
        <v>1</v>
      </c>
    </row>
    <row r="269" spans="1:3" x14ac:dyDescent="0.25">
      <c r="A269" s="155">
        <f t="shared" si="11"/>
        <v>254</v>
      </c>
      <c r="B269" s="151">
        <f t="shared" ca="1" si="9"/>
        <v>27.792460486795353</v>
      </c>
      <c r="C269" s="158">
        <f t="shared" ca="1" si="10"/>
        <v>1</v>
      </c>
    </row>
    <row r="270" spans="1:3" x14ac:dyDescent="0.25">
      <c r="A270" s="155">
        <f t="shared" si="11"/>
        <v>255</v>
      </c>
      <c r="B270" s="151">
        <f t="shared" ca="1" si="9"/>
        <v>22.824910432544776</v>
      </c>
      <c r="C270" s="158">
        <f t="shared" ca="1" si="10"/>
        <v>0</v>
      </c>
    </row>
    <row r="271" spans="1:3" x14ac:dyDescent="0.25">
      <c r="A271" s="155">
        <f t="shared" si="11"/>
        <v>256</v>
      </c>
      <c r="B271" s="151">
        <f t="shared" ca="1" si="9"/>
        <v>67.397005384845869</v>
      </c>
      <c r="C271" s="158">
        <f t="shared" ca="1" si="10"/>
        <v>1</v>
      </c>
    </row>
    <row r="272" spans="1:3" x14ac:dyDescent="0.25">
      <c r="A272" s="155">
        <f t="shared" si="11"/>
        <v>257</v>
      </c>
      <c r="B272" s="151">
        <f t="shared" ca="1" si="9"/>
        <v>58.90455925909788</v>
      </c>
      <c r="C272" s="158">
        <f t="shared" ca="1" si="10"/>
        <v>1</v>
      </c>
    </row>
    <row r="273" spans="1:3" x14ac:dyDescent="0.25">
      <c r="A273" s="155">
        <f t="shared" si="11"/>
        <v>258</v>
      </c>
      <c r="B273" s="151">
        <f t="shared" ref="B273:B336" ca="1" si="12">_xlfn.NORM.INV(RAND(), $B$9, $B$10)</f>
        <v>48.514369219849122</v>
      </c>
      <c r="C273" s="158">
        <f t="shared" ref="C273:C336" ca="1" si="13">IF(B273 &gt;= $B$11, 1, 0)</f>
        <v>1</v>
      </c>
    </row>
    <row r="274" spans="1:3" x14ac:dyDescent="0.25">
      <c r="A274" s="155">
        <f t="shared" ref="A274:A337" si="14">+A273+1</f>
        <v>259</v>
      </c>
      <c r="B274" s="151">
        <f t="shared" ca="1" si="12"/>
        <v>30.944202603003106</v>
      </c>
      <c r="C274" s="158">
        <f t="shared" ca="1" si="13"/>
        <v>1</v>
      </c>
    </row>
    <row r="275" spans="1:3" x14ac:dyDescent="0.25">
      <c r="A275" s="155">
        <f t="shared" si="14"/>
        <v>260</v>
      </c>
      <c r="B275" s="151">
        <f t="shared" ca="1" si="12"/>
        <v>-0.92285554069587761</v>
      </c>
      <c r="C275" s="158">
        <f t="shared" ca="1" si="13"/>
        <v>0</v>
      </c>
    </row>
    <row r="276" spans="1:3" x14ac:dyDescent="0.25">
      <c r="A276" s="155">
        <f t="shared" si="14"/>
        <v>261</v>
      </c>
      <c r="B276" s="151">
        <f t="shared" ca="1" si="12"/>
        <v>19.152562828495263</v>
      </c>
      <c r="C276" s="158">
        <f t="shared" ca="1" si="13"/>
        <v>0</v>
      </c>
    </row>
    <row r="277" spans="1:3" x14ac:dyDescent="0.25">
      <c r="A277" s="155">
        <f t="shared" si="14"/>
        <v>262</v>
      </c>
      <c r="B277" s="151">
        <f t="shared" ca="1" si="12"/>
        <v>27.25823508395089</v>
      </c>
      <c r="C277" s="158">
        <f t="shared" ca="1" si="13"/>
        <v>1</v>
      </c>
    </row>
    <row r="278" spans="1:3" x14ac:dyDescent="0.25">
      <c r="A278" s="155">
        <f t="shared" si="14"/>
        <v>263</v>
      </c>
      <c r="B278" s="151">
        <f t="shared" ca="1" si="12"/>
        <v>8.6719066458630785</v>
      </c>
      <c r="C278" s="158">
        <f t="shared" ca="1" si="13"/>
        <v>0</v>
      </c>
    </row>
    <row r="279" spans="1:3" x14ac:dyDescent="0.25">
      <c r="A279" s="155">
        <f t="shared" si="14"/>
        <v>264</v>
      </c>
      <c r="B279" s="151">
        <f t="shared" ca="1" si="12"/>
        <v>2.4257373974294865</v>
      </c>
      <c r="C279" s="158">
        <f t="shared" ca="1" si="13"/>
        <v>0</v>
      </c>
    </row>
    <row r="280" spans="1:3" x14ac:dyDescent="0.25">
      <c r="A280" s="155">
        <f t="shared" si="14"/>
        <v>265</v>
      </c>
      <c r="B280" s="151">
        <f t="shared" ca="1" si="12"/>
        <v>17.977441203181609</v>
      </c>
      <c r="C280" s="158">
        <f t="shared" ca="1" si="13"/>
        <v>0</v>
      </c>
    </row>
    <row r="281" spans="1:3" x14ac:dyDescent="0.25">
      <c r="A281" s="155">
        <f t="shared" si="14"/>
        <v>266</v>
      </c>
      <c r="B281" s="151">
        <f t="shared" ca="1" si="12"/>
        <v>45.946140775948962</v>
      </c>
      <c r="C281" s="158">
        <f t="shared" ca="1" si="13"/>
        <v>1</v>
      </c>
    </row>
    <row r="282" spans="1:3" x14ac:dyDescent="0.25">
      <c r="A282" s="155">
        <f t="shared" si="14"/>
        <v>267</v>
      </c>
      <c r="B282" s="151">
        <f t="shared" ca="1" si="12"/>
        <v>52.127130263860572</v>
      </c>
      <c r="C282" s="158">
        <f t="shared" ca="1" si="13"/>
        <v>1</v>
      </c>
    </row>
    <row r="283" spans="1:3" x14ac:dyDescent="0.25">
      <c r="A283" s="155">
        <f t="shared" si="14"/>
        <v>268</v>
      </c>
      <c r="B283" s="151">
        <f t="shared" ca="1" si="12"/>
        <v>54.560941285263908</v>
      </c>
      <c r="C283" s="158">
        <f t="shared" ca="1" si="13"/>
        <v>1</v>
      </c>
    </row>
    <row r="284" spans="1:3" x14ac:dyDescent="0.25">
      <c r="A284" s="155">
        <f t="shared" si="14"/>
        <v>269</v>
      </c>
      <c r="B284" s="151">
        <f t="shared" ca="1" si="12"/>
        <v>37.148943359043969</v>
      </c>
      <c r="C284" s="158">
        <f t="shared" ca="1" si="13"/>
        <v>1</v>
      </c>
    </row>
    <row r="285" spans="1:3" x14ac:dyDescent="0.25">
      <c r="A285" s="155">
        <f t="shared" si="14"/>
        <v>270</v>
      </c>
      <c r="B285" s="151">
        <f t="shared" ca="1" si="12"/>
        <v>-17.201563186442925</v>
      </c>
      <c r="C285" s="158">
        <f t="shared" ca="1" si="13"/>
        <v>0</v>
      </c>
    </row>
    <row r="286" spans="1:3" x14ac:dyDescent="0.25">
      <c r="A286" s="155">
        <f t="shared" si="14"/>
        <v>271</v>
      </c>
      <c r="B286" s="151">
        <f t="shared" ca="1" si="12"/>
        <v>54.05675250699985</v>
      </c>
      <c r="C286" s="158">
        <f t="shared" ca="1" si="13"/>
        <v>1</v>
      </c>
    </row>
    <row r="287" spans="1:3" x14ac:dyDescent="0.25">
      <c r="A287" s="155">
        <f t="shared" si="14"/>
        <v>272</v>
      </c>
      <c r="B287" s="151">
        <f t="shared" ca="1" si="12"/>
        <v>16.824553894418823</v>
      </c>
      <c r="C287" s="158">
        <f t="shared" ca="1" si="13"/>
        <v>0</v>
      </c>
    </row>
    <row r="288" spans="1:3" x14ac:dyDescent="0.25">
      <c r="A288" s="155">
        <f t="shared" si="14"/>
        <v>273</v>
      </c>
      <c r="B288" s="151">
        <f t="shared" ca="1" si="12"/>
        <v>-3.0735487003832702</v>
      </c>
      <c r="C288" s="158">
        <f t="shared" ca="1" si="13"/>
        <v>0</v>
      </c>
    </row>
    <row r="289" spans="1:3" x14ac:dyDescent="0.25">
      <c r="A289" s="155">
        <f t="shared" si="14"/>
        <v>274</v>
      </c>
      <c r="B289" s="151">
        <f t="shared" ca="1" si="12"/>
        <v>61.020755158095284</v>
      </c>
      <c r="C289" s="158">
        <f t="shared" ca="1" si="13"/>
        <v>1</v>
      </c>
    </row>
    <row r="290" spans="1:3" x14ac:dyDescent="0.25">
      <c r="A290" s="155">
        <f t="shared" si="14"/>
        <v>275</v>
      </c>
      <c r="B290" s="151">
        <f t="shared" ca="1" si="12"/>
        <v>65.576353024915889</v>
      </c>
      <c r="C290" s="158">
        <f t="shared" ca="1" si="13"/>
        <v>1</v>
      </c>
    </row>
    <row r="291" spans="1:3" x14ac:dyDescent="0.25">
      <c r="A291" s="155">
        <f t="shared" si="14"/>
        <v>276</v>
      </c>
      <c r="B291" s="151">
        <f t="shared" ca="1" si="12"/>
        <v>12.853119469172242</v>
      </c>
      <c r="C291" s="158">
        <f t="shared" ca="1" si="13"/>
        <v>0</v>
      </c>
    </row>
    <row r="292" spans="1:3" x14ac:dyDescent="0.25">
      <c r="A292" s="155">
        <f t="shared" si="14"/>
        <v>277</v>
      </c>
      <c r="B292" s="151">
        <f t="shared" ca="1" si="12"/>
        <v>49.305785726412076</v>
      </c>
      <c r="C292" s="158">
        <f t="shared" ca="1" si="13"/>
        <v>1</v>
      </c>
    </row>
    <row r="293" spans="1:3" x14ac:dyDescent="0.25">
      <c r="A293" s="155">
        <f t="shared" si="14"/>
        <v>278</v>
      </c>
      <c r="B293" s="151">
        <f t="shared" ca="1" si="12"/>
        <v>40.620462618920236</v>
      </c>
      <c r="C293" s="158">
        <f t="shared" ca="1" si="13"/>
        <v>1</v>
      </c>
    </row>
    <row r="294" spans="1:3" x14ac:dyDescent="0.25">
      <c r="A294" s="155">
        <f t="shared" si="14"/>
        <v>279</v>
      </c>
      <c r="B294" s="151">
        <f t="shared" ca="1" si="12"/>
        <v>63.506238916411604</v>
      </c>
      <c r="C294" s="158">
        <f t="shared" ca="1" si="13"/>
        <v>1</v>
      </c>
    </row>
    <row r="295" spans="1:3" x14ac:dyDescent="0.25">
      <c r="A295" s="155">
        <f t="shared" si="14"/>
        <v>280</v>
      </c>
      <c r="B295" s="151">
        <f t="shared" ca="1" si="12"/>
        <v>18.04465341407008</v>
      </c>
      <c r="C295" s="158">
        <f t="shared" ca="1" si="13"/>
        <v>0</v>
      </c>
    </row>
    <row r="296" spans="1:3" x14ac:dyDescent="0.25">
      <c r="A296" s="155">
        <f t="shared" si="14"/>
        <v>281</v>
      </c>
      <c r="B296" s="151">
        <f t="shared" ca="1" si="12"/>
        <v>70.06129578319829</v>
      </c>
      <c r="C296" s="158">
        <f t="shared" ca="1" si="13"/>
        <v>1</v>
      </c>
    </row>
    <row r="297" spans="1:3" x14ac:dyDescent="0.25">
      <c r="A297" s="155">
        <f t="shared" si="14"/>
        <v>282</v>
      </c>
      <c r="B297" s="151">
        <f t="shared" ca="1" si="12"/>
        <v>23.60459272815546</v>
      </c>
      <c r="C297" s="158">
        <f t="shared" ca="1" si="13"/>
        <v>0</v>
      </c>
    </row>
    <row r="298" spans="1:3" x14ac:dyDescent="0.25">
      <c r="A298" s="155">
        <f t="shared" si="14"/>
        <v>283</v>
      </c>
      <c r="B298" s="151">
        <f t="shared" ca="1" si="12"/>
        <v>36.451852588629215</v>
      </c>
      <c r="C298" s="158">
        <f t="shared" ca="1" si="13"/>
        <v>1</v>
      </c>
    </row>
    <row r="299" spans="1:3" x14ac:dyDescent="0.25">
      <c r="A299" s="155">
        <f t="shared" si="14"/>
        <v>284</v>
      </c>
      <c r="B299" s="151">
        <f t="shared" ca="1" si="12"/>
        <v>7.3233756680803204</v>
      </c>
      <c r="C299" s="158">
        <f t="shared" ca="1" si="13"/>
        <v>0</v>
      </c>
    </row>
    <row r="300" spans="1:3" x14ac:dyDescent="0.25">
      <c r="A300" s="155">
        <f t="shared" si="14"/>
        <v>285</v>
      </c>
      <c r="B300" s="151">
        <f t="shared" ca="1" si="12"/>
        <v>-11.723145700531362</v>
      </c>
      <c r="C300" s="158">
        <f t="shared" ca="1" si="13"/>
        <v>0</v>
      </c>
    </row>
    <row r="301" spans="1:3" x14ac:dyDescent="0.25">
      <c r="A301" s="155">
        <f t="shared" si="14"/>
        <v>286</v>
      </c>
      <c r="B301" s="151">
        <f t="shared" ca="1" si="12"/>
        <v>45.609621325850135</v>
      </c>
      <c r="C301" s="158">
        <f t="shared" ca="1" si="13"/>
        <v>1</v>
      </c>
    </row>
    <row r="302" spans="1:3" x14ac:dyDescent="0.25">
      <c r="A302" s="155">
        <f t="shared" si="14"/>
        <v>287</v>
      </c>
      <c r="B302" s="151">
        <f t="shared" ca="1" si="12"/>
        <v>75.234789079938253</v>
      </c>
      <c r="C302" s="158">
        <f t="shared" ca="1" si="13"/>
        <v>1</v>
      </c>
    </row>
    <row r="303" spans="1:3" x14ac:dyDescent="0.25">
      <c r="A303" s="155">
        <f t="shared" si="14"/>
        <v>288</v>
      </c>
      <c r="B303" s="151">
        <f t="shared" ca="1" si="12"/>
        <v>39.09763253412541</v>
      </c>
      <c r="C303" s="158">
        <f t="shared" ca="1" si="13"/>
        <v>1</v>
      </c>
    </row>
    <row r="304" spans="1:3" x14ac:dyDescent="0.25">
      <c r="A304" s="155">
        <f t="shared" si="14"/>
        <v>289</v>
      </c>
      <c r="B304" s="151">
        <f t="shared" ca="1" si="12"/>
        <v>-11.436255929704664</v>
      </c>
      <c r="C304" s="158">
        <f t="shared" ca="1" si="13"/>
        <v>0</v>
      </c>
    </row>
    <row r="305" spans="1:3" x14ac:dyDescent="0.25">
      <c r="A305" s="155">
        <f t="shared" si="14"/>
        <v>290</v>
      </c>
      <c r="B305" s="151">
        <f t="shared" ca="1" si="12"/>
        <v>28.608297280359814</v>
      </c>
      <c r="C305" s="158">
        <f t="shared" ca="1" si="13"/>
        <v>1</v>
      </c>
    </row>
    <row r="306" spans="1:3" x14ac:dyDescent="0.25">
      <c r="A306" s="155">
        <f t="shared" si="14"/>
        <v>291</v>
      </c>
      <c r="B306" s="151">
        <f t="shared" ca="1" si="12"/>
        <v>12.76859271736836</v>
      </c>
      <c r="C306" s="158">
        <f t="shared" ca="1" si="13"/>
        <v>0</v>
      </c>
    </row>
    <row r="307" spans="1:3" x14ac:dyDescent="0.25">
      <c r="A307" s="155">
        <f t="shared" si="14"/>
        <v>292</v>
      </c>
      <c r="B307" s="151">
        <f t="shared" ca="1" si="12"/>
        <v>-5.958147805871377</v>
      </c>
      <c r="C307" s="158">
        <f t="shared" ca="1" si="13"/>
        <v>0</v>
      </c>
    </row>
    <row r="308" spans="1:3" x14ac:dyDescent="0.25">
      <c r="A308" s="155">
        <f t="shared" si="14"/>
        <v>293</v>
      </c>
      <c r="B308" s="151">
        <f t="shared" ca="1" si="12"/>
        <v>68.403969527720761</v>
      </c>
      <c r="C308" s="158">
        <f t="shared" ca="1" si="13"/>
        <v>1</v>
      </c>
    </row>
    <row r="309" spans="1:3" x14ac:dyDescent="0.25">
      <c r="A309" s="155">
        <f t="shared" si="14"/>
        <v>294</v>
      </c>
      <c r="B309" s="151">
        <f t="shared" ca="1" si="12"/>
        <v>40.632954927331724</v>
      </c>
      <c r="C309" s="158">
        <f t="shared" ca="1" si="13"/>
        <v>1</v>
      </c>
    </row>
    <row r="310" spans="1:3" x14ac:dyDescent="0.25">
      <c r="A310" s="155">
        <f t="shared" si="14"/>
        <v>295</v>
      </c>
      <c r="B310" s="151">
        <f t="shared" ca="1" si="12"/>
        <v>-31.31676135979626</v>
      </c>
      <c r="C310" s="158">
        <f t="shared" ca="1" si="13"/>
        <v>0</v>
      </c>
    </row>
    <row r="311" spans="1:3" x14ac:dyDescent="0.25">
      <c r="A311" s="155">
        <f t="shared" si="14"/>
        <v>296</v>
      </c>
      <c r="B311" s="151">
        <f t="shared" ca="1" si="12"/>
        <v>52.253253911432921</v>
      </c>
      <c r="C311" s="158">
        <f t="shared" ca="1" si="13"/>
        <v>1</v>
      </c>
    </row>
    <row r="312" spans="1:3" x14ac:dyDescent="0.25">
      <c r="A312" s="155">
        <f t="shared" si="14"/>
        <v>297</v>
      </c>
      <c r="B312" s="151">
        <f t="shared" ca="1" si="12"/>
        <v>61.613024847964461</v>
      </c>
      <c r="C312" s="158">
        <f t="shared" ca="1" si="13"/>
        <v>1</v>
      </c>
    </row>
    <row r="313" spans="1:3" x14ac:dyDescent="0.25">
      <c r="A313" s="155">
        <f t="shared" si="14"/>
        <v>298</v>
      </c>
      <c r="B313" s="151">
        <f t="shared" ca="1" si="12"/>
        <v>31.179652119062666</v>
      </c>
      <c r="C313" s="158">
        <f t="shared" ca="1" si="13"/>
        <v>1</v>
      </c>
    </row>
    <row r="314" spans="1:3" x14ac:dyDescent="0.25">
      <c r="A314" s="155">
        <f t="shared" si="14"/>
        <v>299</v>
      </c>
      <c r="B314" s="151">
        <f t="shared" ca="1" si="12"/>
        <v>55.975322363494939</v>
      </c>
      <c r="C314" s="158">
        <f t="shared" ca="1" si="13"/>
        <v>1</v>
      </c>
    </row>
    <row r="315" spans="1:3" x14ac:dyDescent="0.25">
      <c r="A315" s="155">
        <f t="shared" si="14"/>
        <v>300</v>
      </c>
      <c r="B315" s="151">
        <f t="shared" ca="1" si="12"/>
        <v>53.32277850573989</v>
      </c>
      <c r="C315" s="158">
        <f t="shared" ca="1" si="13"/>
        <v>1</v>
      </c>
    </row>
    <row r="316" spans="1:3" x14ac:dyDescent="0.25">
      <c r="A316" s="155">
        <f t="shared" si="14"/>
        <v>301</v>
      </c>
      <c r="B316" s="151">
        <f t="shared" ca="1" si="12"/>
        <v>3.0590854513070838</v>
      </c>
      <c r="C316" s="158">
        <f t="shared" ca="1" si="13"/>
        <v>0</v>
      </c>
    </row>
    <row r="317" spans="1:3" x14ac:dyDescent="0.25">
      <c r="A317" s="155">
        <f t="shared" si="14"/>
        <v>302</v>
      </c>
      <c r="B317" s="151">
        <f t="shared" ca="1" si="12"/>
        <v>43.018843922297769</v>
      </c>
      <c r="C317" s="158">
        <f t="shared" ca="1" si="13"/>
        <v>1</v>
      </c>
    </row>
    <row r="318" spans="1:3" x14ac:dyDescent="0.25">
      <c r="A318" s="155">
        <f t="shared" si="14"/>
        <v>303</v>
      </c>
      <c r="B318" s="151">
        <f t="shared" ca="1" si="12"/>
        <v>57.306799287683447</v>
      </c>
      <c r="C318" s="158">
        <f t="shared" ca="1" si="13"/>
        <v>1</v>
      </c>
    </row>
    <row r="319" spans="1:3" x14ac:dyDescent="0.25">
      <c r="A319" s="155">
        <f t="shared" si="14"/>
        <v>304</v>
      </c>
      <c r="B319" s="151">
        <f t="shared" ca="1" si="12"/>
        <v>50.871874248222518</v>
      </c>
      <c r="C319" s="158">
        <f t="shared" ca="1" si="13"/>
        <v>1</v>
      </c>
    </row>
    <row r="320" spans="1:3" x14ac:dyDescent="0.25">
      <c r="A320" s="155">
        <f t="shared" si="14"/>
        <v>305</v>
      </c>
      <c r="B320" s="151">
        <f t="shared" ca="1" si="12"/>
        <v>63.708958719702011</v>
      </c>
      <c r="C320" s="158">
        <f t="shared" ca="1" si="13"/>
        <v>1</v>
      </c>
    </row>
    <row r="321" spans="1:3" x14ac:dyDescent="0.25">
      <c r="A321" s="155">
        <f t="shared" si="14"/>
        <v>306</v>
      </c>
      <c r="B321" s="151">
        <f t="shared" ca="1" si="12"/>
        <v>29.784046143250585</v>
      </c>
      <c r="C321" s="158">
        <f t="shared" ca="1" si="13"/>
        <v>1</v>
      </c>
    </row>
    <row r="322" spans="1:3" x14ac:dyDescent="0.25">
      <c r="A322" s="155">
        <f t="shared" si="14"/>
        <v>307</v>
      </c>
      <c r="B322" s="151">
        <f t="shared" ca="1" si="12"/>
        <v>4.7805744506398717</v>
      </c>
      <c r="C322" s="158">
        <f t="shared" ca="1" si="13"/>
        <v>0</v>
      </c>
    </row>
    <row r="323" spans="1:3" x14ac:dyDescent="0.25">
      <c r="A323" s="155">
        <f t="shared" si="14"/>
        <v>308</v>
      </c>
      <c r="B323" s="151">
        <f t="shared" ca="1" si="12"/>
        <v>44.145387887214007</v>
      </c>
      <c r="C323" s="158">
        <f t="shared" ca="1" si="13"/>
        <v>1</v>
      </c>
    </row>
    <row r="324" spans="1:3" x14ac:dyDescent="0.25">
      <c r="A324" s="155">
        <f t="shared" si="14"/>
        <v>309</v>
      </c>
      <c r="B324" s="151">
        <f t="shared" ca="1" si="12"/>
        <v>18.767843468056615</v>
      </c>
      <c r="C324" s="158">
        <f t="shared" ca="1" si="13"/>
        <v>0</v>
      </c>
    </row>
    <row r="325" spans="1:3" x14ac:dyDescent="0.25">
      <c r="A325" s="155">
        <f t="shared" si="14"/>
        <v>310</v>
      </c>
      <c r="B325" s="151">
        <f t="shared" ca="1" si="12"/>
        <v>6.533432118420226</v>
      </c>
      <c r="C325" s="158">
        <f t="shared" ca="1" si="13"/>
        <v>0</v>
      </c>
    </row>
    <row r="326" spans="1:3" x14ac:dyDescent="0.25">
      <c r="A326" s="155">
        <f t="shared" si="14"/>
        <v>311</v>
      </c>
      <c r="B326" s="151">
        <f t="shared" ca="1" si="12"/>
        <v>31.641902237202277</v>
      </c>
      <c r="C326" s="158">
        <f t="shared" ca="1" si="13"/>
        <v>1</v>
      </c>
    </row>
    <row r="327" spans="1:3" x14ac:dyDescent="0.25">
      <c r="A327" s="155">
        <f t="shared" si="14"/>
        <v>312</v>
      </c>
      <c r="B327" s="151">
        <f t="shared" ca="1" si="12"/>
        <v>13.421976245567613</v>
      </c>
      <c r="C327" s="158">
        <f t="shared" ca="1" si="13"/>
        <v>0</v>
      </c>
    </row>
    <row r="328" spans="1:3" x14ac:dyDescent="0.25">
      <c r="A328" s="155">
        <f t="shared" si="14"/>
        <v>313</v>
      </c>
      <c r="B328" s="151">
        <f t="shared" ca="1" si="12"/>
        <v>24.176427039172577</v>
      </c>
      <c r="C328" s="158">
        <f t="shared" ca="1" si="13"/>
        <v>0</v>
      </c>
    </row>
    <row r="329" spans="1:3" x14ac:dyDescent="0.25">
      <c r="A329" s="155">
        <f t="shared" si="14"/>
        <v>314</v>
      </c>
      <c r="B329" s="151">
        <f t="shared" ca="1" si="12"/>
        <v>21.282345345726124</v>
      </c>
      <c r="C329" s="158">
        <f t="shared" ca="1" si="13"/>
        <v>0</v>
      </c>
    </row>
    <row r="330" spans="1:3" x14ac:dyDescent="0.25">
      <c r="A330" s="155">
        <f t="shared" si="14"/>
        <v>315</v>
      </c>
      <c r="B330" s="151">
        <f t="shared" ca="1" si="12"/>
        <v>3.6653364648804683</v>
      </c>
      <c r="C330" s="158">
        <f t="shared" ca="1" si="13"/>
        <v>0</v>
      </c>
    </row>
    <row r="331" spans="1:3" x14ac:dyDescent="0.25">
      <c r="A331" s="155">
        <f t="shared" si="14"/>
        <v>316</v>
      </c>
      <c r="B331" s="151">
        <f t="shared" ca="1" si="12"/>
        <v>27.790510761859366</v>
      </c>
      <c r="C331" s="158">
        <f t="shared" ca="1" si="13"/>
        <v>1</v>
      </c>
    </row>
    <row r="332" spans="1:3" x14ac:dyDescent="0.25">
      <c r="A332" s="155">
        <f t="shared" si="14"/>
        <v>317</v>
      </c>
      <c r="B332" s="151">
        <f t="shared" ca="1" si="12"/>
        <v>53.194599267045596</v>
      </c>
      <c r="C332" s="158">
        <f t="shared" ca="1" si="13"/>
        <v>1</v>
      </c>
    </row>
    <row r="333" spans="1:3" x14ac:dyDescent="0.25">
      <c r="A333" s="155">
        <f t="shared" si="14"/>
        <v>318</v>
      </c>
      <c r="B333" s="151">
        <f t="shared" ca="1" si="12"/>
        <v>12.450175191860463</v>
      </c>
      <c r="C333" s="158">
        <f t="shared" ca="1" si="13"/>
        <v>0</v>
      </c>
    </row>
    <row r="334" spans="1:3" x14ac:dyDescent="0.25">
      <c r="A334" s="155">
        <f t="shared" si="14"/>
        <v>319</v>
      </c>
      <c r="B334" s="151">
        <f t="shared" ca="1" si="12"/>
        <v>20.416971913412674</v>
      </c>
      <c r="C334" s="158">
        <f t="shared" ca="1" si="13"/>
        <v>0</v>
      </c>
    </row>
    <row r="335" spans="1:3" x14ac:dyDescent="0.25">
      <c r="A335" s="155">
        <f t="shared" si="14"/>
        <v>320</v>
      </c>
      <c r="B335" s="151">
        <f t="shared" ca="1" si="12"/>
        <v>-8.6502639949836038</v>
      </c>
      <c r="C335" s="158">
        <f t="shared" ca="1" si="13"/>
        <v>0</v>
      </c>
    </row>
    <row r="336" spans="1:3" x14ac:dyDescent="0.25">
      <c r="A336" s="155">
        <f t="shared" si="14"/>
        <v>321</v>
      </c>
      <c r="B336" s="151">
        <f t="shared" ca="1" si="12"/>
        <v>25.033267775150719</v>
      </c>
      <c r="C336" s="158">
        <f t="shared" ca="1" si="13"/>
        <v>1</v>
      </c>
    </row>
    <row r="337" spans="1:3" x14ac:dyDescent="0.25">
      <c r="A337" s="155">
        <f t="shared" si="14"/>
        <v>322</v>
      </c>
      <c r="B337" s="151">
        <f t="shared" ref="B337:B400" ca="1" si="15">_xlfn.NORM.INV(RAND(), $B$9, $B$10)</f>
        <v>22.085811140798544</v>
      </c>
      <c r="C337" s="158">
        <f t="shared" ref="C337:C400" ca="1" si="16">IF(B337 &gt;= $B$11, 1, 0)</f>
        <v>0</v>
      </c>
    </row>
    <row r="338" spans="1:3" x14ac:dyDescent="0.25">
      <c r="A338" s="155">
        <f t="shared" ref="A338:A401" si="17">+A337+1</f>
        <v>323</v>
      </c>
      <c r="B338" s="151">
        <f t="shared" ca="1" si="15"/>
        <v>78.599143735308473</v>
      </c>
      <c r="C338" s="158">
        <f t="shared" ca="1" si="16"/>
        <v>1</v>
      </c>
    </row>
    <row r="339" spans="1:3" x14ac:dyDescent="0.25">
      <c r="A339" s="155">
        <f t="shared" si="17"/>
        <v>324</v>
      </c>
      <c r="B339" s="151">
        <f t="shared" ca="1" si="15"/>
        <v>-3.111779175933961</v>
      </c>
      <c r="C339" s="158">
        <f t="shared" ca="1" si="16"/>
        <v>0</v>
      </c>
    </row>
    <row r="340" spans="1:3" x14ac:dyDescent="0.25">
      <c r="A340" s="155">
        <f t="shared" si="17"/>
        <v>325</v>
      </c>
      <c r="B340" s="151">
        <f t="shared" ca="1" si="15"/>
        <v>60.113839382707695</v>
      </c>
      <c r="C340" s="158">
        <f t="shared" ca="1" si="16"/>
        <v>1</v>
      </c>
    </row>
    <row r="341" spans="1:3" x14ac:dyDescent="0.25">
      <c r="A341" s="155">
        <f t="shared" si="17"/>
        <v>326</v>
      </c>
      <c r="B341" s="151">
        <f t="shared" ca="1" si="15"/>
        <v>82.669071121719895</v>
      </c>
      <c r="C341" s="158">
        <f t="shared" ca="1" si="16"/>
        <v>1</v>
      </c>
    </row>
    <row r="342" spans="1:3" x14ac:dyDescent="0.25">
      <c r="A342" s="155">
        <f t="shared" si="17"/>
        <v>327</v>
      </c>
      <c r="B342" s="151">
        <f t="shared" ca="1" si="15"/>
        <v>27.543405797303233</v>
      </c>
      <c r="C342" s="158">
        <f t="shared" ca="1" si="16"/>
        <v>1</v>
      </c>
    </row>
    <row r="343" spans="1:3" x14ac:dyDescent="0.25">
      <c r="A343" s="155">
        <f t="shared" si="17"/>
        <v>328</v>
      </c>
      <c r="B343" s="151">
        <f t="shared" ca="1" si="15"/>
        <v>61.930876698391756</v>
      </c>
      <c r="C343" s="158">
        <f t="shared" ca="1" si="16"/>
        <v>1</v>
      </c>
    </row>
    <row r="344" spans="1:3" x14ac:dyDescent="0.25">
      <c r="A344" s="155">
        <f t="shared" si="17"/>
        <v>329</v>
      </c>
      <c r="B344" s="151">
        <f t="shared" ca="1" si="15"/>
        <v>2.8573245284314481</v>
      </c>
      <c r="C344" s="158">
        <f t="shared" ca="1" si="16"/>
        <v>0</v>
      </c>
    </row>
    <row r="345" spans="1:3" x14ac:dyDescent="0.25">
      <c r="A345" s="155">
        <f t="shared" si="17"/>
        <v>330</v>
      </c>
      <c r="B345" s="151">
        <f t="shared" ca="1" si="15"/>
        <v>44.174944658018688</v>
      </c>
      <c r="C345" s="158">
        <f t="shared" ca="1" si="16"/>
        <v>1</v>
      </c>
    </row>
    <row r="346" spans="1:3" x14ac:dyDescent="0.25">
      <c r="A346" s="155">
        <f t="shared" si="17"/>
        <v>331</v>
      </c>
      <c r="B346" s="151">
        <f t="shared" ca="1" si="15"/>
        <v>81.591026998393247</v>
      </c>
      <c r="C346" s="158">
        <f t="shared" ca="1" si="16"/>
        <v>1</v>
      </c>
    </row>
    <row r="347" spans="1:3" x14ac:dyDescent="0.25">
      <c r="A347" s="155">
        <f t="shared" si="17"/>
        <v>332</v>
      </c>
      <c r="B347" s="151">
        <f t="shared" ca="1" si="15"/>
        <v>40.130813195070282</v>
      </c>
      <c r="C347" s="158">
        <f t="shared" ca="1" si="16"/>
        <v>1</v>
      </c>
    </row>
    <row r="348" spans="1:3" x14ac:dyDescent="0.25">
      <c r="A348" s="155">
        <f t="shared" si="17"/>
        <v>333</v>
      </c>
      <c r="B348" s="151">
        <f t="shared" ca="1" si="15"/>
        <v>33.342972709581403</v>
      </c>
      <c r="C348" s="158">
        <f t="shared" ca="1" si="16"/>
        <v>1</v>
      </c>
    </row>
    <row r="349" spans="1:3" x14ac:dyDescent="0.25">
      <c r="A349" s="155">
        <f t="shared" si="17"/>
        <v>334</v>
      </c>
      <c r="B349" s="151">
        <f t="shared" ca="1" si="15"/>
        <v>24.616460972271739</v>
      </c>
      <c r="C349" s="158">
        <f t="shared" ca="1" si="16"/>
        <v>0</v>
      </c>
    </row>
    <row r="350" spans="1:3" x14ac:dyDescent="0.25">
      <c r="A350" s="155">
        <f t="shared" si="17"/>
        <v>335</v>
      </c>
      <c r="B350" s="151">
        <f t="shared" ca="1" si="15"/>
        <v>32.110173666793557</v>
      </c>
      <c r="C350" s="158">
        <f t="shared" ca="1" si="16"/>
        <v>1</v>
      </c>
    </row>
    <row r="351" spans="1:3" x14ac:dyDescent="0.25">
      <c r="A351" s="155">
        <f t="shared" si="17"/>
        <v>336</v>
      </c>
      <c r="B351" s="151">
        <f t="shared" ca="1" si="15"/>
        <v>-13.658393821299562</v>
      </c>
      <c r="C351" s="158">
        <f t="shared" ca="1" si="16"/>
        <v>0</v>
      </c>
    </row>
    <row r="352" spans="1:3" x14ac:dyDescent="0.25">
      <c r="A352" s="155">
        <f t="shared" si="17"/>
        <v>337</v>
      </c>
      <c r="B352" s="151">
        <f t="shared" ca="1" si="15"/>
        <v>68.07084375052446</v>
      </c>
      <c r="C352" s="158">
        <f t="shared" ca="1" si="16"/>
        <v>1</v>
      </c>
    </row>
    <row r="353" spans="1:3" x14ac:dyDescent="0.25">
      <c r="A353" s="155">
        <f t="shared" si="17"/>
        <v>338</v>
      </c>
      <c r="B353" s="151">
        <f t="shared" ca="1" si="15"/>
        <v>51.982518061063544</v>
      </c>
      <c r="C353" s="158">
        <f t="shared" ca="1" si="16"/>
        <v>1</v>
      </c>
    </row>
    <row r="354" spans="1:3" x14ac:dyDescent="0.25">
      <c r="A354" s="155">
        <f t="shared" si="17"/>
        <v>339</v>
      </c>
      <c r="B354" s="151">
        <f t="shared" ca="1" si="15"/>
        <v>73.360128775172157</v>
      </c>
      <c r="C354" s="158">
        <f t="shared" ca="1" si="16"/>
        <v>1</v>
      </c>
    </row>
    <row r="355" spans="1:3" x14ac:dyDescent="0.25">
      <c r="A355" s="155">
        <f t="shared" si="17"/>
        <v>340</v>
      </c>
      <c r="B355" s="151">
        <f t="shared" ca="1" si="15"/>
        <v>54.864518035875477</v>
      </c>
      <c r="C355" s="158">
        <f t="shared" ca="1" si="16"/>
        <v>1</v>
      </c>
    </row>
    <row r="356" spans="1:3" x14ac:dyDescent="0.25">
      <c r="A356" s="155">
        <f t="shared" si="17"/>
        <v>341</v>
      </c>
      <c r="B356" s="151">
        <f t="shared" ca="1" si="15"/>
        <v>22.642175101545284</v>
      </c>
      <c r="C356" s="158">
        <f t="shared" ca="1" si="16"/>
        <v>0</v>
      </c>
    </row>
    <row r="357" spans="1:3" x14ac:dyDescent="0.25">
      <c r="A357" s="155">
        <f t="shared" si="17"/>
        <v>342</v>
      </c>
      <c r="B357" s="151">
        <f t="shared" ca="1" si="15"/>
        <v>3.4014175468298333</v>
      </c>
      <c r="C357" s="158">
        <f t="shared" ca="1" si="16"/>
        <v>0</v>
      </c>
    </row>
    <row r="358" spans="1:3" x14ac:dyDescent="0.25">
      <c r="A358" s="155">
        <f t="shared" si="17"/>
        <v>343</v>
      </c>
      <c r="B358" s="151">
        <f t="shared" ca="1" si="15"/>
        <v>7.10106187902527</v>
      </c>
      <c r="C358" s="158">
        <f t="shared" ca="1" si="16"/>
        <v>0</v>
      </c>
    </row>
    <row r="359" spans="1:3" x14ac:dyDescent="0.25">
      <c r="A359" s="155">
        <f t="shared" si="17"/>
        <v>344</v>
      </c>
      <c r="B359" s="151">
        <f t="shared" ca="1" si="15"/>
        <v>101.64044351268255</v>
      </c>
      <c r="C359" s="158">
        <f t="shared" ca="1" si="16"/>
        <v>1</v>
      </c>
    </row>
    <row r="360" spans="1:3" x14ac:dyDescent="0.25">
      <c r="A360" s="155">
        <f t="shared" si="17"/>
        <v>345</v>
      </c>
      <c r="B360" s="151">
        <f t="shared" ca="1" si="15"/>
        <v>38.124493051340615</v>
      </c>
      <c r="C360" s="158">
        <f t="shared" ca="1" si="16"/>
        <v>1</v>
      </c>
    </row>
    <row r="361" spans="1:3" x14ac:dyDescent="0.25">
      <c r="A361" s="155">
        <f t="shared" si="17"/>
        <v>346</v>
      </c>
      <c r="B361" s="151">
        <f t="shared" ca="1" si="15"/>
        <v>101.03427671474272</v>
      </c>
      <c r="C361" s="158">
        <f t="shared" ca="1" si="16"/>
        <v>1</v>
      </c>
    </row>
    <row r="362" spans="1:3" x14ac:dyDescent="0.25">
      <c r="A362" s="155">
        <f t="shared" si="17"/>
        <v>347</v>
      </c>
      <c r="B362" s="151">
        <f t="shared" ca="1" si="15"/>
        <v>43.386740246974597</v>
      </c>
      <c r="C362" s="158">
        <f t="shared" ca="1" si="16"/>
        <v>1</v>
      </c>
    </row>
    <row r="363" spans="1:3" x14ac:dyDescent="0.25">
      <c r="A363" s="155">
        <f t="shared" si="17"/>
        <v>348</v>
      </c>
      <c r="B363" s="151">
        <f t="shared" ca="1" si="15"/>
        <v>7.1339324945303346</v>
      </c>
      <c r="C363" s="158">
        <f t="shared" ca="1" si="16"/>
        <v>0</v>
      </c>
    </row>
    <row r="364" spans="1:3" x14ac:dyDescent="0.25">
      <c r="A364" s="155">
        <f t="shared" si="17"/>
        <v>349</v>
      </c>
      <c r="B364" s="151">
        <f t="shared" ca="1" si="15"/>
        <v>75.992664507664017</v>
      </c>
      <c r="C364" s="158">
        <f t="shared" ca="1" si="16"/>
        <v>1</v>
      </c>
    </row>
    <row r="365" spans="1:3" x14ac:dyDescent="0.25">
      <c r="A365" s="155">
        <f t="shared" si="17"/>
        <v>350</v>
      </c>
      <c r="B365" s="151">
        <f t="shared" ca="1" si="15"/>
        <v>-17.695789855019861</v>
      </c>
      <c r="C365" s="158">
        <f t="shared" ca="1" si="16"/>
        <v>0</v>
      </c>
    </row>
    <row r="366" spans="1:3" x14ac:dyDescent="0.25">
      <c r="A366" s="155">
        <f t="shared" si="17"/>
        <v>351</v>
      </c>
      <c r="B366" s="151">
        <f t="shared" ca="1" si="15"/>
        <v>66.958616271844335</v>
      </c>
      <c r="C366" s="158">
        <f t="shared" ca="1" si="16"/>
        <v>1</v>
      </c>
    </row>
    <row r="367" spans="1:3" x14ac:dyDescent="0.25">
      <c r="A367" s="155">
        <f t="shared" si="17"/>
        <v>352</v>
      </c>
      <c r="B367" s="151">
        <f t="shared" ca="1" si="15"/>
        <v>30.124336475131546</v>
      </c>
      <c r="C367" s="158">
        <f t="shared" ca="1" si="16"/>
        <v>1</v>
      </c>
    </row>
    <row r="368" spans="1:3" x14ac:dyDescent="0.25">
      <c r="A368" s="155">
        <f t="shared" si="17"/>
        <v>353</v>
      </c>
      <c r="B368" s="151">
        <f t="shared" ca="1" si="15"/>
        <v>56.988316767831591</v>
      </c>
      <c r="C368" s="158">
        <f t="shared" ca="1" si="16"/>
        <v>1</v>
      </c>
    </row>
    <row r="369" spans="1:3" x14ac:dyDescent="0.25">
      <c r="A369" s="155">
        <f t="shared" si="17"/>
        <v>354</v>
      </c>
      <c r="B369" s="151">
        <f t="shared" ca="1" si="15"/>
        <v>10.875802583952677</v>
      </c>
      <c r="C369" s="158">
        <f t="shared" ca="1" si="16"/>
        <v>0</v>
      </c>
    </row>
    <row r="370" spans="1:3" x14ac:dyDescent="0.25">
      <c r="A370" s="155">
        <f t="shared" si="17"/>
        <v>355</v>
      </c>
      <c r="B370" s="151">
        <f t="shared" ca="1" si="15"/>
        <v>-11.753086058189815</v>
      </c>
      <c r="C370" s="158">
        <f t="shared" ca="1" si="16"/>
        <v>0</v>
      </c>
    </row>
    <row r="371" spans="1:3" x14ac:dyDescent="0.25">
      <c r="A371" s="155">
        <f t="shared" si="17"/>
        <v>356</v>
      </c>
      <c r="B371" s="151">
        <f t="shared" ca="1" si="15"/>
        <v>32.043940330549695</v>
      </c>
      <c r="C371" s="158">
        <f t="shared" ca="1" si="16"/>
        <v>1</v>
      </c>
    </row>
    <row r="372" spans="1:3" x14ac:dyDescent="0.25">
      <c r="A372" s="155">
        <f t="shared" si="17"/>
        <v>357</v>
      </c>
      <c r="B372" s="151">
        <f t="shared" ca="1" si="15"/>
        <v>40.569547868435976</v>
      </c>
      <c r="C372" s="158">
        <f t="shared" ca="1" si="16"/>
        <v>1</v>
      </c>
    </row>
    <row r="373" spans="1:3" x14ac:dyDescent="0.25">
      <c r="A373" s="155">
        <f t="shared" si="17"/>
        <v>358</v>
      </c>
      <c r="B373" s="151">
        <f t="shared" ca="1" si="15"/>
        <v>76.873986572634607</v>
      </c>
      <c r="C373" s="158">
        <f t="shared" ca="1" si="16"/>
        <v>1</v>
      </c>
    </row>
    <row r="374" spans="1:3" x14ac:dyDescent="0.25">
      <c r="A374" s="155">
        <f t="shared" si="17"/>
        <v>359</v>
      </c>
      <c r="B374" s="151">
        <f t="shared" ca="1" si="15"/>
        <v>14.503136542322142</v>
      </c>
      <c r="C374" s="158">
        <f t="shared" ca="1" si="16"/>
        <v>0</v>
      </c>
    </row>
    <row r="375" spans="1:3" x14ac:dyDescent="0.25">
      <c r="A375" s="155">
        <f t="shared" si="17"/>
        <v>360</v>
      </c>
      <c r="B375" s="151">
        <f t="shared" ca="1" si="15"/>
        <v>44.821493155332554</v>
      </c>
      <c r="C375" s="158">
        <f t="shared" ca="1" si="16"/>
        <v>1</v>
      </c>
    </row>
    <row r="376" spans="1:3" x14ac:dyDescent="0.25">
      <c r="A376" s="155">
        <f t="shared" si="17"/>
        <v>361</v>
      </c>
      <c r="B376" s="151">
        <f t="shared" ca="1" si="15"/>
        <v>59.913345827824699</v>
      </c>
      <c r="C376" s="158">
        <f t="shared" ca="1" si="16"/>
        <v>1</v>
      </c>
    </row>
    <row r="377" spans="1:3" x14ac:dyDescent="0.25">
      <c r="A377" s="155">
        <f t="shared" si="17"/>
        <v>362</v>
      </c>
      <c r="B377" s="151">
        <f t="shared" ca="1" si="15"/>
        <v>56.679838705385961</v>
      </c>
      <c r="C377" s="158">
        <f t="shared" ca="1" si="16"/>
        <v>1</v>
      </c>
    </row>
    <row r="378" spans="1:3" x14ac:dyDescent="0.25">
      <c r="A378" s="155">
        <f t="shared" si="17"/>
        <v>363</v>
      </c>
      <c r="B378" s="151">
        <f t="shared" ca="1" si="15"/>
        <v>37.339425750153161</v>
      </c>
      <c r="C378" s="158">
        <f t="shared" ca="1" si="16"/>
        <v>1</v>
      </c>
    </row>
    <row r="379" spans="1:3" x14ac:dyDescent="0.25">
      <c r="A379" s="155">
        <f t="shared" si="17"/>
        <v>364</v>
      </c>
      <c r="B379" s="151">
        <f t="shared" ca="1" si="15"/>
        <v>4.0305812379529264</v>
      </c>
      <c r="C379" s="158">
        <f t="shared" ca="1" si="16"/>
        <v>0</v>
      </c>
    </row>
    <row r="380" spans="1:3" x14ac:dyDescent="0.25">
      <c r="A380" s="155">
        <f t="shared" si="17"/>
        <v>365</v>
      </c>
      <c r="B380" s="151">
        <f t="shared" ca="1" si="15"/>
        <v>24.443225955897304</v>
      </c>
      <c r="C380" s="158">
        <f t="shared" ca="1" si="16"/>
        <v>0</v>
      </c>
    </row>
    <row r="381" spans="1:3" x14ac:dyDescent="0.25">
      <c r="A381" s="155">
        <f t="shared" si="17"/>
        <v>366</v>
      </c>
      <c r="B381" s="151">
        <f t="shared" ca="1" si="15"/>
        <v>83.758766502575611</v>
      </c>
      <c r="C381" s="158">
        <f t="shared" ca="1" si="16"/>
        <v>1</v>
      </c>
    </row>
    <row r="382" spans="1:3" x14ac:dyDescent="0.25">
      <c r="A382" s="155">
        <f t="shared" si="17"/>
        <v>367</v>
      </c>
      <c r="B382" s="151">
        <f t="shared" ca="1" si="15"/>
        <v>56.464535434107333</v>
      </c>
      <c r="C382" s="158">
        <f t="shared" ca="1" si="16"/>
        <v>1</v>
      </c>
    </row>
    <row r="383" spans="1:3" x14ac:dyDescent="0.25">
      <c r="A383" s="155">
        <f t="shared" si="17"/>
        <v>368</v>
      </c>
      <c r="B383" s="151">
        <f t="shared" ca="1" si="15"/>
        <v>34.61933153279638</v>
      </c>
      <c r="C383" s="158">
        <f t="shared" ca="1" si="16"/>
        <v>1</v>
      </c>
    </row>
    <row r="384" spans="1:3" x14ac:dyDescent="0.25">
      <c r="A384" s="155">
        <f t="shared" si="17"/>
        <v>369</v>
      </c>
      <c r="B384" s="151">
        <f t="shared" ca="1" si="15"/>
        <v>76.311623165087823</v>
      </c>
      <c r="C384" s="158">
        <f t="shared" ca="1" si="16"/>
        <v>1</v>
      </c>
    </row>
    <row r="385" spans="1:3" x14ac:dyDescent="0.25">
      <c r="A385" s="155">
        <f t="shared" si="17"/>
        <v>370</v>
      </c>
      <c r="B385" s="151">
        <f t="shared" ca="1" si="15"/>
        <v>40.622761116224275</v>
      </c>
      <c r="C385" s="158">
        <f t="shared" ca="1" si="16"/>
        <v>1</v>
      </c>
    </row>
    <row r="386" spans="1:3" x14ac:dyDescent="0.25">
      <c r="A386" s="155">
        <f t="shared" si="17"/>
        <v>371</v>
      </c>
      <c r="B386" s="151">
        <f t="shared" ca="1" si="15"/>
        <v>43.699371837376077</v>
      </c>
      <c r="C386" s="158">
        <f t="shared" ca="1" si="16"/>
        <v>1</v>
      </c>
    </row>
    <row r="387" spans="1:3" x14ac:dyDescent="0.25">
      <c r="A387" s="155">
        <f t="shared" si="17"/>
        <v>372</v>
      </c>
      <c r="B387" s="151">
        <f t="shared" ca="1" si="15"/>
        <v>40.62672174104187</v>
      </c>
      <c r="C387" s="158">
        <f t="shared" ca="1" si="16"/>
        <v>1</v>
      </c>
    </row>
    <row r="388" spans="1:3" x14ac:dyDescent="0.25">
      <c r="A388" s="155">
        <f t="shared" si="17"/>
        <v>373</v>
      </c>
      <c r="B388" s="151">
        <f t="shared" ca="1" si="15"/>
        <v>27.658011409298044</v>
      </c>
      <c r="C388" s="158">
        <f t="shared" ca="1" si="16"/>
        <v>1</v>
      </c>
    </row>
    <row r="389" spans="1:3" x14ac:dyDescent="0.25">
      <c r="A389" s="155">
        <f t="shared" si="17"/>
        <v>374</v>
      </c>
      <c r="B389" s="151">
        <f t="shared" ca="1" si="15"/>
        <v>38.832295862153757</v>
      </c>
      <c r="C389" s="158">
        <f t="shared" ca="1" si="16"/>
        <v>1</v>
      </c>
    </row>
    <row r="390" spans="1:3" x14ac:dyDescent="0.25">
      <c r="A390" s="155">
        <f t="shared" si="17"/>
        <v>375</v>
      </c>
      <c r="B390" s="151">
        <f t="shared" ca="1" si="15"/>
        <v>68.140703874479556</v>
      </c>
      <c r="C390" s="158">
        <f t="shared" ca="1" si="16"/>
        <v>1</v>
      </c>
    </row>
    <row r="391" spans="1:3" x14ac:dyDescent="0.25">
      <c r="A391" s="155">
        <f t="shared" si="17"/>
        <v>376</v>
      </c>
      <c r="B391" s="151">
        <f t="shared" ca="1" si="15"/>
        <v>57.698813626512731</v>
      </c>
      <c r="C391" s="158">
        <f t="shared" ca="1" si="16"/>
        <v>1</v>
      </c>
    </row>
    <row r="392" spans="1:3" x14ac:dyDescent="0.25">
      <c r="A392" s="155">
        <f t="shared" si="17"/>
        <v>377</v>
      </c>
      <c r="B392" s="151">
        <f t="shared" ca="1" si="15"/>
        <v>44.163521095531493</v>
      </c>
      <c r="C392" s="158">
        <f t="shared" ca="1" si="16"/>
        <v>1</v>
      </c>
    </row>
    <row r="393" spans="1:3" x14ac:dyDescent="0.25">
      <c r="A393" s="155">
        <f t="shared" si="17"/>
        <v>378</v>
      </c>
      <c r="B393" s="151">
        <f t="shared" ca="1" si="15"/>
        <v>59.278837492912473</v>
      </c>
      <c r="C393" s="158">
        <f t="shared" ca="1" si="16"/>
        <v>1</v>
      </c>
    </row>
    <row r="394" spans="1:3" x14ac:dyDescent="0.25">
      <c r="A394" s="155">
        <f t="shared" si="17"/>
        <v>379</v>
      </c>
      <c r="B394" s="151">
        <f t="shared" ca="1" si="15"/>
        <v>29.94640139693831</v>
      </c>
      <c r="C394" s="158">
        <f t="shared" ca="1" si="16"/>
        <v>1</v>
      </c>
    </row>
    <row r="395" spans="1:3" x14ac:dyDescent="0.25">
      <c r="A395" s="155">
        <f t="shared" si="17"/>
        <v>380</v>
      </c>
      <c r="B395" s="151">
        <f t="shared" ca="1" si="15"/>
        <v>11.472615282594873</v>
      </c>
      <c r="C395" s="158">
        <f t="shared" ca="1" si="16"/>
        <v>0</v>
      </c>
    </row>
    <row r="396" spans="1:3" x14ac:dyDescent="0.25">
      <c r="A396" s="155">
        <f t="shared" si="17"/>
        <v>381</v>
      </c>
      <c r="B396" s="151">
        <f t="shared" ca="1" si="15"/>
        <v>-29.765021386730638</v>
      </c>
      <c r="C396" s="158">
        <f t="shared" ca="1" si="16"/>
        <v>0</v>
      </c>
    </row>
    <row r="397" spans="1:3" x14ac:dyDescent="0.25">
      <c r="A397" s="155">
        <f t="shared" si="17"/>
        <v>382</v>
      </c>
      <c r="B397" s="151">
        <f t="shared" ca="1" si="15"/>
        <v>76.781416301264613</v>
      </c>
      <c r="C397" s="158">
        <f t="shared" ca="1" si="16"/>
        <v>1</v>
      </c>
    </row>
    <row r="398" spans="1:3" x14ac:dyDescent="0.25">
      <c r="A398" s="155">
        <f t="shared" si="17"/>
        <v>383</v>
      </c>
      <c r="B398" s="151">
        <f t="shared" ca="1" si="15"/>
        <v>73.800684231079998</v>
      </c>
      <c r="C398" s="158">
        <f t="shared" ca="1" si="16"/>
        <v>1</v>
      </c>
    </row>
    <row r="399" spans="1:3" x14ac:dyDescent="0.25">
      <c r="A399" s="155">
        <f t="shared" si="17"/>
        <v>384</v>
      </c>
      <c r="B399" s="151">
        <f t="shared" ca="1" si="15"/>
        <v>63.188579931984513</v>
      </c>
      <c r="C399" s="158">
        <f t="shared" ca="1" si="16"/>
        <v>1</v>
      </c>
    </row>
    <row r="400" spans="1:3" x14ac:dyDescent="0.25">
      <c r="A400" s="155">
        <f t="shared" si="17"/>
        <v>385</v>
      </c>
      <c r="B400" s="151">
        <f t="shared" ca="1" si="15"/>
        <v>22.31010086776638</v>
      </c>
      <c r="C400" s="158">
        <f t="shared" ca="1" si="16"/>
        <v>0</v>
      </c>
    </row>
    <row r="401" spans="1:3" x14ac:dyDescent="0.25">
      <c r="A401" s="155">
        <f t="shared" si="17"/>
        <v>386</v>
      </c>
      <c r="B401" s="151">
        <f t="shared" ref="B401:B464" ca="1" si="18">_xlfn.NORM.INV(RAND(), $B$9, $B$10)</f>
        <v>72.63466887239548</v>
      </c>
      <c r="C401" s="158">
        <f t="shared" ref="C401:C464" ca="1" si="19">IF(B401 &gt;= $B$11, 1, 0)</f>
        <v>1</v>
      </c>
    </row>
    <row r="402" spans="1:3" x14ac:dyDescent="0.25">
      <c r="A402" s="155">
        <f t="shared" ref="A402:A465" si="20">+A401+1</f>
        <v>387</v>
      </c>
      <c r="B402" s="151">
        <f t="shared" ca="1" si="18"/>
        <v>-7.1535799908520445</v>
      </c>
      <c r="C402" s="158">
        <f t="shared" ca="1" si="19"/>
        <v>0</v>
      </c>
    </row>
    <row r="403" spans="1:3" x14ac:dyDescent="0.25">
      <c r="A403" s="155">
        <f t="shared" si="20"/>
        <v>388</v>
      </c>
      <c r="B403" s="151">
        <f t="shared" ca="1" si="18"/>
        <v>16.639901004663262</v>
      </c>
      <c r="C403" s="158">
        <f t="shared" ca="1" si="19"/>
        <v>0</v>
      </c>
    </row>
    <row r="404" spans="1:3" x14ac:dyDescent="0.25">
      <c r="A404" s="155">
        <f t="shared" si="20"/>
        <v>389</v>
      </c>
      <c r="B404" s="151">
        <f t="shared" ca="1" si="18"/>
        <v>76.352735581875208</v>
      </c>
      <c r="C404" s="158">
        <f t="shared" ca="1" si="19"/>
        <v>1</v>
      </c>
    </row>
    <row r="405" spans="1:3" x14ac:dyDescent="0.25">
      <c r="A405" s="155">
        <f t="shared" si="20"/>
        <v>390</v>
      </c>
      <c r="B405" s="151">
        <f t="shared" ca="1" si="18"/>
        <v>66.535559432118134</v>
      </c>
      <c r="C405" s="158">
        <f t="shared" ca="1" si="19"/>
        <v>1</v>
      </c>
    </row>
    <row r="406" spans="1:3" x14ac:dyDescent="0.25">
      <c r="A406" s="155">
        <f t="shared" si="20"/>
        <v>391</v>
      </c>
      <c r="B406" s="151">
        <f t="shared" ca="1" si="18"/>
        <v>48.815230295472333</v>
      </c>
      <c r="C406" s="158">
        <f t="shared" ca="1" si="19"/>
        <v>1</v>
      </c>
    </row>
    <row r="407" spans="1:3" x14ac:dyDescent="0.25">
      <c r="A407" s="155">
        <f t="shared" si="20"/>
        <v>392</v>
      </c>
      <c r="B407" s="151">
        <f t="shared" ca="1" si="18"/>
        <v>40.400665270937225</v>
      </c>
      <c r="C407" s="158">
        <f t="shared" ca="1" si="19"/>
        <v>1</v>
      </c>
    </row>
    <row r="408" spans="1:3" x14ac:dyDescent="0.25">
      <c r="A408" s="155">
        <f t="shared" si="20"/>
        <v>393</v>
      </c>
      <c r="B408" s="151">
        <f t="shared" ca="1" si="18"/>
        <v>39.946606718181023</v>
      </c>
      <c r="C408" s="158">
        <f t="shared" ca="1" si="19"/>
        <v>1</v>
      </c>
    </row>
    <row r="409" spans="1:3" x14ac:dyDescent="0.25">
      <c r="A409" s="155">
        <f t="shared" si="20"/>
        <v>394</v>
      </c>
      <c r="B409" s="151">
        <f t="shared" ca="1" si="18"/>
        <v>25.859932832160421</v>
      </c>
      <c r="C409" s="158">
        <f t="shared" ca="1" si="19"/>
        <v>1</v>
      </c>
    </row>
    <row r="410" spans="1:3" x14ac:dyDescent="0.25">
      <c r="A410" s="155">
        <f t="shared" si="20"/>
        <v>395</v>
      </c>
      <c r="B410" s="151">
        <f t="shared" ca="1" si="18"/>
        <v>27.563488919519866</v>
      </c>
      <c r="C410" s="158">
        <f t="shared" ca="1" si="19"/>
        <v>1</v>
      </c>
    </row>
    <row r="411" spans="1:3" x14ac:dyDescent="0.25">
      <c r="A411" s="155">
        <f t="shared" si="20"/>
        <v>396</v>
      </c>
      <c r="B411" s="151">
        <f t="shared" ca="1" si="18"/>
        <v>46.553606623086182</v>
      </c>
      <c r="C411" s="158">
        <f t="shared" ca="1" si="19"/>
        <v>1</v>
      </c>
    </row>
    <row r="412" spans="1:3" x14ac:dyDescent="0.25">
      <c r="A412" s="155">
        <f t="shared" si="20"/>
        <v>397</v>
      </c>
      <c r="B412" s="151">
        <f t="shared" ca="1" si="18"/>
        <v>13.266719272804401</v>
      </c>
      <c r="C412" s="158">
        <f t="shared" ca="1" si="19"/>
        <v>0</v>
      </c>
    </row>
    <row r="413" spans="1:3" x14ac:dyDescent="0.25">
      <c r="A413" s="155">
        <f t="shared" si="20"/>
        <v>398</v>
      </c>
      <c r="B413" s="151">
        <f t="shared" ca="1" si="18"/>
        <v>52.358722789976952</v>
      </c>
      <c r="C413" s="158">
        <f t="shared" ca="1" si="19"/>
        <v>1</v>
      </c>
    </row>
    <row r="414" spans="1:3" x14ac:dyDescent="0.25">
      <c r="A414" s="155">
        <f t="shared" si="20"/>
        <v>399</v>
      </c>
      <c r="B414" s="151">
        <f t="shared" ca="1" si="18"/>
        <v>27.604425729234602</v>
      </c>
      <c r="C414" s="158">
        <f t="shared" ca="1" si="19"/>
        <v>1</v>
      </c>
    </row>
    <row r="415" spans="1:3" x14ac:dyDescent="0.25">
      <c r="A415" s="155">
        <f t="shared" si="20"/>
        <v>400</v>
      </c>
      <c r="B415" s="151">
        <f t="shared" ca="1" si="18"/>
        <v>42.831853979019989</v>
      </c>
      <c r="C415" s="158">
        <f t="shared" ca="1" si="19"/>
        <v>1</v>
      </c>
    </row>
    <row r="416" spans="1:3" x14ac:dyDescent="0.25">
      <c r="A416" s="155">
        <f t="shared" si="20"/>
        <v>401</v>
      </c>
      <c r="B416" s="151">
        <f t="shared" ca="1" si="18"/>
        <v>50.963475213401715</v>
      </c>
      <c r="C416" s="158">
        <f t="shared" ca="1" si="19"/>
        <v>1</v>
      </c>
    </row>
    <row r="417" spans="1:3" x14ac:dyDescent="0.25">
      <c r="A417" s="155">
        <f t="shared" si="20"/>
        <v>402</v>
      </c>
      <c r="B417" s="151">
        <f t="shared" ca="1" si="18"/>
        <v>89.951799648481568</v>
      </c>
      <c r="C417" s="158">
        <f t="shared" ca="1" si="19"/>
        <v>1</v>
      </c>
    </row>
    <row r="418" spans="1:3" x14ac:dyDescent="0.25">
      <c r="A418" s="155">
        <f t="shared" si="20"/>
        <v>403</v>
      </c>
      <c r="B418" s="151">
        <f t="shared" ca="1" si="18"/>
        <v>47.685289736203757</v>
      </c>
      <c r="C418" s="158">
        <f t="shared" ca="1" si="19"/>
        <v>1</v>
      </c>
    </row>
    <row r="419" spans="1:3" x14ac:dyDescent="0.25">
      <c r="A419" s="155">
        <f t="shared" si="20"/>
        <v>404</v>
      </c>
      <c r="B419" s="151">
        <f t="shared" ca="1" si="18"/>
        <v>53.0989479908215</v>
      </c>
      <c r="C419" s="158">
        <f t="shared" ca="1" si="19"/>
        <v>1</v>
      </c>
    </row>
    <row r="420" spans="1:3" x14ac:dyDescent="0.25">
      <c r="A420" s="155">
        <f t="shared" si="20"/>
        <v>405</v>
      </c>
      <c r="B420" s="151">
        <f t="shared" ca="1" si="18"/>
        <v>50.45729613127213</v>
      </c>
      <c r="C420" s="158">
        <f t="shared" ca="1" si="19"/>
        <v>1</v>
      </c>
    </row>
    <row r="421" spans="1:3" x14ac:dyDescent="0.25">
      <c r="A421" s="155">
        <f t="shared" si="20"/>
        <v>406</v>
      </c>
      <c r="B421" s="151">
        <f t="shared" ca="1" si="18"/>
        <v>27.990686654569146</v>
      </c>
      <c r="C421" s="158">
        <f t="shared" ca="1" si="19"/>
        <v>1</v>
      </c>
    </row>
    <row r="422" spans="1:3" x14ac:dyDescent="0.25">
      <c r="A422" s="155">
        <f t="shared" si="20"/>
        <v>407</v>
      </c>
      <c r="B422" s="151">
        <f t="shared" ca="1" si="18"/>
        <v>36.194193813963295</v>
      </c>
      <c r="C422" s="158">
        <f t="shared" ca="1" si="19"/>
        <v>1</v>
      </c>
    </row>
    <row r="423" spans="1:3" x14ac:dyDescent="0.25">
      <c r="A423" s="155">
        <f t="shared" si="20"/>
        <v>408</v>
      </c>
      <c r="B423" s="151">
        <f t="shared" ca="1" si="18"/>
        <v>17.007210753841068</v>
      </c>
      <c r="C423" s="158">
        <f t="shared" ca="1" si="19"/>
        <v>0</v>
      </c>
    </row>
    <row r="424" spans="1:3" x14ac:dyDescent="0.25">
      <c r="A424" s="155">
        <f t="shared" si="20"/>
        <v>409</v>
      </c>
      <c r="B424" s="151">
        <f t="shared" ca="1" si="18"/>
        <v>49.043211657779253</v>
      </c>
      <c r="C424" s="158">
        <f t="shared" ca="1" si="19"/>
        <v>1</v>
      </c>
    </row>
    <row r="425" spans="1:3" x14ac:dyDescent="0.25">
      <c r="A425" s="155">
        <f t="shared" si="20"/>
        <v>410</v>
      </c>
      <c r="B425" s="151">
        <f t="shared" ca="1" si="18"/>
        <v>11.210765018749743</v>
      </c>
      <c r="C425" s="158">
        <f t="shared" ca="1" si="19"/>
        <v>0</v>
      </c>
    </row>
    <row r="426" spans="1:3" x14ac:dyDescent="0.25">
      <c r="A426" s="155">
        <f t="shared" si="20"/>
        <v>411</v>
      </c>
      <c r="B426" s="151">
        <f t="shared" ca="1" si="18"/>
        <v>45.72953646302782</v>
      </c>
      <c r="C426" s="158">
        <f t="shared" ca="1" si="19"/>
        <v>1</v>
      </c>
    </row>
    <row r="427" spans="1:3" x14ac:dyDescent="0.25">
      <c r="A427" s="155">
        <f t="shared" si="20"/>
        <v>412</v>
      </c>
      <c r="B427" s="151">
        <f t="shared" ca="1" si="18"/>
        <v>85.910993584132086</v>
      </c>
      <c r="C427" s="158">
        <f t="shared" ca="1" si="19"/>
        <v>1</v>
      </c>
    </row>
    <row r="428" spans="1:3" x14ac:dyDescent="0.25">
      <c r="A428" s="155">
        <f t="shared" si="20"/>
        <v>413</v>
      </c>
      <c r="B428" s="151">
        <f t="shared" ca="1" si="18"/>
        <v>72.540208223890119</v>
      </c>
      <c r="C428" s="158">
        <f t="shared" ca="1" si="19"/>
        <v>1</v>
      </c>
    </row>
    <row r="429" spans="1:3" x14ac:dyDescent="0.25">
      <c r="A429" s="155">
        <f t="shared" si="20"/>
        <v>414</v>
      </c>
      <c r="B429" s="151">
        <f t="shared" ca="1" si="18"/>
        <v>15.863099304492707</v>
      </c>
      <c r="C429" s="158">
        <f t="shared" ca="1" si="19"/>
        <v>0</v>
      </c>
    </row>
    <row r="430" spans="1:3" x14ac:dyDescent="0.25">
      <c r="A430" s="155">
        <f t="shared" si="20"/>
        <v>415</v>
      </c>
      <c r="B430" s="151">
        <f t="shared" ca="1" si="18"/>
        <v>20.311222847442345</v>
      </c>
      <c r="C430" s="158">
        <f t="shared" ca="1" si="19"/>
        <v>0</v>
      </c>
    </row>
    <row r="431" spans="1:3" x14ac:dyDescent="0.25">
      <c r="A431" s="155">
        <f t="shared" si="20"/>
        <v>416</v>
      </c>
      <c r="B431" s="151">
        <f t="shared" ca="1" si="18"/>
        <v>40.740288373484404</v>
      </c>
      <c r="C431" s="158">
        <f t="shared" ca="1" si="19"/>
        <v>1</v>
      </c>
    </row>
    <row r="432" spans="1:3" x14ac:dyDescent="0.25">
      <c r="A432" s="155">
        <f t="shared" si="20"/>
        <v>417</v>
      </c>
      <c r="B432" s="151">
        <f t="shared" ca="1" si="18"/>
        <v>58.357989648897679</v>
      </c>
      <c r="C432" s="158">
        <f t="shared" ca="1" si="19"/>
        <v>1</v>
      </c>
    </row>
    <row r="433" spans="1:3" x14ac:dyDescent="0.25">
      <c r="A433" s="155">
        <f t="shared" si="20"/>
        <v>418</v>
      </c>
      <c r="B433" s="151">
        <f t="shared" ca="1" si="18"/>
        <v>61.289916413784084</v>
      </c>
      <c r="C433" s="158">
        <f t="shared" ca="1" si="19"/>
        <v>1</v>
      </c>
    </row>
    <row r="434" spans="1:3" x14ac:dyDescent="0.25">
      <c r="A434" s="155">
        <f t="shared" si="20"/>
        <v>419</v>
      </c>
      <c r="B434" s="151">
        <f t="shared" ca="1" si="18"/>
        <v>59.016486301802161</v>
      </c>
      <c r="C434" s="158">
        <f t="shared" ca="1" si="19"/>
        <v>1</v>
      </c>
    </row>
    <row r="435" spans="1:3" x14ac:dyDescent="0.25">
      <c r="A435" s="155">
        <f t="shared" si="20"/>
        <v>420</v>
      </c>
      <c r="B435" s="151">
        <f t="shared" ca="1" si="18"/>
        <v>48.995692011441491</v>
      </c>
      <c r="C435" s="158">
        <f t="shared" ca="1" si="19"/>
        <v>1</v>
      </c>
    </row>
    <row r="436" spans="1:3" x14ac:dyDescent="0.25">
      <c r="A436" s="155">
        <f t="shared" si="20"/>
        <v>421</v>
      </c>
      <c r="B436" s="151">
        <f t="shared" ca="1" si="18"/>
        <v>73.499536089716585</v>
      </c>
      <c r="C436" s="158">
        <f t="shared" ca="1" si="19"/>
        <v>1</v>
      </c>
    </row>
    <row r="437" spans="1:3" x14ac:dyDescent="0.25">
      <c r="A437" s="155">
        <f t="shared" si="20"/>
        <v>422</v>
      </c>
      <c r="B437" s="151">
        <f t="shared" ca="1" si="18"/>
        <v>8.9184606159082307</v>
      </c>
      <c r="C437" s="158">
        <f t="shared" ca="1" si="19"/>
        <v>0</v>
      </c>
    </row>
    <row r="438" spans="1:3" x14ac:dyDescent="0.25">
      <c r="A438" s="155">
        <f t="shared" si="20"/>
        <v>423</v>
      </c>
      <c r="B438" s="151">
        <f t="shared" ca="1" si="18"/>
        <v>45.822600734132209</v>
      </c>
      <c r="C438" s="158">
        <f t="shared" ca="1" si="19"/>
        <v>1</v>
      </c>
    </row>
    <row r="439" spans="1:3" x14ac:dyDescent="0.25">
      <c r="A439" s="155">
        <f t="shared" si="20"/>
        <v>424</v>
      </c>
      <c r="B439" s="151">
        <f t="shared" ca="1" si="18"/>
        <v>105.27424980949395</v>
      </c>
      <c r="C439" s="158">
        <f t="shared" ca="1" si="19"/>
        <v>1</v>
      </c>
    </row>
    <row r="440" spans="1:3" x14ac:dyDescent="0.25">
      <c r="A440" s="155">
        <f t="shared" si="20"/>
        <v>425</v>
      </c>
      <c r="B440" s="151">
        <f t="shared" ca="1" si="18"/>
        <v>23.553770005435862</v>
      </c>
      <c r="C440" s="158">
        <f t="shared" ca="1" si="19"/>
        <v>0</v>
      </c>
    </row>
    <row r="441" spans="1:3" x14ac:dyDescent="0.25">
      <c r="A441" s="155">
        <f t="shared" si="20"/>
        <v>426</v>
      </c>
      <c r="B441" s="151">
        <f t="shared" ca="1" si="18"/>
        <v>37.711872824985633</v>
      </c>
      <c r="C441" s="158">
        <f t="shared" ca="1" si="19"/>
        <v>1</v>
      </c>
    </row>
    <row r="442" spans="1:3" x14ac:dyDescent="0.25">
      <c r="A442" s="155">
        <f t="shared" si="20"/>
        <v>427</v>
      </c>
      <c r="B442" s="151">
        <f t="shared" ca="1" si="18"/>
        <v>33.618607876520315</v>
      </c>
      <c r="C442" s="158">
        <f t="shared" ca="1" si="19"/>
        <v>1</v>
      </c>
    </row>
    <row r="443" spans="1:3" x14ac:dyDescent="0.25">
      <c r="A443" s="155">
        <f t="shared" si="20"/>
        <v>428</v>
      </c>
      <c r="B443" s="151">
        <f t="shared" ca="1" si="18"/>
        <v>27.598145145339227</v>
      </c>
      <c r="C443" s="158">
        <f t="shared" ca="1" si="19"/>
        <v>1</v>
      </c>
    </row>
    <row r="444" spans="1:3" x14ac:dyDescent="0.25">
      <c r="A444" s="155">
        <f t="shared" si="20"/>
        <v>429</v>
      </c>
      <c r="B444" s="151">
        <f t="shared" ca="1" si="18"/>
        <v>14.424602946756387</v>
      </c>
      <c r="C444" s="158">
        <f t="shared" ca="1" si="19"/>
        <v>0</v>
      </c>
    </row>
    <row r="445" spans="1:3" x14ac:dyDescent="0.25">
      <c r="A445" s="155">
        <f t="shared" si="20"/>
        <v>430</v>
      </c>
      <c r="B445" s="151">
        <f t="shared" ca="1" si="18"/>
        <v>58.477655459906927</v>
      </c>
      <c r="C445" s="158">
        <f t="shared" ca="1" si="19"/>
        <v>1</v>
      </c>
    </row>
    <row r="446" spans="1:3" x14ac:dyDescent="0.25">
      <c r="A446" s="155">
        <f t="shared" si="20"/>
        <v>431</v>
      </c>
      <c r="B446" s="151">
        <f t="shared" ca="1" si="18"/>
        <v>51.032891877715997</v>
      </c>
      <c r="C446" s="158">
        <f t="shared" ca="1" si="19"/>
        <v>1</v>
      </c>
    </row>
    <row r="447" spans="1:3" x14ac:dyDescent="0.25">
      <c r="A447" s="155">
        <f t="shared" si="20"/>
        <v>432</v>
      </c>
      <c r="B447" s="151">
        <f t="shared" ca="1" si="18"/>
        <v>35.406682640165478</v>
      </c>
      <c r="C447" s="158">
        <f t="shared" ca="1" si="19"/>
        <v>1</v>
      </c>
    </row>
    <row r="448" spans="1:3" x14ac:dyDescent="0.25">
      <c r="A448" s="155">
        <f t="shared" si="20"/>
        <v>433</v>
      </c>
      <c r="B448" s="151">
        <f t="shared" ca="1" si="18"/>
        <v>-3.8056251047974072</v>
      </c>
      <c r="C448" s="158">
        <f t="shared" ca="1" si="19"/>
        <v>0</v>
      </c>
    </row>
    <row r="449" spans="1:3" x14ac:dyDescent="0.25">
      <c r="A449" s="155">
        <f t="shared" si="20"/>
        <v>434</v>
      </c>
      <c r="B449" s="151">
        <f t="shared" ca="1" si="18"/>
        <v>34.37727386576082</v>
      </c>
      <c r="C449" s="158">
        <f t="shared" ca="1" si="19"/>
        <v>1</v>
      </c>
    </row>
    <row r="450" spans="1:3" x14ac:dyDescent="0.25">
      <c r="A450" s="155">
        <f t="shared" si="20"/>
        <v>435</v>
      </c>
      <c r="B450" s="151">
        <f t="shared" ca="1" si="18"/>
        <v>39.855759053852303</v>
      </c>
      <c r="C450" s="158">
        <f t="shared" ca="1" si="19"/>
        <v>1</v>
      </c>
    </row>
    <row r="451" spans="1:3" x14ac:dyDescent="0.25">
      <c r="A451" s="155">
        <f t="shared" si="20"/>
        <v>436</v>
      </c>
      <c r="B451" s="151">
        <f t="shared" ca="1" si="18"/>
        <v>-11.035678400162695</v>
      </c>
      <c r="C451" s="158">
        <f t="shared" ca="1" si="19"/>
        <v>0</v>
      </c>
    </row>
    <row r="452" spans="1:3" x14ac:dyDescent="0.25">
      <c r="A452" s="155">
        <f t="shared" si="20"/>
        <v>437</v>
      </c>
      <c r="B452" s="151">
        <f t="shared" ca="1" si="18"/>
        <v>79.87360186690411</v>
      </c>
      <c r="C452" s="158">
        <f t="shared" ca="1" si="19"/>
        <v>1</v>
      </c>
    </row>
    <row r="453" spans="1:3" x14ac:dyDescent="0.25">
      <c r="A453" s="155">
        <f t="shared" si="20"/>
        <v>438</v>
      </c>
      <c r="B453" s="151">
        <f t="shared" ca="1" si="18"/>
        <v>58.351607292833137</v>
      </c>
      <c r="C453" s="158">
        <f t="shared" ca="1" si="19"/>
        <v>1</v>
      </c>
    </row>
    <row r="454" spans="1:3" x14ac:dyDescent="0.25">
      <c r="A454" s="155">
        <f t="shared" si="20"/>
        <v>439</v>
      </c>
      <c r="B454" s="151">
        <f t="shared" ca="1" si="18"/>
        <v>32.400575908886111</v>
      </c>
      <c r="C454" s="158">
        <f t="shared" ca="1" si="19"/>
        <v>1</v>
      </c>
    </row>
    <row r="455" spans="1:3" x14ac:dyDescent="0.25">
      <c r="A455" s="155">
        <f t="shared" si="20"/>
        <v>440</v>
      </c>
      <c r="B455" s="151">
        <f t="shared" ca="1" si="18"/>
        <v>50.58367997643915</v>
      </c>
      <c r="C455" s="158">
        <f t="shared" ca="1" si="19"/>
        <v>1</v>
      </c>
    </row>
    <row r="456" spans="1:3" x14ac:dyDescent="0.25">
      <c r="A456" s="155">
        <f t="shared" si="20"/>
        <v>441</v>
      </c>
      <c r="B456" s="151">
        <f t="shared" ca="1" si="18"/>
        <v>53.963404836524994</v>
      </c>
      <c r="C456" s="158">
        <f t="shared" ca="1" si="19"/>
        <v>1</v>
      </c>
    </row>
    <row r="457" spans="1:3" x14ac:dyDescent="0.25">
      <c r="A457" s="155">
        <f t="shared" si="20"/>
        <v>442</v>
      </c>
      <c r="B457" s="151">
        <f t="shared" ca="1" si="18"/>
        <v>11.878174350899968</v>
      </c>
      <c r="C457" s="158">
        <f t="shared" ca="1" si="19"/>
        <v>0</v>
      </c>
    </row>
    <row r="458" spans="1:3" x14ac:dyDescent="0.25">
      <c r="A458" s="155">
        <f t="shared" si="20"/>
        <v>443</v>
      </c>
      <c r="B458" s="151">
        <f t="shared" ca="1" si="18"/>
        <v>43.558907886315389</v>
      </c>
      <c r="C458" s="158">
        <f t="shared" ca="1" si="19"/>
        <v>1</v>
      </c>
    </row>
    <row r="459" spans="1:3" x14ac:dyDescent="0.25">
      <c r="A459" s="155">
        <f t="shared" si="20"/>
        <v>444</v>
      </c>
      <c r="B459" s="151">
        <f t="shared" ca="1" si="18"/>
        <v>31.515371611227849</v>
      </c>
      <c r="C459" s="158">
        <f t="shared" ca="1" si="19"/>
        <v>1</v>
      </c>
    </row>
    <row r="460" spans="1:3" x14ac:dyDescent="0.25">
      <c r="A460" s="155">
        <f t="shared" si="20"/>
        <v>445</v>
      </c>
      <c r="B460" s="151">
        <f t="shared" ca="1" si="18"/>
        <v>54.794831738265913</v>
      </c>
      <c r="C460" s="158">
        <f t="shared" ca="1" si="19"/>
        <v>1</v>
      </c>
    </row>
    <row r="461" spans="1:3" x14ac:dyDescent="0.25">
      <c r="A461" s="155">
        <f t="shared" si="20"/>
        <v>446</v>
      </c>
      <c r="B461" s="151">
        <f t="shared" ca="1" si="18"/>
        <v>36.218727650381609</v>
      </c>
      <c r="C461" s="158">
        <f t="shared" ca="1" si="19"/>
        <v>1</v>
      </c>
    </row>
    <row r="462" spans="1:3" x14ac:dyDescent="0.25">
      <c r="A462" s="155">
        <f t="shared" si="20"/>
        <v>447</v>
      </c>
      <c r="B462" s="151">
        <f t="shared" ca="1" si="18"/>
        <v>50.284196375593382</v>
      </c>
      <c r="C462" s="158">
        <f t="shared" ca="1" si="19"/>
        <v>1</v>
      </c>
    </row>
    <row r="463" spans="1:3" x14ac:dyDescent="0.25">
      <c r="A463" s="155">
        <f t="shared" si="20"/>
        <v>448</v>
      </c>
      <c r="B463" s="151">
        <f t="shared" ca="1" si="18"/>
        <v>77.799731425878321</v>
      </c>
      <c r="C463" s="158">
        <f t="shared" ca="1" si="19"/>
        <v>1</v>
      </c>
    </row>
    <row r="464" spans="1:3" x14ac:dyDescent="0.25">
      <c r="A464" s="155">
        <f t="shared" si="20"/>
        <v>449</v>
      </c>
      <c r="B464" s="151">
        <f t="shared" ca="1" si="18"/>
        <v>5.7592789616830871</v>
      </c>
      <c r="C464" s="158">
        <f t="shared" ca="1" si="19"/>
        <v>0</v>
      </c>
    </row>
    <row r="465" spans="1:3" x14ac:dyDescent="0.25">
      <c r="A465" s="155">
        <f t="shared" si="20"/>
        <v>450</v>
      </c>
      <c r="B465" s="151">
        <f t="shared" ref="B465:B528" ca="1" si="21">_xlfn.NORM.INV(RAND(), $B$9, $B$10)</f>
        <v>33.73267913194001</v>
      </c>
      <c r="C465" s="158">
        <f t="shared" ref="C465:C528" ca="1" si="22">IF(B465 &gt;= $B$11, 1, 0)</f>
        <v>1</v>
      </c>
    </row>
    <row r="466" spans="1:3" x14ac:dyDescent="0.25">
      <c r="A466" s="155">
        <f t="shared" ref="A466:A529" si="23">+A465+1</f>
        <v>451</v>
      </c>
      <c r="B466" s="151">
        <f t="shared" ca="1" si="21"/>
        <v>48.557506774186301</v>
      </c>
      <c r="C466" s="158">
        <f t="shared" ca="1" si="22"/>
        <v>1</v>
      </c>
    </row>
    <row r="467" spans="1:3" x14ac:dyDescent="0.25">
      <c r="A467" s="155">
        <f t="shared" si="23"/>
        <v>452</v>
      </c>
      <c r="B467" s="151">
        <f t="shared" ca="1" si="21"/>
        <v>1.7391772376943493</v>
      </c>
      <c r="C467" s="158">
        <f t="shared" ca="1" si="22"/>
        <v>0</v>
      </c>
    </row>
    <row r="468" spans="1:3" x14ac:dyDescent="0.25">
      <c r="A468" s="155">
        <f t="shared" si="23"/>
        <v>453</v>
      </c>
      <c r="B468" s="151">
        <f t="shared" ca="1" si="21"/>
        <v>46.087103363217707</v>
      </c>
      <c r="C468" s="158">
        <f t="shared" ca="1" si="22"/>
        <v>1</v>
      </c>
    </row>
    <row r="469" spans="1:3" x14ac:dyDescent="0.25">
      <c r="A469" s="155">
        <f t="shared" si="23"/>
        <v>454</v>
      </c>
      <c r="B469" s="151">
        <f t="shared" ca="1" si="21"/>
        <v>30.57582711706624</v>
      </c>
      <c r="C469" s="158">
        <f t="shared" ca="1" si="22"/>
        <v>1</v>
      </c>
    </row>
    <row r="470" spans="1:3" x14ac:dyDescent="0.25">
      <c r="A470" s="155">
        <f t="shared" si="23"/>
        <v>455</v>
      </c>
      <c r="B470" s="151">
        <f t="shared" ca="1" si="21"/>
        <v>23.840720092932365</v>
      </c>
      <c r="C470" s="158">
        <f t="shared" ca="1" si="22"/>
        <v>0</v>
      </c>
    </row>
    <row r="471" spans="1:3" x14ac:dyDescent="0.25">
      <c r="A471" s="155">
        <f t="shared" si="23"/>
        <v>456</v>
      </c>
      <c r="B471" s="151">
        <f t="shared" ca="1" si="21"/>
        <v>30.794222229867451</v>
      </c>
      <c r="C471" s="158">
        <f t="shared" ca="1" si="22"/>
        <v>1</v>
      </c>
    </row>
    <row r="472" spans="1:3" x14ac:dyDescent="0.25">
      <c r="A472" s="155">
        <f t="shared" si="23"/>
        <v>457</v>
      </c>
      <c r="B472" s="151">
        <f t="shared" ca="1" si="21"/>
        <v>51.061614904030876</v>
      </c>
      <c r="C472" s="158">
        <f t="shared" ca="1" si="22"/>
        <v>1</v>
      </c>
    </row>
    <row r="473" spans="1:3" x14ac:dyDescent="0.25">
      <c r="A473" s="155">
        <f t="shared" si="23"/>
        <v>458</v>
      </c>
      <c r="B473" s="151">
        <f t="shared" ca="1" si="21"/>
        <v>86.392698978818217</v>
      </c>
      <c r="C473" s="158">
        <f t="shared" ca="1" si="22"/>
        <v>1</v>
      </c>
    </row>
    <row r="474" spans="1:3" x14ac:dyDescent="0.25">
      <c r="A474" s="155">
        <f t="shared" si="23"/>
        <v>459</v>
      </c>
      <c r="B474" s="151">
        <f t="shared" ca="1" si="21"/>
        <v>-3.3635975788492232</v>
      </c>
      <c r="C474" s="158">
        <f t="shared" ca="1" si="22"/>
        <v>0</v>
      </c>
    </row>
    <row r="475" spans="1:3" x14ac:dyDescent="0.25">
      <c r="A475" s="155">
        <f t="shared" si="23"/>
        <v>460</v>
      </c>
      <c r="B475" s="151">
        <f t="shared" ca="1" si="21"/>
        <v>53.009468328631286</v>
      </c>
      <c r="C475" s="158">
        <f t="shared" ca="1" si="22"/>
        <v>1</v>
      </c>
    </row>
    <row r="476" spans="1:3" x14ac:dyDescent="0.25">
      <c r="A476" s="155">
        <f t="shared" si="23"/>
        <v>461</v>
      </c>
      <c r="B476" s="151">
        <f t="shared" ca="1" si="21"/>
        <v>49.762990823531695</v>
      </c>
      <c r="C476" s="158">
        <f t="shared" ca="1" si="22"/>
        <v>1</v>
      </c>
    </row>
    <row r="477" spans="1:3" x14ac:dyDescent="0.25">
      <c r="A477" s="155">
        <f t="shared" si="23"/>
        <v>462</v>
      </c>
      <c r="B477" s="151">
        <f t="shared" ca="1" si="21"/>
        <v>8.9963045774074395</v>
      </c>
      <c r="C477" s="158">
        <f t="shared" ca="1" si="22"/>
        <v>0</v>
      </c>
    </row>
    <row r="478" spans="1:3" x14ac:dyDescent="0.25">
      <c r="A478" s="155">
        <f t="shared" si="23"/>
        <v>463</v>
      </c>
      <c r="B478" s="151">
        <f t="shared" ca="1" si="21"/>
        <v>62.622763235414304</v>
      </c>
      <c r="C478" s="158">
        <f t="shared" ca="1" si="22"/>
        <v>1</v>
      </c>
    </row>
    <row r="479" spans="1:3" x14ac:dyDescent="0.25">
      <c r="A479" s="155">
        <f t="shared" si="23"/>
        <v>464</v>
      </c>
      <c r="B479" s="151">
        <f t="shared" ca="1" si="21"/>
        <v>18.757523072824675</v>
      </c>
      <c r="C479" s="158">
        <f t="shared" ca="1" si="22"/>
        <v>0</v>
      </c>
    </row>
    <row r="480" spans="1:3" x14ac:dyDescent="0.25">
      <c r="A480" s="155">
        <f t="shared" si="23"/>
        <v>465</v>
      </c>
      <c r="B480" s="151">
        <f t="shared" ca="1" si="21"/>
        <v>56.270287276015523</v>
      </c>
      <c r="C480" s="158">
        <f t="shared" ca="1" si="22"/>
        <v>1</v>
      </c>
    </row>
    <row r="481" spans="1:3" x14ac:dyDescent="0.25">
      <c r="A481" s="155">
        <f t="shared" si="23"/>
        <v>466</v>
      </c>
      <c r="B481" s="151">
        <f t="shared" ca="1" si="21"/>
        <v>60.442871442356704</v>
      </c>
      <c r="C481" s="158">
        <f t="shared" ca="1" si="22"/>
        <v>1</v>
      </c>
    </row>
    <row r="482" spans="1:3" x14ac:dyDescent="0.25">
      <c r="A482" s="155">
        <f t="shared" si="23"/>
        <v>467</v>
      </c>
      <c r="B482" s="151">
        <f t="shared" ca="1" si="21"/>
        <v>12.292900081367264</v>
      </c>
      <c r="C482" s="158">
        <f t="shared" ca="1" si="22"/>
        <v>0</v>
      </c>
    </row>
    <row r="483" spans="1:3" x14ac:dyDescent="0.25">
      <c r="A483" s="155">
        <f t="shared" si="23"/>
        <v>468</v>
      </c>
      <c r="B483" s="151">
        <f t="shared" ca="1" si="21"/>
        <v>5.7170665134664915</v>
      </c>
      <c r="C483" s="158">
        <f t="shared" ca="1" si="22"/>
        <v>0</v>
      </c>
    </row>
    <row r="484" spans="1:3" x14ac:dyDescent="0.25">
      <c r="A484" s="155">
        <f t="shared" si="23"/>
        <v>469</v>
      </c>
      <c r="B484" s="151">
        <f t="shared" ca="1" si="21"/>
        <v>90.403417564133449</v>
      </c>
      <c r="C484" s="158">
        <f t="shared" ca="1" si="22"/>
        <v>1</v>
      </c>
    </row>
    <row r="485" spans="1:3" x14ac:dyDescent="0.25">
      <c r="A485" s="155">
        <f t="shared" si="23"/>
        <v>470</v>
      </c>
      <c r="B485" s="151">
        <f t="shared" ca="1" si="21"/>
        <v>29.612416101359265</v>
      </c>
      <c r="C485" s="158">
        <f t="shared" ca="1" si="22"/>
        <v>1</v>
      </c>
    </row>
    <row r="486" spans="1:3" x14ac:dyDescent="0.25">
      <c r="A486" s="155">
        <f t="shared" si="23"/>
        <v>471</v>
      </c>
      <c r="B486" s="151">
        <f t="shared" ca="1" si="21"/>
        <v>36.965288222450987</v>
      </c>
      <c r="C486" s="158">
        <f t="shared" ca="1" si="22"/>
        <v>1</v>
      </c>
    </row>
    <row r="487" spans="1:3" x14ac:dyDescent="0.25">
      <c r="A487" s="155">
        <f t="shared" si="23"/>
        <v>472</v>
      </c>
      <c r="B487" s="151">
        <f t="shared" ca="1" si="21"/>
        <v>18.695623951862604</v>
      </c>
      <c r="C487" s="158">
        <f t="shared" ca="1" si="22"/>
        <v>0</v>
      </c>
    </row>
    <row r="488" spans="1:3" x14ac:dyDescent="0.25">
      <c r="A488" s="155">
        <f t="shared" si="23"/>
        <v>473</v>
      </c>
      <c r="B488" s="151">
        <f t="shared" ca="1" si="21"/>
        <v>56.031126784205654</v>
      </c>
      <c r="C488" s="158">
        <f t="shared" ca="1" si="22"/>
        <v>1</v>
      </c>
    </row>
    <row r="489" spans="1:3" x14ac:dyDescent="0.25">
      <c r="A489" s="155">
        <f t="shared" si="23"/>
        <v>474</v>
      </c>
      <c r="B489" s="151">
        <f t="shared" ca="1" si="21"/>
        <v>24.589703504247723</v>
      </c>
      <c r="C489" s="158">
        <f t="shared" ca="1" si="22"/>
        <v>0</v>
      </c>
    </row>
    <row r="490" spans="1:3" x14ac:dyDescent="0.25">
      <c r="A490" s="155">
        <f t="shared" si="23"/>
        <v>475</v>
      </c>
      <c r="B490" s="151">
        <f t="shared" ca="1" si="21"/>
        <v>63.13466023207264</v>
      </c>
      <c r="C490" s="158">
        <f t="shared" ca="1" si="22"/>
        <v>1</v>
      </c>
    </row>
    <row r="491" spans="1:3" x14ac:dyDescent="0.25">
      <c r="A491" s="155">
        <f t="shared" si="23"/>
        <v>476</v>
      </c>
      <c r="B491" s="151">
        <f t="shared" ca="1" si="21"/>
        <v>58.61985873923237</v>
      </c>
      <c r="C491" s="158">
        <f t="shared" ca="1" si="22"/>
        <v>1</v>
      </c>
    </row>
    <row r="492" spans="1:3" x14ac:dyDescent="0.25">
      <c r="A492" s="155">
        <f t="shared" si="23"/>
        <v>477</v>
      </c>
      <c r="B492" s="151">
        <f t="shared" ca="1" si="21"/>
        <v>45.844906225230588</v>
      </c>
      <c r="C492" s="158">
        <f t="shared" ca="1" si="22"/>
        <v>1</v>
      </c>
    </row>
    <row r="493" spans="1:3" x14ac:dyDescent="0.25">
      <c r="A493" s="155">
        <f t="shared" si="23"/>
        <v>478</v>
      </c>
      <c r="B493" s="151">
        <f t="shared" ca="1" si="21"/>
        <v>75.980175637639917</v>
      </c>
      <c r="C493" s="158">
        <f t="shared" ca="1" si="22"/>
        <v>1</v>
      </c>
    </row>
    <row r="494" spans="1:3" x14ac:dyDescent="0.25">
      <c r="A494" s="155">
        <f t="shared" si="23"/>
        <v>479</v>
      </c>
      <c r="B494" s="151">
        <f t="shared" ca="1" si="21"/>
        <v>43.282076926264871</v>
      </c>
      <c r="C494" s="158">
        <f t="shared" ca="1" si="22"/>
        <v>1</v>
      </c>
    </row>
    <row r="495" spans="1:3" x14ac:dyDescent="0.25">
      <c r="A495" s="155">
        <f t="shared" si="23"/>
        <v>480</v>
      </c>
      <c r="B495" s="151">
        <f t="shared" ca="1" si="21"/>
        <v>39.485238932745247</v>
      </c>
      <c r="C495" s="158">
        <f t="shared" ca="1" si="22"/>
        <v>1</v>
      </c>
    </row>
    <row r="496" spans="1:3" x14ac:dyDescent="0.25">
      <c r="A496" s="155">
        <f t="shared" si="23"/>
        <v>481</v>
      </c>
      <c r="B496" s="151">
        <f t="shared" ca="1" si="21"/>
        <v>-6.6586268721269164</v>
      </c>
      <c r="C496" s="158">
        <f t="shared" ca="1" si="22"/>
        <v>0</v>
      </c>
    </row>
    <row r="497" spans="1:3" x14ac:dyDescent="0.25">
      <c r="A497" s="155">
        <f t="shared" si="23"/>
        <v>482</v>
      </c>
      <c r="B497" s="151">
        <f t="shared" ca="1" si="21"/>
        <v>84.78435914476907</v>
      </c>
      <c r="C497" s="158">
        <f t="shared" ca="1" si="22"/>
        <v>1</v>
      </c>
    </row>
    <row r="498" spans="1:3" x14ac:dyDescent="0.25">
      <c r="A498" s="155">
        <f t="shared" si="23"/>
        <v>483</v>
      </c>
      <c r="B498" s="151">
        <f t="shared" ca="1" si="21"/>
        <v>91.090967212756226</v>
      </c>
      <c r="C498" s="158">
        <f t="shared" ca="1" si="22"/>
        <v>1</v>
      </c>
    </row>
    <row r="499" spans="1:3" x14ac:dyDescent="0.25">
      <c r="A499" s="155">
        <f t="shared" si="23"/>
        <v>484</v>
      </c>
      <c r="B499" s="151">
        <f t="shared" ca="1" si="21"/>
        <v>33.739312081121234</v>
      </c>
      <c r="C499" s="158">
        <f t="shared" ca="1" si="22"/>
        <v>1</v>
      </c>
    </row>
    <row r="500" spans="1:3" x14ac:dyDescent="0.25">
      <c r="A500" s="155">
        <f t="shared" si="23"/>
        <v>485</v>
      </c>
      <c r="B500" s="151">
        <f t="shared" ca="1" si="21"/>
        <v>41.459104434256609</v>
      </c>
      <c r="C500" s="158">
        <f t="shared" ca="1" si="22"/>
        <v>1</v>
      </c>
    </row>
    <row r="501" spans="1:3" x14ac:dyDescent="0.25">
      <c r="A501" s="155">
        <f t="shared" si="23"/>
        <v>486</v>
      </c>
      <c r="B501" s="151">
        <f t="shared" ca="1" si="21"/>
        <v>-6.3104752905383137</v>
      </c>
      <c r="C501" s="158">
        <f t="shared" ca="1" si="22"/>
        <v>0</v>
      </c>
    </row>
    <row r="502" spans="1:3" x14ac:dyDescent="0.25">
      <c r="A502" s="155">
        <f t="shared" si="23"/>
        <v>487</v>
      </c>
      <c r="B502" s="151">
        <f t="shared" ca="1" si="21"/>
        <v>50.817460268694646</v>
      </c>
      <c r="C502" s="158">
        <f t="shared" ca="1" si="22"/>
        <v>1</v>
      </c>
    </row>
    <row r="503" spans="1:3" x14ac:dyDescent="0.25">
      <c r="A503" s="155">
        <f t="shared" si="23"/>
        <v>488</v>
      </c>
      <c r="B503" s="151">
        <f t="shared" ca="1" si="21"/>
        <v>39.570053414069584</v>
      </c>
      <c r="C503" s="158">
        <f t="shared" ca="1" si="22"/>
        <v>1</v>
      </c>
    </row>
    <row r="504" spans="1:3" x14ac:dyDescent="0.25">
      <c r="A504" s="155">
        <f t="shared" si="23"/>
        <v>489</v>
      </c>
      <c r="B504" s="151">
        <f t="shared" ca="1" si="21"/>
        <v>20.702781413427957</v>
      </c>
      <c r="C504" s="158">
        <f t="shared" ca="1" si="22"/>
        <v>0</v>
      </c>
    </row>
    <row r="505" spans="1:3" x14ac:dyDescent="0.25">
      <c r="A505" s="155">
        <f t="shared" si="23"/>
        <v>490</v>
      </c>
      <c r="B505" s="151">
        <f t="shared" ca="1" si="21"/>
        <v>45.930007668656231</v>
      </c>
      <c r="C505" s="158">
        <f t="shared" ca="1" si="22"/>
        <v>1</v>
      </c>
    </row>
    <row r="506" spans="1:3" x14ac:dyDescent="0.25">
      <c r="A506" s="155">
        <f t="shared" si="23"/>
        <v>491</v>
      </c>
      <c r="B506" s="151">
        <f t="shared" ca="1" si="21"/>
        <v>36.738926038617905</v>
      </c>
      <c r="C506" s="158">
        <f t="shared" ca="1" si="22"/>
        <v>1</v>
      </c>
    </row>
    <row r="507" spans="1:3" x14ac:dyDescent="0.25">
      <c r="A507" s="155">
        <f t="shared" si="23"/>
        <v>492</v>
      </c>
      <c r="B507" s="151">
        <f t="shared" ca="1" si="21"/>
        <v>6.1330104948256654</v>
      </c>
      <c r="C507" s="158">
        <f t="shared" ca="1" si="22"/>
        <v>0</v>
      </c>
    </row>
    <row r="508" spans="1:3" x14ac:dyDescent="0.25">
      <c r="A508" s="155">
        <f t="shared" si="23"/>
        <v>493</v>
      </c>
      <c r="B508" s="151">
        <f t="shared" ca="1" si="21"/>
        <v>37.919732397841003</v>
      </c>
      <c r="C508" s="158">
        <f t="shared" ca="1" si="22"/>
        <v>1</v>
      </c>
    </row>
    <row r="509" spans="1:3" x14ac:dyDescent="0.25">
      <c r="A509" s="155">
        <f t="shared" si="23"/>
        <v>494</v>
      </c>
      <c r="B509" s="151">
        <f t="shared" ca="1" si="21"/>
        <v>24.212047561086376</v>
      </c>
      <c r="C509" s="158">
        <f t="shared" ca="1" si="22"/>
        <v>0</v>
      </c>
    </row>
    <row r="510" spans="1:3" x14ac:dyDescent="0.25">
      <c r="A510" s="155">
        <f t="shared" si="23"/>
        <v>495</v>
      </c>
      <c r="B510" s="151">
        <f t="shared" ca="1" si="21"/>
        <v>58.246262833825924</v>
      </c>
      <c r="C510" s="158">
        <f t="shared" ca="1" si="22"/>
        <v>1</v>
      </c>
    </row>
    <row r="511" spans="1:3" x14ac:dyDescent="0.25">
      <c r="A511" s="155">
        <f t="shared" si="23"/>
        <v>496</v>
      </c>
      <c r="B511" s="151">
        <f t="shared" ca="1" si="21"/>
        <v>59.81812936925288</v>
      </c>
      <c r="C511" s="158">
        <f t="shared" ca="1" si="22"/>
        <v>1</v>
      </c>
    </row>
    <row r="512" spans="1:3" x14ac:dyDescent="0.25">
      <c r="A512" s="155">
        <f t="shared" si="23"/>
        <v>497</v>
      </c>
      <c r="B512" s="151">
        <f t="shared" ca="1" si="21"/>
        <v>28.803547593301953</v>
      </c>
      <c r="C512" s="158">
        <f t="shared" ca="1" si="22"/>
        <v>1</v>
      </c>
    </row>
    <row r="513" spans="1:3" x14ac:dyDescent="0.25">
      <c r="A513" s="155">
        <f t="shared" si="23"/>
        <v>498</v>
      </c>
      <c r="B513" s="151">
        <f t="shared" ca="1" si="21"/>
        <v>27.996019205629096</v>
      </c>
      <c r="C513" s="158">
        <f t="shared" ca="1" si="22"/>
        <v>1</v>
      </c>
    </row>
    <row r="514" spans="1:3" x14ac:dyDescent="0.25">
      <c r="A514" s="155">
        <f t="shared" si="23"/>
        <v>499</v>
      </c>
      <c r="B514" s="151">
        <f t="shared" ca="1" si="21"/>
        <v>12.627589549852225</v>
      </c>
      <c r="C514" s="158">
        <f t="shared" ca="1" si="22"/>
        <v>0</v>
      </c>
    </row>
    <row r="515" spans="1:3" x14ac:dyDescent="0.25">
      <c r="A515" s="155">
        <f t="shared" si="23"/>
        <v>500</v>
      </c>
      <c r="B515" s="151">
        <f t="shared" ca="1" si="21"/>
        <v>83.082454363788003</v>
      </c>
      <c r="C515" s="158">
        <f t="shared" ca="1" si="22"/>
        <v>1</v>
      </c>
    </row>
    <row r="516" spans="1:3" x14ac:dyDescent="0.25">
      <c r="A516" s="155">
        <f t="shared" si="23"/>
        <v>501</v>
      </c>
      <c r="B516" s="151">
        <f t="shared" ca="1" si="21"/>
        <v>18.620602109006391</v>
      </c>
      <c r="C516" s="158">
        <f t="shared" ca="1" si="22"/>
        <v>0</v>
      </c>
    </row>
    <row r="517" spans="1:3" x14ac:dyDescent="0.25">
      <c r="A517" s="155">
        <f t="shared" si="23"/>
        <v>502</v>
      </c>
      <c r="B517" s="151">
        <f t="shared" ca="1" si="21"/>
        <v>48.618133412663646</v>
      </c>
      <c r="C517" s="158">
        <f t="shared" ca="1" si="22"/>
        <v>1</v>
      </c>
    </row>
    <row r="518" spans="1:3" x14ac:dyDescent="0.25">
      <c r="A518" s="155">
        <f t="shared" si="23"/>
        <v>503</v>
      </c>
      <c r="B518" s="151">
        <f t="shared" ca="1" si="21"/>
        <v>16.215026601698707</v>
      </c>
      <c r="C518" s="158">
        <f t="shared" ca="1" si="22"/>
        <v>0</v>
      </c>
    </row>
    <row r="519" spans="1:3" x14ac:dyDescent="0.25">
      <c r="A519" s="155">
        <f t="shared" si="23"/>
        <v>504</v>
      </c>
      <c r="B519" s="151">
        <f t="shared" ca="1" si="21"/>
        <v>38.212008538299479</v>
      </c>
      <c r="C519" s="158">
        <f t="shared" ca="1" si="22"/>
        <v>1</v>
      </c>
    </row>
    <row r="520" spans="1:3" x14ac:dyDescent="0.25">
      <c r="A520" s="155">
        <f t="shared" si="23"/>
        <v>505</v>
      </c>
      <c r="B520" s="151">
        <f t="shared" ca="1" si="21"/>
        <v>52.833030092070445</v>
      </c>
      <c r="C520" s="158">
        <f t="shared" ca="1" si="22"/>
        <v>1</v>
      </c>
    </row>
    <row r="521" spans="1:3" x14ac:dyDescent="0.25">
      <c r="A521" s="155">
        <f t="shared" si="23"/>
        <v>506</v>
      </c>
      <c r="B521" s="151">
        <f t="shared" ca="1" si="21"/>
        <v>7.7035111690905218</v>
      </c>
      <c r="C521" s="158">
        <f t="shared" ca="1" si="22"/>
        <v>0</v>
      </c>
    </row>
    <row r="522" spans="1:3" x14ac:dyDescent="0.25">
      <c r="A522" s="155">
        <f t="shared" si="23"/>
        <v>507</v>
      </c>
      <c r="B522" s="151">
        <f t="shared" ca="1" si="21"/>
        <v>51.7745238594486</v>
      </c>
      <c r="C522" s="158">
        <f t="shared" ca="1" si="22"/>
        <v>1</v>
      </c>
    </row>
    <row r="523" spans="1:3" x14ac:dyDescent="0.25">
      <c r="A523" s="155">
        <f t="shared" si="23"/>
        <v>508</v>
      </c>
      <c r="B523" s="151">
        <f t="shared" ca="1" si="21"/>
        <v>21.703637797008568</v>
      </c>
      <c r="C523" s="158">
        <f t="shared" ca="1" si="22"/>
        <v>0</v>
      </c>
    </row>
    <row r="524" spans="1:3" x14ac:dyDescent="0.25">
      <c r="A524" s="155">
        <f t="shared" si="23"/>
        <v>509</v>
      </c>
      <c r="B524" s="151">
        <f t="shared" ca="1" si="21"/>
        <v>21.468760985680781</v>
      </c>
      <c r="C524" s="158">
        <f t="shared" ca="1" si="22"/>
        <v>0</v>
      </c>
    </row>
    <row r="525" spans="1:3" x14ac:dyDescent="0.25">
      <c r="A525" s="155">
        <f t="shared" si="23"/>
        <v>510</v>
      </c>
      <c r="B525" s="151">
        <f t="shared" ca="1" si="21"/>
        <v>39.793327765279813</v>
      </c>
      <c r="C525" s="158">
        <f t="shared" ca="1" si="22"/>
        <v>1</v>
      </c>
    </row>
    <row r="526" spans="1:3" x14ac:dyDescent="0.25">
      <c r="A526" s="155">
        <f t="shared" si="23"/>
        <v>511</v>
      </c>
      <c r="B526" s="151">
        <f t="shared" ca="1" si="21"/>
        <v>1.3444823853458914</v>
      </c>
      <c r="C526" s="158">
        <f t="shared" ca="1" si="22"/>
        <v>0</v>
      </c>
    </row>
    <row r="527" spans="1:3" x14ac:dyDescent="0.25">
      <c r="A527" s="155">
        <f t="shared" si="23"/>
        <v>512</v>
      </c>
      <c r="B527" s="151">
        <f t="shared" ca="1" si="21"/>
        <v>32.99925321330511</v>
      </c>
      <c r="C527" s="158">
        <f t="shared" ca="1" si="22"/>
        <v>1</v>
      </c>
    </row>
    <row r="528" spans="1:3" x14ac:dyDescent="0.25">
      <c r="A528" s="155">
        <f t="shared" si="23"/>
        <v>513</v>
      </c>
      <c r="B528" s="151">
        <f t="shared" ca="1" si="21"/>
        <v>22.967670064514831</v>
      </c>
      <c r="C528" s="158">
        <f t="shared" ca="1" si="22"/>
        <v>0</v>
      </c>
    </row>
    <row r="529" spans="1:3" x14ac:dyDescent="0.25">
      <c r="A529" s="155">
        <f t="shared" si="23"/>
        <v>514</v>
      </c>
      <c r="B529" s="151">
        <f t="shared" ref="B529:B592" ca="1" si="24">_xlfn.NORM.INV(RAND(), $B$9, $B$10)</f>
        <v>5.0337222962500618</v>
      </c>
      <c r="C529" s="158">
        <f t="shared" ref="C529:C592" ca="1" si="25">IF(B529 &gt;= $B$11, 1, 0)</f>
        <v>0</v>
      </c>
    </row>
    <row r="530" spans="1:3" x14ac:dyDescent="0.25">
      <c r="A530" s="155">
        <f t="shared" ref="A530:A593" si="26">+A529+1</f>
        <v>515</v>
      </c>
      <c r="B530" s="151">
        <f t="shared" ca="1" si="24"/>
        <v>12.806241071654437</v>
      </c>
      <c r="C530" s="158">
        <f t="shared" ca="1" si="25"/>
        <v>0</v>
      </c>
    </row>
    <row r="531" spans="1:3" x14ac:dyDescent="0.25">
      <c r="A531" s="155">
        <f t="shared" si="26"/>
        <v>516</v>
      </c>
      <c r="B531" s="151">
        <f t="shared" ca="1" si="24"/>
        <v>10.708282961237611</v>
      </c>
      <c r="C531" s="158">
        <f t="shared" ca="1" si="25"/>
        <v>0</v>
      </c>
    </row>
    <row r="532" spans="1:3" x14ac:dyDescent="0.25">
      <c r="A532" s="155">
        <f t="shared" si="26"/>
        <v>517</v>
      </c>
      <c r="B532" s="151">
        <f t="shared" ca="1" si="24"/>
        <v>62.148664369851282</v>
      </c>
      <c r="C532" s="158">
        <f t="shared" ca="1" si="25"/>
        <v>1</v>
      </c>
    </row>
    <row r="533" spans="1:3" x14ac:dyDescent="0.25">
      <c r="A533" s="155">
        <f t="shared" si="26"/>
        <v>518</v>
      </c>
      <c r="B533" s="151">
        <f t="shared" ca="1" si="24"/>
        <v>21.887003283547088</v>
      </c>
      <c r="C533" s="158">
        <f t="shared" ca="1" si="25"/>
        <v>0</v>
      </c>
    </row>
    <row r="534" spans="1:3" x14ac:dyDescent="0.25">
      <c r="A534" s="155">
        <f t="shared" si="26"/>
        <v>519</v>
      </c>
      <c r="B534" s="151">
        <f t="shared" ca="1" si="24"/>
        <v>56.023207628676218</v>
      </c>
      <c r="C534" s="158">
        <f t="shared" ca="1" si="25"/>
        <v>1</v>
      </c>
    </row>
    <row r="535" spans="1:3" x14ac:dyDescent="0.25">
      <c r="A535" s="155">
        <f t="shared" si="26"/>
        <v>520</v>
      </c>
      <c r="B535" s="151">
        <f t="shared" ca="1" si="24"/>
        <v>13.901867092303753</v>
      </c>
      <c r="C535" s="158">
        <f t="shared" ca="1" si="25"/>
        <v>0</v>
      </c>
    </row>
    <row r="536" spans="1:3" x14ac:dyDescent="0.25">
      <c r="A536" s="155">
        <f t="shared" si="26"/>
        <v>521</v>
      </c>
      <c r="B536" s="151">
        <f t="shared" ca="1" si="24"/>
        <v>68.117241064123846</v>
      </c>
      <c r="C536" s="158">
        <f t="shared" ca="1" si="25"/>
        <v>1</v>
      </c>
    </row>
    <row r="537" spans="1:3" x14ac:dyDescent="0.25">
      <c r="A537" s="155">
        <f t="shared" si="26"/>
        <v>522</v>
      </c>
      <c r="B537" s="151">
        <f t="shared" ca="1" si="24"/>
        <v>39.527327072139784</v>
      </c>
      <c r="C537" s="158">
        <f t="shared" ca="1" si="25"/>
        <v>1</v>
      </c>
    </row>
    <row r="538" spans="1:3" x14ac:dyDescent="0.25">
      <c r="A538" s="155">
        <f t="shared" si="26"/>
        <v>523</v>
      </c>
      <c r="B538" s="151">
        <f t="shared" ca="1" si="24"/>
        <v>60.578472057610966</v>
      </c>
      <c r="C538" s="158">
        <f t="shared" ca="1" si="25"/>
        <v>1</v>
      </c>
    </row>
    <row r="539" spans="1:3" x14ac:dyDescent="0.25">
      <c r="A539" s="155">
        <f t="shared" si="26"/>
        <v>524</v>
      </c>
      <c r="B539" s="151">
        <f t="shared" ca="1" si="24"/>
        <v>62.133526459996759</v>
      </c>
      <c r="C539" s="158">
        <f t="shared" ca="1" si="25"/>
        <v>1</v>
      </c>
    </row>
    <row r="540" spans="1:3" x14ac:dyDescent="0.25">
      <c r="A540" s="155">
        <f t="shared" si="26"/>
        <v>525</v>
      </c>
      <c r="B540" s="151">
        <f t="shared" ca="1" si="24"/>
        <v>41.419772833824204</v>
      </c>
      <c r="C540" s="158">
        <f t="shared" ca="1" si="25"/>
        <v>1</v>
      </c>
    </row>
    <row r="541" spans="1:3" x14ac:dyDescent="0.25">
      <c r="A541" s="155">
        <f t="shared" si="26"/>
        <v>526</v>
      </c>
      <c r="B541" s="151">
        <f t="shared" ca="1" si="24"/>
        <v>13.818923157161638</v>
      </c>
      <c r="C541" s="158">
        <f t="shared" ca="1" si="25"/>
        <v>0</v>
      </c>
    </row>
    <row r="542" spans="1:3" x14ac:dyDescent="0.25">
      <c r="A542" s="155">
        <f t="shared" si="26"/>
        <v>527</v>
      </c>
      <c r="B542" s="151">
        <f t="shared" ca="1" si="24"/>
        <v>65.202576832311209</v>
      </c>
      <c r="C542" s="158">
        <f t="shared" ca="1" si="25"/>
        <v>1</v>
      </c>
    </row>
    <row r="543" spans="1:3" x14ac:dyDescent="0.25">
      <c r="A543" s="155">
        <f t="shared" si="26"/>
        <v>528</v>
      </c>
      <c r="B543" s="151">
        <f t="shared" ca="1" si="24"/>
        <v>17.810466845096283</v>
      </c>
      <c r="C543" s="158">
        <f t="shared" ca="1" si="25"/>
        <v>0</v>
      </c>
    </row>
    <row r="544" spans="1:3" x14ac:dyDescent="0.25">
      <c r="A544" s="155">
        <f t="shared" si="26"/>
        <v>529</v>
      </c>
      <c r="B544" s="151">
        <f t="shared" ca="1" si="24"/>
        <v>69.367594560427307</v>
      </c>
      <c r="C544" s="158">
        <f t="shared" ca="1" si="25"/>
        <v>1</v>
      </c>
    </row>
    <row r="545" spans="1:3" x14ac:dyDescent="0.25">
      <c r="A545" s="155">
        <f t="shared" si="26"/>
        <v>530</v>
      </c>
      <c r="B545" s="151">
        <f t="shared" ca="1" si="24"/>
        <v>26.297423240526797</v>
      </c>
      <c r="C545" s="158">
        <f t="shared" ca="1" si="25"/>
        <v>1</v>
      </c>
    </row>
    <row r="546" spans="1:3" x14ac:dyDescent="0.25">
      <c r="A546" s="155">
        <f t="shared" si="26"/>
        <v>531</v>
      </c>
      <c r="B546" s="151">
        <f t="shared" ca="1" si="24"/>
        <v>26.377725844923663</v>
      </c>
      <c r="C546" s="158">
        <f t="shared" ca="1" si="25"/>
        <v>1</v>
      </c>
    </row>
    <row r="547" spans="1:3" x14ac:dyDescent="0.25">
      <c r="A547" s="155">
        <f t="shared" si="26"/>
        <v>532</v>
      </c>
      <c r="B547" s="151">
        <f t="shared" ca="1" si="24"/>
        <v>56.435355403666478</v>
      </c>
      <c r="C547" s="158">
        <f t="shared" ca="1" si="25"/>
        <v>1</v>
      </c>
    </row>
    <row r="548" spans="1:3" x14ac:dyDescent="0.25">
      <c r="A548" s="155">
        <f t="shared" si="26"/>
        <v>533</v>
      </c>
      <c r="B548" s="151">
        <f t="shared" ca="1" si="24"/>
        <v>53.127897877552016</v>
      </c>
      <c r="C548" s="158">
        <f t="shared" ca="1" si="25"/>
        <v>1</v>
      </c>
    </row>
    <row r="549" spans="1:3" x14ac:dyDescent="0.25">
      <c r="A549" s="155">
        <f t="shared" si="26"/>
        <v>534</v>
      </c>
      <c r="B549" s="151">
        <f t="shared" ca="1" si="24"/>
        <v>64.950135123490256</v>
      </c>
      <c r="C549" s="158">
        <f t="shared" ca="1" si="25"/>
        <v>1</v>
      </c>
    </row>
    <row r="550" spans="1:3" x14ac:dyDescent="0.25">
      <c r="A550" s="155">
        <f t="shared" si="26"/>
        <v>535</v>
      </c>
      <c r="B550" s="151">
        <f t="shared" ca="1" si="24"/>
        <v>9.0599782440089562</v>
      </c>
      <c r="C550" s="158">
        <f t="shared" ca="1" si="25"/>
        <v>0</v>
      </c>
    </row>
    <row r="551" spans="1:3" x14ac:dyDescent="0.25">
      <c r="A551" s="155">
        <f t="shared" si="26"/>
        <v>536</v>
      </c>
      <c r="B551" s="151">
        <f t="shared" ca="1" si="24"/>
        <v>21.253970904732974</v>
      </c>
      <c r="C551" s="158">
        <f t="shared" ca="1" si="25"/>
        <v>0</v>
      </c>
    </row>
    <row r="552" spans="1:3" x14ac:dyDescent="0.25">
      <c r="A552" s="155">
        <f t="shared" si="26"/>
        <v>537</v>
      </c>
      <c r="B552" s="151">
        <f t="shared" ca="1" si="24"/>
        <v>15.67115100605837</v>
      </c>
      <c r="C552" s="158">
        <f t="shared" ca="1" si="25"/>
        <v>0</v>
      </c>
    </row>
    <row r="553" spans="1:3" x14ac:dyDescent="0.25">
      <c r="A553" s="155">
        <f t="shared" si="26"/>
        <v>538</v>
      </c>
      <c r="B553" s="151">
        <f t="shared" ca="1" si="24"/>
        <v>13.256834079818091</v>
      </c>
      <c r="C553" s="158">
        <f t="shared" ca="1" si="25"/>
        <v>0</v>
      </c>
    </row>
    <row r="554" spans="1:3" x14ac:dyDescent="0.25">
      <c r="A554" s="155">
        <f t="shared" si="26"/>
        <v>539</v>
      </c>
      <c r="B554" s="151">
        <f t="shared" ca="1" si="24"/>
        <v>-4.1250264272718979</v>
      </c>
      <c r="C554" s="158">
        <f t="shared" ca="1" si="25"/>
        <v>0</v>
      </c>
    </row>
    <row r="555" spans="1:3" x14ac:dyDescent="0.25">
      <c r="A555" s="155">
        <f t="shared" si="26"/>
        <v>540</v>
      </c>
      <c r="B555" s="151">
        <f t="shared" ca="1" si="24"/>
        <v>-1.5502600660564312</v>
      </c>
      <c r="C555" s="158">
        <f t="shared" ca="1" si="25"/>
        <v>0</v>
      </c>
    </row>
    <row r="556" spans="1:3" x14ac:dyDescent="0.25">
      <c r="A556" s="155">
        <f t="shared" si="26"/>
        <v>541</v>
      </c>
      <c r="B556" s="151">
        <f t="shared" ca="1" si="24"/>
        <v>-13.288383029603146</v>
      </c>
      <c r="C556" s="158">
        <f t="shared" ca="1" si="25"/>
        <v>0</v>
      </c>
    </row>
    <row r="557" spans="1:3" x14ac:dyDescent="0.25">
      <c r="A557" s="155">
        <f t="shared" si="26"/>
        <v>542</v>
      </c>
      <c r="B557" s="151">
        <f t="shared" ca="1" si="24"/>
        <v>21.185791932623857</v>
      </c>
      <c r="C557" s="158">
        <f t="shared" ca="1" si="25"/>
        <v>0</v>
      </c>
    </row>
    <row r="558" spans="1:3" x14ac:dyDescent="0.25">
      <c r="A558" s="155">
        <f t="shared" si="26"/>
        <v>543</v>
      </c>
      <c r="B558" s="151">
        <f t="shared" ca="1" si="24"/>
        <v>46.973828211897036</v>
      </c>
      <c r="C558" s="158">
        <f t="shared" ca="1" si="25"/>
        <v>1</v>
      </c>
    </row>
    <row r="559" spans="1:3" x14ac:dyDescent="0.25">
      <c r="A559" s="155">
        <f t="shared" si="26"/>
        <v>544</v>
      </c>
      <c r="B559" s="151">
        <f t="shared" ca="1" si="24"/>
        <v>28.359092520943054</v>
      </c>
      <c r="C559" s="158">
        <f t="shared" ca="1" si="25"/>
        <v>1</v>
      </c>
    </row>
    <row r="560" spans="1:3" x14ac:dyDescent="0.25">
      <c r="A560" s="155">
        <f t="shared" si="26"/>
        <v>545</v>
      </c>
      <c r="B560" s="151">
        <f t="shared" ca="1" si="24"/>
        <v>64.816174759976718</v>
      </c>
      <c r="C560" s="158">
        <f t="shared" ca="1" si="25"/>
        <v>1</v>
      </c>
    </row>
    <row r="561" spans="1:3" x14ac:dyDescent="0.25">
      <c r="A561" s="155">
        <f t="shared" si="26"/>
        <v>546</v>
      </c>
      <c r="B561" s="151">
        <f t="shared" ca="1" si="24"/>
        <v>58.038212732520734</v>
      </c>
      <c r="C561" s="158">
        <f t="shared" ca="1" si="25"/>
        <v>1</v>
      </c>
    </row>
    <row r="562" spans="1:3" x14ac:dyDescent="0.25">
      <c r="A562" s="155">
        <f t="shared" si="26"/>
        <v>547</v>
      </c>
      <c r="B562" s="151">
        <f t="shared" ca="1" si="24"/>
        <v>17.880817351214439</v>
      </c>
      <c r="C562" s="158">
        <f t="shared" ca="1" si="25"/>
        <v>0</v>
      </c>
    </row>
    <row r="563" spans="1:3" x14ac:dyDescent="0.25">
      <c r="A563" s="155">
        <f t="shared" si="26"/>
        <v>548</v>
      </c>
      <c r="B563" s="151">
        <f t="shared" ca="1" si="24"/>
        <v>17.833705284300521</v>
      </c>
      <c r="C563" s="158">
        <f t="shared" ca="1" si="25"/>
        <v>0</v>
      </c>
    </row>
    <row r="564" spans="1:3" x14ac:dyDescent="0.25">
      <c r="A564" s="155">
        <f t="shared" si="26"/>
        <v>549</v>
      </c>
      <c r="B564" s="151">
        <f t="shared" ca="1" si="24"/>
        <v>15.576424016185921</v>
      </c>
      <c r="C564" s="158">
        <f t="shared" ca="1" si="25"/>
        <v>0</v>
      </c>
    </row>
    <row r="565" spans="1:3" x14ac:dyDescent="0.25">
      <c r="A565" s="155">
        <f t="shared" si="26"/>
        <v>550</v>
      </c>
      <c r="B565" s="151">
        <f t="shared" ca="1" si="24"/>
        <v>65.084600378450517</v>
      </c>
      <c r="C565" s="158">
        <f t="shared" ca="1" si="25"/>
        <v>1</v>
      </c>
    </row>
    <row r="566" spans="1:3" x14ac:dyDescent="0.25">
      <c r="A566" s="155">
        <f t="shared" si="26"/>
        <v>551</v>
      </c>
      <c r="B566" s="151">
        <f t="shared" ca="1" si="24"/>
        <v>65.618960760916735</v>
      </c>
      <c r="C566" s="158">
        <f t="shared" ca="1" si="25"/>
        <v>1</v>
      </c>
    </row>
    <row r="567" spans="1:3" x14ac:dyDescent="0.25">
      <c r="A567" s="155">
        <f t="shared" si="26"/>
        <v>552</v>
      </c>
      <c r="B567" s="151">
        <f t="shared" ca="1" si="24"/>
        <v>55.592758060785002</v>
      </c>
      <c r="C567" s="158">
        <f t="shared" ca="1" si="25"/>
        <v>1</v>
      </c>
    </row>
    <row r="568" spans="1:3" x14ac:dyDescent="0.25">
      <c r="A568" s="155">
        <f t="shared" si="26"/>
        <v>553</v>
      </c>
      <c r="B568" s="151">
        <f t="shared" ca="1" si="24"/>
        <v>3.981591087061787</v>
      </c>
      <c r="C568" s="158">
        <f t="shared" ca="1" si="25"/>
        <v>0</v>
      </c>
    </row>
    <row r="569" spans="1:3" x14ac:dyDescent="0.25">
      <c r="A569" s="155">
        <f t="shared" si="26"/>
        <v>554</v>
      </c>
      <c r="B569" s="151">
        <f t="shared" ca="1" si="24"/>
        <v>44.733973609268503</v>
      </c>
      <c r="C569" s="158">
        <f t="shared" ca="1" si="25"/>
        <v>1</v>
      </c>
    </row>
    <row r="570" spans="1:3" x14ac:dyDescent="0.25">
      <c r="A570" s="155">
        <f t="shared" si="26"/>
        <v>555</v>
      </c>
      <c r="B570" s="151">
        <f t="shared" ca="1" si="24"/>
        <v>2.8490481612909733</v>
      </c>
      <c r="C570" s="158">
        <f t="shared" ca="1" si="25"/>
        <v>0</v>
      </c>
    </row>
    <row r="571" spans="1:3" x14ac:dyDescent="0.25">
      <c r="A571" s="155">
        <f t="shared" si="26"/>
        <v>556</v>
      </c>
      <c r="B571" s="151">
        <f t="shared" ca="1" si="24"/>
        <v>57.385071972700231</v>
      </c>
      <c r="C571" s="158">
        <f t="shared" ca="1" si="25"/>
        <v>1</v>
      </c>
    </row>
    <row r="572" spans="1:3" x14ac:dyDescent="0.25">
      <c r="A572" s="155">
        <f t="shared" si="26"/>
        <v>557</v>
      </c>
      <c r="B572" s="151">
        <f t="shared" ca="1" si="24"/>
        <v>-1.1000880652996159</v>
      </c>
      <c r="C572" s="158">
        <f t="shared" ca="1" si="25"/>
        <v>0</v>
      </c>
    </row>
    <row r="573" spans="1:3" x14ac:dyDescent="0.25">
      <c r="A573" s="155">
        <f t="shared" si="26"/>
        <v>558</v>
      </c>
      <c r="B573" s="151">
        <f t="shared" ca="1" si="24"/>
        <v>53.351667642662875</v>
      </c>
      <c r="C573" s="158">
        <f t="shared" ca="1" si="25"/>
        <v>1</v>
      </c>
    </row>
    <row r="574" spans="1:3" x14ac:dyDescent="0.25">
      <c r="A574" s="155">
        <f t="shared" si="26"/>
        <v>559</v>
      </c>
      <c r="B574" s="151">
        <f t="shared" ca="1" si="24"/>
        <v>71.562484355166845</v>
      </c>
      <c r="C574" s="158">
        <f t="shared" ca="1" si="25"/>
        <v>1</v>
      </c>
    </row>
    <row r="575" spans="1:3" x14ac:dyDescent="0.25">
      <c r="A575" s="155">
        <f t="shared" si="26"/>
        <v>560</v>
      </c>
      <c r="B575" s="151">
        <f t="shared" ca="1" si="24"/>
        <v>16.232161034125657</v>
      </c>
      <c r="C575" s="158">
        <f t="shared" ca="1" si="25"/>
        <v>0</v>
      </c>
    </row>
    <row r="576" spans="1:3" x14ac:dyDescent="0.25">
      <c r="A576" s="155">
        <f t="shared" si="26"/>
        <v>561</v>
      </c>
      <c r="B576" s="151">
        <f t="shared" ca="1" si="24"/>
        <v>62.653480214268242</v>
      </c>
      <c r="C576" s="158">
        <f t="shared" ca="1" si="25"/>
        <v>1</v>
      </c>
    </row>
    <row r="577" spans="1:3" x14ac:dyDescent="0.25">
      <c r="A577" s="155">
        <f t="shared" si="26"/>
        <v>562</v>
      </c>
      <c r="B577" s="151">
        <f t="shared" ca="1" si="24"/>
        <v>68.926810485849643</v>
      </c>
      <c r="C577" s="158">
        <f t="shared" ca="1" si="25"/>
        <v>1</v>
      </c>
    </row>
    <row r="578" spans="1:3" x14ac:dyDescent="0.25">
      <c r="A578" s="155">
        <f t="shared" si="26"/>
        <v>563</v>
      </c>
      <c r="B578" s="151">
        <f t="shared" ca="1" si="24"/>
        <v>33.390604878620707</v>
      </c>
      <c r="C578" s="158">
        <f t="shared" ca="1" si="25"/>
        <v>1</v>
      </c>
    </row>
    <row r="579" spans="1:3" x14ac:dyDescent="0.25">
      <c r="A579" s="155">
        <f t="shared" si="26"/>
        <v>564</v>
      </c>
      <c r="B579" s="151">
        <f t="shared" ca="1" si="24"/>
        <v>-2.0518875439142974</v>
      </c>
      <c r="C579" s="158">
        <f t="shared" ca="1" si="25"/>
        <v>0</v>
      </c>
    </row>
    <row r="580" spans="1:3" x14ac:dyDescent="0.25">
      <c r="A580" s="155">
        <f t="shared" si="26"/>
        <v>565</v>
      </c>
      <c r="B580" s="151">
        <f t="shared" ca="1" si="24"/>
        <v>51.296939478651048</v>
      </c>
      <c r="C580" s="158">
        <f t="shared" ca="1" si="25"/>
        <v>1</v>
      </c>
    </row>
    <row r="581" spans="1:3" x14ac:dyDescent="0.25">
      <c r="A581" s="155">
        <f t="shared" si="26"/>
        <v>566</v>
      </c>
      <c r="B581" s="151">
        <f t="shared" ca="1" si="24"/>
        <v>26.113466609644838</v>
      </c>
      <c r="C581" s="158">
        <f t="shared" ca="1" si="25"/>
        <v>1</v>
      </c>
    </row>
    <row r="582" spans="1:3" x14ac:dyDescent="0.25">
      <c r="A582" s="155">
        <f t="shared" si="26"/>
        <v>567</v>
      </c>
      <c r="B582" s="151">
        <f t="shared" ca="1" si="24"/>
        <v>49.382846995675479</v>
      </c>
      <c r="C582" s="158">
        <f t="shared" ca="1" si="25"/>
        <v>1</v>
      </c>
    </row>
    <row r="583" spans="1:3" x14ac:dyDescent="0.25">
      <c r="A583" s="155">
        <f t="shared" si="26"/>
        <v>568</v>
      </c>
      <c r="B583" s="151">
        <f t="shared" ca="1" si="24"/>
        <v>49.987756078615476</v>
      </c>
      <c r="C583" s="158">
        <f t="shared" ca="1" si="25"/>
        <v>1</v>
      </c>
    </row>
    <row r="584" spans="1:3" x14ac:dyDescent="0.25">
      <c r="A584" s="155">
        <f t="shared" si="26"/>
        <v>569</v>
      </c>
      <c r="B584" s="151">
        <f t="shared" ca="1" si="24"/>
        <v>50.30174022856724</v>
      </c>
      <c r="C584" s="158">
        <f t="shared" ca="1" si="25"/>
        <v>1</v>
      </c>
    </row>
    <row r="585" spans="1:3" x14ac:dyDescent="0.25">
      <c r="A585" s="155">
        <f t="shared" si="26"/>
        <v>570</v>
      </c>
      <c r="B585" s="151">
        <f t="shared" ca="1" si="24"/>
        <v>28.059442597219487</v>
      </c>
      <c r="C585" s="158">
        <f t="shared" ca="1" si="25"/>
        <v>1</v>
      </c>
    </row>
    <row r="586" spans="1:3" x14ac:dyDescent="0.25">
      <c r="A586" s="155">
        <f t="shared" si="26"/>
        <v>571</v>
      </c>
      <c r="B586" s="151">
        <f t="shared" ca="1" si="24"/>
        <v>79.498850891715506</v>
      </c>
      <c r="C586" s="158">
        <f t="shared" ca="1" si="25"/>
        <v>1</v>
      </c>
    </row>
    <row r="587" spans="1:3" x14ac:dyDescent="0.25">
      <c r="A587" s="155">
        <f t="shared" si="26"/>
        <v>572</v>
      </c>
      <c r="B587" s="151">
        <f t="shared" ca="1" si="24"/>
        <v>26.2665066281915</v>
      </c>
      <c r="C587" s="158">
        <f t="shared" ca="1" si="25"/>
        <v>1</v>
      </c>
    </row>
    <row r="588" spans="1:3" x14ac:dyDescent="0.25">
      <c r="A588" s="155">
        <f t="shared" si="26"/>
        <v>573</v>
      </c>
      <c r="B588" s="151">
        <f t="shared" ca="1" si="24"/>
        <v>29.353744502542725</v>
      </c>
      <c r="C588" s="158">
        <f t="shared" ca="1" si="25"/>
        <v>1</v>
      </c>
    </row>
    <row r="589" spans="1:3" x14ac:dyDescent="0.25">
      <c r="A589" s="155">
        <f t="shared" si="26"/>
        <v>574</v>
      </c>
      <c r="B589" s="151">
        <f t="shared" ca="1" si="24"/>
        <v>65.74502794613349</v>
      </c>
      <c r="C589" s="158">
        <f t="shared" ca="1" si="25"/>
        <v>1</v>
      </c>
    </row>
    <row r="590" spans="1:3" x14ac:dyDescent="0.25">
      <c r="A590" s="155">
        <f t="shared" si="26"/>
        <v>575</v>
      </c>
      <c r="B590" s="151">
        <f t="shared" ca="1" si="24"/>
        <v>62.975848895250671</v>
      </c>
      <c r="C590" s="158">
        <f t="shared" ca="1" si="25"/>
        <v>1</v>
      </c>
    </row>
    <row r="591" spans="1:3" x14ac:dyDescent="0.25">
      <c r="A591" s="155">
        <f t="shared" si="26"/>
        <v>576</v>
      </c>
      <c r="B591" s="151">
        <f t="shared" ca="1" si="24"/>
        <v>17.77192682528807</v>
      </c>
      <c r="C591" s="158">
        <f t="shared" ca="1" si="25"/>
        <v>0</v>
      </c>
    </row>
    <row r="592" spans="1:3" x14ac:dyDescent="0.25">
      <c r="A592" s="155">
        <f t="shared" si="26"/>
        <v>577</v>
      </c>
      <c r="B592" s="151">
        <f t="shared" ca="1" si="24"/>
        <v>27.074092941962284</v>
      </c>
      <c r="C592" s="158">
        <f t="shared" ca="1" si="25"/>
        <v>1</v>
      </c>
    </row>
    <row r="593" spans="1:3" x14ac:dyDescent="0.25">
      <c r="A593" s="155">
        <f t="shared" si="26"/>
        <v>578</v>
      </c>
      <c r="B593" s="151">
        <f t="shared" ref="B593:B656" ca="1" si="27">_xlfn.NORM.INV(RAND(), $B$9, $B$10)</f>
        <v>39.645471913904821</v>
      </c>
      <c r="C593" s="158">
        <f t="shared" ref="C593:C656" ca="1" si="28">IF(B593 &gt;= $B$11, 1, 0)</f>
        <v>1</v>
      </c>
    </row>
    <row r="594" spans="1:3" x14ac:dyDescent="0.25">
      <c r="A594" s="155">
        <f t="shared" ref="A594:A657" si="29">+A593+1</f>
        <v>579</v>
      </c>
      <c r="B594" s="151">
        <f t="shared" ca="1" si="27"/>
        <v>5.6902040201241206</v>
      </c>
      <c r="C594" s="158">
        <f t="shared" ca="1" si="28"/>
        <v>0</v>
      </c>
    </row>
    <row r="595" spans="1:3" x14ac:dyDescent="0.25">
      <c r="A595" s="155">
        <f t="shared" si="29"/>
        <v>580</v>
      </c>
      <c r="B595" s="151">
        <f t="shared" ca="1" si="27"/>
        <v>60.658501137281547</v>
      </c>
      <c r="C595" s="158">
        <f t="shared" ca="1" si="28"/>
        <v>1</v>
      </c>
    </row>
    <row r="596" spans="1:3" x14ac:dyDescent="0.25">
      <c r="A596" s="155">
        <f t="shared" si="29"/>
        <v>581</v>
      </c>
      <c r="B596" s="151">
        <f t="shared" ca="1" si="27"/>
        <v>49.835805816401752</v>
      </c>
      <c r="C596" s="158">
        <f t="shared" ca="1" si="28"/>
        <v>1</v>
      </c>
    </row>
    <row r="597" spans="1:3" x14ac:dyDescent="0.25">
      <c r="A597" s="155">
        <f t="shared" si="29"/>
        <v>582</v>
      </c>
      <c r="B597" s="151">
        <f t="shared" ca="1" si="27"/>
        <v>24.744914868371634</v>
      </c>
      <c r="C597" s="158">
        <f t="shared" ca="1" si="28"/>
        <v>0</v>
      </c>
    </row>
    <row r="598" spans="1:3" x14ac:dyDescent="0.25">
      <c r="A598" s="155">
        <f t="shared" si="29"/>
        <v>583</v>
      </c>
      <c r="B598" s="151">
        <f t="shared" ca="1" si="27"/>
        <v>73.209190995610186</v>
      </c>
      <c r="C598" s="158">
        <f t="shared" ca="1" si="28"/>
        <v>1</v>
      </c>
    </row>
    <row r="599" spans="1:3" x14ac:dyDescent="0.25">
      <c r="A599" s="155">
        <f t="shared" si="29"/>
        <v>584</v>
      </c>
      <c r="B599" s="151">
        <f t="shared" ca="1" si="27"/>
        <v>65.231741916241987</v>
      </c>
      <c r="C599" s="158">
        <f t="shared" ca="1" si="28"/>
        <v>1</v>
      </c>
    </row>
    <row r="600" spans="1:3" x14ac:dyDescent="0.25">
      <c r="A600" s="155">
        <f t="shared" si="29"/>
        <v>585</v>
      </c>
      <c r="B600" s="151">
        <f t="shared" ca="1" si="27"/>
        <v>15.26665930808521</v>
      </c>
      <c r="C600" s="158">
        <f t="shared" ca="1" si="28"/>
        <v>0</v>
      </c>
    </row>
    <row r="601" spans="1:3" x14ac:dyDescent="0.25">
      <c r="A601" s="155">
        <f t="shared" si="29"/>
        <v>586</v>
      </c>
      <c r="B601" s="151">
        <f t="shared" ca="1" si="27"/>
        <v>90.261921973605965</v>
      </c>
      <c r="C601" s="158">
        <f t="shared" ca="1" si="28"/>
        <v>1</v>
      </c>
    </row>
    <row r="602" spans="1:3" x14ac:dyDescent="0.25">
      <c r="A602" s="155">
        <f t="shared" si="29"/>
        <v>587</v>
      </c>
      <c r="B602" s="151">
        <f t="shared" ca="1" si="27"/>
        <v>24.630525050377322</v>
      </c>
      <c r="C602" s="158">
        <f t="shared" ca="1" si="28"/>
        <v>0</v>
      </c>
    </row>
    <row r="603" spans="1:3" x14ac:dyDescent="0.25">
      <c r="A603" s="155">
        <f t="shared" si="29"/>
        <v>588</v>
      </c>
      <c r="B603" s="151">
        <f t="shared" ca="1" si="27"/>
        <v>26.53808914055368</v>
      </c>
      <c r="C603" s="158">
        <f t="shared" ca="1" si="28"/>
        <v>1</v>
      </c>
    </row>
    <row r="604" spans="1:3" x14ac:dyDescent="0.25">
      <c r="A604" s="155">
        <f t="shared" si="29"/>
        <v>589</v>
      </c>
      <c r="B604" s="151">
        <f t="shared" ca="1" si="27"/>
        <v>14.836675854178765</v>
      </c>
      <c r="C604" s="158">
        <f t="shared" ca="1" si="28"/>
        <v>0</v>
      </c>
    </row>
    <row r="605" spans="1:3" x14ac:dyDescent="0.25">
      <c r="A605" s="155">
        <f t="shared" si="29"/>
        <v>590</v>
      </c>
      <c r="B605" s="151">
        <f t="shared" ca="1" si="27"/>
        <v>62.386973085156157</v>
      </c>
      <c r="C605" s="158">
        <f t="shared" ca="1" si="28"/>
        <v>1</v>
      </c>
    </row>
    <row r="606" spans="1:3" x14ac:dyDescent="0.25">
      <c r="A606" s="155">
        <f t="shared" si="29"/>
        <v>591</v>
      </c>
      <c r="B606" s="151">
        <f t="shared" ca="1" si="27"/>
        <v>103.60919070631101</v>
      </c>
      <c r="C606" s="158">
        <f t="shared" ca="1" si="28"/>
        <v>1</v>
      </c>
    </row>
    <row r="607" spans="1:3" x14ac:dyDescent="0.25">
      <c r="A607" s="155">
        <f t="shared" si="29"/>
        <v>592</v>
      </c>
      <c r="B607" s="151">
        <f t="shared" ca="1" si="27"/>
        <v>-2.5608236098198205</v>
      </c>
      <c r="C607" s="158">
        <f t="shared" ca="1" si="28"/>
        <v>0</v>
      </c>
    </row>
    <row r="608" spans="1:3" x14ac:dyDescent="0.25">
      <c r="A608" s="155">
        <f t="shared" si="29"/>
        <v>593</v>
      </c>
      <c r="B608" s="151">
        <f t="shared" ca="1" si="27"/>
        <v>59.477370883527442</v>
      </c>
      <c r="C608" s="158">
        <f t="shared" ca="1" si="28"/>
        <v>1</v>
      </c>
    </row>
    <row r="609" spans="1:3" x14ac:dyDescent="0.25">
      <c r="A609" s="155">
        <f t="shared" si="29"/>
        <v>594</v>
      </c>
      <c r="B609" s="151">
        <f t="shared" ca="1" si="27"/>
        <v>55.057783154830354</v>
      </c>
      <c r="C609" s="158">
        <f t="shared" ca="1" si="28"/>
        <v>1</v>
      </c>
    </row>
    <row r="610" spans="1:3" x14ac:dyDescent="0.25">
      <c r="A610" s="155">
        <f t="shared" si="29"/>
        <v>595</v>
      </c>
      <c r="B610" s="151">
        <f t="shared" ca="1" si="27"/>
        <v>70.973942222046517</v>
      </c>
      <c r="C610" s="158">
        <f t="shared" ca="1" si="28"/>
        <v>1</v>
      </c>
    </row>
    <row r="611" spans="1:3" x14ac:dyDescent="0.25">
      <c r="A611" s="155">
        <f t="shared" si="29"/>
        <v>596</v>
      </c>
      <c r="B611" s="151">
        <f t="shared" ca="1" si="27"/>
        <v>56.526951637287283</v>
      </c>
      <c r="C611" s="158">
        <f t="shared" ca="1" si="28"/>
        <v>1</v>
      </c>
    </row>
    <row r="612" spans="1:3" x14ac:dyDescent="0.25">
      <c r="A612" s="155">
        <f t="shared" si="29"/>
        <v>597</v>
      </c>
      <c r="B612" s="151">
        <f t="shared" ca="1" si="27"/>
        <v>26.670566305980863</v>
      </c>
      <c r="C612" s="158">
        <f t="shared" ca="1" si="28"/>
        <v>1</v>
      </c>
    </row>
    <row r="613" spans="1:3" x14ac:dyDescent="0.25">
      <c r="A613" s="155">
        <f t="shared" si="29"/>
        <v>598</v>
      </c>
      <c r="B613" s="151">
        <f t="shared" ca="1" si="27"/>
        <v>40.101716217688249</v>
      </c>
      <c r="C613" s="158">
        <f t="shared" ca="1" si="28"/>
        <v>1</v>
      </c>
    </row>
    <row r="614" spans="1:3" x14ac:dyDescent="0.25">
      <c r="A614" s="155">
        <f t="shared" si="29"/>
        <v>599</v>
      </c>
      <c r="B614" s="151">
        <f t="shared" ca="1" si="27"/>
        <v>57.930121771217046</v>
      </c>
      <c r="C614" s="158">
        <f t="shared" ca="1" si="28"/>
        <v>1</v>
      </c>
    </row>
    <row r="615" spans="1:3" x14ac:dyDescent="0.25">
      <c r="A615" s="155">
        <f t="shared" si="29"/>
        <v>600</v>
      </c>
      <c r="B615" s="151">
        <f t="shared" ca="1" si="27"/>
        <v>43.317302232229075</v>
      </c>
      <c r="C615" s="158">
        <f t="shared" ca="1" si="28"/>
        <v>1</v>
      </c>
    </row>
    <row r="616" spans="1:3" x14ac:dyDescent="0.25">
      <c r="A616" s="155">
        <f t="shared" si="29"/>
        <v>601</v>
      </c>
      <c r="B616" s="151">
        <f t="shared" ca="1" si="27"/>
        <v>20.079793951697209</v>
      </c>
      <c r="C616" s="158">
        <f t="shared" ca="1" si="28"/>
        <v>0</v>
      </c>
    </row>
    <row r="617" spans="1:3" x14ac:dyDescent="0.25">
      <c r="A617" s="155">
        <f t="shared" si="29"/>
        <v>602</v>
      </c>
      <c r="B617" s="151">
        <f t="shared" ca="1" si="27"/>
        <v>20.374693279062175</v>
      </c>
      <c r="C617" s="158">
        <f t="shared" ca="1" si="28"/>
        <v>0</v>
      </c>
    </row>
    <row r="618" spans="1:3" x14ac:dyDescent="0.25">
      <c r="A618" s="155">
        <f t="shared" si="29"/>
        <v>603</v>
      </c>
      <c r="B618" s="151">
        <f t="shared" ca="1" si="27"/>
        <v>37.435592619223705</v>
      </c>
      <c r="C618" s="158">
        <f t="shared" ca="1" si="28"/>
        <v>1</v>
      </c>
    </row>
    <row r="619" spans="1:3" x14ac:dyDescent="0.25">
      <c r="A619" s="155">
        <f t="shared" si="29"/>
        <v>604</v>
      </c>
      <c r="B619" s="151">
        <f t="shared" ca="1" si="27"/>
        <v>22.293479603305055</v>
      </c>
      <c r="C619" s="158">
        <f t="shared" ca="1" si="28"/>
        <v>0</v>
      </c>
    </row>
    <row r="620" spans="1:3" x14ac:dyDescent="0.25">
      <c r="A620" s="155">
        <f t="shared" si="29"/>
        <v>605</v>
      </c>
      <c r="B620" s="151">
        <f t="shared" ca="1" si="27"/>
        <v>53.879200981588497</v>
      </c>
      <c r="C620" s="158">
        <f t="shared" ca="1" si="28"/>
        <v>1</v>
      </c>
    </row>
    <row r="621" spans="1:3" x14ac:dyDescent="0.25">
      <c r="A621" s="155">
        <f t="shared" si="29"/>
        <v>606</v>
      </c>
      <c r="B621" s="151">
        <f t="shared" ca="1" si="27"/>
        <v>24.260420092143598</v>
      </c>
      <c r="C621" s="158">
        <f t="shared" ca="1" si="28"/>
        <v>0</v>
      </c>
    </row>
    <row r="622" spans="1:3" x14ac:dyDescent="0.25">
      <c r="A622" s="155">
        <f t="shared" si="29"/>
        <v>607</v>
      </c>
      <c r="B622" s="151">
        <f t="shared" ca="1" si="27"/>
        <v>-4.7144340196104508</v>
      </c>
      <c r="C622" s="158">
        <f t="shared" ca="1" si="28"/>
        <v>0</v>
      </c>
    </row>
    <row r="623" spans="1:3" x14ac:dyDescent="0.25">
      <c r="A623" s="155">
        <f t="shared" si="29"/>
        <v>608</v>
      </c>
      <c r="B623" s="151">
        <f t="shared" ca="1" si="27"/>
        <v>10.048500582548506</v>
      </c>
      <c r="C623" s="158">
        <f t="shared" ca="1" si="28"/>
        <v>0</v>
      </c>
    </row>
    <row r="624" spans="1:3" x14ac:dyDescent="0.25">
      <c r="A624" s="155">
        <f t="shared" si="29"/>
        <v>609</v>
      </c>
      <c r="B624" s="151">
        <f t="shared" ca="1" si="27"/>
        <v>10.371318416001028</v>
      </c>
      <c r="C624" s="158">
        <f t="shared" ca="1" si="28"/>
        <v>0</v>
      </c>
    </row>
    <row r="625" spans="1:3" x14ac:dyDescent="0.25">
      <c r="A625" s="155">
        <f t="shared" si="29"/>
        <v>610</v>
      </c>
      <c r="B625" s="151">
        <f t="shared" ca="1" si="27"/>
        <v>58.220556410631332</v>
      </c>
      <c r="C625" s="158">
        <f t="shared" ca="1" si="28"/>
        <v>1</v>
      </c>
    </row>
    <row r="626" spans="1:3" x14ac:dyDescent="0.25">
      <c r="A626" s="155">
        <f t="shared" si="29"/>
        <v>611</v>
      </c>
      <c r="B626" s="151">
        <f t="shared" ca="1" si="27"/>
        <v>29.543483665480281</v>
      </c>
      <c r="C626" s="158">
        <f t="shared" ca="1" si="28"/>
        <v>1</v>
      </c>
    </row>
    <row r="627" spans="1:3" x14ac:dyDescent="0.25">
      <c r="A627" s="155">
        <f t="shared" si="29"/>
        <v>612</v>
      </c>
      <c r="B627" s="151">
        <f t="shared" ca="1" si="27"/>
        <v>9.818263356219596</v>
      </c>
      <c r="C627" s="158">
        <f t="shared" ca="1" si="28"/>
        <v>0</v>
      </c>
    </row>
    <row r="628" spans="1:3" x14ac:dyDescent="0.25">
      <c r="A628" s="155">
        <f t="shared" si="29"/>
        <v>613</v>
      </c>
      <c r="B628" s="151">
        <f t="shared" ca="1" si="27"/>
        <v>38.840478262538731</v>
      </c>
      <c r="C628" s="158">
        <f t="shared" ca="1" si="28"/>
        <v>1</v>
      </c>
    </row>
    <row r="629" spans="1:3" x14ac:dyDescent="0.25">
      <c r="A629" s="155">
        <f t="shared" si="29"/>
        <v>614</v>
      </c>
      <c r="B629" s="151">
        <f t="shared" ca="1" si="27"/>
        <v>66.743158388740497</v>
      </c>
      <c r="C629" s="158">
        <f t="shared" ca="1" si="28"/>
        <v>1</v>
      </c>
    </row>
    <row r="630" spans="1:3" x14ac:dyDescent="0.25">
      <c r="A630" s="155">
        <f t="shared" si="29"/>
        <v>615</v>
      </c>
      <c r="B630" s="151">
        <f t="shared" ca="1" si="27"/>
        <v>42.323747844867519</v>
      </c>
      <c r="C630" s="158">
        <f t="shared" ca="1" si="28"/>
        <v>1</v>
      </c>
    </row>
    <row r="631" spans="1:3" x14ac:dyDescent="0.25">
      <c r="A631" s="155">
        <f t="shared" si="29"/>
        <v>616</v>
      </c>
      <c r="B631" s="151">
        <f t="shared" ca="1" si="27"/>
        <v>45.97527554267694</v>
      </c>
      <c r="C631" s="158">
        <f t="shared" ca="1" si="28"/>
        <v>1</v>
      </c>
    </row>
    <row r="632" spans="1:3" x14ac:dyDescent="0.25">
      <c r="A632" s="155">
        <f t="shared" si="29"/>
        <v>617</v>
      </c>
      <c r="B632" s="151">
        <f t="shared" ca="1" si="27"/>
        <v>24.972664640626896</v>
      </c>
      <c r="C632" s="158">
        <f t="shared" ca="1" si="28"/>
        <v>0</v>
      </c>
    </row>
    <row r="633" spans="1:3" x14ac:dyDescent="0.25">
      <c r="A633" s="155">
        <f t="shared" si="29"/>
        <v>618</v>
      </c>
      <c r="B633" s="151">
        <f t="shared" ca="1" si="27"/>
        <v>-1.1851923523657746</v>
      </c>
      <c r="C633" s="158">
        <f t="shared" ca="1" si="28"/>
        <v>0</v>
      </c>
    </row>
    <row r="634" spans="1:3" x14ac:dyDescent="0.25">
      <c r="A634" s="155">
        <f t="shared" si="29"/>
        <v>619</v>
      </c>
      <c r="B634" s="151">
        <f t="shared" ca="1" si="27"/>
        <v>74.579807975366748</v>
      </c>
      <c r="C634" s="158">
        <f t="shared" ca="1" si="28"/>
        <v>1</v>
      </c>
    </row>
    <row r="635" spans="1:3" x14ac:dyDescent="0.25">
      <c r="A635" s="155">
        <f t="shared" si="29"/>
        <v>620</v>
      </c>
      <c r="B635" s="151">
        <f t="shared" ca="1" si="27"/>
        <v>62.392399572901226</v>
      </c>
      <c r="C635" s="158">
        <f t="shared" ca="1" si="28"/>
        <v>1</v>
      </c>
    </row>
    <row r="636" spans="1:3" x14ac:dyDescent="0.25">
      <c r="A636" s="155">
        <f t="shared" si="29"/>
        <v>621</v>
      </c>
      <c r="B636" s="151">
        <f t="shared" ca="1" si="27"/>
        <v>53.832028982521258</v>
      </c>
      <c r="C636" s="158">
        <f t="shared" ca="1" si="28"/>
        <v>1</v>
      </c>
    </row>
    <row r="637" spans="1:3" x14ac:dyDescent="0.25">
      <c r="A637" s="155">
        <f t="shared" si="29"/>
        <v>622</v>
      </c>
      <c r="B637" s="151">
        <f t="shared" ca="1" si="27"/>
        <v>50.424515770935159</v>
      </c>
      <c r="C637" s="158">
        <f t="shared" ca="1" si="28"/>
        <v>1</v>
      </c>
    </row>
    <row r="638" spans="1:3" x14ac:dyDescent="0.25">
      <c r="A638" s="155">
        <f t="shared" si="29"/>
        <v>623</v>
      </c>
      <c r="B638" s="151">
        <f t="shared" ca="1" si="27"/>
        <v>16.954196884129505</v>
      </c>
      <c r="C638" s="158">
        <f t="shared" ca="1" si="28"/>
        <v>0</v>
      </c>
    </row>
    <row r="639" spans="1:3" x14ac:dyDescent="0.25">
      <c r="A639" s="155">
        <f t="shared" si="29"/>
        <v>624</v>
      </c>
      <c r="B639" s="151">
        <f t="shared" ca="1" si="27"/>
        <v>39.224224400693998</v>
      </c>
      <c r="C639" s="158">
        <f t="shared" ca="1" si="28"/>
        <v>1</v>
      </c>
    </row>
    <row r="640" spans="1:3" x14ac:dyDescent="0.25">
      <c r="A640" s="155">
        <f t="shared" si="29"/>
        <v>625</v>
      </c>
      <c r="B640" s="151">
        <f t="shared" ca="1" si="27"/>
        <v>31.254835880673522</v>
      </c>
      <c r="C640" s="158">
        <f t="shared" ca="1" si="28"/>
        <v>1</v>
      </c>
    </row>
    <row r="641" spans="1:3" x14ac:dyDescent="0.25">
      <c r="A641" s="155">
        <f t="shared" si="29"/>
        <v>626</v>
      </c>
      <c r="B641" s="151">
        <f t="shared" ca="1" si="27"/>
        <v>26.861905922876954</v>
      </c>
      <c r="C641" s="158">
        <f t="shared" ca="1" si="28"/>
        <v>1</v>
      </c>
    </row>
    <row r="642" spans="1:3" x14ac:dyDescent="0.25">
      <c r="A642" s="155">
        <f t="shared" si="29"/>
        <v>627</v>
      </c>
      <c r="B642" s="151">
        <f t="shared" ca="1" si="27"/>
        <v>39.816136166761915</v>
      </c>
      <c r="C642" s="158">
        <f t="shared" ca="1" si="28"/>
        <v>1</v>
      </c>
    </row>
    <row r="643" spans="1:3" x14ac:dyDescent="0.25">
      <c r="A643" s="155">
        <f t="shared" si="29"/>
        <v>628</v>
      </c>
      <c r="B643" s="151">
        <f t="shared" ca="1" si="27"/>
        <v>22.04395454294373</v>
      </c>
      <c r="C643" s="158">
        <f t="shared" ca="1" si="28"/>
        <v>0</v>
      </c>
    </row>
    <row r="644" spans="1:3" x14ac:dyDescent="0.25">
      <c r="A644" s="155">
        <f t="shared" si="29"/>
        <v>629</v>
      </c>
      <c r="B644" s="151">
        <f t="shared" ca="1" si="27"/>
        <v>38.483188460639944</v>
      </c>
      <c r="C644" s="158">
        <f t="shared" ca="1" si="28"/>
        <v>1</v>
      </c>
    </row>
    <row r="645" spans="1:3" x14ac:dyDescent="0.25">
      <c r="A645" s="155">
        <f t="shared" si="29"/>
        <v>630</v>
      </c>
      <c r="B645" s="151">
        <f t="shared" ca="1" si="27"/>
        <v>58.87131546347328</v>
      </c>
      <c r="C645" s="158">
        <f t="shared" ca="1" si="28"/>
        <v>1</v>
      </c>
    </row>
    <row r="646" spans="1:3" x14ac:dyDescent="0.25">
      <c r="A646" s="155">
        <f t="shared" si="29"/>
        <v>631</v>
      </c>
      <c r="B646" s="151">
        <f t="shared" ca="1" si="27"/>
        <v>49.462935113309207</v>
      </c>
      <c r="C646" s="158">
        <f t="shared" ca="1" si="28"/>
        <v>1</v>
      </c>
    </row>
    <row r="647" spans="1:3" x14ac:dyDescent="0.25">
      <c r="A647" s="155">
        <f t="shared" si="29"/>
        <v>632</v>
      </c>
      <c r="B647" s="151">
        <f t="shared" ca="1" si="27"/>
        <v>1.0449955716100447</v>
      </c>
      <c r="C647" s="158">
        <f t="shared" ca="1" si="28"/>
        <v>0</v>
      </c>
    </row>
    <row r="648" spans="1:3" x14ac:dyDescent="0.25">
      <c r="A648" s="155">
        <f t="shared" si="29"/>
        <v>633</v>
      </c>
      <c r="B648" s="151">
        <f t="shared" ca="1" si="27"/>
        <v>58.369869216608819</v>
      </c>
      <c r="C648" s="158">
        <f t="shared" ca="1" si="28"/>
        <v>1</v>
      </c>
    </row>
    <row r="649" spans="1:3" x14ac:dyDescent="0.25">
      <c r="A649" s="155">
        <f t="shared" si="29"/>
        <v>634</v>
      </c>
      <c r="B649" s="151">
        <f t="shared" ca="1" si="27"/>
        <v>28.509312499619664</v>
      </c>
      <c r="C649" s="158">
        <f t="shared" ca="1" si="28"/>
        <v>1</v>
      </c>
    </row>
    <row r="650" spans="1:3" x14ac:dyDescent="0.25">
      <c r="A650" s="155">
        <f t="shared" si="29"/>
        <v>635</v>
      </c>
      <c r="B650" s="151">
        <f t="shared" ca="1" si="27"/>
        <v>57.296956218347027</v>
      </c>
      <c r="C650" s="158">
        <f t="shared" ca="1" si="28"/>
        <v>1</v>
      </c>
    </row>
    <row r="651" spans="1:3" x14ac:dyDescent="0.25">
      <c r="A651" s="155">
        <f t="shared" si="29"/>
        <v>636</v>
      </c>
      <c r="B651" s="151">
        <f t="shared" ca="1" si="27"/>
        <v>30.20016738851789</v>
      </c>
      <c r="C651" s="158">
        <f t="shared" ca="1" si="28"/>
        <v>1</v>
      </c>
    </row>
    <row r="652" spans="1:3" x14ac:dyDescent="0.25">
      <c r="A652" s="155">
        <f t="shared" si="29"/>
        <v>637</v>
      </c>
      <c r="B652" s="151">
        <f t="shared" ca="1" si="27"/>
        <v>63.182344346846499</v>
      </c>
      <c r="C652" s="158">
        <f t="shared" ca="1" si="28"/>
        <v>1</v>
      </c>
    </row>
    <row r="653" spans="1:3" x14ac:dyDescent="0.25">
      <c r="A653" s="155">
        <f t="shared" si="29"/>
        <v>638</v>
      </c>
      <c r="B653" s="151">
        <f t="shared" ca="1" si="27"/>
        <v>29.861482574817177</v>
      </c>
      <c r="C653" s="158">
        <f t="shared" ca="1" si="28"/>
        <v>1</v>
      </c>
    </row>
    <row r="654" spans="1:3" x14ac:dyDescent="0.25">
      <c r="A654" s="155">
        <f t="shared" si="29"/>
        <v>639</v>
      </c>
      <c r="B654" s="151">
        <f t="shared" ca="1" si="27"/>
        <v>84.607802476863498</v>
      </c>
      <c r="C654" s="158">
        <f t="shared" ca="1" si="28"/>
        <v>1</v>
      </c>
    </row>
    <row r="655" spans="1:3" x14ac:dyDescent="0.25">
      <c r="A655" s="155">
        <f t="shared" si="29"/>
        <v>640</v>
      </c>
      <c r="B655" s="151">
        <f t="shared" ca="1" si="27"/>
        <v>48.374476221787546</v>
      </c>
      <c r="C655" s="158">
        <f t="shared" ca="1" si="28"/>
        <v>1</v>
      </c>
    </row>
    <row r="656" spans="1:3" x14ac:dyDescent="0.25">
      <c r="A656" s="155">
        <f t="shared" si="29"/>
        <v>641</v>
      </c>
      <c r="B656" s="151">
        <f t="shared" ca="1" si="27"/>
        <v>55.726109553079752</v>
      </c>
      <c r="C656" s="158">
        <f t="shared" ca="1" si="28"/>
        <v>1</v>
      </c>
    </row>
    <row r="657" spans="1:3" x14ac:dyDescent="0.25">
      <c r="A657" s="155">
        <f t="shared" si="29"/>
        <v>642</v>
      </c>
      <c r="B657" s="151">
        <f t="shared" ref="B657:B720" ca="1" si="30">_xlfn.NORM.INV(RAND(), $B$9, $B$10)</f>
        <v>72.302020519014008</v>
      </c>
      <c r="C657" s="158">
        <f t="shared" ref="C657:C720" ca="1" si="31">IF(B657 &gt;= $B$11, 1, 0)</f>
        <v>1</v>
      </c>
    </row>
    <row r="658" spans="1:3" x14ac:dyDescent="0.25">
      <c r="A658" s="155">
        <f t="shared" ref="A658:A721" si="32">+A657+1</f>
        <v>643</v>
      </c>
      <c r="B658" s="151">
        <f t="shared" ca="1" si="30"/>
        <v>16.266303344605102</v>
      </c>
      <c r="C658" s="158">
        <f t="shared" ca="1" si="31"/>
        <v>0</v>
      </c>
    </row>
    <row r="659" spans="1:3" x14ac:dyDescent="0.25">
      <c r="A659" s="155">
        <f t="shared" si="32"/>
        <v>644</v>
      </c>
      <c r="B659" s="151">
        <f t="shared" ca="1" si="30"/>
        <v>79.410724602610259</v>
      </c>
      <c r="C659" s="158">
        <f t="shared" ca="1" si="31"/>
        <v>1</v>
      </c>
    </row>
    <row r="660" spans="1:3" x14ac:dyDescent="0.25">
      <c r="A660" s="155">
        <f t="shared" si="32"/>
        <v>645</v>
      </c>
      <c r="B660" s="151">
        <f t="shared" ca="1" si="30"/>
        <v>36.119732619616286</v>
      </c>
      <c r="C660" s="158">
        <f t="shared" ca="1" si="31"/>
        <v>1</v>
      </c>
    </row>
    <row r="661" spans="1:3" x14ac:dyDescent="0.25">
      <c r="A661" s="155">
        <f t="shared" si="32"/>
        <v>646</v>
      </c>
      <c r="B661" s="151">
        <f t="shared" ca="1" si="30"/>
        <v>61.429387947726937</v>
      </c>
      <c r="C661" s="158">
        <f t="shared" ca="1" si="31"/>
        <v>1</v>
      </c>
    </row>
    <row r="662" spans="1:3" x14ac:dyDescent="0.25">
      <c r="A662" s="155">
        <f t="shared" si="32"/>
        <v>647</v>
      </c>
      <c r="B662" s="151">
        <f t="shared" ca="1" si="30"/>
        <v>19.369667166641214</v>
      </c>
      <c r="C662" s="158">
        <f t="shared" ca="1" si="31"/>
        <v>0</v>
      </c>
    </row>
    <row r="663" spans="1:3" x14ac:dyDescent="0.25">
      <c r="A663" s="155">
        <f t="shared" si="32"/>
        <v>648</v>
      </c>
      <c r="B663" s="151">
        <f t="shared" ca="1" si="30"/>
        <v>78.010845634903063</v>
      </c>
      <c r="C663" s="158">
        <f t="shared" ca="1" si="31"/>
        <v>1</v>
      </c>
    </row>
    <row r="664" spans="1:3" x14ac:dyDescent="0.25">
      <c r="A664" s="155">
        <f t="shared" si="32"/>
        <v>649</v>
      </c>
      <c r="B664" s="151">
        <f t="shared" ca="1" si="30"/>
        <v>36.623130102029464</v>
      </c>
      <c r="C664" s="158">
        <f t="shared" ca="1" si="31"/>
        <v>1</v>
      </c>
    </row>
    <row r="665" spans="1:3" x14ac:dyDescent="0.25">
      <c r="A665" s="155">
        <f t="shared" si="32"/>
        <v>650</v>
      </c>
      <c r="B665" s="151">
        <f t="shared" ca="1" si="30"/>
        <v>32.730018218633155</v>
      </c>
      <c r="C665" s="158">
        <f t="shared" ca="1" si="31"/>
        <v>1</v>
      </c>
    </row>
    <row r="666" spans="1:3" x14ac:dyDescent="0.25">
      <c r="A666" s="155">
        <f t="shared" si="32"/>
        <v>651</v>
      </c>
      <c r="B666" s="151">
        <f t="shared" ca="1" si="30"/>
        <v>40.278366975054276</v>
      </c>
      <c r="C666" s="158">
        <f t="shared" ca="1" si="31"/>
        <v>1</v>
      </c>
    </row>
    <row r="667" spans="1:3" x14ac:dyDescent="0.25">
      <c r="A667" s="155">
        <f t="shared" si="32"/>
        <v>652</v>
      </c>
      <c r="B667" s="151">
        <f t="shared" ca="1" si="30"/>
        <v>41.142244314070972</v>
      </c>
      <c r="C667" s="158">
        <f t="shared" ca="1" si="31"/>
        <v>1</v>
      </c>
    </row>
    <row r="668" spans="1:3" x14ac:dyDescent="0.25">
      <c r="A668" s="155">
        <f t="shared" si="32"/>
        <v>653</v>
      </c>
      <c r="B668" s="151">
        <f t="shared" ca="1" si="30"/>
        <v>60.9804791155617</v>
      </c>
      <c r="C668" s="158">
        <f t="shared" ca="1" si="31"/>
        <v>1</v>
      </c>
    </row>
    <row r="669" spans="1:3" x14ac:dyDescent="0.25">
      <c r="A669" s="155">
        <f t="shared" si="32"/>
        <v>654</v>
      </c>
      <c r="B669" s="151">
        <f t="shared" ca="1" si="30"/>
        <v>33.167412793995339</v>
      </c>
      <c r="C669" s="158">
        <f t="shared" ca="1" si="31"/>
        <v>1</v>
      </c>
    </row>
    <row r="670" spans="1:3" x14ac:dyDescent="0.25">
      <c r="A670" s="155">
        <f t="shared" si="32"/>
        <v>655</v>
      </c>
      <c r="B670" s="151">
        <f t="shared" ca="1" si="30"/>
        <v>46.432250557794958</v>
      </c>
      <c r="C670" s="158">
        <f t="shared" ca="1" si="31"/>
        <v>1</v>
      </c>
    </row>
    <row r="671" spans="1:3" x14ac:dyDescent="0.25">
      <c r="A671" s="155">
        <f t="shared" si="32"/>
        <v>656</v>
      </c>
      <c r="B671" s="151">
        <f t="shared" ca="1" si="30"/>
        <v>26.020614721807878</v>
      </c>
      <c r="C671" s="158">
        <f t="shared" ca="1" si="31"/>
        <v>1</v>
      </c>
    </row>
    <row r="672" spans="1:3" x14ac:dyDescent="0.25">
      <c r="A672" s="155">
        <f t="shared" si="32"/>
        <v>657</v>
      </c>
      <c r="B672" s="151">
        <f t="shared" ca="1" si="30"/>
        <v>33.907389504333871</v>
      </c>
      <c r="C672" s="158">
        <f t="shared" ca="1" si="31"/>
        <v>1</v>
      </c>
    </row>
    <row r="673" spans="1:3" x14ac:dyDescent="0.25">
      <c r="A673" s="155">
        <f t="shared" si="32"/>
        <v>658</v>
      </c>
      <c r="B673" s="151">
        <f t="shared" ca="1" si="30"/>
        <v>66.050391767929938</v>
      </c>
      <c r="C673" s="158">
        <f t="shared" ca="1" si="31"/>
        <v>1</v>
      </c>
    </row>
    <row r="674" spans="1:3" x14ac:dyDescent="0.25">
      <c r="A674" s="155">
        <f t="shared" si="32"/>
        <v>659</v>
      </c>
      <c r="B674" s="151">
        <f t="shared" ca="1" si="30"/>
        <v>20.957314716476194</v>
      </c>
      <c r="C674" s="158">
        <f t="shared" ca="1" si="31"/>
        <v>0</v>
      </c>
    </row>
    <row r="675" spans="1:3" x14ac:dyDescent="0.25">
      <c r="A675" s="155">
        <f t="shared" si="32"/>
        <v>660</v>
      </c>
      <c r="B675" s="151">
        <f t="shared" ca="1" si="30"/>
        <v>52.653172584525848</v>
      </c>
      <c r="C675" s="158">
        <f t="shared" ca="1" si="31"/>
        <v>1</v>
      </c>
    </row>
    <row r="676" spans="1:3" x14ac:dyDescent="0.25">
      <c r="A676" s="155">
        <f t="shared" si="32"/>
        <v>661</v>
      </c>
      <c r="B676" s="151">
        <f t="shared" ca="1" si="30"/>
        <v>17.833259728492393</v>
      </c>
      <c r="C676" s="158">
        <f t="shared" ca="1" si="31"/>
        <v>0</v>
      </c>
    </row>
    <row r="677" spans="1:3" x14ac:dyDescent="0.25">
      <c r="A677" s="155">
        <f t="shared" si="32"/>
        <v>662</v>
      </c>
      <c r="B677" s="151">
        <f t="shared" ca="1" si="30"/>
        <v>40.863611413523131</v>
      </c>
      <c r="C677" s="158">
        <f t="shared" ca="1" si="31"/>
        <v>1</v>
      </c>
    </row>
    <row r="678" spans="1:3" x14ac:dyDescent="0.25">
      <c r="A678" s="155">
        <f t="shared" si="32"/>
        <v>663</v>
      </c>
      <c r="B678" s="151">
        <f t="shared" ca="1" si="30"/>
        <v>31.901463737898659</v>
      </c>
      <c r="C678" s="158">
        <f t="shared" ca="1" si="31"/>
        <v>1</v>
      </c>
    </row>
    <row r="679" spans="1:3" x14ac:dyDescent="0.25">
      <c r="A679" s="155">
        <f t="shared" si="32"/>
        <v>664</v>
      </c>
      <c r="B679" s="151">
        <f t="shared" ca="1" si="30"/>
        <v>8.5207465433444938</v>
      </c>
      <c r="C679" s="158">
        <f t="shared" ca="1" si="31"/>
        <v>0</v>
      </c>
    </row>
    <row r="680" spans="1:3" x14ac:dyDescent="0.25">
      <c r="A680" s="155">
        <f t="shared" si="32"/>
        <v>665</v>
      </c>
      <c r="B680" s="151">
        <f t="shared" ca="1" si="30"/>
        <v>-0.11356816137271153</v>
      </c>
      <c r="C680" s="158">
        <f t="shared" ca="1" si="31"/>
        <v>0</v>
      </c>
    </row>
    <row r="681" spans="1:3" x14ac:dyDescent="0.25">
      <c r="A681" s="155">
        <f t="shared" si="32"/>
        <v>666</v>
      </c>
      <c r="B681" s="151">
        <f t="shared" ca="1" si="30"/>
        <v>17.450829950107764</v>
      </c>
      <c r="C681" s="158">
        <f t="shared" ca="1" si="31"/>
        <v>0</v>
      </c>
    </row>
    <row r="682" spans="1:3" x14ac:dyDescent="0.25">
      <c r="A682" s="155">
        <f t="shared" si="32"/>
        <v>667</v>
      </c>
      <c r="B682" s="151">
        <f t="shared" ca="1" si="30"/>
        <v>38.050003537677476</v>
      </c>
      <c r="C682" s="158">
        <f t="shared" ca="1" si="31"/>
        <v>1</v>
      </c>
    </row>
    <row r="683" spans="1:3" x14ac:dyDescent="0.25">
      <c r="A683" s="155">
        <f t="shared" si="32"/>
        <v>668</v>
      </c>
      <c r="B683" s="151">
        <f t="shared" ca="1" si="30"/>
        <v>19.98690503641506</v>
      </c>
      <c r="C683" s="158">
        <f t="shared" ca="1" si="31"/>
        <v>0</v>
      </c>
    </row>
    <row r="684" spans="1:3" x14ac:dyDescent="0.25">
      <c r="A684" s="155">
        <f t="shared" si="32"/>
        <v>669</v>
      </c>
      <c r="B684" s="151">
        <f t="shared" ca="1" si="30"/>
        <v>38.145041815425721</v>
      </c>
      <c r="C684" s="158">
        <f t="shared" ca="1" si="31"/>
        <v>1</v>
      </c>
    </row>
    <row r="685" spans="1:3" x14ac:dyDescent="0.25">
      <c r="A685" s="155">
        <f t="shared" si="32"/>
        <v>670</v>
      </c>
      <c r="B685" s="151">
        <f t="shared" ca="1" si="30"/>
        <v>-6.7526554797131908</v>
      </c>
      <c r="C685" s="158">
        <f t="shared" ca="1" si="31"/>
        <v>0</v>
      </c>
    </row>
    <row r="686" spans="1:3" x14ac:dyDescent="0.25">
      <c r="A686" s="155">
        <f t="shared" si="32"/>
        <v>671</v>
      </c>
      <c r="B686" s="151">
        <f t="shared" ca="1" si="30"/>
        <v>51.741641065490526</v>
      </c>
      <c r="C686" s="158">
        <f t="shared" ca="1" si="31"/>
        <v>1</v>
      </c>
    </row>
    <row r="687" spans="1:3" x14ac:dyDescent="0.25">
      <c r="A687" s="155">
        <f t="shared" si="32"/>
        <v>672</v>
      </c>
      <c r="B687" s="151">
        <f t="shared" ca="1" si="30"/>
        <v>-3.1759477653368791</v>
      </c>
      <c r="C687" s="158">
        <f t="shared" ca="1" si="31"/>
        <v>0</v>
      </c>
    </row>
    <row r="688" spans="1:3" x14ac:dyDescent="0.25">
      <c r="A688" s="155">
        <f t="shared" si="32"/>
        <v>673</v>
      </c>
      <c r="B688" s="151">
        <f t="shared" ca="1" si="30"/>
        <v>29.321632341383641</v>
      </c>
      <c r="C688" s="158">
        <f t="shared" ca="1" si="31"/>
        <v>1</v>
      </c>
    </row>
    <row r="689" spans="1:3" x14ac:dyDescent="0.25">
      <c r="A689" s="155">
        <f t="shared" si="32"/>
        <v>674</v>
      </c>
      <c r="B689" s="151">
        <f t="shared" ca="1" si="30"/>
        <v>28.368568549441498</v>
      </c>
      <c r="C689" s="158">
        <f t="shared" ca="1" si="31"/>
        <v>1</v>
      </c>
    </row>
    <row r="690" spans="1:3" x14ac:dyDescent="0.25">
      <c r="A690" s="155">
        <f t="shared" si="32"/>
        <v>675</v>
      </c>
      <c r="B690" s="151">
        <f t="shared" ca="1" si="30"/>
        <v>10.432910688425238</v>
      </c>
      <c r="C690" s="158">
        <f t="shared" ca="1" si="31"/>
        <v>0</v>
      </c>
    </row>
    <row r="691" spans="1:3" x14ac:dyDescent="0.25">
      <c r="A691" s="155">
        <f t="shared" si="32"/>
        <v>676</v>
      </c>
      <c r="B691" s="151">
        <f t="shared" ca="1" si="30"/>
        <v>39.237019430211298</v>
      </c>
      <c r="C691" s="158">
        <f t="shared" ca="1" si="31"/>
        <v>1</v>
      </c>
    </row>
    <row r="692" spans="1:3" x14ac:dyDescent="0.25">
      <c r="A692" s="155">
        <f t="shared" si="32"/>
        <v>677</v>
      </c>
      <c r="B692" s="151">
        <f t="shared" ca="1" si="30"/>
        <v>-0.90488771531764911</v>
      </c>
      <c r="C692" s="158">
        <f t="shared" ca="1" si="31"/>
        <v>0</v>
      </c>
    </row>
    <row r="693" spans="1:3" x14ac:dyDescent="0.25">
      <c r="A693" s="155">
        <f t="shared" si="32"/>
        <v>678</v>
      </c>
      <c r="B693" s="151">
        <f t="shared" ca="1" si="30"/>
        <v>48.429140833550264</v>
      </c>
      <c r="C693" s="158">
        <f t="shared" ca="1" si="31"/>
        <v>1</v>
      </c>
    </row>
    <row r="694" spans="1:3" x14ac:dyDescent="0.25">
      <c r="A694" s="155">
        <f t="shared" si="32"/>
        <v>679</v>
      </c>
      <c r="B694" s="151">
        <f t="shared" ca="1" si="30"/>
        <v>16.063824151406614</v>
      </c>
      <c r="C694" s="158">
        <f t="shared" ca="1" si="31"/>
        <v>0</v>
      </c>
    </row>
    <row r="695" spans="1:3" x14ac:dyDescent="0.25">
      <c r="A695" s="155">
        <f t="shared" si="32"/>
        <v>680</v>
      </c>
      <c r="B695" s="151">
        <f t="shared" ca="1" si="30"/>
        <v>78.391214025924299</v>
      </c>
      <c r="C695" s="158">
        <f t="shared" ca="1" si="31"/>
        <v>1</v>
      </c>
    </row>
    <row r="696" spans="1:3" x14ac:dyDescent="0.25">
      <c r="A696" s="155">
        <f t="shared" si="32"/>
        <v>681</v>
      </c>
      <c r="B696" s="151">
        <f t="shared" ca="1" si="30"/>
        <v>15.222624961645035</v>
      </c>
      <c r="C696" s="158">
        <f t="shared" ca="1" si="31"/>
        <v>0</v>
      </c>
    </row>
    <row r="697" spans="1:3" x14ac:dyDescent="0.25">
      <c r="A697" s="155">
        <f t="shared" si="32"/>
        <v>682</v>
      </c>
      <c r="B697" s="151">
        <f t="shared" ca="1" si="30"/>
        <v>80.210263678025967</v>
      </c>
      <c r="C697" s="158">
        <f t="shared" ca="1" si="31"/>
        <v>1</v>
      </c>
    </row>
    <row r="698" spans="1:3" x14ac:dyDescent="0.25">
      <c r="A698" s="155">
        <f t="shared" si="32"/>
        <v>683</v>
      </c>
      <c r="B698" s="151">
        <f t="shared" ca="1" si="30"/>
        <v>25.396771231276929</v>
      </c>
      <c r="C698" s="158">
        <f t="shared" ca="1" si="31"/>
        <v>1</v>
      </c>
    </row>
    <row r="699" spans="1:3" x14ac:dyDescent="0.25">
      <c r="A699" s="155">
        <f t="shared" si="32"/>
        <v>684</v>
      </c>
      <c r="B699" s="151">
        <f t="shared" ca="1" si="30"/>
        <v>33.372567494336849</v>
      </c>
      <c r="C699" s="158">
        <f t="shared" ca="1" si="31"/>
        <v>1</v>
      </c>
    </row>
    <row r="700" spans="1:3" x14ac:dyDescent="0.25">
      <c r="A700" s="155">
        <f t="shared" si="32"/>
        <v>685</v>
      </c>
      <c r="B700" s="151">
        <f t="shared" ca="1" si="30"/>
        <v>65.338493059427748</v>
      </c>
      <c r="C700" s="158">
        <f t="shared" ca="1" si="31"/>
        <v>1</v>
      </c>
    </row>
    <row r="701" spans="1:3" x14ac:dyDescent="0.25">
      <c r="A701" s="155">
        <f t="shared" si="32"/>
        <v>686</v>
      </c>
      <c r="B701" s="151">
        <f t="shared" ca="1" si="30"/>
        <v>13.080658761717377</v>
      </c>
      <c r="C701" s="158">
        <f t="shared" ca="1" si="31"/>
        <v>0</v>
      </c>
    </row>
    <row r="702" spans="1:3" x14ac:dyDescent="0.25">
      <c r="A702" s="155">
        <f t="shared" si="32"/>
        <v>687</v>
      </c>
      <c r="B702" s="151">
        <f t="shared" ca="1" si="30"/>
        <v>49.973507016933738</v>
      </c>
      <c r="C702" s="158">
        <f t="shared" ca="1" si="31"/>
        <v>1</v>
      </c>
    </row>
    <row r="703" spans="1:3" x14ac:dyDescent="0.25">
      <c r="A703" s="155">
        <f t="shared" si="32"/>
        <v>688</v>
      </c>
      <c r="B703" s="151">
        <f t="shared" ca="1" si="30"/>
        <v>29.807034095468484</v>
      </c>
      <c r="C703" s="158">
        <f t="shared" ca="1" si="31"/>
        <v>1</v>
      </c>
    </row>
    <row r="704" spans="1:3" x14ac:dyDescent="0.25">
      <c r="A704" s="155">
        <f t="shared" si="32"/>
        <v>689</v>
      </c>
      <c r="B704" s="151">
        <f t="shared" ca="1" si="30"/>
        <v>65.476518895270559</v>
      </c>
      <c r="C704" s="158">
        <f t="shared" ca="1" si="31"/>
        <v>1</v>
      </c>
    </row>
    <row r="705" spans="1:3" x14ac:dyDescent="0.25">
      <c r="A705" s="155">
        <f t="shared" si="32"/>
        <v>690</v>
      </c>
      <c r="B705" s="151">
        <f t="shared" ca="1" si="30"/>
        <v>30.850926216448975</v>
      </c>
      <c r="C705" s="158">
        <f t="shared" ca="1" si="31"/>
        <v>1</v>
      </c>
    </row>
    <row r="706" spans="1:3" x14ac:dyDescent="0.25">
      <c r="A706" s="155">
        <f t="shared" si="32"/>
        <v>691</v>
      </c>
      <c r="B706" s="151">
        <f t="shared" ca="1" si="30"/>
        <v>76.184715778084268</v>
      </c>
      <c r="C706" s="158">
        <f t="shared" ca="1" si="31"/>
        <v>1</v>
      </c>
    </row>
    <row r="707" spans="1:3" x14ac:dyDescent="0.25">
      <c r="A707" s="155">
        <f t="shared" si="32"/>
        <v>692</v>
      </c>
      <c r="B707" s="151">
        <f t="shared" ca="1" si="30"/>
        <v>52.773853895888891</v>
      </c>
      <c r="C707" s="158">
        <f t="shared" ca="1" si="31"/>
        <v>1</v>
      </c>
    </row>
    <row r="708" spans="1:3" x14ac:dyDescent="0.25">
      <c r="A708" s="155">
        <f t="shared" si="32"/>
        <v>693</v>
      </c>
      <c r="B708" s="151">
        <f t="shared" ca="1" si="30"/>
        <v>36.62315128607915</v>
      </c>
      <c r="C708" s="158">
        <f t="shared" ca="1" si="31"/>
        <v>1</v>
      </c>
    </row>
    <row r="709" spans="1:3" x14ac:dyDescent="0.25">
      <c r="A709" s="155">
        <f t="shared" si="32"/>
        <v>694</v>
      </c>
      <c r="B709" s="151">
        <f t="shared" ca="1" si="30"/>
        <v>45.579167224439772</v>
      </c>
      <c r="C709" s="158">
        <f t="shared" ca="1" si="31"/>
        <v>1</v>
      </c>
    </row>
    <row r="710" spans="1:3" x14ac:dyDescent="0.25">
      <c r="A710" s="155">
        <f t="shared" si="32"/>
        <v>695</v>
      </c>
      <c r="B710" s="151">
        <f t="shared" ca="1" si="30"/>
        <v>39.035822627777691</v>
      </c>
      <c r="C710" s="158">
        <f t="shared" ca="1" si="31"/>
        <v>1</v>
      </c>
    </row>
    <row r="711" spans="1:3" x14ac:dyDescent="0.25">
      <c r="A711" s="155">
        <f t="shared" si="32"/>
        <v>696</v>
      </c>
      <c r="B711" s="151">
        <f t="shared" ca="1" si="30"/>
        <v>28.825168454835016</v>
      </c>
      <c r="C711" s="158">
        <f t="shared" ca="1" si="31"/>
        <v>1</v>
      </c>
    </row>
    <row r="712" spans="1:3" x14ac:dyDescent="0.25">
      <c r="A712" s="155">
        <f t="shared" si="32"/>
        <v>697</v>
      </c>
      <c r="B712" s="151">
        <f t="shared" ca="1" si="30"/>
        <v>1.3182920620759262</v>
      </c>
      <c r="C712" s="158">
        <f t="shared" ca="1" si="31"/>
        <v>0</v>
      </c>
    </row>
    <row r="713" spans="1:3" x14ac:dyDescent="0.25">
      <c r="A713" s="155">
        <f t="shared" si="32"/>
        <v>698</v>
      </c>
      <c r="B713" s="151">
        <f t="shared" ca="1" si="30"/>
        <v>44.02658812530683</v>
      </c>
      <c r="C713" s="158">
        <f t="shared" ca="1" si="31"/>
        <v>1</v>
      </c>
    </row>
    <row r="714" spans="1:3" x14ac:dyDescent="0.25">
      <c r="A714" s="155">
        <f t="shared" si="32"/>
        <v>699</v>
      </c>
      <c r="B714" s="151">
        <f t="shared" ca="1" si="30"/>
        <v>7.6422558142918433</v>
      </c>
      <c r="C714" s="158">
        <f t="shared" ca="1" si="31"/>
        <v>0</v>
      </c>
    </row>
    <row r="715" spans="1:3" x14ac:dyDescent="0.25">
      <c r="A715" s="155">
        <f t="shared" si="32"/>
        <v>700</v>
      </c>
      <c r="B715" s="151">
        <f t="shared" ca="1" si="30"/>
        <v>9.2299552126100615</v>
      </c>
      <c r="C715" s="158">
        <f t="shared" ca="1" si="31"/>
        <v>0</v>
      </c>
    </row>
    <row r="716" spans="1:3" x14ac:dyDescent="0.25">
      <c r="A716" s="155">
        <f t="shared" si="32"/>
        <v>701</v>
      </c>
      <c r="B716" s="151">
        <f t="shared" ca="1" si="30"/>
        <v>62.956103298624356</v>
      </c>
      <c r="C716" s="158">
        <f t="shared" ca="1" si="31"/>
        <v>1</v>
      </c>
    </row>
    <row r="717" spans="1:3" x14ac:dyDescent="0.25">
      <c r="A717" s="155">
        <f t="shared" si="32"/>
        <v>702</v>
      </c>
      <c r="B717" s="151">
        <f t="shared" ca="1" si="30"/>
        <v>21.303473811515435</v>
      </c>
      <c r="C717" s="158">
        <f t="shared" ca="1" si="31"/>
        <v>0</v>
      </c>
    </row>
    <row r="718" spans="1:3" x14ac:dyDescent="0.25">
      <c r="A718" s="155">
        <f t="shared" si="32"/>
        <v>703</v>
      </c>
      <c r="B718" s="151">
        <f t="shared" ca="1" si="30"/>
        <v>2.5505733618998292</v>
      </c>
      <c r="C718" s="158">
        <f t="shared" ca="1" si="31"/>
        <v>0</v>
      </c>
    </row>
    <row r="719" spans="1:3" x14ac:dyDescent="0.25">
      <c r="A719" s="155">
        <f t="shared" si="32"/>
        <v>704</v>
      </c>
      <c r="B719" s="151">
        <f t="shared" ca="1" si="30"/>
        <v>51.208788079019271</v>
      </c>
      <c r="C719" s="158">
        <f t="shared" ca="1" si="31"/>
        <v>1</v>
      </c>
    </row>
    <row r="720" spans="1:3" x14ac:dyDescent="0.25">
      <c r="A720" s="155">
        <f t="shared" si="32"/>
        <v>705</v>
      </c>
      <c r="B720" s="151">
        <f t="shared" ca="1" si="30"/>
        <v>11.518476430355943</v>
      </c>
      <c r="C720" s="158">
        <f t="shared" ca="1" si="31"/>
        <v>0</v>
      </c>
    </row>
    <row r="721" spans="1:3" x14ac:dyDescent="0.25">
      <c r="A721" s="155">
        <f t="shared" si="32"/>
        <v>706</v>
      </c>
      <c r="B721" s="151">
        <f t="shared" ref="B721:B784" ca="1" si="33">_xlfn.NORM.INV(RAND(), $B$9, $B$10)</f>
        <v>4.1260882448148593</v>
      </c>
      <c r="C721" s="158">
        <f t="shared" ref="C721:C784" ca="1" si="34">IF(B721 &gt;= $B$11, 1, 0)</f>
        <v>0</v>
      </c>
    </row>
    <row r="722" spans="1:3" x14ac:dyDescent="0.25">
      <c r="A722" s="155">
        <f t="shared" ref="A722:A785" si="35">+A721+1</f>
        <v>707</v>
      </c>
      <c r="B722" s="151">
        <f t="shared" ca="1" si="33"/>
        <v>43.27663073753115</v>
      </c>
      <c r="C722" s="158">
        <f t="shared" ca="1" si="34"/>
        <v>1</v>
      </c>
    </row>
    <row r="723" spans="1:3" x14ac:dyDescent="0.25">
      <c r="A723" s="155">
        <f t="shared" si="35"/>
        <v>708</v>
      </c>
      <c r="B723" s="151">
        <f t="shared" ca="1" si="33"/>
        <v>29.79268497678909</v>
      </c>
      <c r="C723" s="158">
        <f t="shared" ca="1" si="34"/>
        <v>1</v>
      </c>
    </row>
    <row r="724" spans="1:3" x14ac:dyDescent="0.25">
      <c r="A724" s="155">
        <f t="shared" si="35"/>
        <v>709</v>
      </c>
      <c r="B724" s="151">
        <f t="shared" ca="1" si="33"/>
        <v>9.1195440504684129</v>
      </c>
      <c r="C724" s="158">
        <f t="shared" ca="1" si="34"/>
        <v>0</v>
      </c>
    </row>
    <row r="725" spans="1:3" x14ac:dyDescent="0.25">
      <c r="A725" s="155">
        <f t="shared" si="35"/>
        <v>710</v>
      </c>
      <c r="B725" s="151">
        <f t="shared" ca="1" si="33"/>
        <v>52.279673329144877</v>
      </c>
      <c r="C725" s="158">
        <f t="shared" ca="1" si="34"/>
        <v>1</v>
      </c>
    </row>
    <row r="726" spans="1:3" x14ac:dyDescent="0.25">
      <c r="A726" s="155">
        <f t="shared" si="35"/>
        <v>711</v>
      </c>
      <c r="B726" s="151">
        <f t="shared" ca="1" si="33"/>
        <v>38.58527336875926</v>
      </c>
      <c r="C726" s="158">
        <f t="shared" ca="1" si="34"/>
        <v>1</v>
      </c>
    </row>
    <row r="727" spans="1:3" x14ac:dyDescent="0.25">
      <c r="A727" s="155">
        <f t="shared" si="35"/>
        <v>712</v>
      </c>
      <c r="B727" s="151">
        <f t="shared" ca="1" si="33"/>
        <v>53.516727045473004</v>
      </c>
      <c r="C727" s="158">
        <f t="shared" ca="1" si="34"/>
        <v>1</v>
      </c>
    </row>
    <row r="728" spans="1:3" x14ac:dyDescent="0.25">
      <c r="A728" s="155">
        <f t="shared" si="35"/>
        <v>713</v>
      </c>
      <c r="B728" s="151">
        <f t="shared" ca="1" si="33"/>
        <v>26.640685124253615</v>
      </c>
      <c r="C728" s="158">
        <f t="shared" ca="1" si="34"/>
        <v>1</v>
      </c>
    </row>
    <row r="729" spans="1:3" x14ac:dyDescent="0.25">
      <c r="A729" s="155">
        <f t="shared" si="35"/>
        <v>714</v>
      </c>
      <c r="B729" s="151">
        <f t="shared" ca="1" si="33"/>
        <v>33.736940483908093</v>
      </c>
      <c r="C729" s="158">
        <f t="shared" ca="1" si="34"/>
        <v>1</v>
      </c>
    </row>
    <row r="730" spans="1:3" x14ac:dyDescent="0.25">
      <c r="A730" s="155">
        <f t="shared" si="35"/>
        <v>715</v>
      </c>
      <c r="B730" s="151">
        <f t="shared" ca="1" si="33"/>
        <v>75.733099123931879</v>
      </c>
      <c r="C730" s="158">
        <f t="shared" ca="1" si="34"/>
        <v>1</v>
      </c>
    </row>
    <row r="731" spans="1:3" x14ac:dyDescent="0.25">
      <c r="A731" s="155">
        <f t="shared" si="35"/>
        <v>716</v>
      </c>
      <c r="B731" s="151">
        <f t="shared" ca="1" si="33"/>
        <v>33.058081883566167</v>
      </c>
      <c r="C731" s="158">
        <f t="shared" ca="1" si="34"/>
        <v>1</v>
      </c>
    </row>
    <row r="732" spans="1:3" x14ac:dyDescent="0.25">
      <c r="A732" s="155">
        <f t="shared" si="35"/>
        <v>717</v>
      </c>
      <c r="B732" s="151">
        <f t="shared" ca="1" si="33"/>
        <v>6.6581239192736525</v>
      </c>
      <c r="C732" s="158">
        <f t="shared" ca="1" si="34"/>
        <v>0</v>
      </c>
    </row>
    <row r="733" spans="1:3" x14ac:dyDescent="0.25">
      <c r="A733" s="155">
        <f t="shared" si="35"/>
        <v>718</v>
      </c>
      <c r="B733" s="151">
        <f t="shared" ca="1" si="33"/>
        <v>2.4448952174720091</v>
      </c>
      <c r="C733" s="158">
        <f t="shared" ca="1" si="34"/>
        <v>0</v>
      </c>
    </row>
    <row r="734" spans="1:3" x14ac:dyDescent="0.25">
      <c r="A734" s="155">
        <f t="shared" si="35"/>
        <v>719</v>
      </c>
      <c r="B734" s="151">
        <f t="shared" ca="1" si="33"/>
        <v>32.972363134509557</v>
      </c>
      <c r="C734" s="158">
        <f t="shared" ca="1" si="34"/>
        <v>1</v>
      </c>
    </row>
    <row r="735" spans="1:3" x14ac:dyDescent="0.25">
      <c r="A735" s="155">
        <f t="shared" si="35"/>
        <v>720</v>
      </c>
      <c r="B735" s="151">
        <f t="shared" ca="1" si="33"/>
        <v>36.980333422067751</v>
      </c>
      <c r="C735" s="158">
        <f t="shared" ca="1" si="34"/>
        <v>1</v>
      </c>
    </row>
    <row r="736" spans="1:3" x14ac:dyDescent="0.25">
      <c r="A736" s="155">
        <f t="shared" si="35"/>
        <v>721</v>
      </c>
      <c r="B736" s="151">
        <f t="shared" ca="1" si="33"/>
        <v>72.775323846863003</v>
      </c>
      <c r="C736" s="158">
        <f t="shared" ca="1" si="34"/>
        <v>1</v>
      </c>
    </row>
    <row r="737" spans="1:3" x14ac:dyDescent="0.25">
      <c r="A737" s="155">
        <f t="shared" si="35"/>
        <v>722</v>
      </c>
      <c r="B737" s="151">
        <f t="shared" ca="1" si="33"/>
        <v>50.785647006154228</v>
      </c>
      <c r="C737" s="158">
        <f t="shared" ca="1" si="34"/>
        <v>1</v>
      </c>
    </row>
    <row r="738" spans="1:3" x14ac:dyDescent="0.25">
      <c r="A738" s="155">
        <f t="shared" si="35"/>
        <v>723</v>
      </c>
      <c r="B738" s="151">
        <f t="shared" ca="1" si="33"/>
        <v>24.108741824947185</v>
      </c>
      <c r="C738" s="158">
        <f t="shared" ca="1" si="34"/>
        <v>0</v>
      </c>
    </row>
    <row r="739" spans="1:3" x14ac:dyDescent="0.25">
      <c r="A739" s="155">
        <f t="shared" si="35"/>
        <v>724</v>
      </c>
      <c r="B739" s="151">
        <f t="shared" ca="1" si="33"/>
        <v>36.31068809825075</v>
      </c>
      <c r="C739" s="158">
        <f t="shared" ca="1" si="34"/>
        <v>1</v>
      </c>
    </row>
    <row r="740" spans="1:3" x14ac:dyDescent="0.25">
      <c r="A740" s="155">
        <f t="shared" si="35"/>
        <v>725</v>
      </c>
      <c r="B740" s="151">
        <f t="shared" ca="1" si="33"/>
        <v>58.425969055278784</v>
      </c>
      <c r="C740" s="158">
        <f t="shared" ca="1" si="34"/>
        <v>1</v>
      </c>
    </row>
    <row r="741" spans="1:3" x14ac:dyDescent="0.25">
      <c r="A741" s="155">
        <f t="shared" si="35"/>
        <v>726</v>
      </c>
      <c r="B741" s="151">
        <f t="shared" ca="1" si="33"/>
        <v>4.0154957868217345</v>
      </c>
      <c r="C741" s="158">
        <f t="shared" ca="1" si="34"/>
        <v>0</v>
      </c>
    </row>
    <row r="742" spans="1:3" x14ac:dyDescent="0.25">
      <c r="A742" s="155">
        <f t="shared" si="35"/>
        <v>727</v>
      </c>
      <c r="B742" s="151">
        <f t="shared" ca="1" si="33"/>
        <v>48.86417376892777</v>
      </c>
      <c r="C742" s="158">
        <f t="shared" ca="1" si="34"/>
        <v>1</v>
      </c>
    </row>
    <row r="743" spans="1:3" x14ac:dyDescent="0.25">
      <c r="A743" s="155">
        <f t="shared" si="35"/>
        <v>728</v>
      </c>
      <c r="B743" s="151">
        <f t="shared" ca="1" si="33"/>
        <v>90.028133507570715</v>
      </c>
      <c r="C743" s="158">
        <f t="shared" ca="1" si="34"/>
        <v>1</v>
      </c>
    </row>
    <row r="744" spans="1:3" x14ac:dyDescent="0.25">
      <c r="A744" s="155">
        <f t="shared" si="35"/>
        <v>729</v>
      </c>
      <c r="B744" s="151">
        <f t="shared" ca="1" si="33"/>
        <v>50.251959311378684</v>
      </c>
      <c r="C744" s="158">
        <f t="shared" ca="1" si="34"/>
        <v>1</v>
      </c>
    </row>
    <row r="745" spans="1:3" x14ac:dyDescent="0.25">
      <c r="A745" s="155">
        <f t="shared" si="35"/>
        <v>730</v>
      </c>
      <c r="B745" s="151">
        <f t="shared" ca="1" si="33"/>
        <v>36.163393766874592</v>
      </c>
      <c r="C745" s="158">
        <f t="shared" ca="1" si="34"/>
        <v>1</v>
      </c>
    </row>
    <row r="746" spans="1:3" x14ac:dyDescent="0.25">
      <c r="A746" s="155">
        <f t="shared" si="35"/>
        <v>731</v>
      </c>
      <c r="B746" s="151">
        <f t="shared" ca="1" si="33"/>
        <v>13.88337397950863</v>
      </c>
      <c r="C746" s="158">
        <f t="shared" ca="1" si="34"/>
        <v>0</v>
      </c>
    </row>
    <row r="747" spans="1:3" x14ac:dyDescent="0.25">
      <c r="A747" s="155">
        <f t="shared" si="35"/>
        <v>732</v>
      </c>
      <c r="B747" s="151">
        <f t="shared" ca="1" si="33"/>
        <v>36.053225374746866</v>
      </c>
      <c r="C747" s="158">
        <f t="shared" ca="1" si="34"/>
        <v>1</v>
      </c>
    </row>
    <row r="748" spans="1:3" x14ac:dyDescent="0.25">
      <c r="A748" s="155">
        <f t="shared" si="35"/>
        <v>733</v>
      </c>
      <c r="B748" s="151">
        <f t="shared" ca="1" si="33"/>
        <v>14.797528699948046</v>
      </c>
      <c r="C748" s="158">
        <f t="shared" ca="1" si="34"/>
        <v>0</v>
      </c>
    </row>
    <row r="749" spans="1:3" x14ac:dyDescent="0.25">
      <c r="A749" s="155">
        <f t="shared" si="35"/>
        <v>734</v>
      </c>
      <c r="B749" s="151">
        <f t="shared" ca="1" si="33"/>
        <v>62.017752675711321</v>
      </c>
      <c r="C749" s="158">
        <f t="shared" ca="1" si="34"/>
        <v>1</v>
      </c>
    </row>
    <row r="750" spans="1:3" x14ac:dyDescent="0.25">
      <c r="A750" s="155">
        <f t="shared" si="35"/>
        <v>735</v>
      </c>
      <c r="B750" s="151">
        <f t="shared" ca="1" si="33"/>
        <v>76.543071777225535</v>
      </c>
      <c r="C750" s="158">
        <f t="shared" ca="1" si="34"/>
        <v>1</v>
      </c>
    </row>
    <row r="751" spans="1:3" x14ac:dyDescent="0.25">
      <c r="A751" s="155">
        <f t="shared" si="35"/>
        <v>736</v>
      </c>
      <c r="B751" s="151">
        <f t="shared" ca="1" si="33"/>
        <v>26.123038556156494</v>
      </c>
      <c r="C751" s="158">
        <f t="shared" ca="1" si="34"/>
        <v>1</v>
      </c>
    </row>
    <row r="752" spans="1:3" x14ac:dyDescent="0.25">
      <c r="A752" s="155">
        <f t="shared" si="35"/>
        <v>737</v>
      </c>
      <c r="B752" s="151">
        <f t="shared" ca="1" si="33"/>
        <v>36.827474171877284</v>
      </c>
      <c r="C752" s="158">
        <f t="shared" ca="1" si="34"/>
        <v>1</v>
      </c>
    </row>
    <row r="753" spans="1:3" x14ac:dyDescent="0.25">
      <c r="A753" s="155">
        <f t="shared" si="35"/>
        <v>738</v>
      </c>
      <c r="B753" s="151">
        <f t="shared" ca="1" si="33"/>
        <v>51.741282478972934</v>
      </c>
      <c r="C753" s="158">
        <f t="shared" ca="1" si="34"/>
        <v>1</v>
      </c>
    </row>
    <row r="754" spans="1:3" x14ac:dyDescent="0.25">
      <c r="A754" s="155">
        <f t="shared" si="35"/>
        <v>739</v>
      </c>
      <c r="B754" s="151">
        <f t="shared" ca="1" si="33"/>
        <v>55.961255508907229</v>
      </c>
      <c r="C754" s="158">
        <f t="shared" ca="1" si="34"/>
        <v>1</v>
      </c>
    </row>
    <row r="755" spans="1:3" x14ac:dyDescent="0.25">
      <c r="A755" s="155">
        <f t="shared" si="35"/>
        <v>740</v>
      </c>
      <c r="B755" s="151">
        <f t="shared" ca="1" si="33"/>
        <v>23.090832783949608</v>
      </c>
      <c r="C755" s="158">
        <f t="shared" ca="1" si="34"/>
        <v>0</v>
      </c>
    </row>
    <row r="756" spans="1:3" x14ac:dyDescent="0.25">
      <c r="A756" s="155">
        <f t="shared" si="35"/>
        <v>741</v>
      </c>
      <c r="B756" s="151">
        <f t="shared" ca="1" si="33"/>
        <v>31.206673195937142</v>
      </c>
      <c r="C756" s="158">
        <f t="shared" ca="1" si="34"/>
        <v>1</v>
      </c>
    </row>
    <row r="757" spans="1:3" x14ac:dyDescent="0.25">
      <c r="A757" s="155">
        <f t="shared" si="35"/>
        <v>742</v>
      </c>
      <c r="B757" s="151">
        <f t="shared" ca="1" si="33"/>
        <v>47.412223006881106</v>
      </c>
      <c r="C757" s="158">
        <f t="shared" ca="1" si="34"/>
        <v>1</v>
      </c>
    </row>
    <row r="758" spans="1:3" x14ac:dyDescent="0.25">
      <c r="A758" s="155">
        <f t="shared" si="35"/>
        <v>743</v>
      </c>
      <c r="B758" s="151">
        <f t="shared" ca="1" si="33"/>
        <v>21.277430356278547</v>
      </c>
      <c r="C758" s="158">
        <f t="shared" ca="1" si="34"/>
        <v>0</v>
      </c>
    </row>
    <row r="759" spans="1:3" x14ac:dyDescent="0.25">
      <c r="A759" s="155">
        <f t="shared" si="35"/>
        <v>744</v>
      </c>
      <c r="B759" s="151">
        <f t="shared" ca="1" si="33"/>
        <v>24.845867259283565</v>
      </c>
      <c r="C759" s="158">
        <f t="shared" ca="1" si="34"/>
        <v>0</v>
      </c>
    </row>
    <row r="760" spans="1:3" x14ac:dyDescent="0.25">
      <c r="A760" s="155">
        <f t="shared" si="35"/>
        <v>745</v>
      </c>
      <c r="B760" s="151">
        <f t="shared" ca="1" si="33"/>
        <v>58.997232058135516</v>
      </c>
      <c r="C760" s="158">
        <f t="shared" ca="1" si="34"/>
        <v>1</v>
      </c>
    </row>
    <row r="761" spans="1:3" x14ac:dyDescent="0.25">
      <c r="A761" s="155">
        <f t="shared" si="35"/>
        <v>746</v>
      </c>
      <c r="B761" s="151">
        <f t="shared" ca="1" si="33"/>
        <v>63.168468175676963</v>
      </c>
      <c r="C761" s="158">
        <f t="shared" ca="1" si="34"/>
        <v>1</v>
      </c>
    </row>
    <row r="762" spans="1:3" x14ac:dyDescent="0.25">
      <c r="A762" s="155">
        <f t="shared" si="35"/>
        <v>747</v>
      </c>
      <c r="B762" s="151">
        <f t="shared" ca="1" si="33"/>
        <v>32.340540855735362</v>
      </c>
      <c r="C762" s="158">
        <f t="shared" ca="1" si="34"/>
        <v>1</v>
      </c>
    </row>
    <row r="763" spans="1:3" x14ac:dyDescent="0.25">
      <c r="A763" s="155">
        <f t="shared" si="35"/>
        <v>748</v>
      </c>
      <c r="B763" s="151">
        <f t="shared" ca="1" si="33"/>
        <v>24.095610969550201</v>
      </c>
      <c r="C763" s="158">
        <f t="shared" ca="1" si="34"/>
        <v>0</v>
      </c>
    </row>
    <row r="764" spans="1:3" x14ac:dyDescent="0.25">
      <c r="A764" s="155">
        <f t="shared" si="35"/>
        <v>749</v>
      </c>
      <c r="B764" s="151">
        <f t="shared" ca="1" si="33"/>
        <v>8.7842123069847524</v>
      </c>
      <c r="C764" s="158">
        <f t="shared" ca="1" si="34"/>
        <v>0</v>
      </c>
    </row>
    <row r="765" spans="1:3" x14ac:dyDescent="0.25">
      <c r="A765" s="155">
        <f t="shared" si="35"/>
        <v>750</v>
      </c>
      <c r="B765" s="151">
        <f t="shared" ca="1" si="33"/>
        <v>78.408356075925099</v>
      </c>
      <c r="C765" s="158">
        <f t="shared" ca="1" si="34"/>
        <v>1</v>
      </c>
    </row>
    <row r="766" spans="1:3" x14ac:dyDescent="0.25">
      <c r="A766" s="155">
        <f t="shared" si="35"/>
        <v>751</v>
      </c>
      <c r="B766" s="151">
        <f t="shared" ca="1" si="33"/>
        <v>31.389279554462398</v>
      </c>
      <c r="C766" s="158">
        <f t="shared" ca="1" si="34"/>
        <v>1</v>
      </c>
    </row>
    <row r="767" spans="1:3" x14ac:dyDescent="0.25">
      <c r="A767" s="155">
        <f t="shared" si="35"/>
        <v>752</v>
      </c>
      <c r="B767" s="151">
        <f t="shared" ca="1" si="33"/>
        <v>30.436648609606184</v>
      </c>
      <c r="C767" s="158">
        <f t="shared" ca="1" si="34"/>
        <v>1</v>
      </c>
    </row>
    <row r="768" spans="1:3" x14ac:dyDescent="0.25">
      <c r="A768" s="155">
        <f t="shared" si="35"/>
        <v>753</v>
      </c>
      <c r="B768" s="151">
        <f t="shared" ca="1" si="33"/>
        <v>36.829144170144119</v>
      </c>
      <c r="C768" s="158">
        <f t="shared" ca="1" si="34"/>
        <v>1</v>
      </c>
    </row>
    <row r="769" spans="1:3" x14ac:dyDescent="0.25">
      <c r="A769" s="155">
        <f t="shared" si="35"/>
        <v>754</v>
      </c>
      <c r="B769" s="151">
        <f t="shared" ca="1" si="33"/>
        <v>29.288382560503802</v>
      </c>
      <c r="C769" s="158">
        <f t="shared" ca="1" si="34"/>
        <v>1</v>
      </c>
    </row>
    <row r="770" spans="1:3" x14ac:dyDescent="0.25">
      <c r="A770" s="155">
        <f t="shared" si="35"/>
        <v>755</v>
      </c>
      <c r="B770" s="151">
        <f t="shared" ca="1" si="33"/>
        <v>6.4546707987023595</v>
      </c>
      <c r="C770" s="158">
        <f t="shared" ca="1" si="34"/>
        <v>0</v>
      </c>
    </row>
    <row r="771" spans="1:3" x14ac:dyDescent="0.25">
      <c r="A771" s="155">
        <f t="shared" si="35"/>
        <v>756</v>
      </c>
      <c r="B771" s="151">
        <f t="shared" ca="1" si="33"/>
        <v>45.260980945708717</v>
      </c>
      <c r="C771" s="158">
        <f t="shared" ca="1" si="34"/>
        <v>1</v>
      </c>
    </row>
    <row r="772" spans="1:3" x14ac:dyDescent="0.25">
      <c r="A772" s="155">
        <f t="shared" si="35"/>
        <v>757</v>
      </c>
      <c r="B772" s="151">
        <f t="shared" ca="1" si="33"/>
        <v>58.166088919138062</v>
      </c>
      <c r="C772" s="158">
        <f t="shared" ca="1" si="34"/>
        <v>1</v>
      </c>
    </row>
    <row r="773" spans="1:3" x14ac:dyDescent="0.25">
      <c r="A773" s="155">
        <f t="shared" si="35"/>
        <v>758</v>
      </c>
      <c r="B773" s="151">
        <f t="shared" ca="1" si="33"/>
        <v>21.62291687010238</v>
      </c>
      <c r="C773" s="158">
        <f t="shared" ca="1" si="34"/>
        <v>0</v>
      </c>
    </row>
    <row r="774" spans="1:3" x14ac:dyDescent="0.25">
      <c r="A774" s="155">
        <f t="shared" si="35"/>
        <v>759</v>
      </c>
      <c r="B774" s="151">
        <f t="shared" ca="1" si="33"/>
        <v>53.94324203799377</v>
      </c>
      <c r="C774" s="158">
        <f t="shared" ca="1" si="34"/>
        <v>1</v>
      </c>
    </row>
    <row r="775" spans="1:3" x14ac:dyDescent="0.25">
      <c r="A775" s="155">
        <f t="shared" si="35"/>
        <v>760</v>
      </c>
      <c r="B775" s="151">
        <f t="shared" ca="1" si="33"/>
        <v>31.550456893377415</v>
      </c>
      <c r="C775" s="158">
        <f t="shared" ca="1" si="34"/>
        <v>1</v>
      </c>
    </row>
    <row r="776" spans="1:3" x14ac:dyDescent="0.25">
      <c r="A776" s="155">
        <f t="shared" si="35"/>
        <v>761</v>
      </c>
      <c r="B776" s="151">
        <f t="shared" ca="1" si="33"/>
        <v>-6.1593243001132194</v>
      </c>
      <c r="C776" s="158">
        <f t="shared" ca="1" si="34"/>
        <v>0</v>
      </c>
    </row>
    <row r="777" spans="1:3" x14ac:dyDescent="0.25">
      <c r="A777" s="155">
        <f t="shared" si="35"/>
        <v>762</v>
      </c>
      <c r="B777" s="151">
        <f t="shared" ca="1" si="33"/>
        <v>42.976436088010722</v>
      </c>
      <c r="C777" s="158">
        <f t="shared" ca="1" si="34"/>
        <v>1</v>
      </c>
    </row>
    <row r="778" spans="1:3" x14ac:dyDescent="0.25">
      <c r="A778" s="155">
        <f t="shared" si="35"/>
        <v>763</v>
      </c>
      <c r="B778" s="151">
        <f t="shared" ca="1" si="33"/>
        <v>41.149019086668304</v>
      </c>
      <c r="C778" s="158">
        <f t="shared" ca="1" si="34"/>
        <v>1</v>
      </c>
    </row>
    <row r="779" spans="1:3" x14ac:dyDescent="0.25">
      <c r="A779" s="155">
        <f t="shared" si="35"/>
        <v>764</v>
      </c>
      <c r="B779" s="151">
        <f t="shared" ca="1" si="33"/>
        <v>44.110060997145922</v>
      </c>
      <c r="C779" s="158">
        <f t="shared" ca="1" si="34"/>
        <v>1</v>
      </c>
    </row>
    <row r="780" spans="1:3" x14ac:dyDescent="0.25">
      <c r="A780" s="155">
        <f t="shared" si="35"/>
        <v>765</v>
      </c>
      <c r="B780" s="151">
        <f t="shared" ca="1" si="33"/>
        <v>38.209736240901726</v>
      </c>
      <c r="C780" s="158">
        <f t="shared" ca="1" si="34"/>
        <v>1</v>
      </c>
    </row>
    <row r="781" spans="1:3" x14ac:dyDescent="0.25">
      <c r="A781" s="155">
        <f t="shared" si="35"/>
        <v>766</v>
      </c>
      <c r="B781" s="151">
        <f t="shared" ca="1" si="33"/>
        <v>26.008418137882671</v>
      </c>
      <c r="C781" s="158">
        <f t="shared" ca="1" si="34"/>
        <v>1</v>
      </c>
    </row>
    <row r="782" spans="1:3" x14ac:dyDescent="0.25">
      <c r="A782" s="155">
        <f t="shared" si="35"/>
        <v>767</v>
      </c>
      <c r="B782" s="151">
        <f t="shared" ca="1" si="33"/>
        <v>47.864444113002975</v>
      </c>
      <c r="C782" s="158">
        <f t="shared" ca="1" si="34"/>
        <v>1</v>
      </c>
    </row>
    <row r="783" spans="1:3" x14ac:dyDescent="0.25">
      <c r="A783" s="155">
        <f t="shared" si="35"/>
        <v>768</v>
      </c>
      <c r="B783" s="151">
        <f t="shared" ca="1" si="33"/>
        <v>45.744344058976253</v>
      </c>
      <c r="C783" s="158">
        <f t="shared" ca="1" si="34"/>
        <v>1</v>
      </c>
    </row>
    <row r="784" spans="1:3" x14ac:dyDescent="0.25">
      <c r="A784" s="155">
        <f t="shared" si="35"/>
        <v>769</v>
      </c>
      <c r="B784" s="151">
        <f t="shared" ca="1" si="33"/>
        <v>25.749178096384043</v>
      </c>
      <c r="C784" s="158">
        <f t="shared" ca="1" si="34"/>
        <v>1</v>
      </c>
    </row>
    <row r="785" spans="1:3" x14ac:dyDescent="0.25">
      <c r="A785" s="155">
        <f t="shared" si="35"/>
        <v>770</v>
      </c>
      <c r="B785" s="151">
        <f t="shared" ref="B785:B848" ca="1" si="36">_xlfn.NORM.INV(RAND(), $B$9, $B$10)</f>
        <v>16.017975260421697</v>
      </c>
      <c r="C785" s="158">
        <f t="shared" ref="C785:C848" ca="1" si="37">IF(B785 &gt;= $B$11, 1, 0)</f>
        <v>0</v>
      </c>
    </row>
    <row r="786" spans="1:3" x14ac:dyDescent="0.25">
      <c r="A786" s="155">
        <f t="shared" ref="A786:A849" si="38">+A785+1</f>
        <v>771</v>
      </c>
      <c r="B786" s="151">
        <f t="shared" ca="1" si="36"/>
        <v>5.811781595503188</v>
      </c>
      <c r="C786" s="158">
        <f t="shared" ca="1" si="37"/>
        <v>0</v>
      </c>
    </row>
    <row r="787" spans="1:3" x14ac:dyDescent="0.25">
      <c r="A787" s="155">
        <f t="shared" si="38"/>
        <v>772</v>
      </c>
      <c r="B787" s="151">
        <f t="shared" ca="1" si="36"/>
        <v>12.675494723994522</v>
      </c>
      <c r="C787" s="158">
        <f t="shared" ca="1" si="37"/>
        <v>0</v>
      </c>
    </row>
    <row r="788" spans="1:3" x14ac:dyDescent="0.25">
      <c r="A788" s="155">
        <f t="shared" si="38"/>
        <v>773</v>
      </c>
      <c r="B788" s="151">
        <f t="shared" ca="1" si="36"/>
        <v>-13.293148007083808</v>
      </c>
      <c r="C788" s="158">
        <f t="shared" ca="1" si="37"/>
        <v>0</v>
      </c>
    </row>
    <row r="789" spans="1:3" x14ac:dyDescent="0.25">
      <c r="A789" s="155">
        <f t="shared" si="38"/>
        <v>774</v>
      </c>
      <c r="B789" s="151">
        <f t="shared" ca="1" si="36"/>
        <v>38.99042029790774</v>
      </c>
      <c r="C789" s="158">
        <f t="shared" ca="1" si="37"/>
        <v>1</v>
      </c>
    </row>
    <row r="790" spans="1:3" x14ac:dyDescent="0.25">
      <c r="A790" s="155">
        <f t="shared" si="38"/>
        <v>775</v>
      </c>
      <c r="B790" s="151">
        <f t="shared" ca="1" si="36"/>
        <v>36.591423781220442</v>
      </c>
      <c r="C790" s="158">
        <f t="shared" ca="1" si="37"/>
        <v>1</v>
      </c>
    </row>
    <row r="791" spans="1:3" x14ac:dyDescent="0.25">
      <c r="A791" s="155">
        <f t="shared" si="38"/>
        <v>776</v>
      </c>
      <c r="B791" s="151">
        <f t="shared" ca="1" si="36"/>
        <v>32.442226579354653</v>
      </c>
      <c r="C791" s="158">
        <f t="shared" ca="1" si="37"/>
        <v>1</v>
      </c>
    </row>
    <row r="792" spans="1:3" x14ac:dyDescent="0.25">
      <c r="A792" s="155">
        <f t="shared" si="38"/>
        <v>777</v>
      </c>
      <c r="B792" s="151">
        <f t="shared" ca="1" si="36"/>
        <v>56.950228710671219</v>
      </c>
      <c r="C792" s="158">
        <f t="shared" ca="1" si="37"/>
        <v>1</v>
      </c>
    </row>
    <row r="793" spans="1:3" x14ac:dyDescent="0.25">
      <c r="A793" s="155">
        <f t="shared" si="38"/>
        <v>778</v>
      </c>
      <c r="B793" s="151">
        <f t="shared" ca="1" si="36"/>
        <v>85.209921714851333</v>
      </c>
      <c r="C793" s="158">
        <f t="shared" ca="1" si="37"/>
        <v>1</v>
      </c>
    </row>
    <row r="794" spans="1:3" x14ac:dyDescent="0.25">
      <c r="A794" s="155">
        <f t="shared" si="38"/>
        <v>779</v>
      </c>
      <c r="B794" s="151">
        <f t="shared" ca="1" si="36"/>
        <v>-5.7109253746754973</v>
      </c>
      <c r="C794" s="158">
        <f t="shared" ca="1" si="37"/>
        <v>0</v>
      </c>
    </row>
    <row r="795" spans="1:3" x14ac:dyDescent="0.25">
      <c r="A795" s="155">
        <f t="shared" si="38"/>
        <v>780</v>
      </c>
      <c r="B795" s="151">
        <f t="shared" ca="1" si="36"/>
        <v>57.609012054126005</v>
      </c>
      <c r="C795" s="158">
        <f t="shared" ca="1" si="37"/>
        <v>1</v>
      </c>
    </row>
    <row r="796" spans="1:3" x14ac:dyDescent="0.25">
      <c r="A796" s="155">
        <f t="shared" si="38"/>
        <v>781</v>
      </c>
      <c r="B796" s="151">
        <f t="shared" ca="1" si="36"/>
        <v>45.14157230937834</v>
      </c>
      <c r="C796" s="158">
        <f t="shared" ca="1" si="37"/>
        <v>1</v>
      </c>
    </row>
    <row r="797" spans="1:3" x14ac:dyDescent="0.25">
      <c r="A797" s="155">
        <f t="shared" si="38"/>
        <v>782</v>
      </c>
      <c r="B797" s="151">
        <f t="shared" ca="1" si="36"/>
        <v>21.462075971972411</v>
      </c>
      <c r="C797" s="158">
        <f t="shared" ca="1" si="37"/>
        <v>0</v>
      </c>
    </row>
    <row r="798" spans="1:3" x14ac:dyDescent="0.25">
      <c r="A798" s="155">
        <f t="shared" si="38"/>
        <v>783</v>
      </c>
      <c r="B798" s="151">
        <f t="shared" ca="1" si="36"/>
        <v>16.307567369787201</v>
      </c>
      <c r="C798" s="158">
        <f t="shared" ca="1" si="37"/>
        <v>0</v>
      </c>
    </row>
    <row r="799" spans="1:3" x14ac:dyDescent="0.25">
      <c r="A799" s="155">
        <f t="shared" si="38"/>
        <v>784</v>
      </c>
      <c r="B799" s="151">
        <f t="shared" ca="1" si="36"/>
        <v>50.510962075011648</v>
      </c>
      <c r="C799" s="158">
        <f t="shared" ca="1" si="37"/>
        <v>1</v>
      </c>
    </row>
    <row r="800" spans="1:3" x14ac:dyDescent="0.25">
      <c r="A800" s="155">
        <f t="shared" si="38"/>
        <v>785</v>
      </c>
      <c r="B800" s="151">
        <f t="shared" ca="1" si="36"/>
        <v>14.939771906682065</v>
      </c>
      <c r="C800" s="158">
        <f t="shared" ca="1" si="37"/>
        <v>0</v>
      </c>
    </row>
    <row r="801" spans="1:3" x14ac:dyDescent="0.25">
      <c r="A801" s="155">
        <f t="shared" si="38"/>
        <v>786</v>
      </c>
      <c r="B801" s="151">
        <f t="shared" ca="1" si="36"/>
        <v>20.390710099782332</v>
      </c>
      <c r="C801" s="158">
        <f t="shared" ca="1" si="37"/>
        <v>0</v>
      </c>
    </row>
    <row r="802" spans="1:3" x14ac:dyDescent="0.25">
      <c r="A802" s="155">
        <f t="shared" si="38"/>
        <v>787</v>
      </c>
      <c r="B802" s="151">
        <f t="shared" ca="1" si="36"/>
        <v>40.843744032369415</v>
      </c>
      <c r="C802" s="158">
        <f t="shared" ca="1" si="37"/>
        <v>1</v>
      </c>
    </row>
    <row r="803" spans="1:3" x14ac:dyDescent="0.25">
      <c r="A803" s="155">
        <f t="shared" si="38"/>
        <v>788</v>
      </c>
      <c r="B803" s="151">
        <f t="shared" ca="1" si="36"/>
        <v>66.949476753562962</v>
      </c>
      <c r="C803" s="158">
        <f t="shared" ca="1" si="37"/>
        <v>1</v>
      </c>
    </row>
    <row r="804" spans="1:3" x14ac:dyDescent="0.25">
      <c r="A804" s="155">
        <f t="shared" si="38"/>
        <v>789</v>
      </c>
      <c r="B804" s="151">
        <f t="shared" ca="1" si="36"/>
        <v>23.263872436741849</v>
      </c>
      <c r="C804" s="158">
        <f t="shared" ca="1" si="37"/>
        <v>0</v>
      </c>
    </row>
    <row r="805" spans="1:3" x14ac:dyDescent="0.25">
      <c r="A805" s="155">
        <f t="shared" si="38"/>
        <v>790</v>
      </c>
      <c r="B805" s="151">
        <f t="shared" ca="1" si="36"/>
        <v>62.681117677742421</v>
      </c>
      <c r="C805" s="158">
        <f t="shared" ca="1" si="37"/>
        <v>1</v>
      </c>
    </row>
    <row r="806" spans="1:3" x14ac:dyDescent="0.25">
      <c r="A806" s="155">
        <f t="shared" si="38"/>
        <v>791</v>
      </c>
      <c r="B806" s="151">
        <f t="shared" ca="1" si="36"/>
        <v>85.219086727488346</v>
      </c>
      <c r="C806" s="158">
        <f t="shared" ca="1" si="37"/>
        <v>1</v>
      </c>
    </row>
    <row r="807" spans="1:3" x14ac:dyDescent="0.25">
      <c r="A807" s="155">
        <f t="shared" si="38"/>
        <v>792</v>
      </c>
      <c r="B807" s="151">
        <f t="shared" ca="1" si="36"/>
        <v>54.924250953301417</v>
      </c>
      <c r="C807" s="158">
        <f t="shared" ca="1" si="37"/>
        <v>1</v>
      </c>
    </row>
    <row r="808" spans="1:3" x14ac:dyDescent="0.25">
      <c r="A808" s="155">
        <f t="shared" si="38"/>
        <v>793</v>
      </c>
      <c r="B808" s="151">
        <f t="shared" ca="1" si="36"/>
        <v>56.646450136678723</v>
      </c>
      <c r="C808" s="158">
        <f t="shared" ca="1" si="37"/>
        <v>1</v>
      </c>
    </row>
    <row r="809" spans="1:3" x14ac:dyDescent="0.25">
      <c r="A809" s="155">
        <f t="shared" si="38"/>
        <v>794</v>
      </c>
      <c r="B809" s="151">
        <f t="shared" ca="1" si="36"/>
        <v>72.016122725826946</v>
      </c>
      <c r="C809" s="158">
        <f t="shared" ca="1" si="37"/>
        <v>1</v>
      </c>
    </row>
    <row r="810" spans="1:3" x14ac:dyDescent="0.25">
      <c r="A810" s="155">
        <f t="shared" si="38"/>
        <v>795</v>
      </c>
      <c r="B810" s="151">
        <f t="shared" ca="1" si="36"/>
        <v>56.94934964407021</v>
      </c>
      <c r="C810" s="158">
        <f t="shared" ca="1" si="37"/>
        <v>1</v>
      </c>
    </row>
    <row r="811" spans="1:3" x14ac:dyDescent="0.25">
      <c r="A811" s="155">
        <f t="shared" si="38"/>
        <v>796</v>
      </c>
      <c r="B811" s="151">
        <f t="shared" ca="1" si="36"/>
        <v>21.071474234467978</v>
      </c>
      <c r="C811" s="158">
        <f t="shared" ca="1" si="37"/>
        <v>0</v>
      </c>
    </row>
    <row r="812" spans="1:3" x14ac:dyDescent="0.25">
      <c r="A812" s="155">
        <f t="shared" si="38"/>
        <v>797</v>
      </c>
      <c r="B812" s="151">
        <f t="shared" ca="1" si="36"/>
        <v>0.997034832009426</v>
      </c>
      <c r="C812" s="158">
        <f t="shared" ca="1" si="37"/>
        <v>0</v>
      </c>
    </row>
    <row r="813" spans="1:3" x14ac:dyDescent="0.25">
      <c r="A813" s="155">
        <f t="shared" si="38"/>
        <v>798</v>
      </c>
      <c r="B813" s="151">
        <f t="shared" ca="1" si="36"/>
        <v>1.0728393432853736</v>
      </c>
      <c r="C813" s="158">
        <f t="shared" ca="1" si="37"/>
        <v>0</v>
      </c>
    </row>
    <row r="814" spans="1:3" x14ac:dyDescent="0.25">
      <c r="A814" s="155">
        <f t="shared" si="38"/>
        <v>799</v>
      </c>
      <c r="B814" s="151">
        <f t="shared" ca="1" si="36"/>
        <v>25.219422226516528</v>
      </c>
      <c r="C814" s="158">
        <f t="shared" ca="1" si="37"/>
        <v>1</v>
      </c>
    </row>
    <row r="815" spans="1:3" x14ac:dyDescent="0.25">
      <c r="A815" s="155">
        <f t="shared" si="38"/>
        <v>800</v>
      </c>
      <c r="B815" s="151">
        <f t="shared" ca="1" si="36"/>
        <v>57.309518692355269</v>
      </c>
      <c r="C815" s="158">
        <f t="shared" ca="1" si="37"/>
        <v>1</v>
      </c>
    </row>
    <row r="816" spans="1:3" x14ac:dyDescent="0.25">
      <c r="A816" s="155">
        <f t="shared" si="38"/>
        <v>801</v>
      </c>
      <c r="B816" s="151">
        <f t="shared" ca="1" si="36"/>
        <v>37.120705354018604</v>
      </c>
      <c r="C816" s="158">
        <f t="shared" ca="1" si="37"/>
        <v>1</v>
      </c>
    </row>
    <row r="817" spans="1:3" x14ac:dyDescent="0.25">
      <c r="A817" s="155">
        <f t="shared" si="38"/>
        <v>802</v>
      </c>
      <c r="B817" s="151">
        <f t="shared" ca="1" si="36"/>
        <v>80.971364181319743</v>
      </c>
      <c r="C817" s="158">
        <f t="shared" ca="1" si="37"/>
        <v>1</v>
      </c>
    </row>
    <row r="818" spans="1:3" x14ac:dyDescent="0.25">
      <c r="A818" s="155">
        <f t="shared" si="38"/>
        <v>803</v>
      </c>
      <c r="B818" s="151">
        <f t="shared" ca="1" si="36"/>
        <v>80.019615779918595</v>
      </c>
      <c r="C818" s="158">
        <f t="shared" ca="1" si="37"/>
        <v>1</v>
      </c>
    </row>
    <row r="819" spans="1:3" x14ac:dyDescent="0.25">
      <c r="A819" s="155">
        <f t="shared" si="38"/>
        <v>804</v>
      </c>
      <c r="B819" s="151">
        <f t="shared" ca="1" si="36"/>
        <v>-5.4264121934285825</v>
      </c>
      <c r="C819" s="158">
        <f t="shared" ca="1" si="37"/>
        <v>0</v>
      </c>
    </row>
    <row r="820" spans="1:3" x14ac:dyDescent="0.25">
      <c r="A820" s="155">
        <f t="shared" si="38"/>
        <v>805</v>
      </c>
      <c r="B820" s="151">
        <f t="shared" ca="1" si="36"/>
        <v>-8.8734300633475272</v>
      </c>
      <c r="C820" s="158">
        <f t="shared" ca="1" si="37"/>
        <v>0</v>
      </c>
    </row>
    <row r="821" spans="1:3" x14ac:dyDescent="0.25">
      <c r="A821" s="155">
        <f t="shared" si="38"/>
        <v>806</v>
      </c>
      <c r="B821" s="151">
        <f t="shared" ca="1" si="36"/>
        <v>27.226320729379964</v>
      </c>
      <c r="C821" s="158">
        <f t="shared" ca="1" si="37"/>
        <v>1</v>
      </c>
    </row>
    <row r="822" spans="1:3" x14ac:dyDescent="0.25">
      <c r="A822" s="155">
        <f t="shared" si="38"/>
        <v>807</v>
      </c>
      <c r="B822" s="151">
        <f t="shared" ca="1" si="36"/>
        <v>57.914624681970245</v>
      </c>
      <c r="C822" s="158">
        <f t="shared" ca="1" si="37"/>
        <v>1</v>
      </c>
    </row>
    <row r="823" spans="1:3" x14ac:dyDescent="0.25">
      <c r="A823" s="155">
        <f t="shared" si="38"/>
        <v>808</v>
      </c>
      <c r="B823" s="151">
        <f t="shared" ca="1" si="36"/>
        <v>46.353526181510944</v>
      </c>
      <c r="C823" s="158">
        <f t="shared" ca="1" si="37"/>
        <v>1</v>
      </c>
    </row>
    <row r="824" spans="1:3" x14ac:dyDescent="0.25">
      <c r="A824" s="155">
        <f t="shared" si="38"/>
        <v>809</v>
      </c>
      <c r="B824" s="151">
        <f t="shared" ca="1" si="36"/>
        <v>14.521670380287613</v>
      </c>
      <c r="C824" s="158">
        <f t="shared" ca="1" si="37"/>
        <v>0</v>
      </c>
    </row>
    <row r="825" spans="1:3" x14ac:dyDescent="0.25">
      <c r="A825" s="155">
        <f t="shared" si="38"/>
        <v>810</v>
      </c>
      <c r="B825" s="151">
        <f t="shared" ca="1" si="36"/>
        <v>91.440638570765969</v>
      </c>
      <c r="C825" s="158">
        <f t="shared" ca="1" si="37"/>
        <v>1</v>
      </c>
    </row>
    <row r="826" spans="1:3" x14ac:dyDescent="0.25">
      <c r="A826" s="155">
        <f t="shared" si="38"/>
        <v>811</v>
      </c>
      <c r="B826" s="151">
        <f t="shared" ca="1" si="36"/>
        <v>42.678303429088857</v>
      </c>
      <c r="C826" s="158">
        <f t="shared" ca="1" si="37"/>
        <v>1</v>
      </c>
    </row>
    <row r="827" spans="1:3" x14ac:dyDescent="0.25">
      <c r="A827" s="155">
        <f t="shared" si="38"/>
        <v>812</v>
      </c>
      <c r="B827" s="151">
        <f t="shared" ca="1" si="36"/>
        <v>43.418456983203143</v>
      </c>
      <c r="C827" s="158">
        <f t="shared" ca="1" si="37"/>
        <v>1</v>
      </c>
    </row>
    <row r="828" spans="1:3" x14ac:dyDescent="0.25">
      <c r="A828" s="155">
        <f t="shared" si="38"/>
        <v>813</v>
      </c>
      <c r="B828" s="151">
        <f t="shared" ca="1" si="36"/>
        <v>21.8813231991207</v>
      </c>
      <c r="C828" s="158">
        <f t="shared" ca="1" si="37"/>
        <v>0</v>
      </c>
    </row>
    <row r="829" spans="1:3" x14ac:dyDescent="0.25">
      <c r="A829" s="155">
        <f t="shared" si="38"/>
        <v>814</v>
      </c>
      <c r="B829" s="151">
        <f t="shared" ca="1" si="36"/>
        <v>71.806194446855187</v>
      </c>
      <c r="C829" s="158">
        <f t="shared" ca="1" si="37"/>
        <v>1</v>
      </c>
    </row>
    <row r="830" spans="1:3" x14ac:dyDescent="0.25">
      <c r="A830" s="155">
        <f t="shared" si="38"/>
        <v>815</v>
      </c>
      <c r="B830" s="151">
        <f t="shared" ca="1" si="36"/>
        <v>20.203688888820516</v>
      </c>
      <c r="C830" s="158">
        <f t="shared" ca="1" si="37"/>
        <v>0</v>
      </c>
    </row>
    <row r="831" spans="1:3" x14ac:dyDescent="0.25">
      <c r="A831" s="155">
        <f t="shared" si="38"/>
        <v>816</v>
      </c>
      <c r="B831" s="151">
        <f t="shared" ca="1" si="36"/>
        <v>22.386287730147071</v>
      </c>
      <c r="C831" s="158">
        <f t="shared" ca="1" si="37"/>
        <v>0</v>
      </c>
    </row>
    <row r="832" spans="1:3" x14ac:dyDescent="0.25">
      <c r="A832" s="155">
        <f t="shared" si="38"/>
        <v>817</v>
      </c>
      <c r="B832" s="151">
        <f t="shared" ca="1" si="36"/>
        <v>73.653724736532638</v>
      </c>
      <c r="C832" s="158">
        <f t="shared" ca="1" si="37"/>
        <v>1</v>
      </c>
    </row>
    <row r="833" spans="1:3" x14ac:dyDescent="0.25">
      <c r="A833" s="155">
        <f t="shared" si="38"/>
        <v>818</v>
      </c>
      <c r="B833" s="151">
        <f t="shared" ca="1" si="36"/>
        <v>72.745315408453024</v>
      </c>
      <c r="C833" s="158">
        <f t="shared" ca="1" si="37"/>
        <v>1</v>
      </c>
    </row>
    <row r="834" spans="1:3" x14ac:dyDescent="0.25">
      <c r="A834" s="155">
        <f t="shared" si="38"/>
        <v>819</v>
      </c>
      <c r="B834" s="151">
        <f t="shared" ca="1" si="36"/>
        <v>-14.591596231922082</v>
      </c>
      <c r="C834" s="158">
        <f t="shared" ca="1" si="37"/>
        <v>0</v>
      </c>
    </row>
    <row r="835" spans="1:3" x14ac:dyDescent="0.25">
      <c r="A835" s="155">
        <f t="shared" si="38"/>
        <v>820</v>
      </c>
      <c r="B835" s="151">
        <f t="shared" ca="1" si="36"/>
        <v>31.997928519229639</v>
      </c>
      <c r="C835" s="158">
        <f t="shared" ca="1" si="37"/>
        <v>1</v>
      </c>
    </row>
    <row r="836" spans="1:3" x14ac:dyDescent="0.25">
      <c r="A836" s="155">
        <f t="shared" si="38"/>
        <v>821</v>
      </c>
      <c r="B836" s="151">
        <f t="shared" ca="1" si="36"/>
        <v>34.732481427394056</v>
      </c>
      <c r="C836" s="158">
        <f t="shared" ca="1" si="37"/>
        <v>1</v>
      </c>
    </row>
    <row r="837" spans="1:3" x14ac:dyDescent="0.25">
      <c r="A837" s="155">
        <f t="shared" si="38"/>
        <v>822</v>
      </c>
      <c r="B837" s="151">
        <f t="shared" ca="1" si="36"/>
        <v>37.560685425043495</v>
      </c>
      <c r="C837" s="158">
        <f t="shared" ca="1" si="37"/>
        <v>1</v>
      </c>
    </row>
    <row r="838" spans="1:3" x14ac:dyDescent="0.25">
      <c r="A838" s="155">
        <f t="shared" si="38"/>
        <v>823</v>
      </c>
      <c r="B838" s="151">
        <f t="shared" ca="1" si="36"/>
        <v>35.264683856168993</v>
      </c>
      <c r="C838" s="158">
        <f t="shared" ca="1" si="37"/>
        <v>1</v>
      </c>
    </row>
    <row r="839" spans="1:3" x14ac:dyDescent="0.25">
      <c r="A839" s="155">
        <f t="shared" si="38"/>
        <v>824</v>
      </c>
      <c r="B839" s="151">
        <f t="shared" ca="1" si="36"/>
        <v>42.645094971037707</v>
      </c>
      <c r="C839" s="158">
        <f t="shared" ca="1" si="37"/>
        <v>1</v>
      </c>
    </row>
    <row r="840" spans="1:3" x14ac:dyDescent="0.25">
      <c r="A840" s="155">
        <f t="shared" si="38"/>
        <v>825</v>
      </c>
      <c r="B840" s="151">
        <f t="shared" ca="1" si="36"/>
        <v>54.202964159378332</v>
      </c>
      <c r="C840" s="158">
        <f t="shared" ca="1" si="37"/>
        <v>1</v>
      </c>
    </row>
    <row r="841" spans="1:3" x14ac:dyDescent="0.25">
      <c r="A841" s="155">
        <f t="shared" si="38"/>
        <v>826</v>
      </c>
      <c r="B841" s="151">
        <f t="shared" ca="1" si="36"/>
        <v>21.807883975234461</v>
      </c>
      <c r="C841" s="158">
        <f t="shared" ca="1" si="37"/>
        <v>0</v>
      </c>
    </row>
    <row r="842" spans="1:3" x14ac:dyDescent="0.25">
      <c r="A842" s="155">
        <f t="shared" si="38"/>
        <v>827</v>
      </c>
      <c r="B842" s="151">
        <f t="shared" ca="1" si="36"/>
        <v>22.71271607809215</v>
      </c>
      <c r="C842" s="158">
        <f t="shared" ca="1" si="37"/>
        <v>0</v>
      </c>
    </row>
    <row r="843" spans="1:3" x14ac:dyDescent="0.25">
      <c r="A843" s="155">
        <f t="shared" si="38"/>
        <v>828</v>
      </c>
      <c r="B843" s="151">
        <f t="shared" ca="1" si="36"/>
        <v>-3.6396182971824018</v>
      </c>
      <c r="C843" s="158">
        <f t="shared" ca="1" si="37"/>
        <v>0</v>
      </c>
    </row>
    <row r="844" spans="1:3" x14ac:dyDescent="0.25">
      <c r="A844" s="155">
        <f t="shared" si="38"/>
        <v>829</v>
      </c>
      <c r="B844" s="151">
        <f t="shared" ca="1" si="36"/>
        <v>27.972199188348586</v>
      </c>
      <c r="C844" s="158">
        <f t="shared" ca="1" si="37"/>
        <v>1</v>
      </c>
    </row>
    <row r="845" spans="1:3" x14ac:dyDescent="0.25">
      <c r="A845" s="155">
        <f t="shared" si="38"/>
        <v>830</v>
      </c>
      <c r="B845" s="151">
        <f t="shared" ca="1" si="36"/>
        <v>66.548677752305096</v>
      </c>
      <c r="C845" s="158">
        <f t="shared" ca="1" si="37"/>
        <v>1</v>
      </c>
    </row>
    <row r="846" spans="1:3" x14ac:dyDescent="0.25">
      <c r="A846" s="155">
        <f t="shared" si="38"/>
        <v>831</v>
      </c>
      <c r="B846" s="151">
        <f t="shared" ca="1" si="36"/>
        <v>-27.22066956335253</v>
      </c>
      <c r="C846" s="158">
        <f t="shared" ca="1" si="37"/>
        <v>0</v>
      </c>
    </row>
    <row r="847" spans="1:3" x14ac:dyDescent="0.25">
      <c r="A847" s="155">
        <f t="shared" si="38"/>
        <v>832</v>
      </c>
      <c r="B847" s="151">
        <f t="shared" ca="1" si="36"/>
        <v>78.033695574238294</v>
      </c>
      <c r="C847" s="158">
        <f t="shared" ca="1" si="37"/>
        <v>1</v>
      </c>
    </row>
    <row r="848" spans="1:3" x14ac:dyDescent="0.25">
      <c r="A848" s="155">
        <f t="shared" si="38"/>
        <v>833</v>
      </c>
      <c r="B848" s="151">
        <f t="shared" ca="1" si="36"/>
        <v>8.7420917876127113</v>
      </c>
      <c r="C848" s="158">
        <f t="shared" ca="1" si="37"/>
        <v>0</v>
      </c>
    </row>
    <row r="849" spans="1:3" x14ac:dyDescent="0.25">
      <c r="A849" s="155">
        <f t="shared" si="38"/>
        <v>834</v>
      </c>
      <c r="B849" s="151">
        <f t="shared" ref="B849:B912" ca="1" si="39">_xlfn.NORM.INV(RAND(), $B$9, $B$10)</f>
        <v>45.355641202618678</v>
      </c>
      <c r="C849" s="158">
        <f t="shared" ref="C849:C912" ca="1" si="40">IF(B849 &gt;= $B$11, 1, 0)</f>
        <v>1</v>
      </c>
    </row>
    <row r="850" spans="1:3" x14ac:dyDescent="0.25">
      <c r="A850" s="155">
        <f t="shared" ref="A850:A913" si="41">+A849+1</f>
        <v>835</v>
      </c>
      <c r="B850" s="151">
        <f t="shared" ca="1" si="39"/>
        <v>17.521753785058934</v>
      </c>
      <c r="C850" s="158">
        <f t="shared" ca="1" si="40"/>
        <v>0</v>
      </c>
    </row>
    <row r="851" spans="1:3" x14ac:dyDescent="0.25">
      <c r="A851" s="155">
        <f t="shared" si="41"/>
        <v>836</v>
      </c>
      <c r="B851" s="151">
        <f t="shared" ca="1" si="39"/>
        <v>29.090321677039682</v>
      </c>
      <c r="C851" s="158">
        <f t="shared" ca="1" si="40"/>
        <v>1</v>
      </c>
    </row>
    <row r="852" spans="1:3" x14ac:dyDescent="0.25">
      <c r="A852" s="155">
        <f t="shared" si="41"/>
        <v>837</v>
      </c>
      <c r="B852" s="151">
        <f t="shared" ca="1" si="39"/>
        <v>45.617856450003323</v>
      </c>
      <c r="C852" s="158">
        <f t="shared" ca="1" si="40"/>
        <v>1</v>
      </c>
    </row>
    <row r="853" spans="1:3" x14ac:dyDescent="0.25">
      <c r="A853" s="155">
        <f t="shared" si="41"/>
        <v>838</v>
      </c>
      <c r="B853" s="151">
        <f t="shared" ca="1" si="39"/>
        <v>40.417751136763208</v>
      </c>
      <c r="C853" s="158">
        <f t="shared" ca="1" si="40"/>
        <v>1</v>
      </c>
    </row>
    <row r="854" spans="1:3" x14ac:dyDescent="0.25">
      <c r="A854" s="155">
        <f t="shared" si="41"/>
        <v>839</v>
      </c>
      <c r="B854" s="151">
        <f t="shared" ca="1" si="39"/>
        <v>36.298651823509068</v>
      </c>
      <c r="C854" s="158">
        <f t="shared" ca="1" si="40"/>
        <v>1</v>
      </c>
    </row>
    <row r="855" spans="1:3" x14ac:dyDescent="0.25">
      <c r="A855" s="155">
        <f t="shared" si="41"/>
        <v>840</v>
      </c>
      <c r="B855" s="151">
        <f t="shared" ca="1" si="39"/>
        <v>-5.5906099369191438</v>
      </c>
      <c r="C855" s="158">
        <f t="shared" ca="1" si="40"/>
        <v>0</v>
      </c>
    </row>
    <row r="856" spans="1:3" x14ac:dyDescent="0.25">
      <c r="A856" s="155">
        <f t="shared" si="41"/>
        <v>841</v>
      </c>
      <c r="B856" s="151">
        <f t="shared" ca="1" si="39"/>
        <v>36.776871842296273</v>
      </c>
      <c r="C856" s="158">
        <f t="shared" ca="1" si="40"/>
        <v>1</v>
      </c>
    </row>
    <row r="857" spans="1:3" x14ac:dyDescent="0.25">
      <c r="A857" s="155">
        <f t="shared" si="41"/>
        <v>842</v>
      </c>
      <c r="B857" s="151">
        <f t="shared" ca="1" si="39"/>
        <v>17.490687617047641</v>
      </c>
      <c r="C857" s="158">
        <f t="shared" ca="1" si="40"/>
        <v>0</v>
      </c>
    </row>
    <row r="858" spans="1:3" x14ac:dyDescent="0.25">
      <c r="A858" s="155">
        <f t="shared" si="41"/>
        <v>843</v>
      </c>
      <c r="B858" s="151">
        <f t="shared" ca="1" si="39"/>
        <v>51.039828109044734</v>
      </c>
      <c r="C858" s="158">
        <f t="shared" ca="1" si="40"/>
        <v>1</v>
      </c>
    </row>
    <row r="859" spans="1:3" x14ac:dyDescent="0.25">
      <c r="A859" s="155">
        <f t="shared" si="41"/>
        <v>844</v>
      </c>
      <c r="B859" s="151">
        <f t="shared" ca="1" si="39"/>
        <v>63.621974879610391</v>
      </c>
      <c r="C859" s="158">
        <f t="shared" ca="1" si="40"/>
        <v>1</v>
      </c>
    </row>
    <row r="860" spans="1:3" x14ac:dyDescent="0.25">
      <c r="A860" s="155">
        <f t="shared" si="41"/>
        <v>845</v>
      </c>
      <c r="B860" s="151">
        <f t="shared" ca="1" si="39"/>
        <v>60.217859252233993</v>
      </c>
      <c r="C860" s="158">
        <f t="shared" ca="1" si="40"/>
        <v>1</v>
      </c>
    </row>
    <row r="861" spans="1:3" x14ac:dyDescent="0.25">
      <c r="A861" s="155">
        <f t="shared" si="41"/>
        <v>846</v>
      </c>
      <c r="B861" s="151">
        <f t="shared" ca="1" si="39"/>
        <v>-5.5234364849045434</v>
      </c>
      <c r="C861" s="158">
        <f t="shared" ca="1" si="40"/>
        <v>0</v>
      </c>
    </row>
    <row r="862" spans="1:3" x14ac:dyDescent="0.25">
      <c r="A862" s="155">
        <f t="shared" si="41"/>
        <v>847</v>
      </c>
      <c r="B862" s="151">
        <f t="shared" ca="1" si="39"/>
        <v>33.523004352109282</v>
      </c>
      <c r="C862" s="158">
        <f t="shared" ca="1" si="40"/>
        <v>1</v>
      </c>
    </row>
    <row r="863" spans="1:3" x14ac:dyDescent="0.25">
      <c r="A863" s="155">
        <f t="shared" si="41"/>
        <v>848</v>
      </c>
      <c r="B863" s="151">
        <f t="shared" ca="1" si="39"/>
        <v>3.0405048738973122</v>
      </c>
      <c r="C863" s="158">
        <f t="shared" ca="1" si="40"/>
        <v>0</v>
      </c>
    </row>
    <row r="864" spans="1:3" x14ac:dyDescent="0.25">
      <c r="A864" s="155">
        <f t="shared" si="41"/>
        <v>849</v>
      </c>
      <c r="B864" s="151">
        <f t="shared" ca="1" si="39"/>
        <v>41.229603186458554</v>
      </c>
      <c r="C864" s="158">
        <f t="shared" ca="1" si="40"/>
        <v>1</v>
      </c>
    </row>
    <row r="865" spans="1:3" x14ac:dyDescent="0.25">
      <c r="A865" s="155">
        <f t="shared" si="41"/>
        <v>850</v>
      </c>
      <c r="B865" s="151">
        <f t="shared" ca="1" si="39"/>
        <v>29.599792103003146</v>
      </c>
      <c r="C865" s="158">
        <f t="shared" ca="1" si="40"/>
        <v>1</v>
      </c>
    </row>
    <row r="866" spans="1:3" x14ac:dyDescent="0.25">
      <c r="A866" s="155">
        <f t="shared" si="41"/>
        <v>851</v>
      </c>
      <c r="B866" s="151">
        <f t="shared" ca="1" si="39"/>
        <v>46.918012722735007</v>
      </c>
      <c r="C866" s="158">
        <f t="shared" ca="1" si="40"/>
        <v>1</v>
      </c>
    </row>
    <row r="867" spans="1:3" x14ac:dyDescent="0.25">
      <c r="A867" s="155">
        <f t="shared" si="41"/>
        <v>852</v>
      </c>
      <c r="B867" s="151">
        <f t="shared" ca="1" si="39"/>
        <v>-17.139464197602891</v>
      </c>
      <c r="C867" s="158">
        <f t="shared" ca="1" si="40"/>
        <v>0</v>
      </c>
    </row>
    <row r="868" spans="1:3" x14ac:dyDescent="0.25">
      <c r="A868" s="155">
        <f t="shared" si="41"/>
        <v>853</v>
      </c>
      <c r="B868" s="151">
        <f t="shared" ca="1" si="39"/>
        <v>31.470509288231998</v>
      </c>
      <c r="C868" s="158">
        <f t="shared" ca="1" si="40"/>
        <v>1</v>
      </c>
    </row>
    <row r="869" spans="1:3" x14ac:dyDescent="0.25">
      <c r="A869" s="155">
        <f t="shared" si="41"/>
        <v>854</v>
      </c>
      <c r="B869" s="151">
        <f t="shared" ca="1" si="39"/>
        <v>4.4807142667162978</v>
      </c>
      <c r="C869" s="158">
        <f t="shared" ca="1" si="40"/>
        <v>0</v>
      </c>
    </row>
    <row r="870" spans="1:3" x14ac:dyDescent="0.25">
      <c r="A870" s="155">
        <f t="shared" si="41"/>
        <v>855</v>
      </c>
      <c r="B870" s="151">
        <f t="shared" ca="1" si="39"/>
        <v>70.09114875368607</v>
      </c>
      <c r="C870" s="158">
        <f t="shared" ca="1" si="40"/>
        <v>1</v>
      </c>
    </row>
    <row r="871" spans="1:3" x14ac:dyDescent="0.25">
      <c r="A871" s="155">
        <f t="shared" si="41"/>
        <v>856</v>
      </c>
      <c r="B871" s="151">
        <f t="shared" ca="1" si="39"/>
        <v>20.355608126942727</v>
      </c>
      <c r="C871" s="158">
        <f t="shared" ca="1" si="40"/>
        <v>0</v>
      </c>
    </row>
    <row r="872" spans="1:3" x14ac:dyDescent="0.25">
      <c r="A872" s="155">
        <f t="shared" si="41"/>
        <v>857</v>
      </c>
      <c r="B872" s="151">
        <f t="shared" ca="1" si="39"/>
        <v>41.083839565255538</v>
      </c>
      <c r="C872" s="158">
        <f t="shared" ca="1" si="40"/>
        <v>1</v>
      </c>
    </row>
    <row r="873" spans="1:3" x14ac:dyDescent="0.25">
      <c r="A873" s="155">
        <f t="shared" si="41"/>
        <v>858</v>
      </c>
      <c r="B873" s="151">
        <f t="shared" ca="1" si="39"/>
        <v>40.635051158083314</v>
      </c>
      <c r="C873" s="158">
        <f t="shared" ca="1" si="40"/>
        <v>1</v>
      </c>
    </row>
    <row r="874" spans="1:3" x14ac:dyDescent="0.25">
      <c r="A874" s="155">
        <f t="shared" si="41"/>
        <v>859</v>
      </c>
      <c r="B874" s="151">
        <f t="shared" ca="1" si="39"/>
        <v>43.345628438423958</v>
      </c>
      <c r="C874" s="158">
        <f t="shared" ca="1" si="40"/>
        <v>1</v>
      </c>
    </row>
    <row r="875" spans="1:3" x14ac:dyDescent="0.25">
      <c r="A875" s="155">
        <f t="shared" si="41"/>
        <v>860</v>
      </c>
      <c r="B875" s="151">
        <f t="shared" ca="1" si="39"/>
        <v>66.396954204209464</v>
      </c>
      <c r="C875" s="158">
        <f t="shared" ca="1" si="40"/>
        <v>1</v>
      </c>
    </row>
    <row r="876" spans="1:3" x14ac:dyDescent="0.25">
      <c r="A876" s="155">
        <f t="shared" si="41"/>
        <v>861</v>
      </c>
      <c r="B876" s="151">
        <f t="shared" ca="1" si="39"/>
        <v>3.2350117605602975</v>
      </c>
      <c r="C876" s="158">
        <f t="shared" ca="1" si="40"/>
        <v>0</v>
      </c>
    </row>
    <row r="877" spans="1:3" x14ac:dyDescent="0.25">
      <c r="A877" s="155">
        <f t="shared" si="41"/>
        <v>862</v>
      </c>
      <c r="B877" s="151">
        <f t="shared" ca="1" si="39"/>
        <v>37.091734940156357</v>
      </c>
      <c r="C877" s="158">
        <f t="shared" ca="1" si="40"/>
        <v>1</v>
      </c>
    </row>
    <row r="878" spans="1:3" x14ac:dyDescent="0.25">
      <c r="A878" s="155">
        <f t="shared" si="41"/>
        <v>863</v>
      </c>
      <c r="B878" s="151">
        <f t="shared" ca="1" si="39"/>
        <v>23.081400099164448</v>
      </c>
      <c r="C878" s="158">
        <f t="shared" ca="1" si="40"/>
        <v>0</v>
      </c>
    </row>
    <row r="879" spans="1:3" x14ac:dyDescent="0.25">
      <c r="A879" s="155">
        <f t="shared" si="41"/>
        <v>864</v>
      </c>
      <c r="B879" s="151">
        <f t="shared" ca="1" si="39"/>
        <v>71.642725092221752</v>
      </c>
      <c r="C879" s="158">
        <f t="shared" ca="1" si="40"/>
        <v>1</v>
      </c>
    </row>
    <row r="880" spans="1:3" x14ac:dyDescent="0.25">
      <c r="A880" s="155">
        <f t="shared" si="41"/>
        <v>865</v>
      </c>
      <c r="B880" s="151">
        <f t="shared" ca="1" si="39"/>
        <v>42.905932951919588</v>
      </c>
      <c r="C880" s="158">
        <f t="shared" ca="1" si="40"/>
        <v>1</v>
      </c>
    </row>
    <row r="881" spans="1:3" x14ac:dyDescent="0.25">
      <c r="A881" s="155">
        <f t="shared" si="41"/>
        <v>866</v>
      </c>
      <c r="B881" s="151">
        <f t="shared" ca="1" si="39"/>
        <v>12.674831394144721</v>
      </c>
      <c r="C881" s="158">
        <f t="shared" ca="1" si="40"/>
        <v>0</v>
      </c>
    </row>
    <row r="882" spans="1:3" x14ac:dyDescent="0.25">
      <c r="A882" s="155">
        <f t="shared" si="41"/>
        <v>867</v>
      </c>
      <c r="B882" s="151">
        <f t="shared" ca="1" si="39"/>
        <v>59.957108156216869</v>
      </c>
      <c r="C882" s="158">
        <f t="shared" ca="1" si="40"/>
        <v>1</v>
      </c>
    </row>
    <row r="883" spans="1:3" x14ac:dyDescent="0.25">
      <c r="A883" s="155">
        <f t="shared" si="41"/>
        <v>868</v>
      </c>
      <c r="B883" s="151">
        <f t="shared" ca="1" si="39"/>
        <v>25.410775736210116</v>
      </c>
      <c r="C883" s="158">
        <f t="shared" ca="1" si="40"/>
        <v>1</v>
      </c>
    </row>
    <row r="884" spans="1:3" x14ac:dyDescent="0.25">
      <c r="A884" s="155">
        <f t="shared" si="41"/>
        <v>869</v>
      </c>
      <c r="B884" s="151">
        <f t="shared" ca="1" si="39"/>
        <v>18.784020927429957</v>
      </c>
      <c r="C884" s="158">
        <f t="shared" ca="1" si="40"/>
        <v>0</v>
      </c>
    </row>
    <row r="885" spans="1:3" x14ac:dyDescent="0.25">
      <c r="A885" s="155">
        <f t="shared" si="41"/>
        <v>870</v>
      </c>
      <c r="B885" s="151">
        <f t="shared" ca="1" si="39"/>
        <v>39.536487860535168</v>
      </c>
      <c r="C885" s="158">
        <f t="shared" ca="1" si="40"/>
        <v>1</v>
      </c>
    </row>
    <row r="886" spans="1:3" x14ac:dyDescent="0.25">
      <c r="A886" s="155">
        <f t="shared" si="41"/>
        <v>871</v>
      </c>
      <c r="B886" s="151">
        <f t="shared" ca="1" si="39"/>
        <v>3.8995138125508717</v>
      </c>
      <c r="C886" s="158">
        <f t="shared" ca="1" si="40"/>
        <v>0</v>
      </c>
    </row>
    <row r="887" spans="1:3" x14ac:dyDescent="0.25">
      <c r="A887" s="155">
        <f t="shared" si="41"/>
        <v>872</v>
      </c>
      <c r="B887" s="151">
        <f t="shared" ca="1" si="39"/>
        <v>28.942339328773201</v>
      </c>
      <c r="C887" s="158">
        <f t="shared" ca="1" si="40"/>
        <v>1</v>
      </c>
    </row>
    <row r="888" spans="1:3" x14ac:dyDescent="0.25">
      <c r="A888" s="155">
        <f t="shared" si="41"/>
        <v>873</v>
      </c>
      <c r="B888" s="151">
        <f t="shared" ca="1" si="39"/>
        <v>35.098422187132179</v>
      </c>
      <c r="C888" s="158">
        <f t="shared" ca="1" si="40"/>
        <v>1</v>
      </c>
    </row>
    <row r="889" spans="1:3" x14ac:dyDescent="0.25">
      <c r="A889" s="155">
        <f t="shared" si="41"/>
        <v>874</v>
      </c>
      <c r="B889" s="151">
        <f t="shared" ca="1" si="39"/>
        <v>85.517462735288191</v>
      </c>
      <c r="C889" s="158">
        <f t="shared" ca="1" si="40"/>
        <v>1</v>
      </c>
    </row>
    <row r="890" spans="1:3" x14ac:dyDescent="0.25">
      <c r="A890" s="155">
        <f t="shared" si="41"/>
        <v>875</v>
      </c>
      <c r="B890" s="151">
        <f t="shared" ca="1" si="39"/>
        <v>40.803249629002948</v>
      </c>
      <c r="C890" s="158">
        <f t="shared" ca="1" si="40"/>
        <v>1</v>
      </c>
    </row>
    <row r="891" spans="1:3" x14ac:dyDescent="0.25">
      <c r="A891" s="155">
        <f t="shared" si="41"/>
        <v>876</v>
      </c>
      <c r="B891" s="151">
        <f t="shared" ca="1" si="39"/>
        <v>42.72667470149652</v>
      </c>
      <c r="C891" s="158">
        <f t="shared" ca="1" si="40"/>
        <v>1</v>
      </c>
    </row>
    <row r="892" spans="1:3" x14ac:dyDescent="0.25">
      <c r="A892" s="155">
        <f t="shared" si="41"/>
        <v>877</v>
      </c>
      <c r="B892" s="151">
        <f t="shared" ca="1" si="39"/>
        <v>-16.340103840661953</v>
      </c>
      <c r="C892" s="158">
        <f t="shared" ca="1" si="40"/>
        <v>0</v>
      </c>
    </row>
    <row r="893" spans="1:3" x14ac:dyDescent="0.25">
      <c r="A893" s="155">
        <f t="shared" si="41"/>
        <v>878</v>
      </c>
      <c r="B893" s="151">
        <f t="shared" ca="1" si="39"/>
        <v>28.822891265199928</v>
      </c>
      <c r="C893" s="158">
        <f t="shared" ca="1" si="40"/>
        <v>1</v>
      </c>
    </row>
    <row r="894" spans="1:3" x14ac:dyDescent="0.25">
      <c r="A894" s="155">
        <f t="shared" si="41"/>
        <v>879</v>
      </c>
      <c r="B894" s="151">
        <f t="shared" ca="1" si="39"/>
        <v>24.541765902022803</v>
      </c>
      <c r="C894" s="158">
        <f t="shared" ca="1" si="40"/>
        <v>0</v>
      </c>
    </row>
    <row r="895" spans="1:3" x14ac:dyDescent="0.25">
      <c r="A895" s="155">
        <f t="shared" si="41"/>
        <v>880</v>
      </c>
      <c r="B895" s="151">
        <f t="shared" ca="1" si="39"/>
        <v>52.741379727438812</v>
      </c>
      <c r="C895" s="158">
        <f t="shared" ca="1" si="40"/>
        <v>1</v>
      </c>
    </row>
    <row r="896" spans="1:3" x14ac:dyDescent="0.25">
      <c r="A896" s="155">
        <f t="shared" si="41"/>
        <v>881</v>
      </c>
      <c r="B896" s="151">
        <f t="shared" ca="1" si="39"/>
        <v>70.662826627763351</v>
      </c>
      <c r="C896" s="158">
        <f t="shared" ca="1" si="40"/>
        <v>1</v>
      </c>
    </row>
    <row r="897" spans="1:3" x14ac:dyDescent="0.25">
      <c r="A897" s="155">
        <f t="shared" si="41"/>
        <v>882</v>
      </c>
      <c r="B897" s="151">
        <f t="shared" ca="1" si="39"/>
        <v>41.648286896799611</v>
      </c>
      <c r="C897" s="158">
        <f t="shared" ca="1" si="40"/>
        <v>1</v>
      </c>
    </row>
    <row r="898" spans="1:3" x14ac:dyDescent="0.25">
      <c r="A898" s="155">
        <f t="shared" si="41"/>
        <v>883</v>
      </c>
      <c r="B898" s="151">
        <f t="shared" ca="1" si="39"/>
        <v>-7.7286648679679999</v>
      </c>
      <c r="C898" s="158">
        <f t="shared" ca="1" si="40"/>
        <v>0</v>
      </c>
    </row>
    <row r="899" spans="1:3" x14ac:dyDescent="0.25">
      <c r="A899" s="155">
        <f t="shared" si="41"/>
        <v>884</v>
      </c>
      <c r="B899" s="151">
        <f t="shared" ca="1" si="39"/>
        <v>28.816955794923061</v>
      </c>
      <c r="C899" s="158">
        <f t="shared" ca="1" si="40"/>
        <v>1</v>
      </c>
    </row>
    <row r="900" spans="1:3" x14ac:dyDescent="0.25">
      <c r="A900" s="155">
        <f t="shared" si="41"/>
        <v>885</v>
      </c>
      <c r="B900" s="151">
        <f t="shared" ca="1" si="39"/>
        <v>49.475267302270069</v>
      </c>
      <c r="C900" s="158">
        <f t="shared" ca="1" si="40"/>
        <v>1</v>
      </c>
    </row>
    <row r="901" spans="1:3" x14ac:dyDescent="0.25">
      <c r="A901" s="155">
        <f t="shared" si="41"/>
        <v>886</v>
      </c>
      <c r="B901" s="151">
        <f t="shared" ca="1" si="39"/>
        <v>61.256014517426806</v>
      </c>
      <c r="C901" s="158">
        <f t="shared" ca="1" si="40"/>
        <v>1</v>
      </c>
    </row>
    <row r="902" spans="1:3" x14ac:dyDescent="0.25">
      <c r="A902" s="155">
        <f t="shared" si="41"/>
        <v>887</v>
      </c>
      <c r="B902" s="151">
        <f t="shared" ca="1" si="39"/>
        <v>32.730982820691963</v>
      </c>
      <c r="C902" s="158">
        <f t="shared" ca="1" si="40"/>
        <v>1</v>
      </c>
    </row>
    <row r="903" spans="1:3" x14ac:dyDescent="0.25">
      <c r="A903" s="155">
        <f t="shared" si="41"/>
        <v>888</v>
      </c>
      <c r="B903" s="151">
        <f t="shared" ca="1" si="39"/>
        <v>24.64904167125929</v>
      </c>
      <c r="C903" s="158">
        <f t="shared" ca="1" si="40"/>
        <v>0</v>
      </c>
    </row>
    <row r="904" spans="1:3" x14ac:dyDescent="0.25">
      <c r="A904" s="155">
        <f t="shared" si="41"/>
        <v>889</v>
      </c>
      <c r="B904" s="151">
        <f t="shared" ca="1" si="39"/>
        <v>18.707028862011772</v>
      </c>
      <c r="C904" s="158">
        <f t="shared" ca="1" si="40"/>
        <v>0</v>
      </c>
    </row>
    <row r="905" spans="1:3" x14ac:dyDescent="0.25">
      <c r="A905" s="155">
        <f t="shared" si="41"/>
        <v>890</v>
      </c>
      <c r="B905" s="151">
        <f t="shared" ca="1" si="39"/>
        <v>40.220004202988363</v>
      </c>
      <c r="C905" s="158">
        <f t="shared" ca="1" si="40"/>
        <v>1</v>
      </c>
    </row>
    <row r="906" spans="1:3" x14ac:dyDescent="0.25">
      <c r="A906" s="155">
        <f t="shared" si="41"/>
        <v>891</v>
      </c>
      <c r="B906" s="151">
        <f t="shared" ca="1" si="39"/>
        <v>0.80691043662027084</v>
      </c>
      <c r="C906" s="158">
        <f t="shared" ca="1" si="40"/>
        <v>0</v>
      </c>
    </row>
    <row r="907" spans="1:3" x14ac:dyDescent="0.25">
      <c r="A907" s="155">
        <f t="shared" si="41"/>
        <v>892</v>
      </c>
      <c r="B907" s="151">
        <f t="shared" ca="1" si="39"/>
        <v>28.632597108974149</v>
      </c>
      <c r="C907" s="158">
        <f t="shared" ca="1" si="40"/>
        <v>1</v>
      </c>
    </row>
    <row r="908" spans="1:3" x14ac:dyDescent="0.25">
      <c r="A908" s="155">
        <f t="shared" si="41"/>
        <v>893</v>
      </c>
      <c r="B908" s="151">
        <f t="shared" ca="1" si="39"/>
        <v>37.095338339879817</v>
      </c>
      <c r="C908" s="158">
        <f t="shared" ca="1" si="40"/>
        <v>1</v>
      </c>
    </row>
    <row r="909" spans="1:3" x14ac:dyDescent="0.25">
      <c r="A909" s="155">
        <f t="shared" si="41"/>
        <v>894</v>
      </c>
      <c r="B909" s="151">
        <f t="shared" ca="1" si="39"/>
        <v>25.778385834097996</v>
      </c>
      <c r="C909" s="158">
        <f t="shared" ca="1" si="40"/>
        <v>1</v>
      </c>
    </row>
    <row r="910" spans="1:3" x14ac:dyDescent="0.25">
      <c r="A910" s="155">
        <f t="shared" si="41"/>
        <v>895</v>
      </c>
      <c r="B910" s="151">
        <f t="shared" ca="1" si="39"/>
        <v>57.460748223049542</v>
      </c>
      <c r="C910" s="158">
        <f t="shared" ca="1" si="40"/>
        <v>1</v>
      </c>
    </row>
    <row r="911" spans="1:3" x14ac:dyDescent="0.25">
      <c r="A911" s="155">
        <f t="shared" si="41"/>
        <v>896</v>
      </c>
      <c r="B911" s="151">
        <f t="shared" ca="1" si="39"/>
        <v>2.8022240635574889</v>
      </c>
      <c r="C911" s="158">
        <f t="shared" ca="1" si="40"/>
        <v>0</v>
      </c>
    </row>
    <row r="912" spans="1:3" x14ac:dyDescent="0.25">
      <c r="A912" s="155">
        <f t="shared" si="41"/>
        <v>897</v>
      </c>
      <c r="B912" s="151">
        <f t="shared" ca="1" si="39"/>
        <v>14.070807186633139</v>
      </c>
      <c r="C912" s="158">
        <f t="shared" ca="1" si="40"/>
        <v>0</v>
      </c>
    </row>
    <row r="913" spans="1:3" x14ac:dyDescent="0.25">
      <c r="A913" s="155">
        <f t="shared" si="41"/>
        <v>898</v>
      </c>
      <c r="B913" s="151">
        <f t="shared" ref="B913:B976" ca="1" si="42">_xlfn.NORM.INV(RAND(), $B$9, $B$10)</f>
        <v>4.4931750219607309</v>
      </c>
      <c r="C913" s="158">
        <f t="shared" ref="C913:C976" ca="1" si="43">IF(B913 &gt;= $B$11, 1, 0)</f>
        <v>0</v>
      </c>
    </row>
    <row r="914" spans="1:3" x14ac:dyDescent="0.25">
      <c r="A914" s="155">
        <f t="shared" ref="A914:A977" si="44">+A913+1</f>
        <v>899</v>
      </c>
      <c r="B914" s="151">
        <f t="shared" ca="1" si="42"/>
        <v>19.783755752938013</v>
      </c>
      <c r="C914" s="158">
        <f t="shared" ca="1" si="43"/>
        <v>0</v>
      </c>
    </row>
    <row r="915" spans="1:3" x14ac:dyDescent="0.25">
      <c r="A915" s="155">
        <f t="shared" si="44"/>
        <v>900</v>
      </c>
      <c r="B915" s="151">
        <f t="shared" ca="1" si="42"/>
        <v>41.324164619888037</v>
      </c>
      <c r="C915" s="158">
        <f t="shared" ca="1" si="43"/>
        <v>1</v>
      </c>
    </row>
    <row r="916" spans="1:3" x14ac:dyDescent="0.25">
      <c r="A916" s="155">
        <f t="shared" si="44"/>
        <v>901</v>
      </c>
      <c r="B916" s="151">
        <f t="shared" ca="1" si="42"/>
        <v>39.297744143356539</v>
      </c>
      <c r="C916" s="158">
        <f t="shared" ca="1" si="43"/>
        <v>1</v>
      </c>
    </row>
    <row r="917" spans="1:3" x14ac:dyDescent="0.25">
      <c r="A917" s="155">
        <f t="shared" si="44"/>
        <v>902</v>
      </c>
      <c r="B917" s="151">
        <f t="shared" ca="1" si="42"/>
        <v>14.174899398585776</v>
      </c>
      <c r="C917" s="158">
        <f t="shared" ca="1" si="43"/>
        <v>0</v>
      </c>
    </row>
    <row r="918" spans="1:3" x14ac:dyDescent="0.25">
      <c r="A918" s="155">
        <f t="shared" si="44"/>
        <v>903</v>
      </c>
      <c r="B918" s="151">
        <f t="shared" ca="1" si="42"/>
        <v>28.483676882145311</v>
      </c>
      <c r="C918" s="158">
        <f t="shared" ca="1" si="43"/>
        <v>1</v>
      </c>
    </row>
    <row r="919" spans="1:3" x14ac:dyDescent="0.25">
      <c r="A919" s="155">
        <f t="shared" si="44"/>
        <v>904</v>
      </c>
      <c r="B919" s="151">
        <f t="shared" ca="1" si="42"/>
        <v>30.484679364746508</v>
      </c>
      <c r="C919" s="158">
        <f t="shared" ca="1" si="43"/>
        <v>1</v>
      </c>
    </row>
    <row r="920" spans="1:3" x14ac:dyDescent="0.25">
      <c r="A920" s="155">
        <f t="shared" si="44"/>
        <v>905</v>
      </c>
      <c r="B920" s="151">
        <f t="shared" ca="1" si="42"/>
        <v>48.550474069206714</v>
      </c>
      <c r="C920" s="158">
        <f t="shared" ca="1" si="43"/>
        <v>1</v>
      </c>
    </row>
    <row r="921" spans="1:3" x14ac:dyDescent="0.25">
      <c r="A921" s="155">
        <f t="shared" si="44"/>
        <v>906</v>
      </c>
      <c r="B921" s="151">
        <f t="shared" ca="1" si="42"/>
        <v>67.751550313395825</v>
      </c>
      <c r="C921" s="158">
        <f t="shared" ca="1" si="43"/>
        <v>1</v>
      </c>
    </row>
    <row r="922" spans="1:3" x14ac:dyDescent="0.25">
      <c r="A922" s="155">
        <f t="shared" si="44"/>
        <v>907</v>
      </c>
      <c r="B922" s="151">
        <f t="shared" ca="1" si="42"/>
        <v>2.118211220097038</v>
      </c>
      <c r="C922" s="158">
        <f t="shared" ca="1" si="43"/>
        <v>0</v>
      </c>
    </row>
    <row r="923" spans="1:3" x14ac:dyDescent="0.25">
      <c r="A923" s="155">
        <f t="shared" si="44"/>
        <v>908</v>
      </c>
      <c r="B923" s="151">
        <f t="shared" ca="1" si="42"/>
        <v>71.71397527589103</v>
      </c>
      <c r="C923" s="158">
        <f t="shared" ca="1" si="43"/>
        <v>1</v>
      </c>
    </row>
    <row r="924" spans="1:3" x14ac:dyDescent="0.25">
      <c r="A924" s="155">
        <f t="shared" si="44"/>
        <v>909</v>
      </c>
      <c r="B924" s="151">
        <f t="shared" ca="1" si="42"/>
        <v>73.688086149680629</v>
      </c>
      <c r="C924" s="158">
        <f t="shared" ca="1" si="43"/>
        <v>1</v>
      </c>
    </row>
    <row r="925" spans="1:3" x14ac:dyDescent="0.25">
      <c r="A925" s="155">
        <f t="shared" si="44"/>
        <v>910</v>
      </c>
      <c r="B925" s="151">
        <f t="shared" ca="1" si="42"/>
        <v>36.063597629187825</v>
      </c>
      <c r="C925" s="158">
        <f t="shared" ca="1" si="43"/>
        <v>1</v>
      </c>
    </row>
    <row r="926" spans="1:3" x14ac:dyDescent="0.25">
      <c r="A926" s="155">
        <f t="shared" si="44"/>
        <v>911</v>
      </c>
      <c r="B926" s="151">
        <f t="shared" ca="1" si="42"/>
        <v>0.71466623344674218</v>
      </c>
      <c r="C926" s="158">
        <f t="shared" ca="1" si="43"/>
        <v>0</v>
      </c>
    </row>
    <row r="927" spans="1:3" x14ac:dyDescent="0.25">
      <c r="A927" s="155">
        <f t="shared" si="44"/>
        <v>912</v>
      </c>
      <c r="B927" s="151">
        <f t="shared" ca="1" si="42"/>
        <v>32.748516779436919</v>
      </c>
      <c r="C927" s="158">
        <f t="shared" ca="1" si="43"/>
        <v>1</v>
      </c>
    </row>
    <row r="928" spans="1:3" x14ac:dyDescent="0.25">
      <c r="A928" s="155">
        <f t="shared" si="44"/>
        <v>913</v>
      </c>
      <c r="B928" s="151">
        <f t="shared" ca="1" si="42"/>
        <v>43.699650650654092</v>
      </c>
      <c r="C928" s="158">
        <f t="shared" ca="1" si="43"/>
        <v>1</v>
      </c>
    </row>
    <row r="929" spans="1:3" x14ac:dyDescent="0.25">
      <c r="A929" s="155">
        <f t="shared" si="44"/>
        <v>914</v>
      </c>
      <c r="B929" s="151">
        <f t="shared" ca="1" si="42"/>
        <v>19.268469871655292</v>
      </c>
      <c r="C929" s="158">
        <f t="shared" ca="1" si="43"/>
        <v>0</v>
      </c>
    </row>
    <row r="930" spans="1:3" x14ac:dyDescent="0.25">
      <c r="A930" s="155">
        <f t="shared" si="44"/>
        <v>915</v>
      </c>
      <c r="B930" s="151">
        <f t="shared" ca="1" si="42"/>
        <v>20.660256407013875</v>
      </c>
      <c r="C930" s="158">
        <f t="shared" ca="1" si="43"/>
        <v>0</v>
      </c>
    </row>
    <row r="931" spans="1:3" x14ac:dyDescent="0.25">
      <c r="A931" s="155">
        <f t="shared" si="44"/>
        <v>916</v>
      </c>
      <c r="B931" s="151">
        <f t="shared" ca="1" si="42"/>
        <v>8.188915934601777</v>
      </c>
      <c r="C931" s="158">
        <f t="shared" ca="1" si="43"/>
        <v>0</v>
      </c>
    </row>
    <row r="932" spans="1:3" x14ac:dyDescent="0.25">
      <c r="A932" s="155">
        <f t="shared" si="44"/>
        <v>917</v>
      </c>
      <c r="B932" s="151">
        <f t="shared" ca="1" si="42"/>
        <v>18.20840020445349</v>
      </c>
      <c r="C932" s="158">
        <f t="shared" ca="1" si="43"/>
        <v>0</v>
      </c>
    </row>
    <row r="933" spans="1:3" x14ac:dyDescent="0.25">
      <c r="A933" s="155">
        <f t="shared" si="44"/>
        <v>918</v>
      </c>
      <c r="B933" s="151">
        <f t="shared" ca="1" si="42"/>
        <v>37.975228658891957</v>
      </c>
      <c r="C933" s="158">
        <f t="shared" ca="1" si="43"/>
        <v>1</v>
      </c>
    </row>
    <row r="934" spans="1:3" x14ac:dyDescent="0.25">
      <c r="A934" s="155">
        <f t="shared" si="44"/>
        <v>919</v>
      </c>
      <c r="B934" s="151">
        <f t="shared" ca="1" si="42"/>
        <v>65.600958928692819</v>
      </c>
      <c r="C934" s="158">
        <f t="shared" ca="1" si="43"/>
        <v>1</v>
      </c>
    </row>
    <row r="935" spans="1:3" x14ac:dyDescent="0.25">
      <c r="A935" s="155">
        <f t="shared" si="44"/>
        <v>920</v>
      </c>
      <c r="B935" s="151">
        <f t="shared" ca="1" si="42"/>
        <v>44.403843227873786</v>
      </c>
      <c r="C935" s="158">
        <f t="shared" ca="1" si="43"/>
        <v>1</v>
      </c>
    </row>
    <row r="936" spans="1:3" x14ac:dyDescent="0.25">
      <c r="A936" s="155">
        <f t="shared" si="44"/>
        <v>921</v>
      </c>
      <c r="B936" s="151">
        <f t="shared" ca="1" si="42"/>
        <v>18.98723571852241</v>
      </c>
      <c r="C936" s="158">
        <f t="shared" ca="1" si="43"/>
        <v>0</v>
      </c>
    </row>
    <row r="937" spans="1:3" x14ac:dyDescent="0.25">
      <c r="A937" s="155">
        <f t="shared" si="44"/>
        <v>922</v>
      </c>
      <c r="B937" s="151">
        <f t="shared" ca="1" si="42"/>
        <v>34.009008408127492</v>
      </c>
      <c r="C937" s="158">
        <f t="shared" ca="1" si="43"/>
        <v>1</v>
      </c>
    </row>
    <row r="938" spans="1:3" x14ac:dyDescent="0.25">
      <c r="A938" s="155">
        <f t="shared" si="44"/>
        <v>923</v>
      </c>
      <c r="B938" s="151">
        <f t="shared" ca="1" si="42"/>
        <v>-6.6657651624578165</v>
      </c>
      <c r="C938" s="158">
        <f t="shared" ca="1" si="43"/>
        <v>0</v>
      </c>
    </row>
    <row r="939" spans="1:3" x14ac:dyDescent="0.25">
      <c r="A939" s="155">
        <f t="shared" si="44"/>
        <v>924</v>
      </c>
      <c r="B939" s="151">
        <f t="shared" ca="1" si="42"/>
        <v>1.7526806884886312</v>
      </c>
      <c r="C939" s="158">
        <f t="shared" ca="1" si="43"/>
        <v>0</v>
      </c>
    </row>
    <row r="940" spans="1:3" x14ac:dyDescent="0.25">
      <c r="A940" s="155">
        <f t="shared" si="44"/>
        <v>925</v>
      </c>
      <c r="B940" s="151">
        <f t="shared" ca="1" si="42"/>
        <v>25.845736702311576</v>
      </c>
      <c r="C940" s="158">
        <f t="shared" ca="1" si="43"/>
        <v>1</v>
      </c>
    </row>
    <row r="941" spans="1:3" x14ac:dyDescent="0.25">
      <c r="A941" s="155">
        <f t="shared" si="44"/>
        <v>926</v>
      </c>
      <c r="B941" s="151">
        <f t="shared" ca="1" si="42"/>
        <v>30.099899205604611</v>
      </c>
      <c r="C941" s="158">
        <f t="shared" ca="1" si="43"/>
        <v>1</v>
      </c>
    </row>
    <row r="942" spans="1:3" x14ac:dyDescent="0.25">
      <c r="A942" s="155">
        <f t="shared" si="44"/>
        <v>927</v>
      </c>
      <c r="B942" s="151">
        <f t="shared" ca="1" si="42"/>
        <v>56.027114272023184</v>
      </c>
      <c r="C942" s="158">
        <f t="shared" ca="1" si="43"/>
        <v>1</v>
      </c>
    </row>
    <row r="943" spans="1:3" x14ac:dyDescent="0.25">
      <c r="A943" s="155">
        <f t="shared" si="44"/>
        <v>928</v>
      </c>
      <c r="B943" s="151">
        <f t="shared" ca="1" si="42"/>
        <v>13.870146497740983</v>
      </c>
      <c r="C943" s="158">
        <f t="shared" ca="1" si="43"/>
        <v>0</v>
      </c>
    </row>
    <row r="944" spans="1:3" x14ac:dyDescent="0.25">
      <c r="A944" s="155">
        <f t="shared" si="44"/>
        <v>929</v>
      </c>
      <c r="B944" s="151">
        <f t="shared" ca="1" si="42"/>
        <v>23.800529835931655</v>
      </c>
      <c r="C944" s="158">
        <f t="shared" ca="1" si="43"/>
        <v>0</v>
      </c>
    </row>
    <row r="945" spans="1:3" x14ac:dyDescent="0.25">
      <c r="A945" s="155">
        <f t="shared" si="44"/>
        <v>930</v>
      </c>
      <c r="B945" s="151">
        <f t="shared" ca="1" si="42"/>
        <v>-13.989324957535693</v>
      </c>
      <c r="C945" s="158">
        <f t="shared" ca="1" si="43"/>
        <v>0</v>
      </c>
    </row>
    <row r="946" spans="1:3" x14ac:dyDescent="0.25">
      <c r="A946" s="155">
        <f t="shared" si="44"/>
        <v>931</v>
      </c>
      <c r="B946" s="151">
        <f t="shared" ca="1" si="42"/>
        <v>47.012931947734515</v>
      </c>
      <c r="C946" s="158">
        <f t="shared" ca="1" si="43"/>
        <v>1</v>
      </c>
    </row>
    <row r="947" spans="1:3" x14ac:dyDescent="0.25">
      <c r="A947" s="155">
        <f t="shared" si="44"/>
        <v>932</v>
      </c>
      <c r="B947" s="151">
        <f t="shared" ca="1" si="42"/>
        <v>27.375799497536089</v>
      </c>
      <c r="C947" s="158">
        <f t="shared" ca="1" si="43"/>
        <v>1</v>
      </c>
    </row>
    <row r="948" spans="1:3" x14ac:dyDescent="0.25">
      <c r="A948" s="155">
        <f t="shared" si="44"/>
        <v>933</v>
      </c>
      <c r="B948" s="151">
        <f t="shared" ca="1" si="42"/>
        <v>1.3618193366160298</v>
      </c>
      <c r="C948" s="158">
        <f t="shared" ca="1" si="43"/>
        <v>0</v>
      </c>
    </row>
    <row r="949" spans="1:3" x14ac:dyDescent="0.25">
      <c r="A949" s="155">
        <f t="shared" si="44"/>
        <v>934</v>
      </c>
      <c r="B949" s="151">
        <f t="shared" ca="1" si="42"/>
        <v>62.088048373358802</v>
      </c>
      <c r="C949" s="158">
        <f t="shared" ca="1" si="43"/>
        <v>1</v>
      </c>
    </row>
    <row r="950" spans="1:3" x14ac:dyDescent="0.25">
      <c r="A950" s="155">
        <f t="shared" si="44"/>
        <v>935</v>
      </c>
      <c r="B950" s="151">
        <f t="shared" ca="1" si="42"/>
        <v>10.567264982703339</v>
      </c>
      <c r="C950" s="158">
        <f t="shared" ca="1" si="43"/>
        <v>0</v>
      </c>
    </row>
    <row r="951" spans="1:3" x14ac:dyDescent="0.25">
      <c r="A951" s="155">
        <f t="shared" si="44"/>
        <v>936</v>
      </c>
      <c r="B951" s="151">
        <f t="shared" ca="1" si="42"/>
        <v>42.00789205273739</v>
      </c>
      <c r="C951" s="158">
        <f t="shared" ca="1" si="43"/>
        <v>1</v>
      </c>
    </row>
    <row r="952" spans="1:3" x14ac:dyDescent="0.25">
      <c r="A952" s="155">
        <f t="shared" si="44"/>
        <v>937</v>
      </c>
      <c r="B952" s="151">
        <f t="shared" ca="1" si="42"/>
        <v>90.497865356787628</v>
      </c>
      <c r="C952" s="158">
        <f t="shared" ca="1" si="43"/>
        <v>1</v>
      </c>
    </row>
    <row r="953" spans="1:3" x14ac:dyDescent="0.25">
      <c r="A953" s="155">
        <f t="shared" si="44"/>
        <v>938</v>
      </c>
      <c r="B953" s="151">
        <f t="shared" ca="1" si="42"/>
        <v>21.368557581747829</v>
      </c>
      <c r="C953" s="158">
        <f t="shared" ca="1" si="43"/>
        <v>0</v>
      </c>
    </row>
    <row r="954" spans="1:3" x14ac:dyDescent="0.25">
      <c r="A954" s="155">
        <f t="shared" si="44"/>
        <v>939</v>
      </c>
      <c r="B954" s="151">
        <f t="shared" ca="1" si="42"/>
        <v>8.6167544430242451</v>
      </c>
      <c r="C954" s="158">
        <f t="shared" ca="1" si="43"/>
        <v>0</v>
      </c>
    </row>
    <row r="955" spans="1:3" x14ac:dyDescent="0.25">
      <c r="A955" s="155">
        <f t="shared" si="44"/>
        <v>940</v>
      </c>
      <c r="B955" s="151">
        <f t="shared" ca="1" si="42"/>
        <v>17.175337526254147</v>
      </c>
      <c r="C955" s="158">
        <f t="shared" ca="1" si="43"/>
        <v>0</v>
      </c>
    </row>
    <row r="956" spans="1:3" x14ac:dyDescent="0.25">
      <c r="A956" s="155">
        <f t="shared" si="44"/>
        <v>941</v>
      </c>
      <c r="B956" s="151">
        <f t="shared" ca="1" si="42"/>
        <v>4.3598745999590207</v>
      </c>
      <c r="C956" s="158">
        <f t="shared" ca="1" si="43"/>
        <v>0</v>
      </c>
    </row>
    <row r="957" spans="1:3" x14ac:dyDescent="0.25">
      <c r="A957" s="155">
        <f t="shared" si="44"/>
        <v>942</v>
      </c>
      <c r="B957" s="151">
        <f t="shared" ca="1" si="42"/>
        <v>28.933475299094223</v>
      </c>
      <c r="C957" s="158">
        <f t="shared" ca="1" si="43"/>
        <v>1</v>
      </c>
    </row>
    <row r="958" spans="1:3" x14ac:dyDescent="0.25">
      <c r="A958" s="155">
        <f t="shared" si="44"/>
        <v>943</v>
      </c>
      <c r="B958" s="151">
        <f t="shared" ca="1" si="42"/>
        <v>57.868112878181059</v>
      </c>
      <c r="C958" s="158">
        <f t="shared" ca="1" si="43"/>
        <v>1</v>
      </c>
    </row>
    <row r="959" spans="1:3" x14ac:dyDescent="0.25">
      <c r="A959" s="155">
        <f t="shared" si="44"/>
        <v>944</v>
      </c>
      <c r="B959" s="151">
        <f t="shared" ca="1" si="42"/>
        <v>9.9391539505541502</v>
      </c>
      <c r="C959" s="158">
        <f t="shared" ca="1" si="43"/>
        <v>0</v>
      </c>
    </row>
    <row r="960" spans="1:3" x14ac:dyDescent="0.25">
      <c r="A960" s="155">
        <f t="shared" si="44"/>
        <v>945</v>
      </c>
      <c r="B960" s="151">
        <f t="shared" ca="1" si="42"/>
        <v>80.800691602949428</v>
      </c>
      <c r="C960" s="158">
        <f t="shared" ca="1" si="43"/>
        <v>1</v>
      </c>
    </row>
    <row r="961" spans="1:3" x14ac:dyDescent="0.25">
      <c r="A961" s="155">
        <f t="shared" si="44"/>
        <v>946</v>
      </c>
      <c r="B961" s="151">
        <f t="shared" ca="1" si="42"/>
        <v>24.261125235683494</v>
      </c>
      <c r="C961" s="158">
        <f t="shared" ca="1" si="43"/>
        <v>0</v>
      </c>
    </row>
    <row r="962" spans="1:3" x14ac:dyDescent="0.25">
      <c r="A962" s="155">
        <f t="shared" si="44"/>
        <v>947</v>
      </c>
      <c r="B962" s="151">
        <f t="shared" ca="1" si="42"/>
        <v>6.2369926089179941</v>
      </c>
      <c r="C962" s="158">
        <f t="shared" ca="1" si="43"/>
        <v>0</v>
      </c>
    </row>
    <row r="963" spans="1:3" x14ac:dyDescent="0.25">
      <c r="A963" s="155">
        <f t="shared" si="44"/>
        <v>948</v>
      </c>
      <c r="B963" s="151">
        <f t="shared" ca="1" si="42"/>
        <v>33.426473338180436</v>
      </c>
      <c r="C963" s="158">
        <f t="shared" ca="1" si="43"/>
        <v>1</v>
      </c>
    </row>
    <row r="964" spans="1:3" x14ac:dyDescent="0.25">
      <c r="A964" s="155">
        <f t="shared" si="44"/>
        <v>949</v>
      </c>
      <c r="B964" s="151">
        <f t="shared" ca="1" si="42"/>
        <v>26.920960657384789</v>
      </c>
      <c r="C964" s="158">
        <f t="shared" ca="1" si="43"/>
        <v>1</v>
      </c>
    </row>
    <row r="965" spans="1:3" x14ac:dyDescent="0.25">
      <c r="A965" s="155">
        <f t="shared" si="44"/>
        <v>950</v>
      </c>
      <c r="B965" s="151">
        <f t="shared" ca="1" si="42"/>
        <v>26.195841028937537</v>
      </c>
      <c r="C965" s="158">
        <f t="shared" ca="1" si="43"/>
        <v>1</v>
      </c>
    </row>
    <row r="966" spans="1:3" x14ac:dyDescent="0.25">
      <c r="A966" s="155">
        <f t="shared" si="44"/>
        <v>951</v>
      </c>
      <c r="B966" s="151">
        <f t="shared" ca="1" si="42"/>
        <v>-3.8416252765896246</v>
      </c>
      <c r="C966" s="158">
        <f t="shared" ca="1" si="43"/>
        <v>0</v>
      </c>
    </row>
    <row r="967" spans="1:3" x14ac:dyDescent="0.25">
      <c r="A967" s="155">
        <f t="shared" si="44"/>
        <v>952</v>
      </c>
      <c r="B967" s="151">
        <f t="shared" ca="1" si="42"/>
        <v>17.805185885972659</v>
      </c>
      <c r="C967" s="158">
        <f t="shared" ca="1" si="43"/>
        <v>0</v>
      </c>
    </row>
    <row r="968" spans="1:3" x14ac:dyDescent="0.25">
      <c r="A968" s="155">
        <f t="shared" si="44"/>
        <v>953</v>
      </c>
      <c r="B968" s="151">
        <f t="shared" ca="1" si="42"/>
        <v>98.726036197724454</v>
      </c>
      <c r="C968" s="158">
        <f t="shared" ca="1" si="43"/>
        <v>1</v>
      </c>
    </row>
    <row r="969" spans="1:3" x14ac:dyDescent="0.25">
      <c r="A969" s="155">
        <f t="shared" si="44"/>
        <v>954</v>
      </c>
      <c r="B969" s="151">
        <f t="shared" ca="1" si="42"/>
        <v>32.515376439822745</v>
      </c>
      <c r="C969" s="158">
        <f t="shared" ca="1" si="43"/>
        <v>1</v>
      </c>
    </row>
    <row r="970" spans="1:3" x14ac:dyDescent="0.25">
      <c r="A970" s="155">
        <f t="shared" si="44"/>
        <v>955</v>
      </c>
      <c r="B970" s="151">
        <f t="shared" ca="1" si="42"/>
        <v>55.400639723090556</v>
      </c>
      <c r="C970" s="158">
        <f t="shared" ca="1" si="43"/>
        <v>1</v>
      </c>
    </row>
    <row r="971" spans="1:3" x14ac:dyDescent="0.25">
      <c r="A971" s="155">
        <f t="shared" si="44"/>
        <v>956</v>
      </c>
      <c r="B971" s="151">
        <f t="shared" ca="1" si="42"/>
        <v>53.962169556355668</v>
      </c>
      <c r="C971" s="158">
        <f t="shared" ca="1" si="43"/>
        <v>1</v>
      </c>
    </row>
    <row r="972" spans="1:3" x14ac:dyDescent="0.25">
      <c r="A972" s="155">
        <f t="shared" si="44"/>
        <v>957</v>
      </c>
      <c r="B972" s="151">
        <f t="shared" ca="1" si="42"/>
        <v>-1.9131746976948705</v>
      </c>
      <c r="C972" s="158">
        <f t="shared" ca="1" si="43"/>
        <v>0</v>
      </c>
    </row>
    <row r="973" spans="1:3" x14ac:dyDescent="0.25">
      <c r="A973" s="155">
        <f t="shared" si="44"/>
        <v>958</v>
      </c>
      <c r="B973" s="151">
        <f t="shared" ca="1" si="42"/>
        <v>33.248568620052943</v>
      </c>
      <c r="C973" s="158">
        <f t="shared" ca="1" si="43"/>
        <v>1</v>
      </c>
    </row>
    <row r="974" spans="1:3" x14ac:dyDescent="0.25">
      <c r="A974" s="155">
        <f t="shared" si="44"/>
        <v>959</v>
      </c>
      <c r="B974" s="151">
        <f t="shared" ca="1" si="42"/>
        <v>16.03836575981628</v>
      </c>
      <c r="C974" s="158">
        <f t="shared" ca="1" si="43"/>
        <v>0</v>
      </c>
    </row>
    <row r="975" spans="1:3" x14ac:dyDescent="0.25">
      <c r="A975" s="155">
        <f t="shared" si="44"/>
        <v>960</v>
      </c>
      <c r="B975" s="151">
        <f t="shared" ca="1" si="42"/>
        <v>5.7924073630137585</v>
      </c>
      <c r="C975" s="158">
        <f t="shared" ca="1" si="43"/>
        <v>0</v>
      </c>
    </row>
    <row r="976" spans="1:3" x14ac:dyDescent="0.25">
      <c r="A976" s="155">
        <f t="shared" si="44"/>
        <v>961</v>
      </c>
      <c r="B976" s="151">
        <f t="shared" ca="1" si="42"/>
        <v>32.613848007537499</v>
      </c>
      <c r="C976" s="158">
        <f t="shared" ca="1" si="43"/>
        <v>1</v>
      </c>
    </row>
    <row r="977" spans="1:3" x14ac:dyDescent="0.25">
      <c r="A977" s="155">
        <f t="shared" si="44"/>
        <v>962</v>
      </c>
      <c r="B977" s="151">
        <f t="shared" ref="B977:B1015" ca="1" si="45">_xlfn.NORM.INV(RAND(), $B$9, $B$10)</f>
        <v>58.076605936219352</v>
      </c>
      <c r="C977" s="158">
        <f t="shared" ref="C977:C1015" ca="1" si="46">IF(B977 &gt;= $B$11, 1, 0)</f>
        <v>1</v>
      </c>
    </row>
    <row r="978" spans="1:3" x14ac:dyDescent="0.25">
      <c r="A978" s="155">
        <f t="shared" ref="A978:A1015" si="47">+A977+1</f>
        <v>963</v>
      </c>
      <c r="B978" s="151">
        <f t="shared" ca="1" si="45"/>
        <v>12.58775234819478</v>
      </c>
      <c r="C978" s="158">
        <f t="shared" ca="1" si="46"/>
        <v>0</v>
      </c>
    </row>
    <row r="979" spans="1:3" x14ac:dyDescent="0.25">
      <c r="A979" s="155">
        <f t="shared" si="47"/>
        <v>964</v>
      </c>
      <c r="B979" s="151">
        <f t="shared" ca="1" si="45"/>
        <v>54.484894257201631</v>
      </c>
      <c r="C979" s="158">
        <f t="shared" ca="1" si="46"/>
        <v>1</v>
      </c>
    </row>
    <row r="980" spans="1:3" x14ac:dyDescent="0.25">
      <c r="A980" s="155">
        <f t="shared" si="47"/>
        <v>965</v>
      </c>
      <c r="B980" s="151">
        <f t="shared" ca="1" si="45"/>
        <v>10.859165544743632</v>
      </c>
      <c r="C980" s="158">
        <f t="shared" ca="1" si="46"/>
        <v>0</v>
      </c>
    </row>
    <row r="981" spans="1:3" x14ac:dyDescent="0.25">
      <c r="A981" s="155">
        <f t="shared" si="47"/>
        <v>966</v>
      </c>
      <c r="B981" s="151">
        <f t="shared" ca="1" si="45"/>
        <v>35.549979249994472</v>
      </c>
      <c r="C981" s="158">
        <f t="shared" ca="1" si="46"/>
        <v>1</v>
      </c>
    </row>
    <row r="982" spans="1:3" x14ac:dyDescent="0.25">
      <c r="A982" s="155">
        <f t="shared" si="47"/>
        <v>967</v>
      </c>
      <c r="B982" s="151">
        <f t="shared" ca="1" si="45"/>
        <v>35.075555606977446</v>
      </c>
      <c r="C982" s="158">
        <f t="shared" ca="1" si="46"/>
        <v>1</v>
      </c>
    </row>
    <row r="983" spans="1:3" x14ac:dyDescent="0.25">
      <c r="A983" s="155">
        <f t="shared" si="47"/>
        <v>968</v>
      </c>
      <c r="B983" s="151">
        <f t="shared" ca="1" si="45"/>
        <v>-7.3317505134608396</v>
      </c>
      <c r="C983" s="158">
        <f t="shared" ca="1" si="46"/>
        <v>0</v>
      </c>
    </row>
    <row r="984" spans="1:3" x14ac:dyDescent="0.25">
      <c r="A984" s="155">
        <f t="shared" si="47"/>
        <v>969</v>
      </c>
      <c r="B984" s="151">
        <f t="shared" ca="1" si="45"/>
        <v>32.547590595915636</v>
      </c>
      <c r="C984" s="158">
        <f t="shared" ca="1" si="46"/>
        <v>1</v>
      </c>
    </row>
    <row r="985" spans="1:3" x14ac:dyDescent="0.25">
      <c r="A985" s="155">
        <f t="shared" si="47"/>
        <v>970</v>
      </c>
      <c r="B985" s="151">
        <f t="shared" ca="1" si="45"/>
        <v>-13.46079998383582</v>
      </c>
      <c r="C985" s="158">
        <f t="shared" ca="1" si="46"/>
        <v>0</v>
      </c>
    </row>
    <row r="986" spans="1:3" x14ac:dyDescent="0.25">
      <c r="A986" s="155">
        <f t="shared" si="47"/>
        <v>971</v>
      </c>
      <c r="B986" s="151">
        <f t="shared" ca="1" si="45"/>
        <v>28.388566948824536</v>
      </c>
      <c r="C986" s="158">
        <f t="shared" ca="1" si="46"/>
        <v>1</v>
      </c>
    </row>
    <row r="987" spans="1:3" x14ac:dyDescent="0.25">
      <c r="A987" s="155">
        <f t="shared" si="47"/>
        <v>972</v>
      </c>
      <c r="B987" s="151">
        <f t="shared" ca="1" si="45"/>
        <v>27.2104400978493</v>
      </c>
      <c r="C987" s="158">
        <f t="shared" ca="1" si="46"/>
        <v>1</v>
      </c>
    </row>
    <row r="988" spans="1:3" x14ac:dyDescent="0.25">
      <c r="A988" s="155">
        <f t="shared" si="47"/>
        <v>973</v>
      </c>
      <c r="B988" s="151">
        <f t="shared" ca="1" si="45"/>
        <v>26.967174382595324</v>
      </c>
      <c r="C988" s="158">
        <f t="shared" ca="1" si="46"/>
        <v>1</v>
      </c>
    </row>
    <row r="989" spans="1:3" x14ac:dyDescent="0.25">
      <c r="A989" s="155">
        <f t="shared" si="47"/>
        <v>974</v>
      </c>
      <c r="B989" s="151">
        <f t="shared" ca="1" si="45"/>
        <v>3.1257783661094081</v>
      </c>
      <c r="C989" s="158">
        <f t="shared" ca="1" si="46"/>
        <v>0</v>
      </c>
    </row>
    <row r="990" spans="1:3" x14ac:dyDescent="0.25">
      <c r="A990" s="155">
        <f t="shared" si="47"/>
        <v>975</v>
      </c>
      <c r="B990" s="151">
        <f t="shared" ca="1" si="45"/>
        <v>57.815827433487222</v>
      </c>
      <c r="C990" s="158">
        <f t="shared" ca="1" si="46"/>
        <v>1</v>
      </c>
    </row>
    <row r="991" spans="1:3" x14ac:dyDescent="0.25">
      <c r="A991" s="155">
        <f t="shared" si="47"/>
        <v>976</v>
      </c>
      <c r="B991" s="151">
        <f t="shared" ca="1" si="45"/>
        <v>54.925607293691669</v>
      </c>
      <c r="C991" s="158">
        <f t="shared" ca="1" si="46"/>
        <v>1</v>
      </c>
    </row>
    <row r="992" spans="1:3" x14ac:dyDescent="0.25">
      <c r="A992" s="155">
        <f t="shared" si="47"/>
        <v>977</v>
      </c>
      <c r="B992" s="151">
        <f t="shared" ca="1" si="45"/>
        <v>32.830479569451704</v>
      </c>
      <c r="C992" s="158">
        <f t="shared" ca="1" si="46"/>
        <v>1</v>
      </c>
    </row>
    <row r="993" spans="1:3" x14ac:dyDescent="0.25">
      <c r="A993" s="155">
        <f t="shared" si="47"/>
        <v>978</v>
      </c>
      <c r="B993" s="151">
        <f t="shared" ca="1" si="45"/>
        <v>23.215763626135988</v>
      </c>
      <c r="C993" s="158">
        <f t="shared" ca="1" si="46"/>
        <v>0</v>
      </c>
    </row>
    <row r="994" spans="1:3" x14ac:dyDescent="0.25">
      <c r="A994" s="155">
        <f t="shared" si="47"/>
        <v>979</v>
      </c>
      <c r="B994" s="151">
        <f t="shared" ca="1" si="45"/>
        <v>15.936881600042245</v>
      </c>
      <c r="C994" s="158">
        <f t="shared" ca="1" si="46"/>
        <v>0</v>
      </c>
    </row>
    <row r="995" spans="1:3" x14ac:dyDescent="0.25">
      <c r="A995" s="155">
        <f t="shared" si="47"/>
        <v>980</v>
      </c>
      <c r="B995" s="151">
        <f t="shared" ca="1" si="45"/>
        <v>77.480357013972991</v>
      </c>
      <c r="C995" s="158">
        <f t="shared" ca="1" si="46"/>
        <v>1</v>
      </c>
    </row>
    <row r="996" spans="1:3" x14ac:dyDescent="0.25">
      <c r="A996" s="155">
        <f t="shared" si="47"/>
        <v>981</v>
      </c>
      <c r="B996" s="151">
        <f t="shared" ca="1" si="45"/>
        <v>11.121401924241251</v>
      </c>
      <c r="C996" s="158">
        <f t="shared" ca="1" si="46"/>
        <v>0</v>
      </c>
    </row>
    <row r="997" spans="1:3" x14ac:dyDescent="0.25">
      <c r="A997" s="155">
        <f t="shared" si="47"/>
        <v>982</v>
      </c>
      <c r="B997" s="151">
        <f t="shared" ca="1" si="45"/>
        <v>19.506080103172216</v>
      </c>
      <c r="C997" s="158">
        <f t="shared" ca="1" si="46"/>
        <v>0</v>
      </c>
    </row>
    <row r="998" spans="1:3" x14ac:dyDescent="0.25">
      <c r="A998" s="155">
        <f t="shared" si="47"/>
        <v>983</v>
      </c>
      <c r="B998" s="151">
        <f t="shared" ca="1" si="45"/>
        <v>-20.830126046182002</v>
      </c>
      <c r="C998" s="158">
        <f t="shared" ca="1" si="46"/>
        <v>0</v>
      </c>
    </row>
    <row r="999" spans="1:3" x14ac:dyDescent="0.25">
      <c r="A999" s="155">
        <f t="shared" si="47"/>
        <v>984</v>
      </c>
      <c r="B999" s="151">
        <f t="shared" ca="1" si="45"/>
        <v>65.381051555933865</v>
      </c>
      <c r="C999" s="158">
        <f t="shared" ca="1" si="46"/>
        <v>1</v>
      </c>
    </row>
    <row r="1000" spans="1:3" x14ac:dyDescent="0.25">
      <c r="A1000" s="155">
        <f t="shared" si="47"/>
        <v>985</v>
      </c>
      <c r="B1000" s="151">
        <f t="shared" ca="1" si="45"/>
        <v>14.767150326962046</v>
      </c>
      <c r="C1000" s="158">
        <f t="shared" ca="1" si="46"/>
        <v>0</v>
      </c>
    </row>
    <row r="1001" spans="1:3" x14ac:dyDescent="0.25">
      <c r="A1001" s="155">
        <f t="shared" si="47"/>
        <v>986</v>
      </c>
      <c r="B1001" s="151">
        <f t="shared" ca="1" si="45"/>
        <v>5.2255917398870437</v>
      </c>
      <c r="C1001" s="158">
        <f t="shared" ca="1" si="46"/>
        <v>0</v>
      </c>
    </row>
    <row r="1002" spans="1:3" x14ac:dyDescent="0.25">
      <c r="A1002" s="155">
        <f t="shared" si="47"/>
        <v>987</v>
      </c>
      <c r="B1002" s="151">
        <f t="shared" ca="1" si="45"/>
        <v>23.255948171388084</v>
      </c>
      <c r="C1002" s="158">
        <f t="shared" ca="1" si="46"/>
        <v>0</v>
      </c>
    </row>
    <row r="1003" spans="1:3" x14ac:dyDescent="0.25">
      <c r="A1003" s="155">
        <f t="shared" si="47"/>
        <v>988</v>
      </c>
      <c r="B1003" s="151">
        <f t="shared" ca="1" si="45"/>
        <v>-1.4430142233109677</v>
      </c>
      <c r="C1003" s="158">
        <f t="shared" ca="1" si="46"/>
        <v>0</v>
      </c>
    </row>
    <row r="1004" spans="1:3" x14ac:dyDescent="0.25">
      <c r="A1004" s="155">
        <f t="shared" si="47"/>
        <v>989</v>
      </c>
      <c r="B1004" s="151">
        <f t="shared" ca="1" si="45"/>
        <v>59.219078998547154</v>
      </c>
      <c r="C1004" s="158">
        <f t="shared" ca="1" si="46"/>
        <v>1</v>
      </c>
    </row>
    <row r="1005" spans="1:3" x14ac:dyDescent="0.25">
      <c r="A1005" s="155">
        <f t="shared" si="47"/>
        <v>990</v>
      </c>
      <c r="B1005" s="151">
        <f t="shared" ca="1" si="45"/>
        <v>43.824501631680334</v>
      </c>
      <c r="C1005" s="158">
        <f t="shared" ca="1" si="46"/>
        <v>1</v>
      </c>
    </row>
    <row r="1006" spans="1:3" x14ac:dyDescent="0.25">
      <c r="A1006" s="155">
        <f t="shared" si="47"/>
        <v>991</v>
      </c>
      <c r="B1006" s="151">
        <f t="shared" ca="1" si="45"/>
        <v>36.048583169554149</v>
      </c>
      <c r="C1006" s="158">
        <f t="shared" ca="1" si="46"/>
        <v>1</v>
      </c>
    </row>
    <row r="1007" spans="1:3" x14ac:dyDescent="0.25">
      <c r="A1007" s="155">
        <f t="shared" si="47"/>
        <v>992</v>
      </c>
      <c r="B1007" s="151">
        <f t="shared" ca="1" si="45"/>
        <v>57.660741284961688</v>
      </c>
      <c r="C1007" s="158">
        <f t="shared" ca="1" si="46"/>
        <v>1</v>
      </c>
    </row>
    <row r="1008" spans="1:3" x14ac:dyDescent="0.25">
      <c r="A1008" s="155">
        <f t="shared" si="47"/>
        <v>993</v>
      </c>
      <c r="B1008" s="151">
        <f t="shared" ca="1" si="45"/>
        <v>80.64090808537469</v>
      </c>
      <c r="C1008" s="158">
        <f t="shared" ca="1" si="46"/>
        <v>1</v>
      </c>
    </row>
    <row r="1009" spans="1:3" x14ac:dyDescent="0.25">
      <c r="A1009" s="155">
        <f t="shared" si="47"/>
        <v>994</v>
      </c>
      <c r="B1009" s="151">
        <f t="shared" ca="1" si="45"/>
        <v>38.524146972249298</v>
      </c>
      <c r="C1009" s="158">
        <f t="shared" ca="1" si="46"/>
        <v>1</v>
      </c>
    </row>
    <row r="1010" spans="1:3" x14ac:dyDescent="0.25">
      <c r="A1010" s="155">
        <f t="shared" si="47"/>
        <v>995</v>
      </c>
      <c r="B1010" s="151">
        <f t="shared" ca="1" si="45"/>
        <v>28.253062010649447</v>
      </c>
      <c r="C1010" s="158">
        <f t="shared" ca="1" si="46"/>
        <v>1</v>
      </c>
    </row>
    <row r="1011" spans="1:3" x14ac:dyDescent="0.25">
      <c r="A1011" s="155">
        <f t="shared" si="47"/>
        <v>996</v>
      </c>
      <c r="B1011" s="151">
        <f t="shared" ca="1" si="45"/>
        <v>43.193446315431281</v>
      </c>
      <c r="C1011" s="158">
        <f t="shared" ca="1" si="46"/>
        <v>1</v>
      </c>
    </row>
    <row r="1012" spans="1:3" x14ac:dyDescent="0.25">
      <c r="A1012" s="155">
        <f t="shared" si="47"/>
        <v>997</v>
      </c>
      <c r="B1012" s="151">
        <f t="shared" ca="1" si="45"/>
        <v>48.377033143305695</v>
      </c>
      <c r="C1012" s="158">
        <f t="shared" ca="1" si="46"/>
        <v>1</v>
      </c>
    </row>
    <row r="1013" spans="1:3" x14ac:dyDescent="0.25">
      <c r="A1013" s="155">
        <f t="shared" si="47"/>
        <v>998</v>
      </c>
      <c r="B1013" s="151">
        <f t="shared" ca="1" si="45"/>
        <v>77.9059878093191</v>
      </c>
      <c r="C1013" s="158">
        <f t="shared" ca="1" si="46"/>
        <v>1</v>
      </c>
    </row>
    <row r="1014" spans="1:3" x14ac:dyDescent="0.25">
      <c r="A1014" s="155">
        <f t="shared" si="47"/>
        <v>999</v>
      </c>
      <c r="B1014" s="151">
        <f t="shared" ca="1" si="45"/>
        <v>80.750242451863798</v>
      </c>
      <c r="C1014" s="158">
        <f t="shared" ca="1" si="46"/>
        <v>1</v>
      </c>
    </row>
    <row r="1015" spans="1:3" ht="15.75" thickBot="1" x14ac:dyDescent="0.3">
      <c r="A1015" s="156">
        <f t="shared" si="47"/>
        <v>1000</v>
      </c>
      <c r="B1015" s="153">
        <f t="shared" ca="1" si="45"/>
        <v>43.59410044525977</v>
      </c>
      <c r="C1015" s="159">
        <f t="shared" ca="1" si="46"/>
        <v>1</v>
      </c>
    </row>
  </sheetData>
  <mergeCells count="4">
    <mergeCell ref="A1:G1"/>
    <mergeCell ref="A2:G2"/>
    <mergeCell ref="A6:B6"/>
    <mergeCell ref="F6:G6"/>
  </mergeCells>
  <conditionalFormatting sqref="A16:C1015">
    <cfRule type="expression" dxfId="1" priority="1">
      <formula>MOD(ROW(),2)=0</formula>
    </cfRule>
  </conditionalFormatting>
  <conditionalFormatting sqref="A16:C1015">
    <cfRule type="expression" dxfId="0" priority="2">
      <formula>MOD(ROW(),2)=0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5301-4D04-4A5F-82D0-248D35F15BF4}">
  <dimension ref="A1:U34"/>
  <sheetViews>
    <sheetView tabSelected="1" zoomScale="85" zoomScaleNormal="85" workbookViewId="0">
      <selection activeCell="D5" sqref="D5"/>
    </sheetView>
  </sheetViews>
  <sheetFormatPr defaultRowHeight="15" x14ac:dyDescent="0.25"/>
  <cols>
    <col min="1" max="1" width="15.28515625" customWidth="1"/>
    <col min="2" max="2" width="11.42578125" customWidth="1"/>
    <col min="3" max="3" width="8.42578125" customWidth="1"/>
    <col min="4" max="4" width="18" bestFit="1" customWidth="1"/>
    <col min="5" max="5" width="11" customWidth="1"/>
    <col min="6" max="6" width="17.7109375" bestFit="1" customWidth="1"/>
    <col min="7" max="7" width="13.28515625" customWidth="1"/>
    <col min="8" max="8" width="13.140625" bestFit="1" customWidth="1"/>
    <col min="9" max="9" width="9.7109375" bestFit="1" customWidth="1"/>
    <col min="10" max="10" width="13.28515625" customWidth="1"/>
    <col min="11" max="11" width="15.5703125" customWidth="1"/>
    <col min="12" max="12" width="13.28515625" customWidth="1"/>
    <col min="13" max="13" width="15.5703125" customWidth="1"/>
    <col min="14" max="14" width="10.5703125" bestFit="1" customWidth="1"/>
    <col min="15" max="15" width="15.28515625" customWidth="1"/>
    <col min="16" max="16" width="15.5703125" customWidth="1"/>
    <col min="20" max="21" width="16.28515625" customWidth="1"/>
  </cols>
  <sheetData>
    <row r="1" spans="1:21" ht="32.1" customHeight="1" x14ac:dyDescent="0.4">
      <c r="A1" s="102" t="s">
        <v>41</v>
      </c>
      <c r="B1" s="102"/>
      <c r="C1" s="19" t="s">
        <v>33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21" ht="18" customHeight="1" x14ac:dyDescent="0.25">
      <c r="A2" s="103" t="s">
        <v>42</v>
      </c>
      <c r="B2" s="103"/>
      <c r="C2" s="20" t="s">
        <v>164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21" ht="8.1" customHeight="1" x14ac:dyDescent="0.25"/>
    <row r="4" spans="1:21" ht="20.100000000000001" customHeight="1" x14ac:dyDescent="0.25">
      <c r="A4" s="104" t="s">
        <v>43</v>
      </c>
      <c r="B4" s="104"/>
      <c r="C4" s="14" t="s">
        <v>34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21" ht="21.95" customHeight="1" x14ac:dyDescent="0.25">
      <c r="A5" s="105"/>
      <c r="B5" s="105"/>
      <c r="D5" s="16" t="s">
        <v>35</v>
      </c>
      <c r="E5" s="17">
        <v>0.12</v>
      </c>
      <c r="F5" s="16" t="s">
        <v>36</v>
      </c>
      <c r="G5" s="17">
        <v>0.5</v>
      </c>
      <c r="H5" s="16" t="s">
        <v>37</v>
      </c>
      <c r="I5" s="132">
        <v>6740</v>
      </c>
      <c r="J5" s="16" t="s">
        <v>38</v>
      </c>
      <c r="K5" s="17">
        <v>0.21</v>
      </c>
      <c r="L5" s="16" t="s">
        <v>39</v>
      </c>
      <c r="M5" s="18">
        <v>2029</v>
      </c>
      <c r="N5" s="16" t="s">
        <v>40</v>
      </c>
      <c r="O5" s="18">
        <v>2040</v>
      </c>
    </row>
    <row r="6" spans="1:21" ht="8.1" customHeight="1" thickBot="1" x14ac:dyDescent="0.3"/>
    <row r="7" spans="1:21" ht="20.100000000000001" customHeight="1" x14ac:dyDescent="0.25">
      <c r="A7" s="109" t="s">
        <v>44</v>
      </c>
      <c r="B7" s="112"/>
      <c r="C7" s="115" t="s">
        <v>13</v>
      </c>
      <c r="D7" s="22" t="s">
        <v>14</v>
      </c>
      <c r="E7" s="22" t="s">
        <v>15</v>
      </c>
      <c r="F7" s="22" t="s">
        <v>16</v>
      </c>
      <c r="G7" s="22" t="s">
        <v>17</v>
      </c>
      <c r="H7" s="22" t="s">
        <v>18</v>
      </c>
      <c r="I7" s="22" t="s">
        <v>19</v>
      </c>
      <c r="J7" s="22" t="s">
        <v>20</v>
      </c>
      <c r="K7" s="22" t="s">
        <v>21</v>
      </c>
      <c r="L7" s="22" t="s">
        <v>22</v>
      </c>
      <c r="M7" s="22" t="s">
        <v>23</v>
      </c>
      <c r="N7" s="22" t="s">
        <v>24</v>
      </c>
      <c r="O7" s="22" t="s">
        <v>25</v>
      </c>
      <c r="P7" s="23" t="s">
        <v>26</v>
      </c>
      <c r="R7" s="4" t="s">
        <v>13</v>
      </c>
      <c r="S7" s="4" t="s">
        <v>14</v>
      </c>
      <c r="T7" s="4" t="s">
        <v>31</v>
      </c>
      <c r="U7" s="4" t="s">
        <v>32</v>
      </c>
    </row>
    <row r="8" spans="1:21" ht="36" customHeight="1" x14ac:dyDescent="0.45">
      <c r="A8" s="110" t="s">
        <v>45</v>
      </c>
      <c r="B8" s="113"/>
      <c r="C8" s="24">
        <v>2026</v>
      </c>
      <c r="D8" s="25" t="s">
        <v>27</v>
      </c>
      <c r="E8" s="26">
        <v>0</v>
      </c>
      <c r="F8" s="26">
        <v>0</v>
      </c>
      <c r="G8" s="26">
        <v>0</v>
      </c>
      <c r="H8" s="27">
        <v>-40</v>
      </c>
      <c r="I8" s="26">
        <v>0</v>
      </c>
      <c r="J8" s="27">
        <f>+F8+SUM(G8:I8)</f>
        <v>-40</v>
      </c>
      <c r="K8" s="28">
        <v>56.4</v>
      </c>
      <c r="L8" s="26">
        <v>0</v>
      </c>
      <c r="M8" s="27">
        <f>+J8</f>
        <v>-40</v>
      </c>
      <c r="N8" s="26" t="s">
        <v>28</v>
      </c>
      <c r="O8" s="26">
        <f>+M8</f>
        <v>-40</v>
      </c>
      <c r="P8" s="29">
        <v>-35.4</v>
      </c>
      <c r="R8" s="8">
        <v>2026</v>
      </c>
      <c r="S8" s="5" t="s">
        <v>27</v>
      </c>
      <c r="T8" s="11">
        <v>-40</v>
      </c>
      <c r="U8" s="11">
        <v>-35.4</v>
      </c>
    </row>
    <row r="9" spans="1:21" ht="15.95" customHeight="1" x14ac:dyDescent="0.25">
      <c r="A9" s="111" t="s">
        <v>46</v>
      </c>
      <c r="B9" s="114"/>
      <c r="C9" s="122">
        <f>+C8+1</f>
        <v>2027</v>
      </c>
      <c r="D9" s="30" t="s">
        <v>27</v>
      </c>
      <c r="E9" s="31">
        <v>0</v>
      </c>
      <c r="F9" s="31">
        <v>0</v>
      </c>
      <c r="G9" s="31">
        <v>0</v>
      </c>
      <c r="H9" s="32">
        <v>-40</v>
      </c>
      <c r="I9" s="31">
        <v>0</v>
      </c>
      <c r="J9" s="32">
        <f t="shared" ref="J9:J27" si="0">+F9+SUM(G9:I9)</f>
        <v>-40</v>
      </c>
      <c r="K9" s="33">
        <v>96.4</v>
      </c>
      <c r="L9" s="31">
        <v>0</v>
      </c>
      <c r="M9" s="32">
        <f t="shared" ref="M9:M10" si="1">+J9</f>
        <v>-40</v>
      </c>
      <c r="N9" s="31" t="s">
        <v>28</v>
      </c>
      <c r="O9" s="31">
        <f t="shared" ref="O9:O10" si="2">+M9</f>
        <v>-40</v>
      </c>
      <c r="P9" s="34">
        <v>-66.7</v>
      </c>
      <c r="R9" s="8">
        <v>2027</v>
      </c>
      <c r="S9" s="5" t="s">
        <v>27</v>
      </c>
      <c r="T9" s="11">
        <v>-40</v>
      </c>
      <c r="U9" s="11">
        <v>-66.7</v>
      </c>
    </row>
    <row r="10" spans="1:21" ht="16.5" customHeight="1" thickBot="1" x14ac:dyDescent="0.3">
      <c r="C10" s="123">
        <f t="shared" ref="C10:C27" si="3">+C9+1</f>
        <v>2028</v>
      </c>
      <c r="D10" s="35" t="s">
        <v>27</v>
      </c>
      <c r="E10" s="36">
        <v>0</v>
      </c>
      <c r="F10" s="36">
        <v>0</v>
      </c>
      <c r="G10" s="36">
        <v>0</v>
      </c>
      <c r="H10" s="37">
        <v>-40</v>
      </c>
      <c r="I10" s="36">
        <v>0</v>
      </c>
      <c r="J10" s="37">
        <f t="shared" si="0"/>
        <v>-40</v>
      </c>
      <c r="K10" s="38">
        <v>136.4</v>
      </c>
      <c r="L10" s="36">
        <v>0</v>
      </c>
      <c r="M10" s="37">
        <f t="shared" si="1"/>
        <v>-40</v>
      </c>
      <c r="N10" s="36" t="s">
        <v>28</v>
      </c>
      <c r="O10" s="36">
        <f t="shared" si="2"/>
        <v>-40</v>
      </c>
      <c r="P10" s="39">
        <v>-94.4</v>
      </c>
      <c r="R10" s="8">
        <v>2028</v>
      </c>
      <c r="S10" s="5" t="s">
        <v>27</v>
      </c>
      <c r="T10" s="11">
        <v>-40</v>
      </c>
      <c r="U10" s="11">
        <v>-94.4</v>
      </c>
    </row>
    <row r="11" spans="1:21" ht="20.100000000000001" customHeight="1" x14ac:dyDescent="0.25">
      <c r="A11" s="116" t="s">
        <v>47</v>
      </c>
      <c r="B11" s="119"/>
      <c r="C11" s="124">
        <f t="shared" si="3"/>
        <v>2029</v>
      </c>
      <c r="D11" s="40" t="s">
        <v>29</v>
      </c>
      <c r="E11" s="41">
        <v>1.4999999999999999E-2</v>
      </c>
      <c r="F11" s="42">
        <v>56.5</v>
      </c>
      <c r="G11" s="43">
        <v>-4.5</v>
      </c>
      <c r="H11" s="42">
        <v>0</v>
      </c>
      <c r="I11" s="43">
        <v>-31.1</v>
      </c>
      <c r="J11" s="42">
        <f t="shared" si="0"/>
        <v>20.9</v>
      </c>
      <c r="K11" s="44">
        <v>176.4</v>
      </c>
      <c r="L11" s="45">
        <f>-J11*0.045</f>
        <v>-0.94049999999999989</v>
      </c>
      <c r="M11" s="44">
        <f t="shared" ref="M11:M27" si="4">+J11+L11</f>
        <v>19.959499999999998</v>
      </c>
      <c r="N11" s="42">
        <v>0.5</v>
      </c>
      <c r="O11" s="42">
        <f>+M11*N11</f>
        <v>9.9797499999999992</v>
      </c>
      <c r="P11" s="46">
        <v>-88.3</v>
      </c>
      <c r="R11" s="9">
        <v>2029</v>
      </c>
      <c r="S11" s="6" t="s">
        <v>29</v>
      </c>
      <c r="T11" s="12">
        <v>9.98</v>
      </c>
      <c r="U11" s="12">
        <v>-88.3</v>
      </c>
    </row>
    <row r="12" spans="1:21" ht="30" customHeight="1" x14ac:dyDescent="0.35">
      <c r="A12" s="117" t="s">
        <v>48</v>
      </c>
      <c r="B12" s="120"/>
      <c r="C12" s="47">
        <f t="shared" si="3"/>
        <v>2030</v>
      </c>
      <c r="D12" s="48" t="s">
        <v>29</v>
      </c>
      <c r="E12" s="49">
        <v>3.7999999999999999E-2</v>
      </c>
      <c r="F12" s="50">
        <v>144.9</v>
      </c>
      <c r="G12" s="51">
        <v>-11.6</v>
      </c>
      <c r="H12" s="50">
        <v>0</v>
      </c>
      <c r="I12" s="51">
        <v>-79.900000000000006</v>
      </c>
      <c r="J12" s="50">
        <f t="shared" si="0"/>
        <v>53.400000000000006</v>
      </c>
      <c r="K12" s="52">
        <v>159.69999999999999</v>
      </c>
      <c r="L12" s="53">
        <f>-J12*0.045</f>
        <v>-2.403</v>
      </c>
      <c r="M12" s="52">
        <f t="shared" si="4"/>
        <v>50.997000000000007</v>
      </c>
      <c r="N12" s="50">
        <v>0.5</v>
      </c>
      <c r="O12" s="50">
        <f t="shared" ref="O12:O27" si="5">+M12*N12</f>
        <v>25.498500000000003</v>
      </c>
      <c r="P12" s="54">
        <v>-74.400000000000006</v>
      </c>
      <c r="R12" s="9">
        <v>2030</v>
      </c>
      <c r="S12" s="6" t="s">
        <v>29</v>
      </c>
      <c r="T12" s="12">
        <v>25.5</v>
      </c>
      <c r="U12" s="12">
        <v>-74.400000000000006</v>
      </c>
    </row>
    <row r="13" spans="1:21" ht="15.95" customHeight="1" x14ac:dyDescent="0.25">
      <c r="A13" s="118" t="s">
        <v>49</v>
      </c>
      <c r="B13" s="121"/>
      <c r="C13" s="125">
        <f t="shared" si="3"/>
        <v>2031</v>
      </c>
      <c r="D13" s="48" t="s">
        <v>29</v>
      </c>
      <c r="E13" s="49">
        <v>0.06</v>
      </c>
      <c r="F13" s="50">
        <v>237.6</v>
      </c>
      <c r="G13" s="51">
        <v>-19</v>
      </c>
      <c r="H13" s="50">
        <v>0</v>
      </c>
      <c r="I13" s="51">
        <v>-130.69999999999999</v>
      </c>
      <c r="J13" s="50">
        <f t="shared" si="0"/>
        <v>87.9</v>
      </c>
      <c r="K13" s="52">
        <v>116.8</v>
      </c>
      <c r="L13" s="53">
        <f>-J13*0.045</f>
        <v>-3.9555000000000002</v>
      </c>
      <c r="M13" s="52">
        <f t="shared" si="4"/>
        <v>83.944500000000005</v>
      </c>
      <c r="N13" s="50">
        <v>0.5</v>
      </c>
      <c r="O13" s="50">
        <f t="shared" si="5"/>
        <v>41.972250000000003</v>
      </c>
      <c r="P13" s="54">
        <v>-54.1</v>
      </c>
      <c r="R13" s="9">
        <v>2031</v>
      </c>
      <c r="S13" s="6" t="s">
        <v>29</v>
      </c>
      <c r="T13" s="12">
        <v>41.97</v>
      </c>
      <c r="U13" s="12">
        <v>-54.1</v>
      </c>
    </row>
    <row r="14" spans="1:21" ht="18" customHeight="1" x14ac:dyDescent="0.25">
      <c r="C14" s="125">
        <f t="shared" si="3"/>
        <v>2032</v>
      </c>
      <c r="D14" s="48" t="s">
        <v>29</v>
      </c>
      <c r="E14" s="49">
        <v>8.3000000000000004E-2</v>
      </c>
      <c r="F14" s="50">
        <v>334.9</v>
      </c>
      <c r="G14" s="51">
        <v>-26.8</v>
      </c>
      <c r="H14" s="50">
        <v>0</v>
      </c>
      <c r="I14" s="51">
        <v>-184.2</v>
      </c>
      <c r="J14" s="50">
        <f t="shared" si="0"/>
        <v>123.89999999999998</v>
      </c>
      <c r="K14" s="52">
        <v>46.5</v>
      </c>
      <c r="L14" s="53">
        <f>-J14*0.13</f>
        <v>-16.106999999999999</v>
      </c>
      <c r="M14" s="52">
        <f t="shared" si="4"/>
        <v>107.79299999999998</v>
      </c>
      <c r="N14" s="50">
        <v>0.5</v>
      </c>
      <c r="O14" s="50">
        <f t="shared" si="5"/>
        <v>53.896499999999989</v>
      </c>
      <c r="P14" s="54">
        <v>-31.3</v>
      </c>
      <c r="R14" s="9">
        <v>2032</v>
      </c>
      <c r="S14" s="6" t="s">
        <v>29</v>
      </c>
      <c r="T14" s="12">
        <v>53.9</v>
      </c>
      <c r="U14" s="12">
        <v>-31.3</v>
      </c>
    </row>
    <row r="15" spans="1:21" ht="20.100000000000001" customHeight="1" x14ac:dyDescent="0.25">
      <c r="A15" s="116" t="s">
        <v>50</v>
      </c>
      <c r="B15" s="119"/>
      <c r="C15" s="125">
        <f t="shared" si="3"/>
        <v>2033</v>
      </c>
      <c r="D15" s="48" t="s">
        <v>29</v>
      </c>
      <c r="E15" s="49">
        <v>0.105</v>
      </c>
      <c r="F15" s="50">
        <v>436.8</v>
      </c>
      <c r="G15" s="51">
        <v>-34.9</v>
      </c>
      <c r="H15" s="50">
        <v>0</v>
      </c>
      <c r="I15" s="51">
        <v>-131.1</v>
      </c>
      <c r="J15" s="50">
        <f t="shared" si="0"/>
        <v>270.8</v>
      </c>
      <c r="K15" s="52">
        <v>0</v>
      </c>
      <c r="L15" s="53">
        <f t="shared" ref="L15:L27" si="6">-J15*0.21</f>
        <v>-56.868000000000002</v>
      </c>
      <c r="M15" s="52">
        <f t="shared" si="4"/>
        <v>213.93200000000002</v>
      </c>
      <c r="N15" s="50">
        <v>0.5</v>
      </c>
      <c r="O15" s="50">
        <f t="shared" si="5"/>
        <v>106.96600000000001</v>
      </c>
      <c r="P15" s="55">
        <v>9</v>
      </c>
      <c r="R15" s="9">
        <v>2033</v>
      </c>
      <c r="S15" s="6" t="s">
        <v>29</v>
      </c>
      <c r="T15" s="12">
        <v>106.97</v>
      </c>
      <c r="U15" s="12">
        <v>9</v>
      </c>
    </row>
    <row r="16" spans="1:21" ht="30" customHeight="1" x14ac:dyDescent="0.35">
      <c r="A16" s="117" t="s">
        <v>51</v>
      </c>
      <c r="B16" s="120"/>
      <c r="C16" s="47">
        <f t="shared" si="3"/>
        <v>2034</v>
      </c>
      <c r="D16" s="48" t="s">
        <v>29</v>
      </c>
      <c r="E16" s="49">
        <v>0.128</v>
      </c>
      <c r="F16" s="50">
        <v>543.70000000000005</v>
      </c>
      <c r="G16" s="51">
        <v>-43.5</v>
      </c>
      <c r="H16" s="50">
        <v>0</v>
      </c>
      <c r="I16" s="51">
        <v>-163.1</v>
      </c>
      <c r="J16" s="50">
        <f t="shared" si="0"/>
        <v>337.1</v>
      </c>
      <c r="K16" s="52">
        <v>0</v>
      </c>
      <c r="L16" s="53">
        <f t="shared" si="6"/>
        <v>-70.790999999999997</v>
      </c>
      <c r="M16" s="52">
        <f t="shared" si="4"/>
        <v>266.30900000000003</v>
      </c>
      <c r="N16" s="50">
        <v>0.5</v>
      </c>
      <c r="O16" s="50">
        <f t="shared" si="5"/>
        <v>133.15450000000001</v>
      </c>
      <c r="P16" s="55">
        <v>53.3</v>
      </c>
      <c r="R16" s="9">
        <v>2034</v>
      </c>
      <c r="S16" s="6" t="s">
        <v>29</v>
      </c>
      <c r="T16" s="12">
        <v>133.15</v>
      </c>
      <c r="U16" s="12">
        <v>53.3</v>
      </c>
    </row>
    <row r="17" spans="1:21" ht="15.95" customHeight="1" x14ac:dyDescent="0.25">
      <c r="A17" s="118" t="s">
        <v>52</v>
      </c>
      <c r="B17" s="121"/>
      <c r="C17" s="47">
        <f t="shared" si="3"/>
        <v>2035</v>
      </c>
      <c r="D17" s="48" t="s">
        <v>29</v>
      </c>
      <c r="E17" s="49">
        <v>0.15</v>
      </c>
      <c r="F17" s="50">
        <v>655.7</v>
      </c>
      <c r="G17" s="51">
        <v>-52.5</v>
      </c>
      <c r="H17" s="50">
        <v>0</v>
      </c>
      <c r="I17" s="51">
        <v>-196.7</v>
      </c>
      <c r="J17" s="50">
        <f t="shared" si="0"/>
        <v>406.50000000000006</v>
      </c>
      <c r="K17" s="52">
        <v>0</v>
      </c>
      <c r="L17" s="53">
        <f t="shared" si="6"/>
        <v>-85.365000000000009</v>
      </c>
      <c r="M17" s="52">
        <f t="shared" si="4"/>
        <v>321.13500000000005</v>
      </c>
      <c r="N17" s="50">
        <v>0.5</v>
      </c>
      <c r="O17" s="50">
        <f t="shared" si="5"/>
        <v>160.56750000000002</v>
      </c>
      <c r="P17" s="55">
        <v>100.6</v>
      </c>
      <c r="R17" s="9">
        <v>2035</v>
      </c>
      <c r="S17" s="6" t="s">
        <v>29</v>
      </c>
      <c r="T17" s="12">
        <v>160.57</v>
      </c>
      <c r="U17" s="12">
        <v>100.6</v>
      </c>
    </row>
    <row r="18" spans="1:21" ht="20.25" customHeight="1" x14ac:dyDescent="0.25">
      <c r="C18" s="47">
        <f t="shared" si="3"/>
        <v>2036</v>
      </c>
      <c r="D18" s="48" t="s">
        <v>29</v>
      </c>
      <c r="E18" s="49">
        <v>0.15</v>
      </c>
      <c r="F18" s="50">
        <v>672</v>
      </c>
      <c r="G18" s="51">
        <v>-53.8</v>
      </c>
      <c r="H18" s="50">
        <v>0</v>
      </c>
      <c r="I18" s="51">
        <v>-201.6</v>
      </c>
      <c r="J18" s="50">
        <f t="shared" si="0"/>
        <v>416.6</v>
      </c>
      <c r="K18" s="52">
        <v>0</v>
      </c>
      <c r="L18" s="53">
        <f t="shared" si="6"/>
        <v>-87.486000000000004</v>
      </c>
      <c r="M18" s="52">
        <f t="shared" si="4"/>
        <v>329.11400000000003</v>
      </c>
      <c r="N18" s="50">
        <v>0.5</v>
      </c>
      <c r="O18" s="50">
        <f t="shared" si="5"/>
        <v>164.55700000000002</v>
      </c>
      <c r="P18" s="55">
        <v>143.5</v>
      </c>
      <c r="R18" s="9">
        <v>2036</v>
      </c>
      <c r="S18" s="6" t="s">
        <v>29</v>
      </c>
      <c r="T18" s="12">
        <v>164.56</v>
      </c>
      <c r="U18" s="12">
        <v>143.5</v>
      </c>
    </row>
    <row r="19" spans="1:21" ht="20.100000000000001" customHeight="1" x14ac:dyDescent="0.25">
      <c r="A19" s="126" t="s">
        <v>53</v>
      </c>
      <c r="B19" s="129"/>
      <c r="C19" s="47">
        <f t="shared" si="3"/>
        <v>2037</v>
      </c>
      <c r="D19" s="48" t="s">
        <v>29</v>
      </c>
      <c r="E19" s="49">
        <v>0.15</v>
      </c>
      <c r="F19" s="50">
        <v>688.8</v>
      </c>
      <c r="G19" s="51">
        <v>-55.1</v>
      </c>
      <c r="H19" s="50">
        <v>0</v>
      </c>
      <c r="I19" s="51">
        <v>-206.7</v>
      </c>
      <c r="J19" s="50">
        <f t="shared" si="0"/>
        <v>426.99999999999994</v>
      </c>
      <c r="K19" s="52">
        <v>0</v>
      </c>
      <c r="L19" s="53">
        <f t="shared" si="6"/>
        <v>-89.669999999999987</v>
      </c>
      <c r="M19" s="52">
        <f t="shared" si="4"/>
        <v>337.32999999999993</v>
      </c>
      <c r="N19" s="50">
        <v>0.5</v>
      </c>
      <c r="O19" s="50">
        <f t="shared" si="5"/>
        <v>168.66499999999996</v>
      </c>
      <c r="P19" s="55">
        <v>182.4</v>
      </c>
      <c r="R19" s="9">
        <v>2037</v>
      </c>
      <c r="S19" s="6" t="s">
        <v>29</v>
      </c>
      <c r="T19" s="12">
        <v>168.67</v>
      </c>
      <c r="U19" s="12">
        <v>182.4</v>
      </c>
    </row>
    <row r="20" spans="1:21" ht="30" customHeight="1" x14ac:dyDescent="0.35">
      <c r="A20" s="127">
        <v>2033</v>
      </c>
      <c r="B20" s="130"/>
      <c r="C20" s="47">
        <f t="shared" si="3"/>
        <v>2038</v>
      </c>
      <c r="D20" s="48" t="s">
        <v>29</v>
      </c>
      <c r="E20" s="49">
        <v>0.15</v>
      </c>
      <c r="F20" s="50">
        <v>706.1</v>
      </c>
      <c r="G20" s="51">
        <v>-56.5</v>
      </c>
      <c r="H20" s="50">
        <v>0</v>
      </c>
      <c r="I20" s="51">
        <v>-211.8</v>
      </c>
      <c r="J20" s="50">
        <f t="shared" si="0"/>
        <v>437.8</v>
      </c>
      <c r="K20" s="52">
        <v>0</v>
      </c>
      <c r="L20" s="53">
        <f t="shared" si="6"/>
        <v>-91.938000000000002</v>
      </c>
      <c r="M20" s="52">
        <f t="shared" si="4"/>
        <v>345.86200000000002</v>
      </c>
      <c r="N20" s="50">
        <v>0.5</v>
      </c>
      <c r="O20" s="50">
        <f t="shared" si="5"/>
        <v>172.93100000000001</v>
      </c>
      <c r="P20" s="55">
        <v>217.7</v>
      </c>
      <c r="R20" s="9">
        <v>2038</v>
      </c>
      <c r="S20" s="6" t="s">
        <v>29</v>
      </c>
      <c r="T20" s="12">
        <v>172.93</v>
      </c>
      <c r="U20" s="12">
        <v>217.7</v>
      </c>
    </row>
    <row r="21" spans="1:21" ht="15.95" customHeight="1" x14ac:dyDescent="0.25">
      <c r="A21" s="128" t="s">
        <v>54</v>
      </c>
      <c r="B21" s="131"/>
      <c r="C21" s="56">
        <f t="shared" si="3"/>
        <v>2039</v>
      </c>
      <c r="D21" s="57" t="s">
        <v>29</v>
      </c>
      <c r="E21" s="58">
        <v>0.15</v>
      </c>
      <c r="F21" s="59">
        <v>723.7</v>
      </c>
      <c r="G21" s="60">
        <v>-57.9</v>
      </c>
      <c r="H21" s="59">
        <v>0</v>
      </c>
      <c r="I21" s="60">
        <v>-217.1</v>
      </c>
      <c r="J21" s="59">
        <f t="shared" si="0"/>
        <v>448.70000000000005</v>
      </c>
      <c r="K21" s="61">
        <v>0</v>
      </c>
      <c r="L21" s="62">
        <f t="shared" si="6"/>
        <v>-94.227000000000004</v>
      </c>
      <c r="M21" s="61">
        <f t="shared" si="4"/>
        <v>354.47300000000007</v>
      </c>
      <c r="N21" s="59">
        <v>0.5</v>
      </c>
      <c r="O21" s="59">
        <f t="shared" si="5"/>
        <v>177.23650000000004</v>
      </c>
      <c r="P21" s="63">
        <v>249.8</v>
      </c>
      <c r="R21" s="9">
        <v>2039</v>
      </c>
      <c r="S21" s="6" t="s">
        <v>29</v>
      </c>
      <c r="T21" s="12">
        <v>177.24</v>
      </c>
      <c r="U21" s="12">
        <v>249.8</v>
      </c>
    </row>
    <row r="22" spans="1:21" ht="16.5" customHeight="1" thickBot="1" x14ac:dyDescent="0.3">
      <c r="C22" s="64">
        <f t="shared" si="3"/>
        <v>2040</v>
      </c>
      <c r="D22" s="65" t="s">
        <v>29</v>
      </c>
      <c r="E22" s="66">
        <v>0.15</v>
      </c>
      <c r="F22" s="67">
        <v>741.8</v>
      </c>
      <c r="G22" s="68">
        <v>-59.3</v>
      </c>
      <c r="H22" s="67">
        <v>0</v>
      </c>
      <c r="I22" s="68">
        <v>-222.5</v>
      </c>
      <c r="J22" s="67">
        <f t="shared" si="0"/>
        <v>459.99999999999994</v>
      </c>
      <c r="K22" s="69">
        <v>0</v>
      </c>
      <c r="L22" s="70">
        <f t="shared" si="6"/>
        <v>-96.59999999999998</v>
      </c>
      <c r="M22" s="69">
        <f t="shared" si="4"/>
        <v>363.4</v>
      </c>
      <c r="N22" s="67">
        <v>0.5</v>
      </c>
      <c r="O22" s="67">
        <f t="shared" si="5"/>
        <v>181.7</v>
      </c>
      <c r="P22" s="71">
        <v>278.8</v>
      </c>
      <c r="R22" s="9">
        <v>2040</v>
      </c>
      <c r="S22" s="6" t="s">
        <v>29</v>
      </c>
      <c r="T22" s="12">
        <v>181.7</v>
      </c>
      <c r="U22" s="12">
        <v>278.8</v>
      </c>
    </row>
    <row r="23" spans="1:21" ht="20.100000000000001" customHeight="1" x14ac:dyDescent="0.25">
      <c r="A23" s="106" t="s">
        <v>55</v>
      </c>
      <c r="B23" s="108"/>
      <c r="C23" s="72">
        <f t="shared" si="3"/>
        <v>2041</v>
      </c>
      <c r="D23" s="73" t="s">
        <v>30</v>
      </c>
      <c r="E23" s="74">
        <v>0.128</v>
      </c>
      <c r="F23" s="75">
        <v>549.4</v>
      </c>
      <c r="G23" s="75">
        <v>-43.9</v>
      </c>
      <c r="H23" s="75">
        <v>0</v>
      </c>
      <c r="I23" s="75">
        <v>-164.6</v>
      </c>
      <c r="J23" s="75">
        <f t="shared" si="0"/>
        <v>340.9</v>
      </c>
      <c r="K23" s="76">
        <v>0</v>
      </c>
      <c r="L23" s="77">
        <f t="shared" si="6"/>
        <v>-71.588999999999999</v>
      </c>
      <c r="M23" s="75">
        <f t="shared" si="4"/>
        <v>269.31099999999998</v>
      </c>
      <c r="N23" s="78">
        <v>0.5</v>
      </c>
      <c r="O23" s="75">
        <f t="shared" si="5"/>
        <v>134.65549999999999</v>
      </c>
      <c r="P23" s="79">
        <v>297.8</v>
      </c>
      <c r="R23" s="10">
        <v>2041</v>
      </c>
      <c r="S23" s="7" t="s">
        <v>30</v>
      </c>
      <c r="T23" s="13">
        <v>134.66</v>
      </c>
      <c r="U23" s="13">
        <v>297.8</v>
      </c>
    </row>
    <row r="24" spans="1:21" ht="18" customHeight="1" x14ac:dyDescent="0.25">
      <c r="A24" s="96" t="s">
        <v>56</v>
      </c>
      <c r="B24" s="97" t="s">
        <v>57</v>
      </c>
      <c r="C24" s="80">
        <f t="shared" si="3"/>
        <v>2042</v>
      </c>
      <c r="D24" s="81" t="s">
        <v>30</v>
      </c>
      <c r="E24" s="82">
        <v>0.105</v>
      </c>
      <c r="F24" s="83">
        <v>381.9</v>
      </c>
      <c r="G24" s="83">
        <v>-30.6</v>
      </c>
      <c r="H24" s="83">
        <v>0</v>
      </c>
      <c r="I24" s="83">
        <v>-114.6</v>
      </c>
      <c r="J24" s="83">
        <f t="shared" si="0"/>
        <v>236.7</v>
      </c>
      <c r="K24" s="84">
        <v>0</v>
      </c>
      <c r="L24" s="85">
        <f t="shared" si="6"/>
        <v>-49.706999999999994</v>
      </c>
      <c r="M24" s="83">
        <f t="shared" si="4"/>
        <v>186.99299999999999</v>
      </c>
      <c r="N24" s="86">
        <v>0.5</v>
      </c>
      <c r="O24" s="83">
        <f t="shared" si="5"/>
        <v>93.496499999999997</v>
      </c>
      <c r="P24" s="87">
        <v>309.60000000000002</v>
      </c>
      <c r="R24" s="10">
        <v>2042</v>
      </c>
      <c r="S24" s="7" t="s">
        <v>30</v>
      </c>
      <c r="T24" s="13">
        <v>93.5</v>
      </c>
      <c r="U24" s="13">
        <v>309.60000000000002</v>
      </c>
    </row>
    <row r="25" spans="1:21" ht="18" customHeight="1" x14ac:dyDescent="0.25">
      <c r="A25" s="98" t="s">
        <v>58</v>
      </c>
      <c r="B25" s="99" t="s">
        <v>59</v>
      </c>
      <c r="C25" s="80">
        <f t="shared" si="3"/>
        <v>2043</v>
      </c>
      <c r="D25" s="81" t="s">
        <v>30</v>
      </c>
      <c r="E25" s="82">
        <v>8.3000000000000004E-2</v>
      </c>
      <c r="F25" s="83">
        <v>241.7</v>
      </c>
      <c r="G25" s="83">
        <v>-19.3</v>
      </c>
      <c r="H25" s="83">
        <v>0</v>
      </c>
      <c r="I25" s="83">
        <v>-72.5</v>
      </c>
      <c r="J25" s="83">
        <f t="shared" si="0"/>
        <v>149.89999999999998</v>
      </c>
      <c r="K25" s="84">
        <v>0</v>
      </c>
      <c r="L25" s="85">
        <f t="shared" si="6"/>
        <v>-31.478999999999996</v>
      </c>
      <c r="M25" s="83">
        <f t="shared" si="4"/>
        <v>118.42099999999998</v>
      </c>
      <c r="N25" s="86">
        <v>0.5</v>
      </c>
      <c r="O25" s="83">
        <f t="shared" si="5"/>
        <v>59.210499999999989</v>
      </c>
      <c r="P25" s="87">
        <v>316.10000000000002</v>
      </c>
      <c r="R25" s="10">
        <v>2043</v>
      </c>
      <c r="S25" s="7" t="s">
        <v>30</v>
      </c>
      <c r="T25" s="13">
        <v>59.21</v>
      </c>
      <c r="U25" s="13">
        <v>316.10000000000002</v>
      </c>
    </row>
    <row r="26" spans="1:21" ht="18" customHeight="1" x14ac:dyDescent="0.25">
      <c r="A26" s="100" t="s">
        <v>60</v>
      </c>
      <c r="B26" s="101" t="s">
        <v>61</v>
      </c>
      <c r="C26" s="80">
        <f t="shared" si="3"/>
        <v>2044</v>
      </c>
      <c r="D26" s="81" t="s">
        <v>30</v>
      </c>
      <c r="E26" s="82">
        <v>0.06</v>
      </c>
      <c r="F26" s="83">
        <v>131</v>
      </c>
      <c r="G26" s="83">
        <v>-10.5</v>
      </c>
      <c r="H26" s="83">
        <v>0</v>
      </c>
      <c r="I26" s="83">
        <v>-39.299999999999997</v>
      </c>
      <c r="J26" s="83">
        <f t="shared" si="0"/>
        <v>81.2</v>
      </c>
      <c r="K26" s="84">
        <v>0</v>
      </c>
      <c r="L26" s="85">
        <f t="shared" si="6"/>
        <v>-17.052</v>
      </c>
      <c r="M26" s="83">
        <f t="shared" si="4"/>
        <v>64.147999999999996</v>
      </c>
      <c r="N26" s="86">
        <v>0.5</v>
      </c>
      <c r="O26" s="83">
        <f t="shared" si="5"/>
        <v>32.073999999999998</v>
      </c>
      <c r="P26" s="87">
        <v>319.3</v>
      </c>
      <c r="R26" s="10">
        <v>2044</v>
      </c>
      <c r="S26" s="7" t="s">
        <v>30</v>
      </c>
      <c r="T26" s="13">
        <v>32.07</v>
      </c>
      <c r="U26" s="13">
        <v>319.3</v>
      </c>
    </row>
    <row r="27" spans="1:21" ht="15.75" thickBot="1" x14ac:dyDescent="0.3">
      <c r="C27" s="88">
        <f t="shared" si="3"/>
        <v>2045</v>
      </c>
      <c r="D27" s="89" t="s">
        <v>30</v>
      </c>
      <c r="E27" s="90">
        <v>3.7999999999999999E-2</v>
      </c>
      <c r="F27" s="91">
        <v>52.5</v>
      </c>
      <c r="G27" s="91">
        <v>-4.2</v>
      </c>
      <c r="H27" s="91">
        <v>0</v>
      </c>
      <c r="I27" s="91">
        <v>-15.7</v>
      </c>
      <c r="J27" s="91">
        <f t="shared" si="0"/>
        <v>32.6</v>
      </c>
      <c r="K27" s="92">
        <v>0</v>
      </c>
      <c r="L27" s="93">
        <f t="shared" si="6"/>
        <v>-6.8460000000000001</v>
      </c>
      <c r="M27" s="91">
        <f t="shared" si="4"/>
        <v>25.754000000000001</v>
      </c>
      <c r="N27" s="94">
        <v>0.5</v>
      </c>
      <c r="O27" s="91">
        <f t="shared" si="5"/>
        <v>12.877000000000001</v>
      </c>
      <c r="P27" s="95">
        <v>320.39999999999998</v>
      </c>
      <c r="R27" s="10">
        <v>2045</v>
      </c>
      <c r="S27" s="7" t="s">
        <v>30</v>
      </c>
      <c r="T27" s="13">
        <v>12.88</v>
      </c>
      <c r="U27" s="13">
        <v>320.39999999999998</v>
      </c>
    </row>
    <row r="34" spans="16:16" x14ac:dyDescent="0.25">
      <c r="P34" s="2"/>
    </row>
  </sheetData>
  <mergeCells count="19">
    <mergeCell ref="A23:B23"/>
    <mergeCell ref="A15:B15"/>
    <mergeCell ref="A16:B16"/>
    <mergeCell ref="A17:B17"/>
    <mergeCell ref="A19:B19"/>
    <mergeCell ref="A20:B20"/>
    <mergeCell ref="A21:B21"/>
    <mergeCell ref="A7:B7"/>
    <mergeCell ref="A8:B8"/>
    <mergeCell ref="A9:B9"/>
    <mergeCell ref="A11:B11"/>
    <mergeCell ref="A12:B12"/>
    <mergeCell ref="A13:B13"/>
    <mergeCell ref="C1:P1"/>
    <mergeCell ref="C2:P2"/>
    <mergeCell ref="A1:B1"/>
    <mergeCell ref="A2:B2"/>
    <mergeCell ref="A4:B4"/>
    <mergeCell ref="A5:B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Conservative Case (Monte Carlo)</vt:lpstr>
      <vt:lpstr>Base Case (Normal)</vt:lpstr>
      <vt:lpstr>Bull Case (Phase 2 Prior)</vt:lpstr>
      <vt:lpstr>DCF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 Arnoldi</dc:creator>
  <cp:keywords/>
  <dc:description/>
  <cp:lastModifiedBy>Max Arnoldi</cp:lastModifiedBy>
  <cp:revision/>
  <dcterms:created xsi:type="dcterms:W3CDTF">2026-01-14T19:16:45Z</dcterms:created>
  <dcterms:modified xsi:type="dcterms:W3CDTF">2026-05-22T15:23:09Z</dcterms:modified>
  <cp:category/>
  <cp:contentStatus/>
</cp:coreProperties>
</file>