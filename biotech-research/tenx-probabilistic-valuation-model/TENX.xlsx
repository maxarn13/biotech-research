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nol\Desktop\"/>
    </mc:Choice>
  </mc:AlternateContent>
  <xr:revisionPtr revIDLastSave="0" documentId="13_ncr:1_{64213E51-300A-4B9A-9816-E884D24360BC}" xr6:coauthVersionLast="47" xr6:coauthVersionMax="47" xr10:uidLastSave="{00000000-0000-0000-0000-000000000000}"/>
  <bookViews>
    <workbookView xWindow="-120" yWindow="-120" windowWidth="29040" windowHeight="15720" xr2:uid="{250819BF-96CD-4551-AFA6-6E51BA226460}"/>
  </bookViews>
  <sheets>
    <sheet name="Main" sheetId="2" r:id="rId1"/>
    <sheet name="Conservative Case (Monte Carlo)" sheetId="1" r:id="rId2"/>
    <sheet name="Base Case (Normal)" sheetId="3" r:id="rId3"/>
    <sheet name="Bull Case (Phase 2 Prior)" sheetId="4" r:id="rId4"/>
    <sheet name="DCF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" l="1"/>
  <c r="C10" i="2"/>
  <c r="C7" i="2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6" i="1"/>
  <c r="M12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6" i="1"/>
  <c r="N11" i="1"/>
  <c r="J9" i="5"/>
  <c r="M9" i="5" s="1"/>
  <c r="O9" i="5" s="1"/>
  <c r="J10" i="5"/>
  <c r="M10" i="5" s="1"/>
  <c r="O10" i="5" s="1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8" i="5"/>
  <c r="M8" i="5" s="1"/>
  <c r="O8" i="5" s="1"/>
  <c r="C9" i="5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B17" i="4"/>
  <c r="C17" i="4" s="1"/>
  <c r="B18" i="4"/>
  <c r="C18" i="4" s="1"/>
  <c r="B19" i="4"/>
  <c r="C19" i="4" s="1"/>
  <c r="B20" i="4"/>
  <c r="C20" i="4" s="1"/>
  <c r="B21" i="4"/>
  <c r="C21" i="4" s="1"/>
  <c r="B22" i="4"/>
  <c r="C22" i="4" s="1"/>
  <c r="B23" i="4"/>
  <c r="C23" i="4" s="1"/>
  <c r="B24" i="4"/>
  <c r="C24" i="4" s="1"/>
  <c r="B25" i="4"/>
  <c r="C25" i="4" s="1"/>
  <c r="B26" i="4"/>
  <c r="C26" i="4" s="1"/>
  <c r="B27" i="4"/>
  <c r="C27" i="4" s="1"/>
  <c r="B28" i="4"/>
  <c r="C28" i="4" s="1"/>
  <c r="B29" i="4"/>
  <c r="C29" i="4" s="1"/>
  <c r="B30" i="4"/>
  <c r="C30" i="4" s="1"/>
  <c r="B31" i="4"/>
  <c r="C31" i="4" s="1"/>
  <c r="B32" i="4"/>
  <c r="C32" i="4" s="1"/>
  <c r="B33" i="4"/>
  <c r="C33" i="4" s="1"/>
  <c r="B34" i="4"/>
  <c r="C34" i="4" s="1"/>
  <c r="B35" i="4"/>
  <c r="C35" i="4" s="1"/>
  <c r="B36" i="4"/>
  <c r="C36" i="4" s="1"/>
  <c r="B37" i="4"/>
  <c r="C37" i="4" s="1"/>
  <c r="B38" i="4"/>
  <c r="C38" i="4" s="1"/>
  <c r="B39" i="4"/>
  <c r="C39" i="4" s="1"/>
  <c r="B40" i="4"/>
  <c r="C40" i="4" s="1"/>
  <c r="B41" i="4"/>
  <c r="C41" i="4" s="1"/>
  <c r="B42" i="4"/>
  <c r="C42" i="4" s="1"/>
  <c r="B43" i="4"/>
  <c r="C43" i="4" s="1"/>
  <c r="B44" i="4"/>
  <c r="C44" i="4" s="1"/>
  <c r="B45" i="4"/>
  <c r="C45" i="4" s="1"/>
  <c r="B46" i="4"/>
  <c r="C46" i="4" s="1"/>
  <c r="B47" i="4"/>
  <c r="C47" i="4" s="1"/>
  <c r="B48" i="4"/>
  <c r="C48" i="4" s="1"/>
  <c r="B49" i="4"/>
  <c r="C49" i="4" s="1"/>
  <c r="B50" i="4"/>
  <c r="C50" i="4" s="1"/>
  <c r="B51" i="4"/>
  <c r="C51" i="4" s="1"/>
  <c r="B52" i="4"/>
  <c r="C52" i="4" s="1"/>
  <c r="B53" i="4"/>
  <c r="C53" i="4" s="1"/>
  <c r="B54" i="4"/>
  <c r="C54" i="4" s="1"/>
  <c r="B55" i="4"/>
  <c r="C55" i="4" s="1"/>
  <c r="B56" i="4"/>
  <c r="C56" i="4" s="1"/>
  <c r="B57" i="4"/>
  <c r="C57" i="4" s="1"/>
  <c r="B58" i="4"/>
  <c r="C58" i="4" s="1"/>
  <c r="B59" i="4"/>
  <c r="C59" i="4" s="1"/>
  <c r="B60" i="4"/>
  <c r="C60" i="4" s="1"/>
  <c r="B61" i="4"/>
  <c r="C61" i="4" s="1"/>
  <c r="B62" i="4"/>
  <c r="C62" i="4" s="1"/>
  <c r="B63" i="4"/>
  <c r="C63" i="4" s="1"/>
  <c r="B64" i="4"/>
  <c r="C64" i="4" s="1"/>
  <c r="B65" i="4"/>
  <c r="C65" i="4" s="1"/>
  <c r="B66" i="4"/>
  <c r="C66" i="4" s="1"/>
  <c r="B67" i="4"/>
  <c r="C67" i="4" s="1"/>
  <c r="B68" i="4"/>
  <c r="C68" i="4" s="1"/>
  <c r="B69" i="4"/>
  <c r="C69" i="4" s="1"/>
  <c r="B70" i="4"/>
  <c r="C70" i="4" s="1"/>
  <c r="B71" i="4"/>
  <c r="C71" i="4" s="1"/>
  <c r="B72" i="4"/>
  <c r="C72" i="4" s="1"/>
  <c r="B73" i="4"/>
  <c r="C73" i="4" s="1"/>
  <c r="B74" i="4"/>
  <c r="C74" i="4" s="1"/>
  <c r="B75" i="4"/>
  <c r="C75" i="4" s="1"/>
  <c r="B76" i="4"/>
  <c r="C76" i="4" s="1"/>
  <c r="B77" i="4"/>
  <c r="C77" i="4" s="1"/>
  <c r="B78" i="4"/>
  <c r="C78" i="4" s="1"/>
  <c r="B79" i="4"/>
  <c r="C79" i="4" s="1"/>
  <c r="B80" i="4"/>
  <c r="C80" i="4" s="1"/>
  <c r="B81" i="4"/>
  <c r="C81" i="4" s="1"/>
  <c r="B82" i="4"/>
  <c r="C82" i="4" s="1"/>
  <c r="B83" i="4"/>
  <c r="C83" i="4" s="1"/>
  <c r="B84" i="4"/>
  <c r="C84" i="4" s="1"/>
  <c r="B85" i="4"/>
  <c r="C85" i="4" s="1"/>
  <c r="B86" i="4"/>
  <c r="C86" i="4" s="1"/>
  <c r="B87" i="4"/>
  <c r="C87" i="4" s="1"/>
  <c r="B88" i="4"/>
  <c r="C88" i="4" s="1"/>
  <c r="B89" i="4"/>
  <c r="C89" i="4" s="1"/>
  <c r="B90" i="4"/>
  <c r="C90" i="4" s="1"/>
  <c r="B91" i="4"/>
  <c r="C91" i="4" s="1"/>
  <c r="B92" i="4"/>
  <c r="C92" i="4" s="1"/>
  <c r="B93" i="4"/>
  <c r="C93" i="4" s="1"/>
  <c r="B94" i="4"/>
  <c r="C94" i="4" s="1"/>
  <c r="B95" i="4"/>
  <c r="C95" i="4" s="1"/>
  <c r="B96" i="4"/>
  <c r="C96" i="4" s="1"/>
  <c r="B97" i="4"/>
  <c r="C97" i="4" s="1"/>
  <c r="B98" i="4"/>
  <c r="C98" i="4" s="1"/>
  <c r="B99" i="4"/>
  <c r="C99" i="4" s="1"/>
  <c r="B100" i="4"/>
  <c r="C100" i="4" s="1"/>
  <c r="B101" i="4"/>
  <c r="C101" i="4" s="1"/>
  <c r="B102" i="4"/>
  <c r="C102" i="4" s="1"/>
  <c r="B103" i="4"/>
  <c r="C103" i="4" s="1"/>
  <c r="B104" i="4"/>
  <c r="C104" i="4" s="1"/>
  <c r="B105" i="4"/>
  <c r="C105" i="4" s="1"/>
  <c r="B106" i="4"/>
  <c r="C106" i="4" s="1"/>
  <c r="B107" i="4"/>
  <c r="C107" i="4" s="1"/>
  <c r="B108" i="4"/>
  <c r="C108" i="4" s="1"/>
  <c r="B109" i="4"/>
  <c r="C109" i="4" s="1"/>
  <c r="B110" i="4"/>
  <c r="C110" i="4" s="1"/>
  <c r="B111" i="4"/>
  <c r="C111" i="4" s="1"/>
  <c r="B112" i="4"/>
  <c r="C112" i="4" s="1"/>
  <c r="B113" i="4"/>
  <c r="C113" i="4" s="1"/>
  <c r="B114" i="4"/>
  <c r="C114" i="4" s="1"/>
  <c r="B115" i="4"/>
  <c r="C115" i="4" s="1"/>
  <c r="B116" i="4"/>
  <c r="C116" i="4" s="1"/>
  <c r="B117" i="4"/>
  <c r="C117" i="4" s="1"/>
  <c r="B118" i="4"/>
  <c r="C118" i="4" s="1"/>
  <c r="B119" i="4"/>
  <c r="C119" i="4" s="1"/>
  <c r="B120" i="4"/>
  <c r="C120" i="4" s="1"/>
  <c r="B121" i="4"/>
  <c r="C121" i="4" s="1"/>
  <c r="B122" i="4"/>
  <c r="C122" i="4" s="1"/>
  <c r="B123" i="4"/>
  <c r="C123" i="4" s="1"/>
  <c r="B124" i="4"/>
  <c r="C124" i="4" s="1"/>
  <c r="B125" i="4"/>
  <c r="C125" i="4" s="1"/>
  <c r="B126" i="4"/>
  <c r="C126" i="4" s="1"/>
  <c r="B127" i="4"/>
  <c r="C127" i="4" s="1"/>
  <c r="B128" i="4"/>
  <c r="C128" i="4" s="1"/>
  <c r="B129" i="4"/>
  <c r="C129" i="4" s="1"/>
  <c r="B130" i="4"/>
  <c r="C130" i="4" s="1"/>
  <c r="B131" i="4"/>
  <c r="C131" i="4" s="1"/>
  <c r="B132" i="4"/>
  <c r="C132" i="4" s="1"/>
  <c r="B133" i="4"/>
  <c r="C133" i="4" s="1"/>
  <c r="B134" i="4"/>
  <c r="C134" i="4" s="1"/>
  <c r="B135" i="4"/>
  <c r="C135" i="4" s="1"/>
  <c r="B136" i="4"/>
  <c r="C136" i="4" s="1"/>
  <c r="B137" i="4"/>
  <c r="C137" i="4" s="1"/>
  <c r="B138" i="4"/>
  <c r="C138" i="4" s="1"/>
  <c r="B139" i="4"/>
  <c r="C139" i="4" s="1"/>
  <c r="B140" i="4"/>
  <c r="C140" i="4" s="1"/>
  <c r="B141" i="4"/>
  <c r="C141" i="4" s="1"/>
  <c r="B142" i="4"/>
  <c r="C142" i="4" s="1"/>
  <c r="B143" i="4"/>
  <c r="C143" i="4" s="1"/>
  <c r="B144" i="4"/>
  <c r="C144" i="4" s="1"/>
  <c r="B145" i="4"/>
  <c r="C145" i="4" s="1"/>
  <c r="B146" i="4"/>
  <c r="C146" i="4" s="1"/>
  <c r="B147" i="4"/>
  <c r="C147" i="4" s="1"/>
  <c r="B148" i="4"/>
  <c r="C148" i="4" s="1"/>
  <c r="B149" i="4"/>
  <c r="C149" i="4" s="1"/>
  <c r="B150" i="4"/>
  <c r="C150" i="4" s="1"/>
  <c r="B151" i="4"/>
  <c r="C151" i="4" s="1"/>
  <c r="B152" i="4"/>
  <c r="C152" i="4" s="1"/>
  <c r="B153" i="4"/>
  <c r="C153" i="4" s="1"/>
  <c r="B154" i="4"/>
  <c r="C154" i="4" s="1"/>
  <c r="B155" i="4"/>
  <c r="C155" i="4" s="1"/>
  <c r="B156" i="4"/>
  <c r="C156" i="4" s="1"/>
  <c r="B157" i="4"/>
  <c r="C157" i="4" s="1"/>
  <c r="B158" i="4"/>
  <c r="C158" i="4" s="1"/>
  <c r="B159" i="4"/>
  <c r="C159" i="4" s="1"/>
  <c r="B160" i="4"/>
  <c r="C160" i="4" s="1"/>
  <c r="B161" i="4"/>
  <c r="C161" i="4" s="1"/>
  <c r="B162" i="4"/>
  <c r="C162" i="4" s="1"/>
  <c r="B163" i="4"/>
  <c r="C163" i="4" s="1"/>
  <c r="B164" i="4"/>
  <c r="C164" i="4" s="1"/>
  <c r="B165" i="4"/>
  <c r="C165" i="4" s="1"/>
  <c r="B166" i="4"/>
  <c r="C166" i="4" s="1"/>
  <c r="B167" i="4"/>
  <c r="C167" i="4" s="1"/>
  <c r="B168" i="4"/>
  <c r="C168" i="4" s="1"/>
  <c r="B169" i="4"/>
  <c r="C169" i="4" s="1"/>
  <c r="B170" i="4"/>
  <c r="C170" i="4" s="1"/>
  <c r="B171" i="4"/>
  <c r="C171" i="4" s="1"/>
  <c r="B172" i="4"/>
  <c r="C172" i="4" s="1"/>
  <c r="B173" i="4"/>
  <c r="C173" i="4" s="1"/>
  <c r="B174" i="4"/>
  <c r="C174" i="4" s="1"/>
  <c r="B175" i="4"/>
  <c r="C175" i="4" s="1"/>
  <c r="B176" i="4"/>
  <c r="C176" i="4" s="1"/>
  <c r="B177" i="4"/>
  <c r="C177" i="4" s="1"/>
  <c r="B178" i="4"/>
  <c r="C178" i="4" s="1"/>
  <c r="B179" i="4"/>
  <c r="C179" i="4" s="1"/>
  <c r="B180" i="4"/>
  <c r="C180" i="4" s="1"/>
  <c r="B181" i="4"/>
  <c r="C181" i="4" s="1"/>
  <c r="B182" i="4"/>
  <c r="C182" i="4" s="1"/>
  <c r="B183" i="4"/>
  <c r="C183" i="4" s="1"/>
  <c r="B184" i="4"/>
  <c r="C184" i="4" s="1"/>
  <c r="B185" i="4"/>
  <c r="C185" i="4" s="1"/>
  <c r="B186" i="4"/>
  <c r="C186" i="4" s="1"/>
  <c r="B187" i="4"/>
  <c r="C187" i="4" s="1"/>
  <c r="B188" i="4"/>
  <c r="C188" i="4" s="1"/>
  <c r="B189" i="4"/>
  <c r="C189" i="4" s="1"/>
  <c r="B190" i="4"/>
  <c r="C190" i="4" s="1"/>
  <c r="B191" i="4"/>
  <c r="C191" i="4" s="1"/>
  <c r="B192" i="4"/>
  <c r="C192" i="4" s="1"/>
  <c r="B193" i="4"/>
  <c r="C193" i="4" s="1"/>
  <c r="B194" i="4"/>
  <c r="C194" i="4" s="1"/>
  <c r="B195" i="4"/>
  <c r="C195" i="4" s="1"/>
  <c r="B196" i="4"/>
  <c r="C196" i="4" s="1"/>
  <c r="B197" i="4"/>
  <c r="C197" i="4" s="1"/>
  <c r="B198" i="4"/>
  <c r="C198" i="4" s="1"/>
  <c r="B199" i="4"/>
  <c r="C199" i="4" s="1"/>
  <c r="B200" i="4"/>
  <c r="C200" i="4" s="1"/>
  <c r="B201" i="4"/>
  <c r="C201" i="4" s="1"/>
  <c r="B202" i="4"/>
  <c r="C202" i="4" s="1"/>
  <c r="B203" i="4"/>
  <c r="C203" i="4" s="1"/>
  <c r="B204" i="4"/>
  <c r="C204" i="4" s="1"/>
  <c r="B205" i="4"/>
  <c r="C205" i="4" s="1"/>
  <c r="B206" i="4"/>
  <c r="C206" i="4" s="1"/>
  <c r="B207" i="4"/>
  <c r="C207" i="4" s="1"/>
  <c r="B208" i="4"/>
  <c r="C208" i="4" s="1"/>
  <c r="B209" i="4"/>
  <c r="C209" i="4" s="1"/>
  <c r="B210" i="4"/>
  <c r="C210" i="4" s="1"/>
  <c r="B211" i="4"/>
  <c r="C211" i="4" s="1"/>
  <c r="B212" i="4"/>
  <c r="C212" i="4" s="1"/>
  <c r="B213" i="4"/>
  <c r="C213" i="4" s="1"/>
  <c r="B214" i="4"/>
  <c r="C214" i="4" s="1"/>
  <c r="B215" i="4"/>
  <c r="C215" i="4" s="1"/>
  <c r="B216" i="4"/>
  <c r="C216" i="4" s="1"/>
  <c r="B217" i="4"/>
  <c r="C217" i="4" s="1"/>
  <c r="B218" i="4"/>
  <c r="C218" i="4" s="1"/>
  <c r="B219" i="4"/>
  <c r="C219" i="4" s="1"/>
  <c r="B220" i="4"/>
  <c r="C220" i="4" s="1"/>
  <c r="B221" i="4"/>
  <c r="C221" i="4" s="1"/>
  <c r="B222" i="4"/>
  <c r="C222" i="4" s="1"/>
  <c r="B223" i="4"/>
  <c r="C223" i="4" s="1"/>
  <c r="B224" i="4"/>
  <c r="C224" i="4" s="1"/>
  <c r="B225" i="4"/>
  <c r="C225" i="4" s="1"/>
  <c r="B226" i="4"/>
  <c r="C226" i="4" s="1"/>
  <c r="B227" i="4"/>
  <c r="C227" i="4" s="1"/>
  <c r="B228" i="4"/>
  <c r="C228" i="4" s="1"/>
  <c r="B229" i="4"/>
  <c r="C229" i="4" s="1"/>
  <c r="B230" i="4"/>
  <c r="C230" i="4" s="1"/>
  <c r="B231" i="4"/>
  <c r="C231" i="4" s="1"/>
  <c r="B232" i="4"/>
  <c r="C232" i="4" s="1"/>
  <c r="B233" i="4"/>
  <c r="C233" i="4" s="1"/>
  <c r="B234" i="4"/>
  <c r="C234" i="4" s="1"/>
  <c r="B235" i="4"/>
  <c r="C235" i="4" s="1"/>
  <c r="B236" i="4"/>
  <c r="C236" i="4" s="1"/>
  <c r="B237" i="4"/>
  <c r="C237" i="4" s="1"/>
  <c r="B238" i="4"/>
  <c r="C238" i="4" s="1"/>
  <c r="B239" i="4"/>
  <c r="C239" i="4" s="1"/>
  <c r="B240" i="4"/>
  <c r="C240" i="4" s="1"/>
  <c r="B241" i="4"/>
  <c r="C241" i="4" s="1"/>
  <c r="B242" i="4"/>
  <c r="C242" i="4" s="1"/>
  <c r="B243" i="4"/>
  <c r="C243" i="4" s="1"/>
  <c r="B244" i="4"/>
  <c r="C244" i="4" s="1"/>
  <c r="B245" i="4"/>
  <c r="C245" i="4" s="1"/>
  <c r="B246" i="4"/>
  <c r="C246" i="4" s="1"/>
  <c r="B247" i="4"/>
  <c r="C247" i="4" s="1"/>
  <c r="B248" i="4"/>
  <c r="C248" i="4" s="1"/>
  <c r="B249" i="4"/>
  <c r="C249" i="4" s="1"/>
  <c r="B250" i="4"/>
  <c r="C250" i="4" s="1"/>
  <c r="B251" i="4"/>
  <c r="C251" i="4" s="1"/>
  <c r="B252" i="4"/>
  <c r="C252" i="4" s="1"/>
  <c r="B253" i="4"/>
  <c r="C253" i="4" s="1"/>
  <c r="B254" i="4"/>
  <c r="C254" i="4" s="1"/>
  <c r="B255" i="4"/>
  <c r="C255" i="4" s="1"/>
  <c r="B256" i="4"/>
  <c r="C256" i="4" s="1"/>
  <c r="B257" i="4"/>
  <c r="C257" i="4" s="1"/>
  <c r="B258" i="4"/>
  <c r="C258" i="4" s="1"/>
  <c r="B259" i="4"/>
  <c r="C259" i="4" s="1"/>
  <c r="B260" i="4"/>
  <c r="C260" i="4" s="1"/>
  <c r="B261" i="4"/>
  <c r="C261" i="4" s="1"/>
  <c r="B262" i="4"/>
  <c r="C262" i="4" s="1"/>
  <c r="B263" i="4"/>
  <c r="C263" i="4" s="1"/>
  <c r="B264" i="4"/>
  <c r="C264" i="4" s="1"/>
  <c r="B265" i="4"/>
  <c r="C265" i="4" s="1"/>
  <c r="B266" i="4"/>
  <c r="C266" i="4" s="1"/>
  <c r="B267" i="4"/>
  <c r="C267" i="4" s="1"/>
  <c r="B268" i="4"/>
  <c r="C268" i="4" s="1"/>
  <c r="B269" i="4"/>
  <c r="C269" i="4" s="1"/>
  <c r="B270" i="4"/>
  <c r="C270" i="4" s="1"/>
  <c r="B271" i="4"/>
  <c r="C271" i="4" s="1"/>
  <c r="B272" i="4"/>
  <c r="C272" i="4" s="1"/>
  <c r="B273" i="4"/>
  <c r="C273" i="4" s="1"/>
  <c r="B274" i="4"/>
  <c r="C274" i="4" s="1"/>
  <c r="B275" i="4"/>
  <c r="C275" i="4" s="1"/>
  <c r="B276" i="4"/>
  <c r="C276" i="4" s="1"/>
  <c r="B277" i="4"/>
  <c r="C277" i="4" s="1"/>
  <c r="B278" i="4"/>
  <c r="C278" i="4" s="1"/>
  <c r="B279" i="4"/>
  <c r="C279" i="4" s="1"/>
  <c r="B280" i="4"/>
  <c r="C280" i="4" s="1"/>
  <c r="B281" i="4"/>
  <c r="C281" i="4" s="1"/>
  <c r="B282" i="4"/>
  <c r="C282" i="4" s="1"/>
  <c r="B283" i="4"/>
  <c r="C283" i="4" s="1"/>
  <c r="B284" i="4"/>
  <c r="C284" i="4" s="1"/>
  <c r="B285" i="4"/>
  <c r="C285" i="4" s="1"/>
  <c r="B286" i="4"/>
  <c r="C286" i="4" s="1"/>
  <c r="B287" i="4"/>
  <c r="C287" i="4" s="1"/>
  <c r="B288" i="4"/>
  <c r="C288" i="4" s="1"/>
  <c r="B289" i="4"/>
  <c r="C289" i="4" s="1"/>
  <c r="B290" i="4"/>
  <c r="C290" i="4" s="1"/>
  <c r="B291" i="4"/>
  <c r="C291" i="4" s="1"/>
  <c r="B292" i="4"/>
  <c r="C292" i="4" s="1"/>
  <c r="B293" i="4"/>
  <c r="C293" i="4" s="1"/>
  <c r="B294" i="4"/>
  <c r="C294" i="4" s="1"/>
  <c r="B295" i="4"/>
  <c r="C295" i="4" s="1"/>
  <c r="B296" i="4"/>
  <c r="C296" i="4" s="1"/>
  <c r="B297" i="4"/>
  <c r="C297" i="4" s="1"/>
  <c r="B298" i="4"/>
  <c r="C298" i="4" s="1"/>
  <c r="B299" i="4"/>
  <c r="C299" i="4" s="1"/>
  <c r="B300" i="4"/>
  <c r="C300" i="4" s="1"/>
  <c r="B301" i="4"/>
  <c r="C301" i="4" s="1"/>
  <c r="B302" i="4"/>
  <c r="C302" i="4" s="1"/>
  <c r="B303" i="4"/>
  <c r="C303" i="4" s="1"/>
  <c r="B304" i="4"/>
  <c r="C304" i="4" s="1"/>
  <c r="B305" i="4"/>
  <c r="C305" i="4" s="1"/>
  <c r="B306" i="4"/>
  <c r="C306" i="4" s="1"/>
  <c r="B307" i="4"/>
  <c r="C307" i="4" s="1"/>
  <c r="B308" i="4"/>
  <c r="C308" i="4" s="1"/>
  <c r="B309" i="4"/>
  <c r="C309" i="4" s="1"/>
  <c r="B310" i="4"/>
  <c r="C310" i="4" s="1"/>
  <c r="B311" i="4"/>
  <c r="C311" i="4" s="1"/>
  <c r="B312" i="4"/>
  <c r="C312" i="4" s="1"/>
  <c r="B313" i="4"/>
  <c r="C313" i="4" s="1"/>
  <c r="B314" i="4"/>
  <c r="C314" i="4" s="1"/>
  <c r="B315" i="4"/>
  <c r="C315" i="4" s="1"/>
  <c r="B316" i="4"/>
  <c r="C316" i="4" s="1"/>
  <c r="B317" i="4"/>
  <c r="C317" i="4" s="1"/>
  <c r="B318" i="4"/>
  <c r="C318" i="4" s="1"/>
  <c r="B319" i="4"/>
  <c r="C319" i="4" s="1"/>
  <c r="B320" i="4"/>
  <c r="C320" i="4" s="1"/>
  <c r="B321" i="4"/>
  <c r="C321" i="4" s="1"/>
  <c r="B322" i="4"/>
  <c r="C322" i="4" s="1"/>
  <c r="B323" i="4"/>
  <c r="C323" i="4" s="1"/>
  <c r="B324" i="4"/>
  <c r="C324" i="4" s="1"/>
  <c r="B325" i="4"/>
  <c r="C325" i="4" s="1"/>
  <c r="B326" i="4"/>
  <c r="C326" i="4" s="1"/>
  <c r="B327" i="4"/>
  <c r="C327" i="4" s="1"/>
  <c r="B328" i="4"/>
  <c r="C328" i="4" s="1"/>
  <c r="B329" i="4"/>
  <c r="C329" i="4" s="1"/>
  <c r="B330" i="4"/>
  <c r="C330" i="4" s="1"/>
  <c r="B331" i="4"/>
  <c r="C331" i="4" s="1"/>
  <c r="B332" i="4"/>
  <c r="C332" i="4" s="1"/>
  <c r="B333" i="4"/>
  <c r="C333" i="4" s="1"/>
  <c r="B334" i="4"/>
  <c r="C334" i="4" s="1"/>
  <c r="B335" i="4"/>
  <c r="C335" i="4" s="1"/>
  <c r="B336" i="4"/>
  <c r="C336" i="4" s="1"/>
  <c r="B337" i="4"/>
  <c r="C337" i="4" s="1"/>
  <c r="B338" i="4"/>
  <c r="C338" i="4" s="1"/>
  <c r="B339" i="4"/>
  <c r="C339" i="4" s="1"/>
  <c r="B340" i="4"/>
  <c r="C340" i="4" s="1"/>
  <c r="B341" i="4"/>
  <c r="C341" i="4" s="1"/>
  <c r="B342" i="4"/>
  <c r="C342" i="4" s="1"/>
  <c r="B343" i="4"/>
  <c r="C343" i="4" s="1"/>
  <c r="B344" i="4"/>
  <c r="C344" i="4" s="1"/>
  <c r="B345" i="4"/>
  <c r="C345" i="4" s="1"/>
  <c r="B346" i="4"/>
  <c r="C346" i="4" s="1"/>
  <c r="B347" i="4"/>
  <c r="C347" i="4" s="1"/>
  <c r="B348" i="4"/>
  <c r="C348" i="4" s="1"/>
  <c r="B349" i="4"/>
  <c r="C349" i="4" s="1"/>
  <c r="B350" i="4"/>
  <c r="C350" i="4" s="1"/>
  <c r="B351" i="4"/>
  <c r="C351" i="4" s="1"/>
  <c r="B352" i="4"/>
  <c r="C352" i="4" s="1"/>
  <c r="B353" i="4"/>
  <c r="C353" i="4" s="1"/>
  <c r="B354" i="4"/>
  <c r="C354" i="4" s="1"/>
  <c r="B355" i="4"/>
  <c r="C355" i="4" s="1"/>
  <c r="B356" i="4"/>
  <c r="C356" i="4" s="1"/>
  <c r="B357" i="4"/>
  <c r="C357" i="4" s="1"/>
  <c r="B358" i="4"/>
  <c r="C358" i="4" s="1"/>
  <c r="B359" i="4"/>
  <c r="C359" i="4" s="1"/>
  <c r="B360" i="4"/>
  <c r="C360" i="4" s="1"/>
  <c r="B361" i="4"/>
  <c r="C361" i="4" s="1"/>
  <c r="B362" i="4"/>
  <c r="C362" i="4" s="1"/>
  <c r="B363" i="4"/>
  <c r="C363" i="4" s="1"/>
  <c r="B364" i="4"/>
  <c r="C364" i="4" s="1"/>
  <c r="B365" i="4"/>
  <c r="C365" i="4" s="1"/>
  <c r="B366" i="4"/>
  <c r="C366" i="4" s="1"/>
  <c r="B367" i="4"/>
  <c r="C367" i="4" s="1"/>
  <c r="B368" i="4"/>
  <c r="C368" i="4" s="1"/>
  <c r="B369" i="4"/>
  <c r="C369" i="4" s="1"/>
  <c r="B370" i="4"/>
  <c r="C370" i="4" s="1"/>
  <c r="B371" i="4"/>
  <c r="C371" i="4" s="1"/>
  <c r="B372" i="4"/>
  <c r="C372" i="4" s="1"/>
  <c r="B373" i="4"/>
  <c r="C373" i="4" s="1"/>
  <c r="B374" i="4"/>
  <c r="C374" i="4" s="1"/>
  <c r="B375" i="4"/>
  <c r="C375" i="4" s="1"/>
  <c r="B376" i="4"/>
  <c r="C376" i="4" s="1"/>
  <c r="B377" i="4"/>
  <c r="C377" i="4" s="1"/>
  <c r="B378" i="4"/>
  <c r="C378" i="4" s="1"/>
  <c r="B379" i="4"/>
  <c r="C379" i="4" s="1"/>
  <c r="B380" i="4"/>
  <c r="C380" i="4" s="1"/>
  <c r="B381" i="4"/>
  <c r="C381" i="4" s="1"/>
  <c r="B382" i="4"/>
  <c r="C382" i="4" s="1"/>
  <c r="B383" i="4"/>
  <c r="C383" i="4" s="1"/>
  <c r="B384" i="4"/>
  <c r="C384" i="4" s="1"/>
  <c r="B385" i="4"/>
  <c r="C385" i="4" s="1"/>
  <c r="B386" i="4"/>
  <c r="C386" i="4" s="1"/>
  <c r="B387" i="4"/>
  <c r="C387" i="4" s="1"/>
  <c r="B388" i="4"/>
  <c r="C388" i="4" s="1"/>
  <c r="B389" i="4"/>
  <c r="C389" i="4" s="1"/>
  <c r="B390" i="4"/>
  <c r="C390" i="4" s="1"/>
  <c r="B391" i="4"/>
  <c r="C391" i="4" s="1"/>
  <c r="B392" i="4"/>
  <c r="C392" i="4" s="1"/>
  <c r="B393" i="4"/>
  <c r="C393" i="4" s="1"/>
  <c r="B394" i="4"/>
  <c r="C394" i="4" s="1"/>
  <c r="B395" i="4"/>
  <c r="C395" i="4" s="1"/>
  <c r="B396" i="4"/>
  <c r="C396" i="4" s="1"/>
  <c r="B397" i="4"/>
  <c r="C397" i="4" s="1"/>
  <c r="B398" i="4"/>
  <c r="C398" i="4" s="1"/>
  <c r="B399" i="4"/>
  <c r="C399" i="4" s="1"/>
  <c r="B400" i="4"/>
  <c r="C400" i="4" s="1"/>
  <c r="B401" i="4"/>
  <c r="C401" i="4" s="1"/>
  <c r="B402" i="4"/>
  <c r="C402" i="4" s="1"/>
  <c r="B403" i="4"/>
  <c r="C403" i="4" s="1"/>
  <c r="B404" i="4"/>
  <c r="C404" i="4" s="1"/>
  <c r="B405" i="4"/>
  <c r="C405" i="4" s="1"/>
  <c r="B406" i="4"/>
  <c r="C406" i="4" s="1"/>
  <c r="B407" i="4"/>
  <c r="C407" i="4" s="1"/>
  <c r="B408" i="4"/>
  <c r="C408" i="4" s="1"/>
  <c r="B409" i="4"/>
  <c r="C409" i="4" s="1"/>
  <c r="B410" i="4"/>
  <c r="C410" i="4" s="1"/>
  <c r="B411" i="4"/>
  <c r="C411" i="4" s="1"/>
  <c r="B412" i="4"/>
  <c r="C412" i="4" s="1"/>
  <c r="B413" i="4"/>
  <c r="C413" i="4" s="1"/>
  <c r="B414" i="4"/>
  <c r="C414" i="4" s="1"/>
  <c r="B415" i="4"/>
  <c r="C415" i="4" s="1"/>
  <c r="B416" i="4"/>
  <c r="C416" i="4" s="1"/>
  <c r="B417" i="4"/>
  <c r="C417" i="4" s="1"/>
  <c r="B418" i="4"/>
  <c r="C418" i="4" s="1"/>
  <c r="B419" i="4"/>
  <c r="C419" i="4" s="1"/>
  <c r="B420" i="4"/>
  <c r="C420" i="4" s="1"/>
  <c r="B421" i="4"/>
  <c r="C421" i="4" s="1"/>
  <c r="B422" i="4"/>
  <c r="C422" i="4" s="1"/>
  <c r="B423" i="4"/>
  <c r="C423" i="4" s="1"/>
  <c r="B424" i="4"/>
  <c r="C424" i="4" s="1"/>
  <c r="B425" i="4"/>
  <c r="C425" i="4" s="1"/>
  <c r="B426" i="4"/>
  <c r="C426" i="4" s="1"/>
  <c r="B427" i="4"/>
  <c r="C427" i="4" s="1"/>
  <c r="B428" i="4"/>
  <c r="C428" i="4" s="1"/>
  <c r="B429" i="4"/>
  <c r="C429" i="4" s="1"/>
  <c r="B430" i="4"/>
  <c r="C430" i="4" s="1"/>
  <c r="B431" i="4"/>
  <c r="C431" i="4" s="1"/>
  <c r="B432" i="4"/>
  <c r="C432" i="4" s="1"/>
  <c r="B433" i="4"/>
  <c r="C433" i="4" s="1"/>
  <c r="B434" i="4"/>
  <c r="C434" i="4" s="1"/>
  <c r="B435" i="4"/>
  <c r="C435" i="4" s="1"/>
  <c r="B436" i="4"/>
  <c r="C436" i="4" s="1"/>
  <c r="B437" i="4"/>
  <c r="C437" i="4" s="1"/>
  <c r="B438" i="4"/>
  <c r="C438" i="4" s="1"/>
  <c r="B439" i="4"/>
  <c r="C439" i="4" s="1"/>
  <c r="B440" i="4"/>
  <c r="C440" i="4" s="1"/>
  <c r="B441" i="4"/>
  <c r="C441" i="4" s="1"/>
  <c r="B442" i="4"/>
  <c r="C442" i="4" s="1"/>
  <c r="B443" i="4"/>
  <c r="C443" i="4" s="1"/>
  <c r="B444" i="4"/>
  <c r="C444" i="4" s="1"/>
  <c r="B445" i="4"/>
  <c r="C445" i="4" s="1"/>
  <c r="B446" i="4"/>
  <c r="C446" i="4" s="1"/>
  <c r="B447" i="4"/>
  <c r="C447" i="4" s="1"/>
  <c r="B448" i="4"/>
  <c r="C448" i="4" s="1"/>
  <c r="B449" i="4"/>
  <c r="C449" i="4" s="1"/>
  <c r="B450" i="4"/>
  <c r="C450" i="4" s="1"/>
  <c r="B451" i="4"/>
  <c r="C451" i="4" s="1"/>
  <c r="B452" i="4"/>
  <c r="C452" i="4" s="1"/>
  <c r="B453" i="4"/>
  <c r="C453" i="4" s="1"/>
  <c r="B454" i="4"/>
  <c r="C454" i="4" s="1"/>
  <c r="B455" i="4"/>
  <c r="C455" i="4" s="1"/>
  <c r="B456" i="4"/>
  <c r="C456" i="4" s="1"/>
  <c r="B457" i="4"/>
  <c r="C457" i="4" s="1"/>
  <c r="B458" i="4"/>
  <c r="C458" i="4" s="1"/>
  <c r="B459" i="4"/>
  <c r="C459" i="4" s="1"/>
  <c r="B460" i="4"/>
  <c r="C460" i="4" s="1"/>
  <c r="B461" i="4"/>
  <c r="C461" i="4" s="1"/>
  <c r="B462" i="4"/>
  <c r="C462" i="4" s="1"/>
  <c r="B463" i="4"/>
  <c r="C463" i="4" s="1"/>
  <c r="B464" i="4"/>
  <c r="C464" i="4" s="1"/>
  <c r="B465" i="4"/>
  <c r="C465" i="4" s="1"/>
  <c r="B466" i="4"/>
  <c r="C466" i="4" s="1"/>
  <c r="B467" i="4"/>
  <c r="C467" i="4" s="1"/>
  <c r="B468" i="4"/>
  <c r="C468" i="4" s="1"/>
  <c r="B469" i="4"/>
  <c r="C469" i="4" s="1"/>
  <c r="B470" i="4"/>
  <c r="C470" i="4" s="1"/>
  <c r="B471" i="4"/>
  <c r="C471" i="4" s="1"/>
  <c r="B472" i="4"/>
  <c r="C472" i="4" s="1"/>
  <c r="B473" i="4"/>
  <c r="C473" i="4" s="1"/>
  <c r="B474" i="4"/>
  <c r="C474" i="4" s="1"/>
  <c r="B475" i="4"/>
  <c r="C475" i="4" s="1"/>
  <c r="B476" i="4"/>
  <c r="C476" i="4" s="1"/>
  <c r="B477" i="4"/>
  <c r="C477" i="4" s="1"/>
  <c r="B478" i="4"/>
  <c r="C478" i="4" s="1"/>
  <c r="B479" i="4"/>
  <c r="C479" i="4" s="1"/>
  <c r="B480" i="4"/>
  <c r="C480" i="4" s="1"/>
  <c r="B481" i="4"/>
  <c r="C481" i="4" s="1"/>
  <c r="B482" i="4"/>
  <c r="C482" i="4" s="1"/>
  <c r="B483" i="4"/>
  <c r="C483" i="4" s="1"/>
  <c r="B484" i="4"/>
  <c r="C484" i="4" s="1"/>
  <c r="B485" i="4"/>
  <c r="C485" i="4" s="1"/>
  <c r="B486" i="4"/>
  <c r="C486" i="4" s="1"/>
  <c r="B487" i="4"/>
  <c r="C487" i="4" s="1"/>
  <c r="B488" i="4"/>
  <c r="C488" i="4" s="1"/>
  <c r="B489" i="4"/>
  <c r="C489" i="4" s="1"/>
  <c r="B490" i="4"/>
  <c r="C490" i="4" s="1"/>
  <c r="B491" i="4"/>
  <c r="C491" i="4" s="1"/>
  <c r="B492" i="4"/>
  <c r="C492" i="4" s="1"/>
  <c r="B493" i="4"/>
  <c r="C493" i="4" s="1"/>
  <c r="B494" i="4"/>
  <c r="C494" i="4" s="1"/>
  <c r="B495" i="4"/>
  <c r="C495" i="4" s="1"/>
  <c r="B496" i="4"/>
  <c r="C496" i="4" s="1"/>
  <c r="B497" i="4"/>
  <c r="C497" i="4" s="1"/>
  <c r="B498" i="4"/>
  <c r="C498" i="4" s="1"/>
  <c r="B499" i="4"/>
  <c r="C499" i="4" s="1"/>
  <c r="B500" i="4"/>
  <c r="C500" i="4" s="1"/>
  <c r="B501" i="4"/>
  <c r="C501" i="4" s="1"/>
  <c r="B502" i="4"/>
  <c r="C502" i="4" s="1"/>
  <c r="B503" i="4"/>
  <c r="C503" i="4" s="1"/>
  <c r="B504" i="4"/>
  <c r="C504" i="4" s="1"/>
  <c r="B505" i="4"/>
  <c r="C505" i="4" s="1"/>
  <c r="B506" i="4"/>
  <c r="C506" i="4" s="1"/>
  <c r="B507" i="4"/>
  <c r="C507" i="4" s="1"/>
  <c r="B508" i="4"/>
  <c r="C508" i="4" s="1"/>
  <c r="B509" i="4"/>
  <c r="C509" i="4" s="1"/>
  <c r="B510" i="4"/>
  <c r="C510" i="4" s="1"/>
  <c r="B511" i="4"/>
  <c r="C511" i="4" s="1"/>
  <c r="B512" i="4"/>
  <c r="C512" i="4" s="1"/>
  <c r="B513" i="4"/>
  <c r="C513" i="4" s="1"/>
  <c r="B514" i="4"/>
  <c r="C514" i="4" s="1"/>
  <c r="B515" i="4"/>
  <c r="C515" i="4" s="1"/>
  <c r="B516" i="4"/>
  <c r="C516" i="4" s="1"/>
  <c r="B517" i="4"/>
  <c r="C517" i="4" s="1"/>
  <c r="B518" i="4"/>
  <c r="C518" i="4" s="1"/>
  <c r="B519" i="4"/>
  <c r="C519" i="4" s="1"/>
  <c r="B520" i="4"/>
  <c r="C520" i="4" s="1"/>
  <c r="B521" i="4"/>
  <c r="C521" i="4" s="1"/>
  <c r="B522" i="4"/>
  <c r="C522" i="4" s="1"/>
  <c r="B523" i="4"/>
  <c r="C523" i="4" s="1"/>
  <c r="B524" i="4"/>
  <c r="C524" i="4" s="1"/>
  <c r="B525" i="4"/>
  <c r="C525" i="4" s="1"/>
  <c r="B526" i="4"/>
  <c r="C526" i="4" s="1"/>
  <c r="B527" i="4"/>
  <c r="C527" i="4" s="1"/>
  <c r="B528" i="4"/>
  <c r="C528" i="4" s="1"/>
  <c r="B529" i="4"/>
  <c r="C529" i="4" s="1"/>
  <c r="B530" i="4"/>
  <c r="C530" i="4" s="1"/>
  <c r="B531" i="4"/>
  <c r="C531" i="4" s="1"/>
  <c r="B532" i="4"/>
  <c r="C532" i="4" s="1"/>
  <c r="B533" i="4"/>
  <c r="C533" i="4" s="1"/>
  <c r="B534" i="4"/>
  <c r="C534" i="4" s="1"/>
  <c r="B535" i="4"/>
  <c r="C535" i="4" s="1"/>
  <c r="B536" i="4"/>
  <c r="C536" i="4" s="1"/>
  <c r="B537" i="4"/>
  <c r="C537" i="4" s="1"/>
  <c r="B538" i="4"/>
  <c r="C538" i="4" s="1"/>
  <c r="B539" i="4"/>
  <c r="C539" i="4" s="1"/>
  <c r="B540" i="4"/>
  <c r="C540" i="4" s="1"/>
  <c r="B541" i="4"/>
  <c r="C541" i="4" s="1"/>
  <c r="B542" i="4"/>
  <c r="C542" i="4" s="1"/>
  <c r="B543" i="4"/>
  <c r="C543" i="4" s="1"/>
  <c r="B544" i="4"/>
  <c r="C544" i="4" s="1"/>
  <c r="B545" i="4"/>
  <c r="C545" i="4" s="1"/>
  <c r="B546" i="4"/>
  <c r="C546" i="4" s="1"/>
  <c r="B547" i="4"/>
  <c r="C547" i="4" s="1"/>
  <c r="B548" i="4"/>
  <c r="C548" i="4" s="1"/>
  <c r="B549" i="4"/>
  <c r="C549" i="4" s="1"/>
  <c r="B550" i="4"/>
  <c r="C550" i="4" s="1"/>
  <c r="B551" i="4"/>
  <c r="C551" i="4" s="1"/>
  <c r="B552" i="4"/>
  <c r="C552" i="4" s="1"/>
  <c r="B553" i="4"/>
  <c r="C553" i="4" s="1"/>
  <c r="B554" i="4"/>
  <c r="C554" i="4" s="1"/>
  <c r="B555" i="4"/>
  <c r="C555" i="4" s="1"/>
  <c r="B556" i="4"/>
  <c r="C556" i="4" s="1"/>
  <c r="B557" i="4"/>
  <c r="C557" i="4" s="1"/>
  <c r="B558" i="4"/>
  <c r="C558" i="4" s="1"/>
  <c r="B559" i="4"/>
  <c r="C559" i="4" s="1"/>
  <c r="B560" i="4"/>
  <c r="C560" i="4" s="1"/>
  <c r="B561" i="4"/>
  <c r="C561" i="4" s="1"/>
  <c r="B562" i="4"/>
  <c r="C562" i="4" s="1"/>
  <c r="B563" i="4"/>
  <c r="C563" i="4" s="1"/>
  <c r="B564" i="4"/>
  <c r="C564" i="4" s="1"/>
  <c r="B565" i="4"/>
  <c r="C565" i="4" s="1"/>
  <c r="B566" i="4"/>
  <c r="C566" i="4" s="1"/>
  <c r="B567" i="4"/>
  <c r="C567" i="4" s="1"/>
  <c r="B568" i="4"/>
  <c r="C568" i="4" s="1"/>
  <c r="B569" i="4"/>
  <c r="C569" i="4" s="1"/>
  <c r="B570" i="4"/>
  <c r="C570" i="4" s="1"/>
  <c r="B571" i="4"/>
  <c r="C571" i="4" s="1"/>
  <c r="B572" i="4"/>
  <c r="C572" i="4" s="1"/>
  <c r="B573" i="4"/>
  <c r="C573" i="4" s="1"/>
  <c r="B574" i="4"/>
  <c r="C574" i="4" s="1"/>
  <c r="B575" i="4"/>
  <c r="C575" i="4" s="1"/>
  <c r="B576" i="4"/>
  <c r="C576" i="4" s="1"/>
  <c r="B577" i="4"/>
  <c r="C577" i="4" s="1"/>
  <c r="B578" i="4"/>
  <c r="C578" i="4" s="1"/>
  <c r="B579" i="4"/>
  <c r="C579" i="4" s="1"/>
  <c r="B580" i="4"/>
  <c r="C580" i="4" s="1"/>
  <c r="B581" i="4"/>
  <c r="C581" i="4" s="1"/>
  <c r="B582" i="4"/>
  <c r="C582" i="4" s="1"/>
  <c r="B583" i="4"/>
  <c r="C583" i="4" s="1"/>
  <c r="B584" i="4"/>
  <c r="C584" i="4" s="1"/>
  <c r="B585" i="4"/>
  <c r="C585" i="4" s="1"/>
  <c r="B586" i="4"/>
  <c r="C586" i="4" s="1"/>
  <c r="B587" i="4"/>
  <c r="C587" i="4" s="1"/>
  <c r="B588" i="4"/>
  <c r="C588" i="4" s="1"/>
  <c r="B589" i="4"/>
  <c r="C589" i="4" s="1"/>
  <c r="B590" i="4"/>
  <c r="C590" i="4" s="1"/>
  <c r="B591" i="4"/>
  <c r="C591" i="4" s="1"/>
  <c r="B592" i="4"/>
  <c r="C592" i="4" s="1"/>
  <c r="B593" i="4"/>
  <c r="C593" i="4" s="1"/>
  <c r="B594" i="4"/>
  <c r="C594" i="4" s="1"/>
  <c r="B595" i="4"/>
  <c r="C595" i="4" s="1"/>
  <c r="B596" i="4"/>
  <c r="C596" i="4" s="1"/>
  <c r="B597" i="4"/>
  <c r="C597" i="4" s="1"/>
  <c r="B598" i="4"/>
  <c r="C598" i="4" s="1"/>
  <c r="B599" i="4"/>
  <c r="C599" i="4" s="1"/>
  <c r="B600" i="4"/>
  <c r="C600" i="4" s="1"/>
  <c r="B601" i="4"/>
  <c r="C601" i="4" s="1"/>
  <c r="B602" i="4"/>
  <c r="C602" i="4" s="1"/>
  <c r="B603" i="4"/>
  <c r="C603" i="4" s="1"/>
  <c r="B604" i="4"/>
  <c r="C604" i="4" s="1"/>
  <c r="B605" i="4"/>
  <c r="C605" i="4" s="1"/>
  <c r="B606" i="4"/>
  <c r="C606" i="4" s="1"/>
  <c r="B607" i="4"/>
  <c r="C607" i="4" s="1"/>
  <c r="B608" i="4"/>
  <c r="C608" i="4" s="1"/>
  <c r="B609" i="4"/>
  <c r="C609" i="4" s="1"/>
  <c r="B610" i="4"/>
  <c r="C610" i="4" s="1"/>
  <c r="B611" i="4"/>
  <c r="C611" i="4" s="1"/>
  <c r="B612" i="4"/>
  <c r="C612" i="4" s="1"/>
  <c r="B613" i="4"/>
  <c r="C613" i="4" s="1"/>
  <c r="B614" i="4"/>
  <c r="C614" i="4" s="1"/>
  <c r="B615" i="4"/>
  <c r="C615" i="4" s="1"/>
  <c r="B616" i="4"/>
  <c r="C616" i="4" s="1"/>
  <c r="B617" i="4"/>
  <c r="C617" i="4" s="1"/>
  <c r="B618" i="4"/>
  <c r="C618" i="4" s="1"/>
  <c r="B619" i="4"/>
  <c r="C619" i="4" s="1"/>
  <c r="B620" i="4"/>
  <c r="C620" i="4" s="1"/>
  <c r="B621" i="4"/>
  <c r="C621" i="4" s="1"/>
  <c r="B622" i="4"/>
  <c r="C622" i="4" s="1"/>
  <c r="B623" i="4"/>
  <c r="C623" i="4" s="1"/>
  <c r="B624" i="4"/>
  <c r="C624" i="4" s="1"/>
  <c r="B625" i="4"/>
  <c r="C625" i="4" s="1"/>
  <c r="B626" i="4"/>
  <c r="C626" i="4" s="1"/>
  <c r="B627" i="4"/>
  <c r="C627" i="4" s="1"/>
  <c r="B628" i="4"/>
  <c r="C628" i="4" s="1"/>
  <c r="B629" i="4"/>
  <c r="C629" i="4" s="1"/>
  <c r="B630" i="4"/>
  <c r="C630" i="4" s="1"/>
  <c r="B631" i="4"/>
  <c r="C631" i="4" s="1"/>
  <c r="B632" i="4"/>
  <c r="C632" i="4" s="1"/>
  <c r="B633" i="4"/>
  <c r="C633" i="4" s="1"/>
  <c r="B634" i="4"/>
  <c r="C634" i="4" s="1"/>
  <c r="B635" i="4"/>
  <c r="C635" i="4" s="1"/>
  <c r="B636" i="4"/>
  <c r="C636" i="4" s="1"/>
  <c r="B637" i="4"/>
  <c r="C637" i="4" s="1"/>
  <c r="B638" i="4"/>
  <c r="C638" i="4" s="1"/>
  <c r="B639" i="4"/>
  <c r="C639" i="4" s="1"/>
  <c r="B640" i="4"/>
  <c r="C640" i="4" s="1"/>
  <c r="B641" i="4"/>
  <c r="C641" i="4" s="1"/>
  <c r="B642" i="4"/>
  <c r="C642" i="4" s="1"/>
  <c r="B643" i="4"/>
  <c r="C643" i="4" s="1"/>
  <c r="B644" i="4"/>
  <c r="C644" i="4" s="1"/>
  <c r="B645" i="4"/>
  <c r="C645" i="4" s="1"/>
  <c r="B646" i="4"/>
  <c r="C646" i="4" s="1"/>
  <c r="B647" i="4"/>
  <c r="C647" i="4" s="1"/>
  <c r="B648" i="4"/>
  <c r="C648" i="4" s="1"/>
  <c r="B649" i="4"/>
  <c r="C649" i="4" s="1"/>
  <c r="B650" i="4"/>
  <c r="C650" i="4" s="1"/>
  <c r="B651" i="4"/>
  <c r="C651" i="4" s="1"/>
  <c r="B652" i="4"/>
  <c r="C652" i="4" s="1"/>
  <c r="B653" i="4"/>
  <c r="C653" i="4" s="1"/>
  <c r="B654" i="4"/>
  <c r="C654" i="4" s="1"/>
  <c r="B655" i="4"/>
  <c r="C655" i="4" s="1"/>
  <c r="B656" i="4"/>
  <c r="C656" i="4" s="1"/>
  <c r="B657" i="4"/>
  <c r="C657" i="4" s="1"/>
  <c r="B658" i="4"/>
  <c r="C658" i="4" s="1"/>
  <c r="B659" i="4"/>
  <c r="C659" i="4" s="1"/>
  <c r="B660" i="4"/>
  <c r="C660" i="4" s="1"/>
  <c r="B661" i="4"/>
  <c r="C661" i="4" s="1"/>
  <c r="B662" i="4"/>
  <c r="C662" i="4" s="1"/>
  <c r="B663" i="4"/>
  <c r="C663" i="4" s="1"/>
  <c r="B664" i="4"/>
  <c r="C664" i="4" s="1"/>
  <c r="B665" i="4"/>
  <c r="C665" i="4" s="1"/>
  <c r="B666" i="4"/>
  <c r="C666" i="4" s="1"/>
  <c r="B667" i="4"/>
  <c r="C667" i="4" s="1"/>
  <c r="B668" i="4"/>
  <c r="C668" i="4" s="1"/>
  <c r="B669" i="4"/>
  <c r="C669" i="4" s="1"/>
  <c r="B670" i="4"/>
  <c r="C670" i="4" s="1"/>
  <c r="B671" i="4"/>
  <c r="C671" i="4" s="1"/>
  <c r="B672" i="4"/>
  <c r="C672" i="4" s="1"/>
  <c r="B673" i="4"/>
  <c r="C673" i="4" s="1"/>
  <c r="B674" i="4"/>
  <c r="C674" i="4" s="1"/>
  <c r="B675" i="4"/>
  <c r="C675" i="4" s="1"/>
  <c r="B676" i="4"/>
  <c r="C676" i="4" s="1"/>
  <c r="B677" i="4"/>
  <c r="C677" i="4" s="1"/>
  <c r="B678" i="4"/>
  <c r="C678" i="4" s="1"/>
  <c r="B679" i="4"/>
  <c r="C679" i="4" s="1"/>
  <c r="B680" i="4"/>
  <c r="C680" i="4" s="1"/>
  <c r="B681" i="4"/>
  <c r="C681" i="4" s="1"/>
  <c r="B682" i="4"/>
  <c r="C682" i="4" s="1"/>
  <c r="B683" i="4"/>
  <c r="C683" i="4" s="1"/>
  <c r="B684" i="4"/>
  <c r="C684" i="4" s="1"/>
  <c r="B685" i="4"/>
  <c r="C685" i="4" s="1"/>
  <c r="B686" i="4"/>
  <c r="C686" i="4" s="1"/>
  <c r="B687" i="4"/>
  <c r="C687" i="4" s="1"/>
  <c r="B688" i="4"/>
  <c r="C688" i="4" s="1"/>
  <c r="B689" i="4"/>
  <c r="C689" i="4" s="1"/>
  <c r="B690" i="4"/>
  <c r="C690" i="4" s="1"/>
  <c r="B691" i="4"/>
  <c r="C691" i="4" s="1"/>
  <c r="B692" i="4"/>
  <c r="C692" i="4" s="1"/>
  <c r="B693" i="4"/>
  <c r="C693" i="4" s="1"/>
  <c r="B694" i="4"/>
  <c r="C694" i="4" s="1"/>
  <c r="B695" i="4"/>
  <c r="C695" i="4" s="1"/>
  <c r="B696" i="4"/>
  <c r="C696" i="4" s="1"/>
  <c r="B697" i="4"/>
  <c r="C697" i="4" s="1"/>
  <c r="B698" i="4"/>
  <c r="C698" i="4" s="1"/>
  <c r="B699" i="4"/>
  <c r="C699" i="4" s="1"/>
  <c r="B700" i="4"/>
  <c r="C700" i="4" s="1"/>
  <c r="B701" i="4"/>
  <c r="C701" i="4" s="1"/>
  <c r="B702" i="4"/>
  <c r="C702" i="4" s="1"/>
  <c r="B703" i="4"/>
  <c r="C703" i="4" s="1"/>
  <c r="B704" i="4"/>
  <c r="C704" i="4" s="1"/>
  <c r="B705" i="4"/>
  <c r="C705" i="4" s="1"/>
  <c r="B706" i="4"/>
  <c r="C706" i="4" s="1"/>
  <c r="B707" i="4"/>
  <c r="C707" i="4" s="1"/>
  <c r="B708" i="4"/>
  <c r="C708" i="4" s="1"/>
  <c r="B709" i="4"/>
  <c r="C709" i="4" s="1"/>
  <c r="B710" i="4"/>
  <c r="C710" i="4" s="1"/>
  <c r="B711" i="4"/>
  <c r="C711" i="4" s="1"/>
  <c r="B712" i="4"/>
  <c r="C712" i="4" s="1"/>
  <c r="B713" i="4"/>
  <c r="C713" i="4" s="1"/>
  <c r="B714" i="4"/>
  <c r="C714" i="4" s="1"/>
  <c r="B715" i="4"/>
  <c r="C715" i="4" s="1"/>
  <c r="B716" i="4"/>
  <c r="C716" i="4" s="1"/>
  <c r="B717" i="4"/>
  <c r="C717" i="4" s="1"/>
  <c r="B718" i="4"/>
  <c r="C718" i="4" s="1"/>
  <c r="B719" i="4"/>
  <c r="C719" i="4" s="1"/>
  <c r="B720" i="4"/>
  <c r="C720" i="4" s="1"/>
  <c r="B721" i="4"/>
  <c r="C721" i="4" s="1"/>
  <c r="B722" i="4"/>
  <c r="C722" i="4" s="1"/>
  <c r="B723" i="4"/>
  <c r="C723" i="4" s="1"/>
  <c r="B724" i="4"/>
  <c r="C724" i="4" s="1"/>
  <c r="B725" i="4"/>
  <c r="C725" i="4" s="1"/>
  <c r="B726" i="4"/>
  <c r="C726" i="4" s="1"/>
  <c r="B727" i="4"/>
  <c r="C727" i="4" s="1"/>
  <c r="B728" i="4"/>
  <c r="C728" i="4" s="1"/>
  <c r="B729" i="4"/>
  <c r="C729" i="4" s="1"/>
  <c r="B730" i="4"/>
  <c r="C730" i="4" s="1"/>
  <c r="B731" i="4"/>
  <c r="C731" i="4" s="1"/>
  <c r="B732" i="4"/>
  <c r="C732" i="4" s="1"/>
  <c r="B733" i="4"/>
  <c r="C733" i="4" s="1"/>
  <c r="B734" i="4"/>
  <c r="C734" i="4" s="1"/>
  <c r="B735" i="4"/>
  <c r="C735" i="4" s="1"/>
  <c r="B736" i="4"/>
  <c r="C736" i="4" s="1"/>
  <c r="B737" i="4"/>
  <c r="C737" i="4" s="1"/>
  <c r="B738" i="4"/>
  <c r="C738" i="4" s="1"/>
  <c r="B739" i="4"/>
  <c r="C739" i="4" s="1"/>
  <c r="B740" i="4"/>
  <c r="C740" i="4" s="1"/>
  <c r="B741" i="4"/>
  <c r="C741" i="4" s="1"/>
  <c r="B742" i="4"/>
  <c r="C742" i="4" s="1"/>
  <c r="B743" i="4"/>
  <c r="C743" i="4" s="1"/>
  <c r="B744" i="4"/>
  <c r="C744" i="4" s="1"/>
  <c r="B745" i="4"/>
  <c r="C745" i="4" s="1"/>
  <c r="B746" i="4"/>
  <c r="C746" i="4" s="1"/>
  <c r="B747" i="4"/>
  <c r="C747" i="4" s="1"/>
  <c r="B748" i="4"/>
  <c r="C748" i="4" s="1"/>
  <c r="B749" i="4"/>
  <c r="C749" i="4" s="1"/>
  <c r="B750" i="4"/>
  <c r="C750" i="4" s="1"/>
  <c r="B751" i="4"/>
  <c r="C751" i="4" s="1"/>
  <c r="B752" i="4"/>
  <c r="C752" i="4" s="1"/>
  <c r="B753" i="4"/>
  <c r="C753" i="4" s="1"/>
  <c r="B754" i="4"/>
  <c r="C754" i="4" s="1"/>
  <c r="B755" i="4"/>
  <c r="C755" i="4" s="1"/>
  <c r="B756" i="4"/>
  <c r="C756" i="4" s="1"/>
  <c r="B757" i="4"/>
  <c r="C757" i="4" s="1"/>
  <c r="B758" i="4"/>
  <c r="C758" i="4" s="1"/>
  <c r="B759" i="4"/>
  <c r="C759" i="4" s="1"/>
  <c r="B760" i="4"/>
  <c r="C760" i="4" s="1"/>
  <c r="B761" i="4"/>
  <c r="C761" i="4" s="1"/>
  <c r="B762" i="4"/>
  <c r="C762" i="4" s="1"/>
  <c r="B763" i="4"/>
  <c r="C763" i="4" s="1"/>
  <c r="B764" i="4"/>
  <c r="C764" i="4" s="1"/>
  <c r="B765" i="4"/>
  <c r="C765" i="4" s="1"/>
  <c r="B766" i="4"/>
  <c r="C766" i="4" s="1"/>
  <c r="B767" i="4"/>
  <c r="C767" i="4" s="1"/>
  <c r="B768" i="4"/>
  <c r="C768" i="4" s="1"/>
  <c r="B769" i="4"/>
  <c r="C769" i="4" s="1"/>
  <c r="B770" i="4"/>
  <c r="C770" i="4" s="1"/>
  <c r="B771" i="4"/>
  <c r="C771" i="4" s="1"/>
  <c r="B772" i="4"/>
  <c r="C772" i="4" s="1"/>
  <c r="B773" i="4"/>
  <c r="C773" i="4" s="1"/>
  <c r="B774" i="4"/>
  <c r="C774" i="4" s="1"/>
  <c r="B775" i="4"/>
  <c r="C775" i="4" s="1"/>
  <c r="B776" i="4"/>
  <c r="C776" i="4" s="1"/>
  <c r="B777" i="4"/>
  <c r="C777" i="4" s="1"/>
  <c r="B778" i="4"/>
  <c r="C778" i="4" s="1"/>
  <c r="B779" i="4"/>
  <c r="C779" i="4" s="1"/>
  <c r="B780" i="4"/>
  <c r="C780" i="4" s="1"/>
  <c r="B781" i="4"/>
  <c r="C781" i="4" s="1"/>
  <c r="B782" i="4"/>
  <c r="C782" i="4" s="1"/>
  <c r="B783" i="4"/>
  <c r="C783" i="4" s="1"/>
  <c r="B784" i="4"/>
  <c r="C784" i="4" s="1"/>
  <c r="B785" i="4"/>
  <c r="C785" i="4" s="1"/>
  <c r="B786" i="4"/>
  <c r="C786" i="4" s="1"/>
  <c r="B787" i="4"/>
  <c r="C787" i="4" s="1"/>
  <c r="B788" i="4"/>
  <c r="C788" i="4" s="1"/>
  <c r="B789" i="4"/>
  <c r="C789" i="4" s="1"/>
  <c r="B790" i="4"/>
  <c r="C790" i="4" s="1"/>
  <c r="B791" i="4"/>
  <c r="C791" i="4" s="1"/>
  <c r="B792" i="4"/>
  <c r="C792" i="4" s="1"/>
  <c r="B793" i="4"/>
  <c r="C793" i="4" s="1"/>
  <c r="B794" i="4"/>
  <c r="C794" i="4" s="1"/>
  <c r="B795" i="4"/>
  <c r="C795" i="4" s="1"/>
  <c r="B796" i="4"/>
  <c r="C796" i="4" s="1"/>
  <c r="B797" i="4"/>
  <c r="C797" i="4" s="1"/>
  <c r="B798" i="4"/>
  <c r="C798" i="4" s="1"/>
  <c r="B799" i="4"/>
  <c r="C799" i="4" s="1"/>
  <c r="B800" i="4"/>
  <c r="C800" i="4" s="1"/>
  <c r="B801" i="4"/>
  <c r="C801" i="4" s="1"/>
  <c r="B802" i="4"/>
  <c r="C802" i="4" s="1"/>
  <c r="B803" i="4"/>
  <c r="C803" i="4" s="1"/>
  <c r="B804" i="4"/>
  <c r="C804" i="4" s="1"/>
  <c r="B805" i="4"/>
  <c r="C805" i="4" s="1"/>
  <c r="B806" i="4"/>
  <c r="C806" i="4" s="1"/>
  <c r="B807" i="4"/>
  <c r="C807" i="4" s="1"/>
  <c r="B808" i="4"/>
  <c r="C808" i="4" s="1"/>
  <c r="B809" i="4"/>
  <c r="C809" i="4" s="1"/>
  <c r="B810" i="4"/>
  <c r="C810" i="4" s="1"/>
  <c r="B811" i="4"/>
  <c r="C811" i="4" s="1"/>
  <c r="B812" i="4"/>
  <c r="C812" i="4" s="1"/>
  <c r="B813" i="4"/>
  <c r="C813" i="4" s="1"/>
  <c r="B814" i="4"/>
  <c r="C814" i="4" s="1"/>
  <c r="B815" i="4"/>
  <c r="C815" i="4" s="1"/>
  <c r="B816" i="4"/>
  <c r="C816" i="4" s="1"/>
  <c r="B817" i="4"/>
  <c r="C817" i="4" s="1"/>
  <c r="B818" i="4"/>
  <c r="C818" i="4" s="1"/>
  <c r="B819" i="4"/>
  <c r="C819" i="4" s="1"/>
  <c r="B820" i="4"/>
  <c r="C820" i="4" s="1"/>
  <c r="B821" i="4"/>
  <c r="C821" i="4" s="1"/>
  <c r="B822" i="4"/>
  <c r="C822" i="4" s="1"/>
  <c r="B823" i="4"/>
  <c r="C823" i="4" s="1"/>
  <c r="B824" i="4"/>
  <c r="C824" i="4" s="1"/>
  <c r="B825" i="4"/>
  <c r="C825" i="4" s="1"/>
  <c r="B826" i="4"/>
  <c r="C826" i="4" s="1"/>
  <c r="B827" i="4"/>
  <c r="C827" i="4" s="1"/>
  <c r="B828" i="4"/>
  <c r="C828" i="4" s="1"/>
  <c r="B829" i="4"/>
  <c r="C829" i="4" s="1"/>
  <c r="B830" i="4"/>
  <c r="C830" i="4" s="1"/>
  <c r="B831" i="4"/>
  <c r="C831" i="4" s="1"/>
  <c r="B832" i="4"/>
  <c r="C832" i="4" s="1"/>
  <c r="B833" i="4"/>
  <c r="C833" i="4" s="1"/>
  <c r="B834" i="4"/>
  <c r="C834" i="4" s="1"/>
  <c r="B835" i="4"/>
  <c r="C835" i="4" s="1"/>
  <c r="B836" i="4"/>
  <c r="C836" i="4" s="1"/>
  <c r="B837" i="4"/>
  <c r="C837" i="4" s="1"/>
  <c r="B838" i="4"/>
  <c r="C838" i="4" s="1"/>
  <c r="B839" i="4"/>
  <c r="C839" i="4" s="1"/>
  <c r="B840" i="4"/>
  <c r="C840" i="4" s="1"/>
  <c r="B841" i="4"/>
  <c r="C841" i="4" s="1"/>
  <c r="B842" i="4"/>
  <c r="C842" i="4" s="1"/>
  <c r="B843" i="4"/>
  <c r="C843" i="4" s="1"/>
  <c r="B844" i="4"/>
  <c r="C844" i="4" s="1"/>
  <c r="B845" i="4"/>
  <c r="C845" i="4" s="1"/>
  <c r="B846" i="4"/>
  <c r="C846" i="4" s="1"/>
  <c r="B847" i="4"/>
  <c r="C847" i="4" s="1"/>
  <c r="B848" i="4"/>
  <c r="C848" i="4" s="1"/>
  <c r="B849" i="4"/>
  <c r="C849" i="4" s="1"/>
  <c r="B850" i="4"/>
  <c r="C850" i="4" s="1"/>
  <c r="B851" i="4"/>
  <c r="C851" i="4" s="1"/>
  <c r="B852" i="4"/>
  <c r="C852" i="4" s="1"/>
  <c r="B853" i="4"/>
  <c r="C853" i="4" s="1"/>
  <c r="B854" i="4"/>
  <c r="C854" i="4" s="1"/>
  <c r="B855" i="4"/>
  <c r="C855" i="4" s="1"/>
  <c r="B856" i="4"/>
  <c r="C856" i="4" s="1"/>
  <c r="B857" i="4"/>
  <c r="C857" i="4" s="1"/>
  <c r="B858" i="4"/>
  <c r="C858" i="4" s="1"/>
  <c r="B859" i="4"/>
  <c r="C859" i="4" s="1"/>
  <c r="B860" i="4"/>
  <c r="C860" i="4" s="1"/>
  <c r="B861" i="4"/>
  <c r="C861" i="4" s="1"/>
  <c r="B862" i="4"/>
  <c r="C862" i="4" s="1"/>
  <c r="B863" i="4"/>
  <c r="C863" i="4" s="1"/>
  <c r="B864" i="4"/>
  <c r="C864" i="4" s="1"/>
  <c r="B865" i="4"/>
  <c r="C865" i="4" s="1"/>
  <c r="B866" i="4"/>
  <c r="C866" i="4" s="1"/>
  <c r="B867" i="4"/>
  <c r="C867" i="4" s="1"/>
  <c r="B868" i="4"/>
  <c r="C868" i="4" s="1"/>
  <c r="B869" i="4"/>
  <c r="C869" i="4" s="1"/>
  <c r="B870" i="4"/>
  <c r="C870" i="4" s="1"/>
  <c r="B871" i="4"/>
  <c r="C871" i="4" s="1"/>
  <c r="B872" i="4"/>
  <c r="C872" i="4" s="1"/>
  <c r="B873" i="4"/>
  <c r="C873" i="4" s="1"/>
  <c r="B874" i="4"/>
  <c r="C874" i="4" s="1"/>
  <c r="B875" i="4"/>
  <c r="C875" i="4" s="1"/>
  <c r="B876" i="4"/>
  <c r="C876" i="4" s="1"/>
  <c r="B877" i="4"/>
  <c r="C877" i="4" s="1"/>
  <c r="B878" i="4"/>
  <c r="C878" i="4" s="1"/>
  <c r="B879" i="4"/>
  <c r="C879" i="4" s="1"/>
  <c r="B880" i="4"/>
  <c r="C880" i="4" s="1"/>
  <c r="B881" i="4"/>
  <c r="C881" i="4" s="1"/>
  <c r="B882" i="4"/>
  <c r="C882" i="4" s="1"/>
  <c r="B883" i="4"/>
  <c r="C883" i="4" s="1"/>
  <c r="B884" i="4"/>
  <c r="C884" i="4" s="1"/>
  <c r="B885" i="4"/>
  <c r="C885" i="4" s="1"/>
  <c r="B886" i="4"/>
  <c r="C886" i="4" s="1"/>
  <c r="B887" i="4"/>
  <c r="C887" i="4" s="1"/>
  <c r="B888" i="4"/>
  <c r="C888" i="4" s="1"/>
  <c r="B889" i="4"/>
  <c r="C889" i="4" s="1"/>
  <c r="B890" i="4"/>
  <c r="C890" i="4" s="1"/>
  <c r="B891" i="4"/>
  <c r="C891" i="4" s="1"/>
  <c r="B892" i="4"/>
  <c r="C892" i="4" s="1"/>
  <c r="B893" i="4"/>
  <c r="C893" i="4" s="1"/>
  <c r="B894" i="4"/>
  <c r="C894" i="4" s="1"/>
  <c r="B895" i="4"/>
  <c r="C895" i="4" s="1"/>
  <c r="B896" i="4"/>
  <c r="C896" i="4" s="1"/>
  <c r="B897" i="4"/>
  <c r="C897" i="4" s="1"/>
  <c r="B898" i="4"/>
  <c r="C898" i="4" s="1"/>
  <c r="B899" i="4"/>
  <c r="C899" i="4" s="1"/>
  <c r="B900" i="4"/>
  <c r="C900" i="4" s="1"/>
  <c r="B901" i="4"/>
  <c r="C901" i="4" s="1"/>
  <c r="B902" i="4"/>
  <c r="C902" i="4" s="1"/>
  <c r="B903" i="4"/>
  <c r="C903" i="4" s="1"/>
  <c r="B904" i="4"/>
  <c r="C904" i="4" s="1"/>
  <c r="B905" i="4"/>
  <c r="C905" i="4" s="1"/>
  <c r="B906" i="4"/>
  <c r="C906" i="4" s="1"/>
  <c r="B907" i="4"/>
  <c r="C907" i="4" s="1"/>
  <c r="B908" i="4"/>
  <c r="C908" i="4" s="1"/>
  <c r="B909" i="4"/>
  <c r="C909" i="4" s="1"/>
  <c r="B910" i="4"/>
  <c r="C910" i="4" s="1"/>
  <c r="B911" i="4"/>
  <c r="C911" i="4" s="1"/>
  <c r="B912" i="4"/>
  <c r="C912" i="4" s="1"/>
  <c r="B913" i="4"/>
  <c r="C913" i="4" s="1"/>
  <c r="B914" i="4"/>
  <c r="C914" i="4" s="1"/>
  <c r="B915" i="4"/>
  <c r="C915" i="4" s="1"/>
  <c r="B916" i="4"/>
  <c r="C916" i="4" s="1"/>
  <c r="B917" i="4"/>
  <c r="C917" i="4" s="1"/>
  <c r="B918" i="4"/>
  <c r="C918" i="4" s="1"/>
  <c r="B919" i="4"/>
  <c r="C919" i="4" s="1"/>
  <c r="B920" i="4"/>
  <c r="C920" i="4" s="1"/>
  <c r="B921" i="4"/>
  <c r="C921" i="4" s="1"/>
  <c r="B922" i="4"/>
  <c r="C922" i="4" s="1"/>
  <c r="B923" i="4"/>
  <c r="C923" i="4" s="1"/>
  <c r="B924" i="4"/>
  <c r="C924" i="4" s="1"/>
  <c r="B925" i="4"/>
  <c r="C925" i="4" s="1"/>
  <c r="B926" i="4"/>
  <c r="C926" i="4" s="1"/>
  <c r="B927" i="4"/>
  <c r="C927" i="4" s="1"/>
  <c r="B928" i="4"/>
  <c r="C928" i="4" s="1"/>
  <c r="B929" i="4"/>
  <c r="C929" i="4" s="1"/>
  <c r="B930" i="4"/>
  <c r="C930" i="4" s="1"/>
  <c r="B931" i="4"/>
  <c r="C931" i="4" s="1"/>
  <c r="B932" i="4"/>
  <c r="C932" i="4" s="1"/>
  <c r="B933" i="4"/>
  <c r="C933" i="4" s="1"/>
  <c r="B934" i="4"/>
  <c r="C934" i="4" s="1"/>
  <c r="B935" i="4"/>
  <c r="C935" i="4" s="1"/>
  <c r="B936" i="4"/>
  <c r="C936" i="4" s="1"/>
  <c r="B937" i="4"/>
  <c r="C937" i="4" s="1"/>
  <c r="B938" i="4"/>
  <c r="C938" i="4" s="1"/>
  <c r="B939" i="4"/>
  <c r="C939" i="4" s="1"/>
  <c r="B940" i="4"/>
  <c r="C940" i="4" s="1"/>
  <c r="B941" i="4"/>
  <c r="C941" i="4" s="1"/>
  <c r="B942" i="4"/>
  <c r="C942" i="4" s="1"/>
  <c r="B943" i="4"/>
  <c r="C943" i="4" s="1"/>
  <c r="B944" i="4"/>
  <c r="C944" i="4" s="1"/>
  <c r="B945" i="4"/>
  <c r="C945" i="4" s="1"/>
  <c r="B946" i="4"/>
  <c r="C946" i="4" s="1"/>
  <c r="B947" i="4"/>
  <c r="C947" i="4" s="1"/>
  <c r="B948" i="4"/>
  <c r="C948" i="4" s="1"/>
  <c r="B949" i="4"/>
  <c r="C949" i="4" s="1"/>
  <c r="B950" i="4"/>
  <c r="C950" i="4" s="1"/>
  <c r="B951" i="4"/>
  <c r="C951" i="4" s="1"/>
  <c r="B952" i="4"/>
  <c r="C952" i="4" s="1"/>
  <c r="B953" i="4"/>
  <c r="C953" i="4" s="1"/>
  <c r="B954" i="4"/>
  <c r="C954" i="4" s="1"/>
  <c r="B955" i="4"/>
  <c r="C955" i="4" s="1"/>
  <c r="B956" i="4"/>
  <c r="C956" i="4" s="1"/>
  <c r="B957" i="4"/>
  <c r="C957" i="4" s="1"/>
  <c r="B958" i="4"/>
  <c r="C958" i="4" s="1"/>
  <c r="B959" i="4"/>
  <c r="C959" i="4" s="1"/>
  <c r="B960" i="4"/>
  <c r="C960" i="4" s="1"/>
  <c r="B961" i="4"/>
  <c r="C961" i="4" s="1"/>
  <c r="B962" i="4"/>
  <c r="C962" i="4" s="1"/>
  <c r="B963" i="4"/>
  <c r="C963" i="4" s="1"/>
  <c r="B964" i="4"/>
  <c r="C964" i="4" s="1"/>
  <c r="B965" i="4"/>
  <c r="C965" i="4" s="1"/>
  <c r="B966" i="4"/>
  <c r="C966" i="4" s="1"/>
  <c r="B967" i="4"/>
  <c r="C967" i="4" s="1"/>
  <c r="B968" i="4"/>
  <c r="C968" i="4" s="1"/>
  <c r="B969" i="4"/>
  <c r="C969" i="4" s="1"/>
  <c r="B970" i="4"/>
  <c r="C970" i="4" s="1"/>
  <c r="B971" i="4"/>
  <c r="C971" i="4" s="1"/>
  <c r="B972" i="4"/>
  <c r="C972" i="4" s="1"/>
  <c r="B973" i="4"/>
  <c r="C973" i="4" s="1"/>
  <c r="B974" i="4"/>
  <c r="C974" i="4" s="1"/>
  <c r="B975" i="4"/>
  <c r="C975" i="4" s="1"/>
  <c r="B976" i="4"/>
  <c r="C976" i="4" s="1"/>
  <c r="B977" i="4"/>
  <c r="C977" i="4" s="1"/>
  <c r="B978" i="4"/>
  <c r="C978" i="4" s="1"/>
  <c r="B979" i="4"/>
  <c r="C979" i="4" s="1"/>
  <c r="B980" i="4"/>
  <c r="C980" i="4" s="1"/>
  <c r="B981" i="4"/>
  <c r="C981" i="4" s="1"/>
  <c r="B982" i="4"/>
  <c r="C982" i="4" s="1"/>
  <c r="B983" i="4"/>
  <c r="C983" i="4" s="1"/>
  <c r="B984" i="4"/>
  <c r="C984" i="4" s="1"/>
  <c r="B985" i="4"/>
  <c r="C985" i="4" s="1"/>
  <c r="B986" i="4"/>
  <c r="C986" i="4" s="1"/>
  <c r="B987" i="4"/>
  <c r="C987" i="4" s="1"/>
  <c r="B988" i="4"/>
  <c r="C988" i="4" s="1"/>
  <c r="B989" i="4"/>
  <c r="C989" i="4" s="1"/>
  <c r="B990" i="4"/>
  <c r="C990" i="4" s="1"/>
  <c r="B991" i="4"/>
  <c r="C991" i="4" s="1"/>
  <c r="B992" i="4"/>
  <c r="C992" i="4" s="1"/>
  <c r="B993" i="4"/>
  <c r="C993" i="4" s="1"/>
  <c r="B994" i="4"/>
  <c r="C994" i="4" s="1"/>
  <c r="B995" i="4"/>
  <c r="C995" i="4" s="1"/>
  <c r="B996" i="4"/>
  <c r="C996" i="4" s="1"/>
  <c r="B997" i="4"/>
  <c r="C997" i="4" s="1"/>
  <c r="B998" i="4"/>
  <c r="C998" i="4" s="1"/>
  <c r="B999" i="4"/>
  <c r="C999" i="4" s="1"/>
  <c r="B1000" i="4"/>
  <c r="C1000" i="4" s="1"/>
  <c r="B1001" i="4"/>
  <c r="C1001" i="4" s="1"/>
  <c r="B1002" i="4"/>
  <c r="C1002" i="4" s="1"/>
  <c r="B1003" i="4"/>
  <c r="C1003" i="4" s="1"/>
  <c r="B1004" i="4"/>
  <c r="C1004" i="4" s="1"/>
  <c r="B1005" i="4"/>
  <c r="C1005" i="4" s="1"/>
  <c r="B1006" i="4"/>
  <c r="C1006" i="4" s="1"/>
  <c r="B1007" i="4"/>
  <c r="C1007" i="4" s="1"/>
  <c r="B1008" i="4"/>
  <c r="C1008" i="4" s="1"/>
  <c r="B1009" i="4"/>
  <c r="C1009" i="4" s="1"/>
  <c r="B1010" i="4"/>
  <c r="C1010" i="4" s="1"/>
  <c r="B1011" i="4"/>
  <c r="C1011" i="4" s="1"/>
  <c r="B1012" i="4"/>
  <c r="C1012" i="4" s="1"/>
  <c r="B1013" i="4"/>
  <c r="C1013" i="4" s="1"/>
  <c r="B1014" i="4"/>
  <c r="C1014" i="4" s="1"/>
  <c r="B1015" i="4"/>
  <c r="C1015" i="4" s="1"/>
  <c r="B16" i="4"/>
  <c r="A18" i="4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7" i="4"/>
  <c r="B17" i="3"/>
  <c r="C17" i="3" s="1"/>
  <c r="B18" i="3"/>
  <c r="C18" i="3" s="1"/>
  <c r="B19" i="3"/>
  <c r="C19" i="3" s="1"/>
  <c r="B20" i="3"/>
  <c r="C20" i="3" s="1"/>
  <c r="B21" i="3"/>
  <c r="C21" i="3" s="1"/>
  <c r="B22" i="3"/>
  <c r="C22" i="3" s="1"/>
  <c r="B23" i="3"/>
  <c r="C23" i="3" s="1"/>
  <c r="B24" i="3"/>
  <c r="C24" i="3" s="1"/>
  <c r="B25" i="3"/>
  <c r="C25" i="3" s="1"/>
  <c r="B26" i="3"/>
  <c r="C26" i="3" s="1"/>
  <c r="B27" i="3"/>
  <c r="C27" i="3" s="1"/>
  <c r="B28" i="3"/>
  <c r="C28" i="3" s="1"/>
  <c r="B29" i="3"/>
  <c r="C29" i="3" s="1"/>
  <c r="B30" i="3"/>
  <c r="C30" i="3" s="1"/>
  <c r="B31" i="3"/>
  <c r="C31" i="3" s="1"/>
  <c r="B32" i="3"/>
  <c r="C32" i="3" s="1"/>
  <c r="B33" i="3"/>
  <c r="C33" i="3" s="1"/>
  <c r="B34" i="3"/>
  <c r="C34" i="3" s="1"/>
  <c r="B35" i="3"/>
  <c r="C35" i="3" s="1"/>
  <c r="B36" i="3"/>
  <c r="C36" i="3" s="1"/>
  <c r="B37" i="3"/>
  <c r="C37" i="3" s="1"/>
  <c r="B38" i="3"/>
  <c r="C38" i="3" s="1"/>
  <c r="B39" i="3"/>
  <c r="C39" i="3" s="1"/>
  <c r="B40" i="3"/>
  <c r="C40" i="3" s="1"/>
  <c r="B41" i="3"/>
  <c r="C41" i="3" s="1"/>
  <c r="B42" i="3"/>
  <c r="C42" i="3" s="1"/>
  <c r="B43" i="3"/>
  <c r="C43" i="3" s="1"/>
  <c r="B44" i="3"/>
  <c r="C44" i="3" s="1"/>
  <c r="B45" i="3"/>
  <c r="C45" i="3" s="1"/>
  <c r="B46" i="3"/>
  <c r="C46" i="3" s="1"/>
  <c r="B47" i="3"/>
  <c r="C47" i="3" s="1"/>
  <c r="B48" i="3"/>
  <c r="C48" i="3" s="1"/>
  <c r="B49" i="3"/>
  <c r="C49" i="3" s="1"/>
  <c r="B50" i="3"/>
  <c r="C50" i="3" s="1"/>
  <c r="B51" i="3"/>
  <c r="C51" i="3" s="1"/>
  <c r="B52" i="3"/>
  <c r="C52" i="3" s="1"/>
  <c r="B53" i="3"/>
  <c r="C53" i="3" s="1"/>
  <c r="B54" i="3"/>
  <c r="C54" i="3" s="1"/>
  <c r="B55" i="3"/>
  <c r="C55" i="3" s="1"/>
  <c r="B56" i="3"/>
  <c r="C56" i="3" s="1"/>
  <c r="B57" i="3"/>
  <c r="C57" i="3" s="1"/>
  <c r="B58" i="3"/>
  <c r="C58" i="3" s="1"/>
  <c r="B59" i="3"/>
  <c r="C59" i="3" s="1"/>
  <c r="B60" i="3"/>
  <c r="C60" i="3" s="1"/>
  <c r="B61" i="3"/>
  <c r="C61" i="3" s="1"/>
  <c r="B62" i="3"/>
  <c r="C62" i="3" s="1"/>
  <c r="B63" i="3"/>
  <c r="C63" i="3" s="1"/>
  <c r="B64" i="3"/>
  <c r="C64" i="3" s="1"/>
  <c r="B65" i="3"/>
  <c r="C65" i="3" s="1"/>
  <c r="B66" i="3"/>
  <c r="C66" i="3" s="1"/>
  <c r="B67" i="3"/>
  <c r="C67" i="3" s="1"/>
  <c r="B68" i="3"/>
  <c r="C68" i="3" s="1"/>
  <c r="B69" i="3"/>
  <c r="C69" i="3" s="1"/>
  <c r="B70" i="3"/>
  <c r="C70" i="3" s="1"/>
  <c r="B71" i="3"/>
  <c r="C71" i="3" s="1"/>
  <c r="B72" i="3"/>
  <c r="C72" i="3" s="1"/>
  <c r="B73" i="3"/>
  <c r="C73" i="3" s="1"/>
  <c r="B74" i="3"/>
  <c r="C74" i="3" s="1"/>
  <c r="B75" i="3"/>
  <c r="C75" i="3" s="1"/>
  <c r="B76" i="3"/>
  <c r="C76" i="3" s="1"/>
  <c r="B77" i="3"/>
  <c r="C77" i="3" s="1"/>
  <c r="B78" i="3"/>
  <c r="C78" i="3" s="1"/>
  <c r="B79" i="3"/>
  <c r="C79" i="3" s="1"/>
  <c r="B80" i="3"/>
  <c r="C80" i="3" s="1"/>
  <c r="B81" i="3"/>
  <c r="C81" i="3" s="1"/>
  <c r="B82" i="3"/>
  <c r="C82" i="3" s="1"/>
  <c r="B83" i="3"/>
  <c r="C83" i="3" s="1"/>
  <c r="B84" i="3"/>
  <c r="C84" i="3" s="1"/>
  <c r="B85" i="3"/>
  <c r="C85" i="3" s="1"/>
  <c r="B86" i="3"/>
  <c r="C86" i="3" s="1"/>
  <c r="B87" i="3"/>
  <c r="C87" i="3" s="1"/>
  <c r="B88" i="3"/>
  <c r="C88" i="3" s="1"/>
  <c r="B89" i="3"/>
  <c r="C89" i="3" s="1"/>
  <c r="B90" i="3"/>
  <c r="C90" i="3" s="1"/>
  <c r="B91" i="3"/>
  <c r="C91" i="3" s="1"/>
  <c r="B92" i="3"/>
  <c r="C92" i="3" s="1"/>
  <c r="B93" i="3"/>
  <c r="C93" i="3" s="1"/>
  <c r="B94" i="3"/>
  <c r="C94" i="3" s="1"/>
  <c r="B95" i="3"/>
  <c r="C95" i="3" s="1"/>
  <c r="B96" i="3"/>
  <c r="C96" i="3" s="1"/>
  <c r="B97" i="3"/>
  <c r="C97" i="3" s="1"/>
  <c r="B98" i="3"/>
  <c r="C98" i="3" s="1"/>
  <c r="B99" i="3"/>
  <c r="C99" i="3" s="1"/>
  <c r="B100" i="3"/>
  <c r="C100" i="3" s="1"/>
  <c r="B101" i="3"/>
  <c r="C101" i="3" s="1"/>
  <c r="B102" i="3"/>
  <c r="C102" i="3" s="1"/>
  <c r="B103" i="3"/>
  <c r="C103" i="3" s="1"/>
  <c r="B104" i="3"/>
  <c r="C104" i="3" s="1"/>
  <c r="B105" i="3"/>
  <c r="C105" i="3" s="1"/>
  <c r="B106" i="3"/>
  <c r="C106" i="3" s="1"/>
  <c r="B107" i="3"/>
  <c r="C107" i="3" s="1"/>
  <c r="B108" i="3"/>
  <c r="C108" i="3" s="1"/>
  <c r="B109" i="3"/>
  <c r="C109" i="3" s="1"/>
  <c r="B110" i="3"/>
  <c r="C110" i="3" s="1"/>
  <c r="B111" i="3"/>
  <c r="C111" i="3" s="1"/>
  <c r="B112" i="3"/>
  <c r="C112" i="3" s="1"/>
  <c r="B113" i="3"/>
  <c r="C113" i="3" s="1"/>
  <c r="B114" i="3"/>
  <c r="C114" i="3" s="1"/>
  <c r="B115" i="3"/>
  <c r="C115" i="3" s="1"/>
  <c r="B116" i="3"/>
  <c r="C116" i="3" s="1"/>
  <c r="B117" i="3"/>
  <c r="C117" i="3" s="1"/>
  <c r="B118" i="3"/>
  <c r="C118" i="3" s="1"/>
  <c r="B119" i="3"/>
  <c r="C119" i="3" s="1"/>
  <c r="B120" i="3"/>
  <c r="C120" i="3" s="1"/>
  <c r="B121" i="3"/>
  <c r="C121" i="3" s="1"/>
  <c r="B122" i="3"/>
  <c r="C122" i="3" s="1"/>
  <c r="B123" i="3"/>
  <c r="C123" i="3" s="1"/>
  <c r="B124" i="3"/>
  <c r="C124" i="3" s="1"/>
  <c r="B125" i="3"/>
  <c r="C125" i="3" s="1"/>
  <c r="B126" i="3"/>
  <c r="C126" i="3" s="1"/>
  <c r="B127" i="3"/>
  <c r="C127" i="3" s="1"/>
  <c r="B128" i="3"/>
  <c r="C128" i="3" s="1"/>
  <c r="B129" i="3"/>
  <c r="C129" i="3" s="1"/>
  <c r="B130" i="3"/>
  <c r="C130" i="3" s="1"/>
  <c r="B131" i="3"/>
  <c r="C131" i="3" s="1"/>
  <c r="B132" i="3"/>
  <c r="C132" i="3" s="1"/>
  <c r="B133" i="3"/>
  <c r="C133" i="3" s="1"/>
  <c r="B134" i="3"/>
  <c r="C134" i="3" s="1"/>
  <c r="B135" i="3"/>
  <c r="C135" i="3" s="1"/>
  <c r="B136" i="3"/>
  <c r="C136" i="3" s="1"/>
  <c r="B137" i="3"/>
  <c r="C137" i="3" s="1"/>
  <c r="B138" i="3"/>
  <c r="C138" i="3" s="1"/>
  <c r="B139" i="3"/>
  <c r="C139" i="3" s="1"/>
  <c r="B140" i="3"/>
  <c r="C140" i="3" s="1"/>
  <c r="B141" i="3"/>
  <c r="C141" i="3" s="1"/>
  <c r="B142" i="3"/>
  <c r="C142" i="3" s="1"/>
  <c r="B143" i="3"/>
  <c r="C143" i="3" s="1"/>
  <c r="B144" i="3"/>
  <c r="C144" i="3" s="1"/>
  <c r="B145" i="3"/>
  <c r="C145" i="3" s="1"/>
  <c r="B146" i="3"/>
  <c r="C146" i="3" s="1"/>
  <c r="B147" i="3"/>
  <c r="C147" i="3" s="1"/>
  <c r="B148" i="3"/>
  <c r="C148" i="3" s="1"/>
  <c r="B149" i="3"/>
  <c r="C149" i="3" s="1"/>
  <c r="B150" i="3"/>
  <c r="C150" i="3" s="1"/>
  <c r="B151" i="3"/>
  <c r="C151" i="3" s="1"/>
  <c r="B152" i="3"/>
  <c r="C152" i="3" s="1"/>
  <c r="B153" i="3"/>
  <c r="C153" i="3" s="1"/>
  <c r="B154" i="3"/>
  <c r="C154" i="3" s="1"/>
  <c r="B155" i="3"/>
  <c r="C155" i="3" s="1"/>
  <c r="B156" i="3"/>
  <c r="C156" i="3" s="1"/>
  <c r="B157" i="3"/>
  <c r="C157" i="3" s="1"/>
  <c r="B158" i="3"/>
  <c r="C158" i="3" s="1"/>
  <c r="B159" i="3"/>
  <c r="C159" i="3" s="1"/>
  <c r="B160" i="3"/>
  <c r="C160" i="3" s="1"/>
  <c r="B161" i="3"/>
  <c r="C161" i="3" s="1"/>
  <c r="B162" i="3"/>
  <c r="C162" i="3" s="1"/>
  <c r="B163" i="3"/>
  <c r="C163" i="3" s="1"/>
  <c r="B164" i="3"/>
  <c r="C164" i="3" s="1"/>
  <c r="B165" i="3"/>
  <c r="C165" i="3" s="1"/>
  <c r="B166" i="3"/>
  <c r="C166" i="3" s="1"/>
  <c r="B167" i="3"/>
  <c r="C167" i="3" s="1"/>
  <c r="B168" i="3"/>
  <c r="C168" i="3" s="1"/>
  <c r="B169" i="3"/>
  <c r="C169" i="3" s="1"/>
  <c r="B170" i="3"/>
  <c r="C170" i="3" s="1"/>
  <c r="B171" i="3"/>
  <c r="C171" i="3" s="1"/>
  <c r="B172" i="3"/>
  <c r="C172" i="3" s="1"/>
  <c r="B173" i="3"/>
  <c r="C173" i="3" s="1"/>
  <c r="B174" i="3"/>
  <c r="C174" i="3" s="1"/>
  <c r="B175" i="3"/>
  <c r="C175" i="3" s="1"/>
  <c r="B176" i="3"/>
  <c r="C176" i="3" s="1"/>
  <c r="B177" i="3"/>
  <c r="C177" i="3" s="1"/>
  <c r="B178" i="3"/>
  <c r="C178" i="3" s="1"/>
  <c r="B179" i="3"/>
  <c r="C179" i="3" s="1"/>
  <c r="B180" i="3"/>
  <c r="C180" i="3" s="1"/>
  <c r="B181" i="3"/>
  <c r="C181" i="3" s="1"/>
  <c r="B182" i="3"/>
  <c r="C182" i="3" s="1"/>
  <c r="B183" i="3"/>
  <c r="C183" i="3" s="1"/>
  <c r="B184" i="3"/>
  <c r="C184" i="3" s="1"/>
  <c r="B185" i="3"/>
  <c r="C185" i="3" s="1"/>
  <c r="B186" i="3"/>
  <c r="C186" i="3" s="1"/>
  <c r="B187" i="3"/>
  <c r="C187" i="3" s="1"/>
  <c r="B188" i="3"/>
  <c r="C188" i="3" s="1"/>
  <c r="B189" i="3"/>
  <c r="C189" i="3" s="1"/>
  <c r="B190" i="3"/>
  <c r="C190" i="3" s="1"/>
  <c r="B191" i="3"/>
  <c r="C191" i="3" s="1"/>
  <c r="B192" i="3"/>
  <c r="C192" i="3" s="1"/>
  <c r="B193" i="3"/>
  <c r="C193" i="3" s="1"/>
  <c r="B194" i="3"/>
  <c r="C194" i="3" s="1"/>
  <c r="B195" i="3"/>
  <c r="C195" i="3" s="1"/>
  <c r="B196" i="3"/>
  <c r="C196" i="3" s="1"/>
  <c r="B197" i="3"/>
  <c r="C197" i="3" s="1"/>
  <c r="B198" i="3"/>
  <c r="C198" i="3" s="1"/>
  <c r="B199" i="3"/>
  <c r="C199" i="3" s="1"/>
  <c r="B200" i="3"/>
  <c r="C200" i="3" s="1"/>
  <c r="B201" i="3"/>
  <c r="C201" i="3" s="1"/>
  <c r="B202" i="3"/>
  <c r="C202" i="3" s="1"/>
  <c r="B203" i="3"/>
  <c r="C203" i="3" s="1"/>
  <c r="B204" i="3"/>
  <c r="C204" i="3" s="1"/>
  <c r="B205" i="3"/>
  <c r="C205" i="3" s="1"/>
  <c r="B206" i="3"/>
  <c r="C206" i="3" s="1"/>
  <c r="B207" i="3"/>
  <c r="C207" i="3" s="1"/>
  <c r="B208" i="3"/>
  <c r="C208" i="3" s="1"/>
  <c r="B209" i="3"/>
  <c r="C209" i="3" s="1"/>
  <c r="B210" i="3"/>
  <c r="C210" i="3" s="1"/>
  <c r="B211" i="3"/>
  <c r="C211" i="3" s="1"/>
  <c r="B212" i="3"/>
  <c r="C212" i="3" s="1"/>
  <c r="B213" i="3"/>
  <c r="C213" i="3" s="1"/>
  <c r="B214" i="3"/>
  <c r="C214" i="3" s="1"/>
  <c r="B215" i="3"/>
  <c r="C215" i="3" s="1"/>
  <c r="B216" i="3"/>
  <c r="C216" i="3" s="1"/>
  <c r="B217" i="3"/>
  <c r="C217" i="3" s="1"/>
  <c r="B218" i="3"/>
  <c r="C218" i="3" s="1"/>
  <c r="B219" i="3"/>
  <c r="C219" i="3" s="1"/>
  <c r="B220" i="3"/>
  <c r="C220" i="3" s="1"/>
  <c r="B221" i="3"/>
  <c r="C221" i="3" s="1"/>
  <c r="B222" i="3"/>
  <c r="C222" i="3" s="1"/>
  <c r="B223" i="3"/>
  <c r="C223" i="3" s="1"/>
  <c r="B224" i="3"/>
  <c r="C224" i="3" s="1"/>
  <c r="B225" i="3"/>
  <c r="C225" i="3" s="1"/>
  <c r="B226" i="3"/>
  <c r="C226" i="3" s="1"/>
  <c r="B227" i="3"/>
  <c r="C227" i="3" s="1"/>
  <c r="B228" i="3"/>
  <c r="C228" i="3" s="1"/>
  <c r="B229" i="3"/>
  <c r="C229" i="3" s="1"/>
  <c r="B230" i="3"/>
  <c r="C230" i="3" s="1"/>
  <c r="B231" i="3"/>
  <c r="C231" i="3" s="1"/>
  <c r="B232" i="3"/>
  <c r="C232" i="3" s="1"/>
  <c r="B233" i="3"/>
  <c r="C233" i="3" s="1"/>
  <c r="B234" i="3"/>
  <c r="C234" i="3" s="1"/>
  <c r="B235" i="3"/>
  <c r="C235" i="3" s="1"/>
  <c r="B236" i="3"/>
  <c r="C236" i="3" s="1"/>
  <c r="B237" i="3"/>
  <c r="C237" i="3" s="1"/>
  <c r="B238" i="3"/>
  <c r="C238" i="3" s="1"/>
  <c r="B239" i="3"/>
  <c r="C239" i="3" s="1"/>
  <c r="B240" i="3"/>
  <c r="C240" i="3" s="1"/>
  <c r="B241" i="3"/>
  <c r="C241" i="3" s="1"/>
  <c r="B242" i="3"/>
  <c r="C242" i="3" s="1"/>
  <c r="B243" i="3"/>
  <c r="C243" i="3" s="1"/>
  <c r="B244" i="3"/>
  <c r="C244" i="3" s="1"/>
  <c r="B245" i="3"/>
  <c r="C245" i="3" s="1"/>
  <c r="B246" i="3"/>
  <c r="C246" i="3" s="1"/>
  <c r="B247" i="3"/>
  <c r="C247" i="3" s="1"/>
  <c r="B248" i="3"/>
  <c r="C248" i="3" s="1"/>
  <c r="B249" i="3"/>
  <c r="C249" i="3" s="1"/>
  <c r="B250" i="3"/>
  <c r="C250" i="3" s="1"/>
  <c r="B251" i="3"/>
  <c r="C251" i="3" s="1"/>
  <c r="B252" i="3"/>
  <c r="C252" i="3" s="1"/>
  <c r="B253" i="3"/>
  <c r="C253" i="3" s="1"/>
  <c r="B254" i="3"/>
  <c r="C254" i="3" s="1"/>
  <c r="B255" i="3"/>
  <c r="C255" i="3" s="1"/>
  <c r="B256" i="3"/>
  <c r="C256" i="3" s="1"/>
  <c r="B257" i="3"/>
  <c r="C257" i="3" s="1"/>
  <c r="B258" i="3"/>
  <c r="C258" i="3" s="1"/>
  <c r="B259" i="3"/>
  <c r="C259" i="3" s="1"/>
  <c r="B260" i="3"/>
  <c r="C260" i="3" s="1"/>
  <c r="B261" i="3"/>
  <c r="C261" i="3" s="1"/>
  <c r="B262" i="3"/>
  <c r="C262" i="3" s="1"/>
  <c r="B263" i="3"/>
  <c r="C263" i="3" s="1"/>
  <c r="B264" i="3"/>
  <c r="C264" i="3" s="1"/>
  <c r="B265" i="3"/>
  <c r="C265" i="3" s="1"/>
  <c r="B266" i="3"/>
  <c r="C266" i="3" s="1"/>
  <c r="B267" i="3"/>
  <c r="C267" i="3" s="1"/>
  <c r="B268" i="3"/>
  <c r="C268" i="3" s="1"/>
  <c r="B269" i="3"/>
  <c r="C269" i="3" s="1"/>
  <c r="B270" i="3"/>
  <c r="C270" i="3" s="1"/>
  <c r="B271" i="3"/>
  <c r="C271" i="3" s="1"/>
  <c r="B272" i="3"/>
  <c r="C272" i="3" s="1"/>
  <c r="B273" i="3"/>
  <c r="C273" i="3" s="1"/>
  <c r="B274" i="3"/>
  <c r="C274" i="3" s="1"/>
  <c r="B275" i="3"/>
  <c r="C275" i="3" s="1"/>
  <c r="B276" i="3"/>
  <c r="C276" i="3" s="1"/>
  <c r="B277" i="3"/>
  <c r="C277" i="3" s="1"/>
  <c r="B278" i="3"/>
  <c r="C278" i="3" s="1"/>
  <c r="B279" i="3"/>
  <c r="C279" i="3" s="1"/>
  <c r="B280" i="3"/>
  <c r="C280" i="3" s="1"/>
  <c r="B281" i="3"/>
  <c r="C281" i="3" s="1"/>
  <c r="B282" i="3"/>
  <c r="C282" i="3" s="1"/>
  <c r="B283" i="3"/>
  <c r="C283" i="3" s="1"/>
  <c r="B284" i="3"/>
  <c r="C284" i="3" s="1"/>
  <c r="B285" i="3"/>
  <c r="C285" i="3" s="1"/>
  <c r="B286" i="3"/>
  <c r="C286" i="3" s="1"/>
  <c r="B287" i="3"/>
  <c r="C287" i="3" s="1"/>
  <c r="B288" i="3"/>
  <c r="C288" i="3" s="1"/>
  <c r="B289" i="3"/>
  <c r="C289" i="3" s="1"/>
  <c r="B290" i="3"/>
  <c r="C290" i="3" s="1"/>
  <c r="B291" i="3"/>
  <c r="C291" i="3" s="1"/>
  <c r="B292" i="3"/>
  <c r="C292" i="3" s="1"/>
  <c r="B293" i="3"/>
  <c r="C293" i="3" s="1"/>
  <c r="B294" i="3"/>
  <c r="C294" i="3" s="1"/>
  <c r="B295" i="3"/>
  <c r="C295" i="3" s="1"/>
  <c r="B296" i="3"/>
  <c r="C296" i="3" s="1"/>
  <c r="B297" i="3"/>
  <c r="C297" i="3" s="1"/>
  <c r="B298" i="3"/>
  <c r="C298" i="3" s="1"/>
  <c r="B299" i="3"/>
  <c r="C299" i="3" s="1"/>
  <c r="B300" i="3"/>
  <c r="C300" i="3" s="1"/>
  <c r="B301" i="3"/>
  <c r="C301" i="3" s="1"/>
  <c r="B302" i="3"/>
  <c r="C302" i="3" s="1"/>
  <c r="B303" i="3"/>
  <c r="C303" i="3" s="1"/>
  <c r="B304" i="3"/>
  <c r="C304" i="3" s="1"/>
  <c r="B305" i="3"/>
  <c r="C305" i="3" s="1"/>
  <c r="B306" i="3"/>
  <c r="C306" i="3" s="1"/>
  <c r="B307" i="3"/>
  <c r="C307" i="3" s="1"/>
  <c r="B308" i="3"/>
  <c r="C308" i="3" s="1"/>
  <c r="B309" i="3"/>
  <c r="C309" i="3" s="1"/>
  <c r="B310" i="3"/>
  <c r="C310" i="3" s="1"/>
  <c r="B311" i="3"/>
  <c r="C311" i="3" s="1"/>
  <c r="B312" i="3"/>
  <c r="C312" i="3" s="1"/>
  <c r="B313" i="3"/>
  <c r="C313" i="3" s="1"/>
  <c r="B314" i="3"/>
  <c r="C314" i="3" s="1"/>
  <c r="B315" i="3"/>
  <c r="C315" i="3" s="1"/>
  <c r="B316" i="3"/>
  <c r="C316" i="3" s="1"/>
  <c r="B317" i="3"/>
  <c r="C317" i="3" s="1"/>
  <c r="B318" i="3"/>
  <c r="C318" i="3" s="1"/>
  <c r="B319" i="3"/>
  <c r="C319" i="3" s="1"/>
  <c r="B320" i="3"/>
  <c r="C320" i="3" s="1"/>
  <c r="B321" i="3"/>
  <c r="C321" i="3" s="1"/>
  <c r="B322" i="3"/>
  <c r="C322" i="3" s="1"/>
  <c r="B323" i="3"/>
  <c r="C323" i="3" s="1"/>
  <c r="B324" i="3"/>
  <c r="C324" i="3" s="1"/>
  <c r="B325" i="3"/>
  <c r="C325" i="3" s="1"/>
  <c r="B326" i="3"/>
  <c r="C326" i="3" s="1"/>
  <c r="B327" i="3"/>
  <c r="C327" i="3" s="1"/>
  <c r="B328" i="3"/>
  <c r="C328" i="3" s="1"/>
  <c r="B329" i="3"/>
  <c r="C329" i="3" s="1"/>
  <c r="B330" i="3"/>
  <c r="C330" i="3" s="1"/>
  <c r="B331" i="3"/>
  <c r="C331" i="3" s="1"/>
  <c r="B332" i="3"/>
  <c r="C332" i="3" s="1"/>
  <c r="B333" i="3"/>
  <c r="C333" i="3" s="1"/>
  <c r="B334" i="3"/>
  <c r="C334" i="3" s="1"/>
  <c r="B335" i="3"/>
  <c r="C335" i="3" s="1"/>
  <c r="B336" i="3"/>
  <c r="C336" i="3" s="1"/>
  <c r="B337" i="3"/>
  <c r="C337" i="3" s="1"/>
  <c r="B338" i="3"/>
  <c r="C338" i="3" s="1"/>
  <c r="B339" i="3"/>
  <c r="C339" i="3" s="1"/>
  <c r="B340" i="3"/>
  <c r="C340" i="3" s="1"/>
  <c r="B341" i="3"/>
  <c r="C341" i="3" s="1"/>
  <c r="B342" i="3"/>
  <c r="C342" i="3" s="1"/>
  <c r="B343" i="3"/>
  <c r="C343" i="3" s="1"/>
  <c r="B344" i="3"/>
  <c r="C344" i="3" s="1"/>
  <c r="B345" i="3"/>
  <c r="C345" i="3" s="1"/>
  <c r="B346" i="3"/>
  <c r="C346" i="3" s="1"/>
  <c r="B347" i="3"/>
  <c r="C347" i="3" s="1"/>
  <c r="B348" i="3"/>
  <c r="C348" i="3" s="1"/>
  <c r="B349" i="3"/>
  <c r="C349" i="3" s="1"/>
  <c r="B350" i="3"/>
  <c r="C350" i="3" s="1"/>
  <c r="B351" i="3"/>
  <c r="C351" i="3" s="1"/>
  <c r="B352" i="3"/>
  <c r="C352" i="3" s="1"/>
  <c r="B353" i="3"/>
  <c r="C353" i="3" s="1"/>
  <c r="B354" i="3"/>
  <c r="C354" i="3" s="1"/>
  <c r="B355" i="3"/>
  <c r="C355" i="3" s="1"/>
  <c r="B356" i="3"/>
  <c r="C356" i="3" s="1"/>
  <c r="B357" i="3"/>
  <c r="C357" i="3" s="1"/>
  <c r="B358" i="3"/>
  <c r="C358" i="3" s="1"/>
  <c r="B359" i="3"/>
  <c r="C359" i="3" s="1"/>
  <c r="B360" i="3"/>
  <c r="C360" i="3" s="1"/>
  <c r="B361" i="3"/>
  <c r="C361" i="3" s="1"/>
  <c r="B362" i="3"/>
  <c r="C362" i="3" s="1"/>
  <c r="B363" i="3"/>
  <c r="C363" i="3" s="1"/>
  <c r="B364" i="3"/>
  <c r="C364" i="3" s="1"/>
  <c r="B365" i="3"/>
  <c r="C365" i="3" s="1"/>
  <c r="B366" i="3"/>
  <c r="C366" i="3" s="1"/>
  <c r="B367" i="3"/>
  <c r="C367" i="3" s="1"/>
  <c r="B368" i="3"/>
  <c r="C368" i="3" s="1"/>
  <c r="B369" i="3"/>
  <c r="C369" i="3" s="1"/>
  <c r="B370" i="3"/>
  <c r="C370" i="3" s="1"/>
  <c r="B371" i="3"/>
  <c r="C371" i="3" s="1"/>
  <c r="B372" i="3"/>
  <c r="C372" i="3" s="1"/>
  <c r="B373" i="3"/>
  <c r="C373" i="3" s="1"/>
  <c r="B374" i="3"/>
  <c r="C374" i="3" s="1"/>
  <c r="B375" i="3"/>
  <c r="C375" i="3" s="1"/>
  <c r="B376" i="3"/>
  <c r="C376" i="3" s="1"/>
  <c r="B377" i="3"/>
  <c r="C377" i="3" s="1"/>
  <c r="B378" i="3"/>
  <c r="C378" i="3" s="1"/>
  <c r="B379" i="3"/>
  <c r="C379" i="3" s="1"/>
  <c r="B380" i="3"/>
  <c r="C380" i="3" s="1"/>
  <c r="B381" i="3"/>
  <c r="C381" i="3" s="1"/>
  <c r="B382" i="3"/>
  <c r="C382" i="3" s="1"/>
  <c r="B383" i="3"/>
  <c r="C383" i="3" s="1"/>
  <c r="B384" i="3"/>
  <c r="C384" i="3" s="1"/>
  <c r="B385" i="3"/>
  <c r="C385" i="3" s="1"/>
  <c r="B386" i="3"/>
  <c r="C386" i="3" s="1"/>
  <c r="B387" i="3"/>
  <c r="C387" i="3" s="1"/>
  <c r="B388" i="3"/>
  <c r="C388" i="3" s="1"/>
  <c r="B389" i="3"/>
  <c r="C389" i="3" s="1"/>
  <c r="B390" i="3"/>
  <c r="C390" i="3" s="1"/>
  <c r="B391" i="3"/>
  <c r="C391" i="3" s="1"/>
  <c r="B392" i="3"/>
  <c r="C392" i="3" s="1"/>
  <c r="B393" i="3"/>
  <c r="C393" i="3" s="1"/>
  <c r="B394" i="3"/>
  <c r="C394" i="3" s="1"/>
  <c r="B395" i="3"/>
  <c r="C395" i="3" s="1"/>
  <c r="B396" i="3"/>
  <c r="C396" i="3" s="1"/>
  <c r="B397" i="3"/>
  <c r="C397" i="3" s="1"/>
  <c r="B398" i="3"/>
  <c r="C398" i="3" s="1"/>
  <c r="B399" i="3"/>
  <c r="C399" i="3" s="1"/>
  <c r="B400" i="3"/>
  <c r="C400" i="3" s="1"/>
  <c r="B401" i="3"/>
  <c r="C401" i="3" s="1"/>
  <c r="B402" i="3"/>
  <c r="C402" i="3" s="1"/>
  <c r="B403" i="3"/>
  <c r="C403" i="3" s="1"/>
  <c r="B404" i="3"/>
  <c r="C404" i="3" s="1"/>
  <c r="B405" i="3"/>
  <c r="C405" i="3" s="1"/>
  <c r="B406" i="3"/>
  <c r="C406" i="3" s="1"/>
  <c r="B407" i="3"/>
  <c r="C407" i="3" s="1"/>
  <c r="B408" i="3"/>
  <c r="C408" i="3" s="1"/>
  <c r="B409" i="3"/>
  <c r="C409" i="3" s="1"/>
  <c r="B410" i="3"/>
  <c r="C410" i="3" s="1"/>
  <c r="B411" i="3"/>
  <c r="C411" i="3" s="1"/>
  <c r="B412" i="3"/>
  <c r="C412" i="3" s="1"/>
  <c r="B413" i="3"/>
  <c r="C413" i="3" s="1"/>
  <c r="B414" i="3"/>
  <c r="C414" i="3" s="1"/>
  <c r="B415" i="3"/>
  <c r="C415" i="3" s="1"/>
  <c r="B416" i="3"/>
  <c r="C416" i="3" s="1"/>
  <c r="B417" i="3"/>
  <c r="C417" i="3" s="1"/>
  <c r="B418" i="3"/>
  <c r="C418" i="3" s="1"/>
  <c r="B419" i="3"/>
  <c r="C419" i="3" s="1"/>
  <c r="B420" i="3"/>
  <c r="C420" i="3" s="1"/>
  <c r="B421" i="3"/>
  <c r="C421" i="3" s="1"/>
  <c r="B422" i="3"/>
  <c r="C422" i="3" s="1"/>
  <c r="B423" i="3"/>
  <c r="C423" i="3" s="1"/>
  <c r="B424" i="3"/>
  <c r="C424" i="3" s="1"/>
  <c r="B425" i="3"/>
  <c r="C425" i="3" s="1"/>
  <c r="B426" i="3"/>
  <c r="C426" i="3" s="1"/>
  <c r="B427" i="3"/>
  <c r="C427" i="3" s="1"/>
  <c r="B428" i="3"/>
  <c r="C428" i="3" s="1"/>
  <c r="B429" i="3"/>
  <c r="C429" i="3" s="1"/>
  <c r="B430" i="3"/>
  <c r="C430" i="3" s="1"/>
  <c r="B431" i="3"/>
  <c r="C431" i="3" s="1"/>
  <c r="B432" i="3"/>
  <c r="C432" i="3" s="1"/>
  <c r="B433" i="3"/>
  <c r="C433" i="3" s="1"/>
  <c r="B434" i="3"/>
  <c r="C434" i="3" s="1"/>
  <c r="B435" i="3"/>
  <c r="C435" i="3" s="1"/>
  <c r="B436" i="3"/>
  <c r="C436" i="3" s="1"/>
  <c r="B437" i="3"/>
  <c r="C437" i="3" s="1"/>
  <c r="B438" i="3"/>
  <c r="C438" i="3" s="1"/>
  <c r="B439" i="3"/>
  <c r="C439" i="3" s="1"/>
  <c r="B440" i="3"/>
  <c r="C440" i="3" s="1"/>
  <c r="B441" i="3"/>
  <c r="C441" i="3" s="1"/>
  <c r="B442" i="3"/>
  <c r="C442" i="3" s="1"/>
  <c r="B443" i="3"/>
  <c r="C443" i="3" s="1"/>
  <c r="B444" i="3"/>
  <c r="C444" i="3" s="1"/>
  <c r="B445" i="3"/>
  <c r="C445" i="3" s="1"/>
  <c r="B446" i="3"/>
  <c r="C446" i="3" s="1"/>
  <c r="B447" i="3"/>
  <c r="C447" i="3" s="1"/>
  <c r="B448" i="3"/>
  <c r="C448" i="3" s="1"/>
  <c r="B449" i="3"/>
  <c r="C449" i="3" s="1"/>
  <c r="B450" i="3"/>
  <c r="C450" i="3" s="1"/>
  <c r="B451" i="3"/>
  <c r="C451" i="3" s="1"/>
  <c r="B452" i="3"/>
  <c r="C452" i="3" s="1"/>
  <c r="B453" i="3"/>
  <c r="C453" i="3" s="1"/>
  <c r="B454" i="3"/>
  <c r="C454" i="3" s="1"/>
  <c r="B455" i="3"/>
  <c r="C455" i="3" s="1"/>
  <c r="B456" i="3"/>
  <c r="C456" i="3" s="1"/>
  <c r="B457" i="3"/>
  <c r="C457" i="3" s="1"/>
  <c r="B458" i="3"/>
  <c r="C458" i="3" s="1"/>
  <c r="B459" i="3"/>
  <c r="C459" i="3" s="1"/>
  <c r="B460" i="3"/>
  <c r="C460" i="3" s="1"/>
  <c r="B461" i="3"/>
  <c r="C461" i="3" s="1"/>
  <c r="B462" i="3"/>
  <c r="C462" i="3" s="1"/>
  <c r="B463" i="3"/>
  <c r="C463" i="3" s="1"/>
  <c r="B464" i="3"/>
  <c r="C464" i="3" s="1"/>
  <c r="B465" i="3"/>
  <c r="C465" i="3" s="1"/>
  <c r="B466" i="3"/>
  <c r="C466" i="3" s="1"/>
  <c r="B467" i="3"/>
  <c r="C467" i="3" s="1"/>
  <c r="B468" i="3"/>
  <c r="C468" i="3" s="1"/>
  <c r="B469" i="3"/>
  <c r="C469" i="3" s="1"/>
  <c r="B470" i="3"/>
  <c r="C470" i="3" s="1"/>
  <c r="B471" i="3"/>
  <c r="C471" i="3" s="1"/>
  <c r="B472" i="3"/>
  <c r="C472" i="3" s="1"/>
  <c r="B473" i="3"/>
  <c r="C473" i="3" s="1"/>
  <c r="B474" i="3"/>
  <c r="C474" i="3" s="1"/>
  <c r="B475" i="3"/>
  <c r="C475" i="3" s="1"/>
  <c r="B476" i="3"/>
  <c r="C476" i="3" s="1"/>
  <c r="B477" i="3"/>
  <c r="C477" i="3" s="1"/>
  <c r="B478" i="3"/>
  <c r="C478" i="3" s="1"/>
  <c r="B479" i="3"/>
  <c r="C479" i="3" s="1"/>
  <c r="B480" i="3"/>
  <c r="C480" i="3" s="1"/>
  <c r="B481" i="3"/>
  <c r="C481" i="3" s="1"/>
  <c r="B482" i="3"/>
  <c r="C482" i="3" s="1"/>
  <c r="B483" i="3"/>
  <c r="C483" i="3" s="1"/>
  <c r="B484" i="3"/>
  <c r="C484" i="3" s="1"/>
  <c r="B485" i="3"/>
  <c r="C485" i="3" s="1"/>
  <c r="B486" i="3"/>
  <c r="C486" i="3" s="1"/>
  <c r="B487" i="3"/>
  <c r="C487" i="3" s="1"/>
  <c r="B488" i="3"/>
  <c r="C488" i="3" s="1"/>
  <c r="B489" i="3"/>
  <c r="C489" i="3" s="1"/>
  <c r="B490" i="3"/>
  <c r="C490" i="3" s="1"/>
  <c r="B491" i="3"/>
  <c r="C491" i="3" s="1"/>
  <c r="B492" i="3"/>
  <c r="C492" i="3" s="1"/>
  <c r="B493" i="3"/>
  <c r="C493" i="3" s="1"/>
  <c r="B494" i="3"/>
  <c r="C494" i="3" s="1"/>
  <c r="B495" i="3"/>
  <c r="C495" i="3" s="1"/>
  <c r="B496" i="3"/>
  <c r="C496" i="3" s="1"/>
  <c r="B497" i="3"/>
  <c r="C497" i="3" s="1"/>
  <c r="B498" i="3"/>
  <c r="C498" i="3" s="1"/>
  <c r="B499" i="3"/>
  <c r="C499" i="3" s="1"/>
  <c r="B500" i="3"/>
  <c r="C500" i="3" s="1"/>
  <c r="B501" i="3"/>
  <c r="C501" i="3" s="1"/>
  <c r="B502" i="3"/>
  <c r="C502" i="3" s="1"/>
  <c r="B503" i="3"/>
  <c r="C503" i="3" s="1"/>
  <c r="B504" i="3"/>
  <c r="C504" i="3" s="1"/>
  <c r="B505" i="3"/>
  <c r="C505" i="3" s="1"/>
  <c r="B506" i="3"/>
  <c r="C506" i="3" s="1"/>
  <c r="B507" i="3"/>
  <c r="C507" i="3" s="1"/>
  <c r="B508" i="3"/>
  <c r="C508" i="3" s="1"/>
  <c r="B509" i="3"/>
  <c r="C509" i="3" s="1"/>
  <c r="B510" i="3"/>
  <c r="C510" i="3" s="1"/>
  <c r="B511" i="3"/>
  <c r="C511" i="3" s="1"/>
  <c r="B512" i="3"/>
  <c r="C512" i="3" s="1"/>
  <c r="B513" i="3"/>
  <c r="C513" i="3" s="1"/>
  <c r="B514" i="3"/>
  <c r="C514" i="3" s="1"/>
  <c r="B515" i="3"/>
  <c r="C515" i="3" s="1"/>
  <c r="B516" i="3"/>
  <c r="C516" i="3" s="1"/>
  <c r="B517" i="3"/>
  <c r="C517" i="3" s="1"/>
  <c r="B518" i="3"/>
  <c r="C518" i="3" s="1"/>
  <c r="B519" i="3"/>
  <c r="C519" i="3" s="1"/>
  <c r="B520" i="3"/>
  <c r="C520" i="3" s="1"/>
  <c r="B521" i="3"/>
  <c r="C521" i="3" s="1"/>
  <c r="B522" i="3"/>
  <c r="C522" i="3" s="1"/>
  <c r="B523" i="3"/>
  <c r="C523" i="3" s="1"/>
  <c r="B524" i="3"/>
  <c r="C524" i="3" s="1"/>
  <c r="B525" i="3"/>
  <c r="C525" i="3" s="1"/>
  <c r="B526" i="3"/>
  <c r="C526" i="3" s="1"/>
  <c r="B527" i="3"/>
  <c r="C527" i="3" s="1"/>
  <c r="B528" i="3"/>
  <c r="C528" i="3" s="1"/>
  <c r="B529" i="3"/>
  <c r="C529" i="3" s="1"/>
  <c r="B530" i="3"/>
  <c r="C530" i="3" s="1"/>
  <c r="B531" i="3"/>
  <c r="C531" i="3" s="1"/>
  <c r="B532" i="3"/>
  <c r="C532" i="3" s="1"/>
  <c r="B533" i="3"/>
  <c r="C533" i="3" s="1"/>
  <c r="B534" i="3"/>
  <c r="C534" i="3" s="1"/>
  <c r="B535" i="3"/>
  <c r="C535" i="3" s="1"/>
  <c r="B536" i="3"/>
  <c r="C536" i="3" s="1"/>
  <c r="B537" i="3"/>
  <c r="C537" i="3" s="1"/>
  <c r="B538" i="3"/>
  <c r="C538" i="3" s="1"/>
  <c r="B539" i="3"/>
  <c r="C539" i="3" s="1"/>
  <c r="B540" i="3"/>
  <c r="C540" i="3" s="1"/>
  <c r="B541" i="3"/>
  <c r="C541" i="3" s="1"/>
  <c r="B542" i="3"/>
  <c r="C542" i="3" s="1"/>
  <c r="B543" i="3"/>
  <c r="C543" i="3" s="1"/>
  <c r="B544" i="3"/>
  <c r="C544" i="3" s="1"/>
  <c r="B545" i="3"/>
  <c r="C545" i="3" s="1"/>
  <c r="B546" i="3"/>
  <c r="C546" i="3" s="1"/>
  <c r="B547" i="3"/>
  <c r="C547" i="3" s="1"/>
  <c r="B548" i="3"/>
  <c r="C548" i="3" s="1"/>
  <c r="B549" i="3"/>
  <c r="C549" i="3" s="1"/>
  <c r="B550" i="3"/>
  <c r="C550" i="3" s="1"/>
  <c r="B551" i="3"/>
  <c r="C551" i="3" s="1"/>
  <c r="B552" i="3"/>
  <c r="C552" i="3" s="1"/>
  <c r="B553" i="3"/>
  <c r="C553" i="3" s="1"/>
  <c r="B554" i="3"/>
  <c r="C554" i="3" s="1"/>
  <c r="B555" i="3"/>
  <c r="C555" i="3" s="1"/>
  <c r="B556" i="3"/>
  <c r="C556" i="3" s="1"/>
  <c r="B557" i="3"/>
  <c r="C557" i="3" s="1"/>
  <c r="B558" i="3"/>
  <c r="C558" i="3" s="1"/>
  <c r="B559" i="3"/>
  <c r="C559" i="3" s="1"/>
  <c r="B560" i="3"/>
  <c r="C560" i="3" s="1"/>
  <c r="B561" i="3"/>
  <c r="C561" i="3" s="1"/>
  <c r="B562" i="3"/>
  <c r="C562" i="3" s="1"/>
  <c r="B563" i="3"/>
  <c r="C563" i="3" s="1"/>
  <c r="B564" i="3"/>
  <c r="C564" i="3" s="1"/>
  <c r="B565" i="3"/>
  <c r="C565" i="3" s="1"/>
  <c r="B566" i="3"/>
  <c r="C566" i="3" s="1"/>
  <c r="B567" i="3"/>
  <c r="C567" i="3" s="1"/>
  <c r="B568" i="3"/>
  <c r="C568" i="3" s="1"/>
  <c r="B569" i="3"/>
  <c r="C569" i="3" s="1"/>
  <c r="B570" i="3"/>
  <c r="C570" i="3" s="1"/>
  <c r="B571" i="3"/>
  <c r="C571" i="3" s="1"/>
  <c r="B572" i="3"/>
  <c r="C572" i="3" s="1"/>
  <c r="B573" i="3"/>
  <c r="C573" i="3" s="1"/>
  <c r="B574" i="3"/>
  <c r="C574" i="3" s="1"/>
  <c r="B575" i="3"/>
  <c r="C575" i="3" s="1"/>
  <c r="B576" i="3"/>
  <c r="C576" i="3" s="1"/>
  <c r="B577" i="3"/>
  <c r="C577" i="3" s="1"/>
  <c r="B578" i="3"/>
  <c r="C578" i="3" s="1"/>
  <c r="B579" i="3"/>
  <c r="C579" i="3" s="1"/>
  <c r="B580" i="3"/>
  <c r="C580" i="3" s="1"/>
  <c r="B581" i="3"/>
  <c r="C581" i="3" s="1"/>
  <c r="B582" i="3"/>
  <c r="C582" i="3" s="1"/>
  <c r="B583" i="3"/>
  <c r="C583" i="3" s="1"/>
  <c r="B584" i="3"/>
  <c r="C584" i="3" s="1"/>
  <c r="B585" i="3"/>
  <c r="C585" i="3" s="1"/>
  <c r="B586" i="3"/>
  <c r="C586" i="3" s="1"/>
  <c r="B587" i="3"/>
  <c r="C587" i="3" s="1"/>
  <c r="B588" i="3"/>
  <c r="C588" i="3" s="1"/>
  <c r="B589" i="3"/>
  <c r="C589" i="3" s="1"/>
  <c r="B590" i="3"/>
  <c r="C590" i="3" s="1"/>
  <c r="B591" i="3"/>
  <c r="C591" i="3" s="1"/>
  <c r="B592" i="3"/>
  <c r="C592" i="3" s="1"/>
  <c r="B593" i="3"/>
  <c r="C593" i="3" s="1"/>
  <c r="B594" i="3"/>
  <c r="C594" i="3" s="1"/>
  <c r="B595" i="3"/>
  <c r="C595" i="3" s="1"/>
  <c r="B596" i="3"/>
  <c r="C596" i="3" s="1"/>
  <c r="B597" i="3"/>
  <c r="C597" i="3" s="1"/>
  <c r="B598" i="3"/>
  <c r="C598" i="3" s="1"/>
  <c r="B599" i="3"/>
  <c r="C599" i="3" s="1"/>
  <c r="B600" i="3"/>
  <c r="C600" i="3" s="1"/>
  <c r="B601" i="3"/>
  <c r="C601" i="3" s="1"/>
  <c r="B602" i="3"/>
  <c r="C602" i="3" s="1"/>
  <c r="B603" i="3"/>
  <c r="C603" i="3" s="1"/>
  <c r="B604" i="3"/>
  <c r="C604" i="3" s="1"/>
  <c r="B605" i="3"/>
  <c r="C605" i="3" s="1"/>
  <c r="B606" i="3"/>
  <c r="C606" i="3" s="1"/>
  <c r="B607" i="3"/>
  <c r="C607" i="3" s="1"/>
  <c r="B608" i="3"/>
  <c r="C608" i="3" s="1"/>
  <c r="B609" i="3"/>
  <c r="C609" i="3" s="1"/>
  <c r="B610" i="3"/>
  <c r="C610" i="3" s="1"/>
  <c r="B611" i="3"/>
  <c r="C611" i="3" s="1"/>
  <c r="B612" i="3"/>
  <c r="C612" i="3" s="1"/>
  <c r="B613" i="3"/>
  <c r="C613" i="3" s="1"/>
  <c r="B614" i="3"/>
  <c r="C614" i="3" s="1"/>
  <c r="B615" i="3"/>
  <c r="C615" i="3" s="1"/>
  <c r="B616" i="3"/>
  <c r="C616" i="3" s="1"/>
  <c r="B617" i="3"/>
  <c r="C617" i="3" s="1"/>
  <c r="B618" i="3"/>
  <c r="C618" i="3" s="1"/>
  <c r="B619" i="3"/>
  <c r="C619" i="3" s="1"/>
  <c r="B620" i="3"/>
  <c r="C620" i="3" s="1"/>
  <c r="B621" i="3"/>
  <c r="C621" i="3" s="1"/>
  <c r="B622" i="3"/>
  <c r="C622" i="3" s="1"/>
  <c r="B623" i="3"/>
  <c r="C623" i="3" s="1"/>
  <c r="B624" i="3"/>
  <c r="C624" i="3" s="1"/>
  <c r="B625" i="3"/>
  <c r="C625" i="3" s="1"/>
  <c r="B626" i="3"/>
  <c r="C626" i="3" s="1"/>
  <c r="B627" i="3"/>
  <c r="C627" i="3" s="1"/>
  <c r="B628" i="3"/>
  <c r="C628" i="3" s="1"/>
  <c r="B629" i="3"/>
  <c r="C629" i="3" s="1"/>
  <c r="B630" i="3"/>
  <c r="C630" i="3" s="1"/>
  <c r="B631" i="3"/>
  <c r="C631" i="3" s="1"/>
  <c r="B632" i="3"/>
  <c r="C632" i="3" s="1"/>
  <c r="B633" i="3"/>
  <c r="C633" i="3" s="1"/>
  <c r="B634" i="3"/>
  <c r="C634" i="3" s="1"/>
  <c r="B635" i="3"/>
  <c r="C635" i="3" s="1"/>
  <c r="B636" i="3"/>
  <c r="C636" i="3" s="1"/>
  <c r="B637" i="3"/>
  <c r="C637" i="3" s="1"/>
  <c r="B638" i="3"/>
  <c r="C638" i="3" s="1"/>
  <c r="B639" i="3"/>
  <c r="C639" i="3" s="1"/>
  <c r="B640" i="3"/>
  <c r="C640" i="3" s="1"/>
  <c r="B641" i="3"/>
  <c r="C641" i="3" s="1"/>
  <c r="B642" i="3"/>
  <c r="C642" i="3" s="1"/>
  <c r="B643" i="3"/>
  <c r="C643" i="3" s="1"/>
  <c r="B644" i="3"/>
  <c r="C644" i="3" s="1"/>
  <c r="B645" i="3"/>
  <c r="C645" i="3" s="1"/>
  <c r="B646" i="3"/>
  <c r="C646" i="3" s="1"/>
  <c r="B647" i="3"/>
  <c r="C647" i="3" s="1"/>
  <c r="B648" i="3"/>
  <c r="C648" i="3" s="1"/>
  <c r="B649" i="3"/>
  <c r="C649" i="3" s="1"/>
  <c r="B650" i="3"/>
  <c r="C650" i="3" s="1"/>
  <c r="B651" i="3"/>
  <c r="C651" i="3" s="1"/>
  <c r="B652" i="3"/>
  <c r="C652" i="3" s="1"/>
  <c r="B653" i="3"/>
  <c r="C653" i="3" s="1"/>
  <c r="B654" i="3"/>
  <c r="C654" i="3" s="1"/>
  <c r="B655" i="3"/>
  <c r="C655" i="3" s="1"/>
  <c r="B656" i="3"/>
  <c r="C656" i="3" s="1"/>
  <c r="B657" i="3"/>
  <c r="C657" i="3" s="1"/>
  <c r="B658" i="3"/>
  <c r="C658" i="3" s="1"/>
  <c r="B659" i="3"/>
  <c r="C659" i="3" s="1"/>
  <c r="B660" i="3"/>
  <c r="C660" i="3" s="1"/>
  <c r="B661" i="3"/>
  <c r="C661" i="3" s="1"/>
  <c r="B662" i="3"/>
  <c r="C662" i="3" s="1"/>
  <c r="B663" i="3"/>
  <c r="C663" i="3" s="1"/>
  <c r="B664" i="3"/>
  <c r="C664" i="3" s="1"/>
  <c r="B665" i="3"/>
  <c r="C665" i="3" s="1"/>
  <c r="B666" i="3"/>
  <c r="C666" i="3" s="1"/>
  <c r="B667" i="3"/>
  <c r="C667" i="3" s="1"/>
  <c r="B668" i="3"/>
  <c r="C668" i="3" s="1"/>
  <c r="B669" i="3"/>
  <c r="C669" i="3" s="1"/>
  <c r="B670" i="3"/>
  <c r="C670" i="3" s="1"/>
  <c r="B671" i="3"/>
  <c r="C671" i="3" s="1"/>
  <c r="B672" i="3"/>
  <c r="C672" i="3" s="1"/>
  <c r="B673" i="3"/>
  <c r="C673" i="3" s="1"/>
  <c r="B674" i="3"/>
  <c r="C674" i="3" s="1"/>
  <c r="B675" i="3"/>
  <c r="C675" i="3" s="1"/>
  <c r="B676" i="3"/>
  <c r="C676" i="3" s="1"/>
  <c r="B677" i="3"/>
  <c r="C677" i="3" s="1"/>
  <c r="B678" i="3"/>
  <c r="C678" i="3" s="1"/>
  <c r="B679" i="3"/>
  <c r="C679" i="3" s="1"/>
  <c r="B680" i="3"/>
  <c r="C680" i="3" s="1"/>
  <c r="B681" i="3"/>
  <c r="C681" i="3" s="1"/>
  <c r="B682" i="3"/>
  <c r="C682" i="3" s="1"/>
  <c r="B683" i="3"/>
  <c r="C683" i="3" s="1"/>
  <c r="B684" i="3"/>
  <c r="C684" i="3" s="1"/>
  <c r="B685" i="3"/>
  <c r="C685" i="3" s="1"/>
  <c r="B686" i="3"/>
  <c r="C686" i="3" s="1"/>
  <c r="B687" i="3"/>
  <c r="C687" i="3" s="1"/>
  <c r="B688" i="3"/>
  <c r="C688" i="3" s="1"/>
  <c r="B689" i="3"/>
  <c r="C689" i="3" s="1"/>
  <c r="B690" i="3"/>
  <c r="C690" i="3" s="1"/>
  <c r="B691" i="3"/>
  <c r="C691" i="3" s="1"/>
  <c r="B692" i="3"/>
  <c r="C692" i="3" s="1"/>
  <c r="B693" i="3"/>
  <c r="C693" i="3" s="1"/>
  <c r="B694" i="3"/>
  <c r="C694" i="3" s="1"/>
  <c r="B695" i="3"/>
  <c r="C695" i="3" s="1"/>
  <c r="B696" i="3"/>
  <c r="C696" i="3" s="1"/>
  <c r="B697" i="3"/>
  <c r="C697" i="3" s="1"/>
  <c r="B698" i="3"/>
  <c r="C698" i="3" s="1"/>
  <c r="B699" i="3"/>
  <c r="C699" i="3" s="1"/>
  <c r="B700" i="3"/>
  <c r="C700" i="3" s="1"/>
  <c r="B701" i="3"/>
  <c r="C701" i="3" s="1"/>
  <c r="B702" i="3"/>
  <c r="C702" i="3" s="1"/>
  <c r="B703" i="3"/>
  <c r="C703" i="3" s="1"/>
  <c r="B704" i="3"/>
  <c r="C704" i="3" s="1"/>
  <c r="B705" i="3"/>
  <c r="C705" i="3" s="1"/>
  <c r="B706" i="3"/>
  <c r="C706" i="3" s="1"/>
  <c r="B707" i="3"/>
  <c r="C707" i="3" s="1"/>
  <c r="B708" i="3"/>
  <c r="C708" i="3" s="1"/>
  <c r="B709" i="3"/>
  <c r="C709" i="3" s="1"/>
  <c r="B710" i="3"/>
  <c r="C710" i="3" s="1"/>
  <c r="B711" i="3"/>
  <c r="C711" i="3" s="1"/>
  <c r="B712" i="3"/>
  <c r="C712" i="3" s="1"/>
  <c r="B713" i="3"/>
  <c r="C713" i="3" s="1"/>
  <c r="B714" i="3"/>
  <c r="C714" i="3" s="1"/>
  <c r="B715" i="3"/>
  <c r="C715" i="3" s="1"/>
  <c r="B716" i="3"/>
  <c r="C716" i="3" s="1"/>
  <c r="B717" i="3"/>
  <c r="C717" i="3" s="1"/>
  <c r="B718" i="3"/>
  <c r="C718" i="3" s="1"/>
  <c r="B719" i="3"/>
  <c r="C719" i="3" s="1"/>
  <c r="B720" i="3"/>
  <c r="C720" i="3" s="1"/>
  <c r="B721" i="3"/>
  <c r="C721" i="3" s="1"/>
  <c r="B722" i="3"/>
  <c r="C722" i="3" s="1"/>
  <c r="B723" i="3"/>
  <c r="C723" i="3" s="1"/>
  <c r="B724" i="3"/>
  <c r="C724" i="3" s="1"/>
  <c r="B725" i="3"/>
  <c r="C725" i="3" s="1"/>
  <c r="B726" i="3"/>
  <c r="C726" i="3" s="1"/>
  <c r="B727" i="3"/>
  <c r="C727" i="3" s="1"/>
  <c r="B728" i="3"/>
  <c r="C728" i="3" s="1"/>
  <c r="B729" i="3"/>
  <c r="C729" i="3" s="1"/>
  <c r="B730" i="3"/>
  <c r="C730" i="3" s="1"/>
  <c r="B731" i="3"/>
  <c r="C731" i="3" s="1"/>
  <c r="B732" i="3"/>
  <c r="C732" i="3" s="1"/>
  <c r="B733" i="3"/>
  <c r="C733" i="3" s="1"/>
  <c r="B734" i="3"/>
  <c r="C734" i="3" s="1"/>
  <c r="B735" i="3"/>
  <c r="C735" i="3" s="1"/>
  <c r="B736" i="3"/>
  <c r="C736" i="3" s="1"/>
  <c r="B737" i="3"/>
  <c r="C737" i="3" s="1"/>
  <c r="B738" i="3"/>
  <c r="C738" i="3" s="1"/>
  <c r="B739" i="3"/>
  <c r="C739" i="3" s="1"/>
  <c r="B740" i="3"/>
  <c r="C740" i="3" s="1"/>
  <c r="B741" i="3"/>
  <c r="C741" i="3" s="1"/>
  <c r="B742" i="3"/>
  <c r="C742" i="3" s="1"/>
  <c r="B743" i="3"/>
  <c r="C743" i="3" s="1"/>
  <c r="B744" i="3"/>
  <c r="C744" i="3" s="1"/>
  <c r="B745" i="3"/>
  <c r="C745" i="3" s="1"/>
  <c r="B746" i="3"/>
  <c r="C746" i="3" s="1"/>
  <c r="B747" i="3"/>
  <c r="C747" i="3" s="1"/>
  <c r="B748" i="3"/>
  <c r="C748" i="3" s="1"/>
  <c r="B749" i="3"/>
  <c r="C749" i="3" s="1"/>
  <c r="B750" i="3"/>
  <c r="C750" i="3" s="1"/>
  <c r="B751" i="3"/>
  <c r="C751" i="3" s="1"/>
  <c r="B752" i="3"/>
  <c r="C752" i="3" s="1"/>
  <c r="B753" i="3"/>
  <c r="C753" i="3" s="1"/>
  <c r="B754" i="3"/>
  <c r="C754" i="3" s="1"/>
  <c r="B755" i="3"/>
  <c r="C755" i="3" s="1"/>
  <c r="B756" i="3"/>
  <c r="C756" i="3" s="1"/>
  <c r="B757" i="3"/>
  <c r="C757" i="3" s="1"/>
  <c r="B758" i="3"/>
  <c r="C758" i="3" s="1"/>
  <c r="B759" i="3"/>
  <c r="C759" i="3" s="1"/>
  <c r="B760" i="3"/>
  <c r="C760" i="3" s="1"/>
  <c r="B761" i="3"/>
  <c r="C761" i="3" s="1"/>
  <c r="B762" i="3"/>
  <c r="C762" i="3" s="1"/>
  <c r="B763" i="3"/>
  <c r="C763" i="3" s="1"/>
  <c r="B764" i="3"/>
  <c r="C764" i="3" s="1"/>
  <c r="B765" i="3"/>
  <c r="C765" i="3" s="1"/>
  <c r="B766" i="3"/>
  <c r="C766" i="3" s="1"/>
  <c r="B767" i="3"/>
  <c r="C767" i="3" s="1"/>
  <c r="B768" i="3"/>
  <c r="C768" i="3" s="1"/>
  <c r="B769" i="3"/>
  <c r="C769" i="3" s="1"/>
  <c r="B770" i="3"/>
  <c r="C770" i="3" s="1"/>
  <c r="B771" i="3"/>
  <c r="C771" i="3" s="1"/>
  <c r="B772" i="3"/>
  <c r="C772" i="3" s="1"/>
  <c r="B773" i="3"/>
  <c r="C773" i="3" s="1"/>
  <c r="B774" i="3"/>
  <c r="C774" i="3" s="1"/>
  <c r="B775" i="3"/>
  <c r="C775" i="3" s="1"/>
  <c r="B776" i="3"/>
  <c r="C776" i="3" s="1"/>
  <c r="B777" i="3"/>
  <c r="C777" i="3" s="1"/>
  <c r="B778" i="3"/>
  <c r="C778" i="3" s="1"/>
  <c r="B779" i="3"/>
  <c r="C779" i="3" s="1"/>
  <c r="B780" i="3"/>
  <c r="C780" i="3" s="1"/>
  <c r="B781" i="3"/>
  <c r="C781" i="3" s="1"/>
  <c r="B782" i="3"/>
  <c r="C782" i="3" s="1"/>
  <c r="B783" i="3"/>
  <c r="C783" i="3" s="1"/>
  <c r="B784" i="3"/>
  <c r="C784" i="3" s="1"/>
  <c r="B785" i="3"/>
  <c r="C785" i="3" s="1"/>
  <c r="B786" i="3"/>
  <c r="C786" i="3" s="1"/>
  <c r="B787" i="3"/>
  <c r="C787" i="3" s="1"/>
  <c r="B788" i="3"/>
  <c r="C788" i="3" s="1"/>
  <c r="B789" i="3"/>
  <c r="C789" i="3" s="1"/>
  <c r="B790" i="3"/>
  <c r="C790" i="3" s="1"/>
  <c r="B791" i="3"/>
  <c r="C791" i="3" s="1"/>
  <c r="B792" i="3"/>
  <c r="C792" i="3" s="1"/>
  <c r="B793" i="3"/>
  <c r="C793" i="3" s="1"/>
  <c r="B794" i="3"/>
  <c r="C794" i="3" s="1"/>
  <c r="B795" i="3"/>
  <c r="C795" i="3" s="1"/>
  <c r="B796" i="3"/>
  <c r="C796" i="3" s="1"/>
  <c r="B797" i="3"/>
  <c r="C797" i="3" s="1"/>
  <c r="B798" i="3"/>
  <c r="C798" i="3" s="1"/>
  <c r="B799" i="3"/>
  <c r="C799" i="3" s="1"/>
  <c r="B800" i="3"/>
  <c r="C800" i="3" s="1"/>
  <c r="B801" i="3"/>
  <c r="C801" i="3" s="1"/>
  <c r="B802" i="3"/>
  <c r="C802" i="3" s="1"/>
  <c r="B803" i="3"/>
  <c r="C803" i="3" s="1"/>
  <c r="B804" i="3"/>
  <c r="C804" i="3" s="1"/>
  <c r="B805" i="3"/>
  <c r="C805" i="3" s="1"/>
  <c r="B806" i="3"/>
  <c r="C806" i="3" s="1"/>
  <c r="B807" i="3"/>
  <c r="C807" i="3" s="1"/>
  <c r="B808" i="3"/>
  <c r="C808" i="3" s="1"/>
  <c r="B809" i="3"/>
  <c r="C809" i="3" s="1"/>
  <c r="B810" i="3"/>
  <c r="C810" i="3" s="1"/>
  <c r="B811" i="3"/>
  <c r="C811" i="3" s="1"/>
  <c r="B812" i="3"/>
  <c r="C812" i="3" s="1"/>
  <c r="B813" i="3"/>
  <c r="C813" i="3" s="1"/>
  <c r="B814" i="3"/>
  <c r="C814" i="3" s="1"/>
  <c r="B815" i="3"/>
  <c r="C815" i="3" s="1"/>
  <c r="B816" i="3"/>
  <c r="C816" i="3" s="1"/>
  <c r="B817" i="3"/>
  <c r="C817" i="3" s="1"/>
  <c r="B818" i="3"/>
  <c r="C818" i="3" s="1"/>
  <c r="B819" i="3"/>
  <c r="C819" i="3" s="1"/>
  <c r="B820" i="3"/>
  <c r="C820" i="3" s="1"/>
  <c r="B821" i="3"/>
  <c r="C821" i="3" s="1"/>
  <c r="B822" i="3"/>
  <c r="C822" i="3" s="1"/>
  <c r="B823" i="3"/>
  <c r="C823" i="3" s="1"/>
  <c r="B824" i="3"/>
  <c r="C824" i="3" s="1"/>
  <c r="B825" i="3"/>
  <c r="C825" i="3" s="1"/>
  <c r="B826" i="3"/>
  <c r="C826" i="3" s="1"/>
  <c r="B827" i="3"/>
  <c r="C827" i="3" s="1"/>
  <c r="B828" i="3"/>
  <c r="C828" i="3" s="1"/>
  <c r="B829" i="3"/>
  <c r="C829" i="3" s="1"/>
  <c r="B830" i="3"/>
  <c r="C830" i="3" s="1"/>
  <c r="B831" i="3"/>
  <c r="C831" i="3" s="1"/>
  <c r="B832" i="3"/>
  <c r="C832" i="3" s="1"/>
  <c r="B833" i="3"/>
  <c r="C833" i="3" s="1"/>
  <c r="B834" i="3"/>
  <c r="C834" i="3" s="1"/>
  <c r="B835" i="3"/>
  <c r="C835" i="3" s="1"/>
  <c r="B836" i="3"/>
  <c r="C836" i="3" s="1"/>
  <c r="B837" i="3"/>
  <c r="C837" i="3" s="1"/>
  <c r="B838" i="3"/>
  <c r="C838" i="3" s="1"/>
  <c r="B839" i="3"/>
  <c r="C839" i="3" s="1"/>
  <c r="B840" i="3"/>
  <c r="C840" i="3" s="1"/>
  <c r="B841" i="3"/>
  <c r="C841" i="3" s="1"/>
  <c r="B842" i="3"/>
  <c r="C842" i="3" s="1"/>
  <c r="B843" i="3"/>
  <c r="C843" i="3" s="1"/>
  <c r="B844" i="3"/>
  <c r="C844" i="3" s="1"/>
  <c r="B845" i="3"/>
  <c r="C845" i="3" s="1"/>
  <c r="B846" i="3"/>
  <c r="C846" i="3" s="1"/>
  <c r="B847" i="3"/>
  <c r="C847" i="3" s="1"/>
  <c r="B848" i="3"/>
  <c r="C848" i="3" s="1"/>
  <c r="B849" i="3"/>
  <c r="C849" i="3" s="1"/>
  <c r="B850" i="3"/>
  <c r="C850" i="3" s="1"/>
  <c r="B851" i="3"/>
  <c r="C851" i="3" s="1"/>
  <c r="B852" i="3"/>
  <c r="C852" i="3" s="1"/>
  <c r="B853" i="3"/>
  <c r="C853" i="3" s="1"/>
  <c r="B854" i="3"/>
  <c r="C854" i="3" s="1"/>
  <c r="B855" i="3"/>
  <c r="C855" i="3" s="1"/>
  <c r="B856" i="3"/>
  <c r="C856" i="3" s="1"/>
  <c r="B857" i="3"/>
  <c r="C857" i="3" s="1"/>
  <c r="B858" i="3"/>
  <c r="C858" i="3" s="1"/>
  <c r="B859" i="3"/>
  <c r="C859" i="3" s="1"/>
  <c r="B860" i="3"/>
  <c r="C860" i="3" s="1"/>
  <c r="B861" i="3"/>
  <c r="C861" i="3" s="1"/>
  <c r="B862" i="3"/>
  <c r="C862" i="3" s="1"/>
  <c r="B863" i="3"/>
  <c r="C863" i="3" s="1"/>
  <c r="B864" i="3"/>
  <c r="C864" i="3" s="1"/>
  <c r="B865" i="3"/>
  <c r="C865" i="3" s="1"/>
  <c r="B866" i="3"/>
  <c r="C866" i="3" s="1"/>
  <c r="B867" i="3"/>
  <c r="C867" i="3" s="1"/>
  <c r="B868" i="3"/>
  <c r="C868" i="3" s="1"/>
  <c r="B869" i="3"/>
  <c r="C869" i="3" s="1"/>
  <c r="B870" i="3"/>
  <c r="C870" i="3" s="1"/>
  <c r="B871" i="3"/>
  <c r="C871" i="3" s="1"/>
  <c r="B872" i="3"/>
  <c r="C872" i="3" s="1"/>
  <c r="B873" i="3"/>
  <c r="C873" i="3" s="1"/>
  <c r="B874" i="3"/>
  <c r="C874" i="3" s="1"/>
  <c r="B875" i="3"/>
  <c r="C875" i="3" s="1"/>
  <c r="B876" i="3"/>
  <c r="C876" i="3" s="1"/>
  <c r="B877" i="3"/>
  <c r="C877" i="3" s="1"/>
  <c r="B878" i="3"/>
  <c r="C878" i="3" s="1"/>
  <c r="B879" i="3"/>
  <c r="C879" i="3" s="1"/>
  <c r="B880" i="3"/>
  <c r="C880" i="3" s="1"/>
  <c r="B881" i="3"/>
  <c r="C881" i="3" s="1"/>
  <c r="B882" i="3"/>
  <c r="C882" i="3" s="1"/>
  <c r="B883" i="3"/>
  <c r="C883" i="3" s="1"/>
  <c r="B884" i="3"/>
  <c r="C884" i="3" s="1"/>
  <c r="B885" i="3"/>
  <c r="C885" i="3" s="1"/>
  <c r="B886" i="3"/>
  <c r="C886" i="3" s="1"/>
  <c r="B887" i="3"/>
  <c r="C887" i="3" s="1"/>
  <c r="B888" i="3"/>
  <c r="C888" i="3" s="1"/>
  <c r="B889" i="3"/>
  <c r="C889" i="3" s="1"/>
  <c r="B890" i="3"/>
  <c r="C890" i="3" s="1"/>
  <c r="B891" i="3"/>
  <c r="C891" i="3" s="1"/>
  <c r="B892" i="3"/>
  <c r="C892" i="3" s="1"/>
  <c r="B893" i="3"/>
  <c r="C893" i="3" s="1"/>
  <c r="B894" i="3"/>
  <c r="C894" i="3" s="1"/>
  <c r="B895" i="3"/>
  <c r="C895" i="3" s="1"/>
  <c r="B896" i="3"/>
  <c r="C896" i="3" s="1"/>
  <c r="B897" i="3"/>
  <c r="C897" i="3" s="1"/>
  <c r="B898" i="3"/>
  <c r="C898" i="3" s="1"/>
  <c r="B899" i="3"/>
  <c r="C899" i="3" s="1"/>
  <c r="B900" i="3"/>
  <c r="C900" i="3" s="1"/>
  <c r="B901" i="3"/>
  <c r="C901" i="3" s="1"/>
  <c r="B902" i="3"/>
  <c r="C902" i="3" s="1"/>
  <c r="B903" i="3"/>
  <c r="C903" i="3" s="1"/>
  <c r="B904" i="3"/>
  <c r="C904" i="3" s="1"/>
  <c r="B905" i="3"/>
  <c r="C905" i="3" s="1"/>
  <c r="B906" i="3"/>
  <c r="C906" i="3" s="1"/>
  <c r="B907" i="3"/>
  <c r="C907" i="3" s="1"/>
  <c r="B908" i="3"/>
  <c r="C908" i="3" s="1"/>
  <c r="B909" i="3"/>
  <c r="C909" i="3" s="1"/>
  <c r="B910" i="3"/>
  <c r="C910" i="3" s="1"/>
  <c r="B911" i="3"/>
  <c r="C911" i="3" s="1"/>
  <c r="B912" i="3"/>
  <c r="C912" i="3" s="1"/>
  <c r="B913" i="3"/>
  <c r="C913" i="3" s="1"/>
  <c r="B914" i="3"/>
  <c r="C914" i="3" s="1"/>
  <c r="B915" i="3"/>
  <c r="C915" i="3" s="1"/>
  <c r="B916" i="3"/>
  <c r="C916" i="3" s="1"/>
  <c r="B917" i="3"/>
  <c r="C917" i="3" s="1"/>
  <c r="B918" i="3"/>
  <c r="C918" i="3" s="1"/>
  <c r="B919" i="3"/>
  <c r="C919" i="3" s="1"/>
  <c r="B920" i="3"/>
  <c r="C920" i="3" s="1"/>
  <c r="B921" i="3"/>
  <c r="C921" i="3" s="1"/>
  <c r="B922" i="3"/>
  <c r="C922" i="3" s="1"/>
  <c r="B923" i="3"/>
  <c r="C923" i="3" s="1"/>
  <c r="B924" i="3"/>
  <c r="C924" i="3" s="1"/>
  <c r="B925" i="3"/>
  <c r="C925" i="3" s="1"/>
  <c r="B926" i="3"/>
  <c r="C926" i="3" s="1"/>
  <c r="B927" i="3"/>
  <c r="C927" i="3" s="1"/>
  <c r="B928" i="3"/>
  <c r="C928" i="3" s="1"/>
  <c r="B929" i="3"/>
  <c r="C929" i="3" s="1"/>
  <c r="B930" i="3"/>
  <c r="C930" i="3" s="1"/>
  <c r="B931" i="3"/>
  <c r="C931" i="3" s="1"/>
  <c r="B932" i="3"/>
  <c r="C932" i="3" s="1"/>
  <c r="B933" i="3"/>
  <c r="C933" i="3" s="1"/>
  <c r="B934" i="3"/>
  <c r="C934" i="3" s="1"/>
  <c r="B935" i="3"/>
  <c r="C935" i="3" s="1"/>
  <c r="B936" i="3"/>
  <c r="C936" i="3" s="1"/>
  <c r="B937" i="3"/>
  <c r="C937" i="3" s="1"/>
  <c r="B938" i="3"/>
  <c r="C938" i="3" s="1"/>
  <c r="B939" i="3"/>
  <c r="C939" i="3" s="1"/>
  <c r="B940" i="3"/>
  <c r="C940" i="3" s="1"/>
  <c r="B941" i="3"/>
  <c r="C941" i="3" s="1"/>
  <c r="B942" i="3"/>
  <c r="C942" i="3" s="1"/>
  <c r="B943" i="3"/>
  <c r="C943" i="3" s="1"/>
  <c r="B944" i="3"/>
  <c r="C944" i="3" s="1"/>
  <c r="B945" i="3"/>
  <c r="C945" i="3" s="1"/>
  <c r="B946" i="3"/>
  <c r="C946" i="3" s="1"/>
  <c r="B947" i="3"/>
  <c r="C947" i="3" s="1"/>
  <c r="B948" i="3"/>
  <c r="C948" i="3" s="1"/>
  <c r="B949" i="3"/>
  <c r="C949" i="3" s="1"/>
  <c r="B950" i="3"/>
  <c r="C950" i="3" s="1"/>
  <c r="B951" i="3"/>
  <c r="C951" i="3" s="1"/>
  <c r="B952" i="3"/>
  <c r="C952" i="3" s="1"/>
  <c r="B953" i="3"/>
  <c r="C953" i="3" s="1"/>
  <c r="B954" i="3"/>
  <c r="C954" i="3" s="1"/>
  <c r="B955" i="3"/>
  <c r="C955" i="3" s="1"/>
  <c r="B956" i="3"/>
  <c r="C956" i="3" s="1"/>
  <c r="B957" i="3"/>
  <c r="C957" i="3" s="1"/>
  <c r="B958" i="3"/>
  <c r="C958" i="3" s="1"/>
  <c r="B959" i="3"/>
  <c r="C959" i="3" s="1"/>
  <c r="B960" i="3"/>
  <c r="C960" i="3" s="1"/>
  <c r="B961" i="3"/>
  <c r="C961" i="3" s="1"/>
  <c r="B962" i="3"/>
  <c r="C962" i="3" s="1"/>
  <c r="B963" i="3"/>
  <c r="C963" i="3" s="1"/>
  <c r="B964" i="3"/>
  <c r="C964" i="3" s="1"/>
  <c r="B965" i="3"/>
  <c r="C965" i="3" s="1"/>
  <c r="B966" i="3"/>
  <c r="C966" i="3" s="1"/>
  <c r="B967" i="3"/>
  <c r="C967" i="3" s="1"/>
  <c r="B968" i="3"/>
  <c r="C968" i="3" s="1"/>
  <c r="B969" i="3"/>
  <c r="C969" i="3" s="1"/>
  <c r="B970" i="3"/>
  <c r="C970" i="3" s="1"/>
  <c r="B971" i="3"/>
  <c r="C971" i="3" s="1"/>
  <c r="B972" i="3"/>
  <c r="C972" i="3" s="1"/>
  <c r="B973" i="3"/>
  <c r="C973" i="3" s="1"/>
  <c r="B974" i="3"/>
  <c r="C974" i="3" s="1"/>
  <c r="B975" i="3"/>
  <c r="C975" i="3" s="1"/>
  <c r="B976" i="3"/>
  <c r="C976" i="3" s="1"/>
  <c r="B977" i="3"/>
  <c r="C977" i="3" s="1"/>
  <c r="B978" i="3"/>
  <c r="C978" i="3" s="1"/>
  <c r="B979" i="3"/>
  <c r="C979" i="3" s="1"/>
  <c r="B980" i="3"/>
  <c r="C980" i="3" s="1"/>
  <c r="B981" i="3"/>
  <c r="C981" i="3" s="1"/>
  <c r="B982" i="3"/>
  <c r="C982" i="3" s="1"/>
  <c r="B983" i="3"/>
  <c r="C983" i="3" s="1"/>
  <c r="B984" i="3"/>
  <c r="C984" i="3" s="1"/>
  <c r="B985" i="3"/>
  <c r="C985" i="3" s="1"/>
  <c r="B986" i="3"/>
  <c r="C986" i="3" s="1"/>
  <c r="B987" i="3"/>
  <c r="C987" i="3" s="1"/>
  <c r="B988" i="3"/>
  <c r="C988" i="3" s="1"/>
  <c r="B989" i="3"/>
  <c r="C989" i="3" s="1"/>
  <c r="B990" i="3"/>
  <c r="C990" i="3" s="1"/>
  <c r="B991" i="3"/>
  <c r="C991" i="3" s="1"/>
  <c r="B992" i="3"/>
  <c r="C992" i="3" s="1"/>
  <c r="B993" i="3"/>
  <c r="C993" i="3" s="1"/>
  <c r="B994" i="3"/>
  <c r="C994" i="3" s="1"/>
  <c r="B995" i="3"/>
  <c r="C995" i="3" s="1"/>
  <c r="B996" i="3"/>
  <c r="C996" i="3" s="1"/>
  <c r="B997" i="3"/>
  <c r="C997" i="3" s="1"/>
  <c r="B998" i="3"/>
  <c r="C998" i="3" s="1"/>
  <c r="B999" i="3"/>
  <c r="C999" i="3" s="1"/>
  <c r="B1000" i="3"/>
  <c r="C1000" i="3" s="1"/>
  <c r="B1001" i="3"/>
  <c r="C1001" i="3" s="1"/>
  <c r="B1002" i="3"/>
  <c r="C1002" i="3" s="1"/>
  <c r="B1003" i="3"/>
  <c r="C1003" i="3" s="1"/>
  <c r="B1004" i="3"/>
  <c r="C1004" i="3" s="1"/>
  <c r="B1005" i="3"/>
  <c r="C1005" i="3" s="1"/>
  <c r="B1006" i="3"/>
  <c r="C1006" i="3" s="1"/>
  <c r="B1007" i="3"/>
  <c r="C1007" i="3" s="1"/>
  <c r="B1008" i="3"/>
  <c r="C1008" i="3" s="1"/>
  <c r="B1009" i="3"/>
  <c r="C1009" i="3" s="1"/>
  <c r="B1010" i="3"/>
  <c r="C1010" i="3" s="1"/>
  <c r="B1011" i="3"/>
  <c r="C1011" i="3" s="1"/>
  <c r="B1012" i="3"/>
  <c r="C1012" i="3" s="1"/>
  <c r="B1013" i="3"/>
  <c r="C1013" i="3" s="1"/>
  <c r="B1014" i="3"/>
  <c r="C1014" i="3" s="1"/>
  <c r="B1015" i="3"/>
  <c r="C1015" i="3" s="1"/>
  <c r="B16" i="3"/>
  <c r="A17" i="3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G262" i="1" l="1"/>
  <c r="G248" i="1"/>
  <c r="G252" i="1"/>
  <c r="G256" i="1"/>
  <c r="G260" i="1"/>
  <c r="G265" i="1"/>
  <c r="G271" i="1"/>
  <c r="G459" i="1"/>
  <c r="G460" i="1"/>
  <c r="G462" i="1"/>
  <c r="G463" i="1"/>
  <c r="G465" i="1"/>
  <c r="G466" i="1"/>
  <c r="G468" i="1"/>
  <c r="G469" i="1"/>
  <c r="G470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267" i="1"/>
  <c r="G275" i="1"/>
  <c r="G283" i="1"/>
  <c r="G291" i="1"/>
  <c r="G297" i="1"/>
  <c r="G303" i="1"/>
  <c r="G310" i="1"/>
  <c r="G249" i="1"/>
  <c r="G253" i="1"/>
  <c r="G257" i="1"/>
  <c r="G261" i="1"/>
  <c r="G266" i="1"/>
  <c r="G270" i="1"/>
  <c r="G273" i="1"/>
  <c r="G280" i="1"/>
  <c r="G287" i="1"/>
  <c r="G293" i="1"/>
  <c r="G300" i="1"/>
  <c r="G306" i="1"/>
  <c r="G312" i="1"/>
  <c r="G245" i="1"/>
  <c r="G247" i="1"/>
  <c r="G250" i="1"/>
  <c r="G254" i="1"/>
  <c r="G259" i="1"/>
  <c r="G264" i="1"/>
  <c r="G269" i="1"/>
  <c r="G276" i="1"/>
  <c r="G282" i="1"/>
  <c r="G288" i="1"/>
  <c r="G295" i="1"/>
  <c r="G301" i="1"/>
  <c r="G307" i="1"/>
  <c r="G246" i="1"/>
  <c r="G251" i="1"/>
  <c r="G255" i="1"/>
  <c r="G258" i="1"/>
  <c r="G263" i="1"/>
  <c r="G268" i="1"/>
  <c r="G272" i="1"/>
  <c r="G274" i="1"/>
  <c r="G279" i="1"/>
  <c r="G285" i="1"/>
  <c r="G289" i="1"/>
  <c r="G294" i="1"/>
  <c r="G299" i="1"/>
  <c r="G304" i="1"/>
  <c r="G308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C324" i="1"/>
  <c r="M324" i="1" s="1" a="1"/>
  <c r="M324" i="1" s="1"/>
  <c r="C325" i="1"/>
  <c r="M325" i="1" s="1" a="1"/>
  <c r="M325" i="1" s="1"/>
  <c r="C323" i="1"/>
  <c r="M323" i="1" s="1" a="1"/>
  <c r="M323" i="1" s="1"/>
  <c r="C320" i="1"/>
  <c r="M320" i="1" s="1" a="1"/>
  <c r="M320" i="1" s="1"/>
  <c r="C321" i="1"/>
  <c r="M321" i="1" s="1" a="1"/>
  <c r="M321" i="1" s="1"/>
  <c r="C322" i="1"/>
  <c r="M322" i="1" s="1" a="1"/>
  <c r="M322" i="1" s="1"/>
  <c r="C315" i="1"/>
  <c r="M315" i="1" s="1" a="1"/>
  <c r="M315" i="1" s="1"/>
  <c r="C318" i="1"/>
  <c r="M318" i="1" s="1" a="1"/>
  <c r="M318" i="1" s="1"/>
  <c r="C319" i="1"/>
  <c r="M319" i="1" s="1" a="1"/>
  <c r="M319" i="1" s="1"/>
  <c r="C316" i="1"/>
  <c r="M316" i="1" s="1" a="1"/>
  <c r="M316" i="1" s="1"/>
  <c r="C317" i="1"/>
  <c r="M317" i="1" s="1" a="1"/>
  <c r="M317" i="1" s="1"/>
  <c r="C303" i="1"/>
  <c r="M303" i="1" s="1" a="1"/>
  <c r="M303" i="1" s="1"/>
  <c r="C305" i="1"/>
  <c r="M305" i="1" s="1" a="1"/>
  <c r="M305" i="1" s="1"/>
  <c r="C306" i="1"/>
  <c r="M306" i="1" s="1" a="1"/>
  <c r="M306" i="1" s="1"/>
  <c r="C307" i="1"/>
  <c r="M307" i="1" s="1" a="1"/>
  <c r="M307" i="1" s="1"/>
  <c r="C309" i="1"/>
  <c r="M309" i="1" s="1" a="1"/>
  <c r="M309" i="1" s="1"/>
  <c r="C311" i="1"/>
  <c r="M311" i="1" s="1" a="1"/>
  <c r="M311" i="1" s="1"/>
  <c r="C313" i="1"/>
  <c r="M313" i="1" s="1" a="1"/>
  <c r="M313" i="1" s="1"/>
  <c r="C304" i="1"/>
  <c r="M304" i="1" s="1" a="1"/>
  <c r="M304" i="1" s="1"/>
  <c r="C308" i="1"/>
  <c r="M308" i="1" s="1" a="1"/>
  <c r="M308" i="1" s="1"/>
  <c r="C310" i="1"/>
  <c r="M310" i="1" s="1" a="1"/>
  <c r="M310" i="1" s="1"/>
  <c r="C312" i="1"/>
  <c r="M312" i="1" s="1" a="1"/>
  <c r="M312" i="1" s="1"/>
  <c r="C314" i="1"/>
  <c r="M314" i="1" s="1" a="1"/>
  <c r="M314" i="1" s="1"/>
  <c r="C274" i="1"/>
  <c r="M274" i="1" s="1" a="1"/>
  <c r="M274" i="1" s="1"/>
  <c r="C276" i="1"/>
  <c r="M276" i="1" s="1" a="1"/>
  <c r="M276" i="1" s="1"/>
  <c r="C278" i="1"/>
  <c r="M278" i="1" s="1" a="1"/>
  <c r="M278" i="1" s="1"/>
  <c r="C280" i="1"/>
  <c r="M280" i="1" s="1" a="1"/>
  <c r="M280" i="1" s="1"/>
  <c r="C282" i="1"/>
  <c r="M282" i="1" s="1" a="1"/>
  <c r="M282" i="1" s="1"/>
  <c r="C283" i="1"/>
  <c r="M283" i="1" s="1" a="1"/>
  <c r="M283" i="1" s="1"/>
  <c r="C285" i="1"/>
  <c r="M285" i="1" s="1" a="1"/>
  <c r="M285" i="1" s="1"/>
  <c r="C287" i="1"/>
  <c r="M287" i="1" s="1" a="1"/>
  <c r="M287" i="1" s="1"/>
  <c r="C289" i="1"/>
  <c r="M289" i="1" s="1" a="1"/>
  <c r="M289" i="1" s="1"/>
  <c r="C291" i="1"/>
  <c r="M291" i="1" s="1" a="1"/>
  <c r="M291" i="1" s="1"/>
  <c r="C293" i="1"/>
  <c r="M293" i="1" s="1" a="1"/>
  <c r="M293" i="1" s="1"/>
  <c r="C295" i="1"/>
  <c r="M295" i="1" s="1" a="1"/>
  <c r="M295" i="1" s="1"/>
  <c r="C297" i="1"/>
  <c r="M297" i="1" s="1" a="1"/>
  <c r="M297" i="1" s="1"/>
  <c r="C299" i="1"/>
  <c r="M299" i="1" s="1" a="1"/>
  <c r="M299" i="1" s="1"/>
  <c r="C301" i="1"/>
  <c r="M301" i="1" s="1" a="1"/>
  <c r="M301" i="1" s="1"/>
  <c r="C275" i="1"/>
  <c r="M275" i="1" s="1" a="1"/>
  <c r="M275" i="1" s="1"/>
  <c r="C277" i="1"/>
  <c r="M277" i="1" s="1" a="1"/>
  <c r="M277" i="1" s="1"/>
  <c r="C279" i="1"/>
  <c r="M279" i="1" s="1" a="1"/>
  <c r="M279" i="1" s="1"/>
  <c r="C281" i="1"/>
  <c r="M281" i="1" s="1" a="1"/>
  <c r="M281" i="1" s="1"/>
  <c r="C284" i="1"/>
  <c r="M284" i="1" s="1" a="1"/>
  <c r="M284" i="1" s="1"/>
  <c r="C286" i="1"/>
  <c r="M286" i="1" s="1" a="1"/>
  <c r="M286" i="1" s="1"/>
  <c r="C288" i="1"/>
  <c r="M288" i="1" s="1" a="1"/>
  <c r="M288" i="1" s="1"/>
  <c r="C290" i="1"/>
  <c r="M290" i="1" s="1" a="1"/>
  <c r="M290" i="1" s="1"/>
  <c r="C292" i="1"/>
  <c r="M292" i="1" s="1" a="1"/>
  <c r="M292" i="1" s="1"/>
  <c r="C294" i="1"/>
  <c r="M294" i="1" s="1" a="1"/>
  <c r="M294" i="1" s="1"/>
  <c r="C296" i="1"/>
  <c r="M296" i="1" s="1" a="1"/>
  <c r="M296" i="1" s="1"/>
  <c r="C298" i="1"/>
  <c r="M298" i="1" s="1" a="1"/>
  <c r="M298" i="1" s="1"/>
  <c r="C300" i="1"/>
  <c r="M300" i="1" s="1" a="1"/>
  <c r="M300" i="1" s="1"/>
  <c r="C302" i="1"/>
  <c r="M302" i="1" s="1" a="1"/>
  <c r="M302" i="1" s="1"/>
  <c r="G243" i="1"/>
  <c r="G244" i="1"/>
  <c r="C489" i="1"/>
  <c r="M489" i="1" s="1" a="1"/>
  <c r="M489" i="1" s="1"/>
  <c r="G489" i="1"/>
  <c r="C490" i="1"/>
  <c r="M490" i="1" s="1" a="1"/>
  <c r="M490" i="1" s="1"/>
  <c r="G490" i="1"/>
  <c r="C491" i="1"/>
  <c r="M491" i="1" s="1" a="1"/>
  <c r="M491" i="1" s="1"/>
  <c r="G491" i="1"/>
  <c r="C492" i="1"/>
  <c r="M492" i="1" s="1" a="1"/>
  <c r="M492" i="1" s="1"/>
  <c r="G492" i="1"/>
  <c r="C493" i="1"/>
  <c r="M493" i="1" s="1" a="1"/>
  <c r="M493" i="1" s="1"/>
  <c r="G493" i="1"/>
  <c r="C494" i="1"/>
  <c r="M494" i="1" s="1" a="1"/>
  <c r="M494" i="1" s="1"/>
  <c r="G494" i="1"/>
  <c r="C495" i="1"/>
  <c r="M495" i="1" s="1" a="1"/>
  <c r="M495" i="1" s="1"/>
  <c r="G495" i="1"/>
  <c r="C496" i="1"/>
  <c r="M496" i="1" s="1" a="1"/>
  <c r="M496" i="1" s="1"/>
  <c r="G496" i="1"/>
  <c r="C497" i="1"/>
  <c r="M497" i="1" s="1" a="1"/>
  <c r="M497" i="1" s="1"/>
  <c r="G497" i="1"/>
  <c r="C498" i="1"/>
  <c r="M498" i="1" s="1" a="1"/>
  <c r="M498" i="1" s="1"/>
  <c r="G498" i="1"/>
  <c r="C499" i="1"/>
  <c r="M499" i="1" s="1" a="1"/>
  <c r="M499" i="1" s="1"/>
  <c r="G499" i="1"/>
  <c r="C500" i="1"/>
  <c r="M500" i="1" s="1" a="1"/>
  <c r="M500" i="1" s="1"/>
  <c r="G500" i="1"/>
  <c r="C501" i="1"/>
  <c r="M501" i="1" s="1" a="1"/>
  <c r="M501" i="1" s="1"/>
  <c r="G501" i="1"/>
  <c r="C502" i="1"/>
  <c r="M502" i="1" s="1" a="1"/>
  <c r="M502" i="1" s="1"/>
  <c r="G502" i="1"/>
  <c r="C503" i="1"/>
  <c r="M503" i="1" s="1" a="1"/>
  <c r="M503" i="1" s="1"/>
  <c r="G503" i="1"/>
  <c r="C504" i="1"/>
  <c r="M504" i="1" s="1" a="1"/>
  <c r="M504" i="1" s="1"/>
  <c r="G504" i="1"/>
  <c r="C505" i="1"/>
  <c r="M505" i="1" s="1" a="1"/>
  <c r="M505" i="1" s="1"/>
  <c r="G505" i="1"/>
  <c r="C506" i="1"/>
  <c r="M506" i="1" s="1" a="1"/>
  <c r="M506" i="1" s="1"/>
  <c r="G506" i="1"/>
  <c r="C507" i="1"/>
  <c r="M507" i="1" s="1" a="1"/>
  <c r="M507" i="1" s="1"/>
  <c r="G507" i="1"/>
  <c r="C508" i="1"/>
  <c r="M508" i="1" s="1" a="1"/>
  <c r="M508" i="1" s="1"/>
  <c r="G508" i="1"/>
  <c r="C509" i="1"/>
  <c r="M509" i="1" s="1" a="1"/>
  <c r="M509" i="1" s="1"/>
  <c r="G509" i="1"/>
  <c r="G277" i="1"/>
  <c r="G278" i="1"/>
  <c r="G281" i="1"/>
  <c r="G284" i="1"/>
  <c r="G286" i="1"/>
  <c r="G290" i="1"/>
  <c r="G292" i="1"/>
  <c r="G296" i="1"/>
  <c r="G298" i="1"/>
  <c r="G302" i="1"/>
  <c r="G305" i="1"/>
  <c r="G309" i="1"/>
  <c r="G311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461" i="1"/>
  <c r="G464" i="1"/>
  <c r="G467" i="1"/>
  <c r="G471" i="1"/>
  <c r="C243" i="1"/>
  <c r="M243" i="1" s="1" a="1"/>
  <c r="M243" i="1" s="1"/>
  <c r="C244" i="1"/>
  <c r="M244" i="1" s="1" a="1"/>
  <c r="M244" i="1" s="1"/>
  <c r="C245" i="1"/>
  <c r="M245" i="1" s="1" a="1"/>
  <c r="M245" i="1" s="1"/>
  <c r="C246" i="1"/>
  <c r="M246" i="1" s="1" a="1"/>
  <c r="M246" i="1" s="1"/>
  <c r="C247" i="1"/>
  <c r="M247" i="1" s="1" a="1"/>
  <c r="M247" i="1" s="1"/>
  <c r="C248" i="1"/>
  <c r="M248" i="1" s="1" a="1"/>
  <c r="M248" i="1" s="1"/>
  <c r="C249" i="1"/>
  <c r="M249" i="1" s="1" a="1"/>
  <c r="M249" i="1" s="1"/>
  <c r="C250" i="1"/>
  <c r="M250" i="1" s="1" a="1"/>
  <c r="M250" i="1" s="1"/>
  <c r="C251" i="1"/>
  <c r="M251" i="1" s="1" a="1"/>
  <c r="M251" i="1" s="1"/>
  <c r="C252" i="1"/>
  <c r="M252" i="1" s="1" a="1"/>
  <c r="M252" i="1" s="1"/>
  <c r="C253" i="1"/>
  <c r="M253" i="1" s="1" a="1"/>
  <c r="M253" i="1" s="1"/>
  <c r="C254" i="1"/>
  <c r="M254" i="1" s="1" a="1"/>
  <c r="M254" i="1" s="1"/>
  <c r="C255" i="1"/>
  <c r="M255" i="1" s="1" a="1"/>
  <c r="M255" i="1" s="1"/>
  <c r="C256" i="1"/>
  <c r="M256" i="1" s="1" a="1"/>
  <c r="M256" i="1" s="1"/>
  <c r="C257" i="1"/>
  <c r="M257" i="1" s="1" a="1"/>
  <c r="M257" i="1" s="1"/>
  <c r="C258" i="1"/>
  <c r="M258" i="1" s="1" a="1"/>
  <c r="M258" i="1" s="1"/>
  <c r="C259" i="1"/>
  <c r="M259" i="1" s="1" a="1"/>
  <c r="M259" i="1" s="1"/>
  <c r="C260" i="1"/>
  <c r="M260" i="1" s="1" a="1"/>
  <c r="M260" i="1" s="1"/>
  <c r="C261" i="1"/>
  <c r="M261" i="1" s="1" a="1"/>
  <c r="M261" i="1" s="1"/>
  <c r="C262" i="1"/>
  <c r="M262" i="1" s="1" a="1"/>
  <c r="M262" i="1" s="1"/>
  <c r="C263" i="1"/>
  <c r="M263" i="1" s="1" a="1"/>
  <c r="M263" i="1" s="1"/>
  <c r="C264" i="1"/>
  <c r="M264" i="1" s="1" a="1"/>
  <c r="M264" i="1" s="1"/>
  <c r="C265" i="1"/>
  <c r="M265" i="1" s="1" a="1"/>
  <c r="M265" i="1" s="1"/>
  <c r="C266" i="1"/>
  <c r="M266" i="1" s="1" a="1"/>
  <c r="M266" i="1" s="1"/>
  <c r="C267" i="1"/>
  <c r="M267" i="1" s="1" a="1"/>
  <c r="M267" i="1" s="1"/>
  <c r="C268" i="1"/>
  <c r="M268" i="1" s="1" a="1"/>
  <c r="M268" i="1" s="1"/>
  <c r="C269" i="1"/>
  <c r="M269" i="1" s="1" a="1"/>
  <c r="M269" i="1" s="1"/>
  <c r="C270" i="1"/>
  <c r="M270" i="1" s="1" a="1"/>
  <c r="M270" i="1" s="1"/>
  <c r="C271" i="1"/>
  <c r="M271" i="1" s="1" a="1"/>
  <c r="M271" i="1" s="1"/>
  <c r="C272" i="1"/>
  <c r="M272" i="1" s="1" a="1"/>
  <c r="M272" i="1" s="1"/>
  <c r="C273" i="1"/>
  <c r="M273" i="1" s="1" a="1"/>
  <c r="M273" i="1" s="1"/>
  <c r="C326" i="1"/>
  <c r="M326" i="1" s="1" a="1"/>
  <c r="M326" i="1" s="1"/>
  <c r="C327" i="1"/>
  <c r="M327" i="1" s="1" a="1"/>
  <c r="M327" i="1" s="1"/>
  <c r="C328" i="1"/>
  <c r="M328" i="1" s="1" a="1"/>
  <c r="M328" i="1" s="1"/>
  <c r="C329" i="1"/>
  <c r="M329" i="1" s="1" a="1"/>
  <c r="M329" i="1" s="1"/>
  <c r="C330" i="1"/>
  <c r="M330" i="1" s="1" a="1"/>
  <c r="M330" i="1" s="1"/>
  <c r="C331" i="1"/>
  <c r="M331" i="1" s="1" a="1"/>
  <c r="M331" i="1" s="1"/>
  <c r="C332" i="1"/>
  <c r="M332" i="1" s="1" a="1"/>
  <c r="M332" i="1" s="1"/>
  <c r="C333" i="1"/>
  <c r="M333" i="1" s="1" a="1"/>
  <c r="M333" i="1" s="1"/>
  <c r="C334" i="1"/>
  <c r="M334" i="1" s="1" a="1"/>
  <c r="M334" i="1" s="1"/>
  <c r="C335" i="1"/>
  <c r="M335" i="1" s="1" a="1"/>
  <c r="M335" i="1" s="1"/>
  <c r="C336" i="1"/>
  <c r="M336" i="1" s="1" a="1"/>
  <c r="M336" i="1" s="1"/>
  <c r="C337" i="1"/>
  <c r="M337" i="1" s="1" a="1"/>
  <c r="M337" i="1" s="1"/>
  <c r="C338" i="1"/>
  <c r="M338" i="1" s="1" a="1"/>
  <c r="M338" i="1" s="1"/>
  <c r="C339" i="1"/>
  <c r="M339" i="1" s="1" a="1"/>
  <c r="M339" i="1" s="1"/>
  <c r="C340" i="1"/>
  <c r="M340" i="1" s="1" a="1"/>
  <c r="M340" i="1" s="1"/>
  <c r="C341" i="1"/>
  <c r="M341" i="1" s="1" a="1"/>
  <c r="M341" i="1" s="1"/>
  <c r="C342" i="1"/>
  <c r="M342" i="1" s="1" a="1"/>
  <c r="M342" i="1" s="1"/>
  <c r="C343" i="1"/>
  <c r="M343" i="1" s="1" a="1"/>
  <c r="M343" i="1" s="1"/>
  <c r="C344" i="1"/>
  <c r="M344" i="1" s="1" a="1"/>
  <c r="M344" i="1" s="1"/>
  <c r="C345" i="1"/>
  <c r="M345" i="1" s="1" a="1"/>
  <c r="M345" i="1" s="1"/>
  <c r="C346" i="1"/>
  <c r="M346" i="1" s="1" a="1"/>
  <c r="M346" i="1" s="1"/>
  <c r="C347" i="1"/>
  <c r="M347" i="1" s="1" a="1"/>
  <c r="M347" i="1" s="1"/>
  <c r="C348" i="1"/>
  <c r="M348" i="1" s="1" a="1"/>
  <c r="M348" i="1" s="1"/>
  <c r="C349" i="1"/>
  <c r="M349" i="1" s="1" a="1"/>
  <c r="M349" i="1" s="1"/>
  <c r="C350" i="1"/>
  <c r="M350" i="1" s="1" a="1"/>
  <c r="M350" i="1" s="1"/>
  <c r="C351" i="1"/>
  <c r="M351" i="1" s="1" a="1"/>
  <c r="M351" i="1" s="1"/>
  <c r="C352" i="1"/>
  <c r="M352" i="1" s="1" a="1"/>
  <c r="M352" i="1" s="1"/>
  <c r="C353" i="1"/>
  <c r="M353" i="1" s="1" a="1"/>
  <c r="M353" i="1" s="1"/>
  <c r="C354" i="1"/>
  <c r="M354" i="1" s="1" a="1"/>
  <c r="M354" i="1" s="1"/>
  <c r="C355" i="1"/>
  <c r="M355" i="1" s="1" a="1"/>
  <c r="M355" i="1" s="1"/>
  <c r="C356" i="1"/>
  <c r="M356" i="1" s="1" a="1"/>
  <c r="M356" i="1" s="1"/>
  <c r="C357" i="1"/>
  <c r="M357" i="1" s="1" a="1"/>
  <c r="M357" i="1" s="1"/>
  <c r="C358" i="1"/>
  <c r="M358" i="1" s="1" a="1"/>
  <c r="M358" i="1" s="1"/>
  <c r="C359" i="1"/>
  <c r="M359" i="1" s="1" a="1"/>
  <c r="M359" i="1" s="1"/>
  <c r="C360" i="1"/>
  <c r="M360" i="1" s="1" a="1"/>
  <c r="M360" i="1" s="1"/>
  <c r="C361" i="1"/>
  <c r="M361" i="1" s="1" a="1"/>
  <c r="M361" i="1" s="1"/>
  <c r="C362" i="1"/>
  <c r="M362" i="1" s="1" a="1"/>
  <c r="M362" i="1" s="1"/>
  <c r="C363" i="1"/>
  <c r="M363" i="1" s="1" a="1"/>
  <c r="M363" i="1" s="1"/>
  <c r="C364" i="1"/>
  <c r="M364" i="1" s="1" a="1"/>
  <c r="M364" i="1" s="1"/>
  <c r="C365" i="1"/>
  <c r="M365" i="1" s="1" a="1"/>
  <c r="M365" i="1" s="1"/>
  <c r="C366" i="1"/>
  <c r="M366" i="1" s="1" a="1"/>
  <c r="M366" i="1" s="1"/>
  <c r="C367" i="1"/>
  <c r="M367" i="1" s="1" a="1"/>
  <c r="M367" i="1" s="1"/>
  <c r="C368" i="1"/>
  <c r="M368" i="1" s="1" a="1"/>
  <c r="M368" i="1" s="1"/>
  <c r="C369" i="1"/>
  <c r="M369" i="1" s="1" a="1"/>
  <c r="M369" i="1" s="1"/>
  <c r="C370" i="1"/>
  <c r="M370" i="1" s="1" a="1"/>
  <c r="M370" i="1" s="1"/>
  <c r="C371" i="1"/>
  <c r="M371" i="1" s="1" a="1"/>
  <c r="M371" i="1" s="1"/>
  <c r="C372" i="1"/>
  <c r="M372" i="1" s="1" a="1"/>
  <c r="M372" i="1" s="1"/>
  <c r="C373" i="1"/>
  <c r="M373" i="1" s="1" a="1"/>
  <c r="M373" i="1" s="1"/>
  <c r="C374" i="1"/>
  <c r="M374" i="1" s="1" a="1"/>
  <c r="M374" i="1" s="1"/>
  <c r="C375" i="1"/>
  <c r="M375" i="1" s="1" a="1"/>
  <c r="M375" i="1" s="1"/>
  <c r="C376" i="1"/>
  <c r="M376" i="1" s="1" a="1"/>
  <c r="M376" i="1" s="1"/>
  <c r="C377" i="1"/>
  <c r="M377" i="1" s="1" a="1"/>
  <c r="M377" i="1" s="1"/>
  <c r="C378" i="1"/>
  <c r="M378" i="1" s="1" a="1"/>
  <c r="M378" i="1" s="1"/>
  <c r="C379" i="1"/>
  <c r="M379" i="1" s="1" a="1"/>
  <c r="M379" i="1" s="1"/>
  <c r="C380" i="1"/>
  <c r="M380" i="1" s="1" a="1"/>
  <c r="M380" i="1" s="1"/>
  <c r="C381" i="1"/>
  <c r="M381" i="1" s="1" a="1"/>
  <c r="M381" i="1" s="1"/>
  <c r="C382" i="1"/>
  <c r="M382" i="1" s="1" a="1"/>
  <c r="M382" i="1" s="1"/>
  <c r="C383" i="1"/>
  <c r="M383" i="1" s="1" a="1"/>
  <c r="M383" i="1" s="1"/>
  <c r="C384" i="1"/>
  <c r="M384" i="1" s="1" a="1"/>
  <c r="M384" i="1" s="1"/>
  <c r="C385" i="1"/>
  <c r="M385" i="1" s="1" a="1"/>
  <c r="M385" i="1" s="1"/>
  <c r="C386" i="1"/>
  <c r="M386" i="1" s="1" a="1"/>
  <c r="M386" i="1" s="1"/>
  <c r="C387" i="1"/>
  <c r="M387" i="1" s="1" a="1"/>
  <c r="M387" i="1" s="1"/>
  <c r="C388" i="1"/>
  <c r="M388" i="1" s="1" a="1"/>
  <c r="M388" i="1" s="1"/>
  <c r="C389" i="1"/>
  <c r="M389" i="1" s="1" a="1"/>
  <c r="M389" i="1" s="1"/>
  <c r="C390" i="1"/>
  <c r="M390" i="1" s="1" a="1"/>
  <c r="M390" i="1" s="1"/>
  <c r="C391" i="1"/>
  <c r="M391" i="1" s="1" a="1"/>
  <c r="M391" i="1" s="1"/>
  <c r="C392" i="1"/>
  <c r="M392" i="1" s="1" a="1"/>
  <c r="M392" i="1" s="1"/>
  <c r="C393" i="1"/>
  <c r="M393" i="1" s="1" a="1"/>
  <c r="M393" i="1" s="1"/>
  <c r="C394" i="1"/>
  <c r="M394" i="1" s="1" a="1"/>
  <c r="M394" i="1" s="1"/>
  <c r="C395" i="1"/>
  <c r="M395" i="1" s="1" a="1"/>
  <c r="M395" i="1" s="1"/>
  <c r="C396" i="1"/>
  <c r="M396" i="1" s="1" a="1"/>
  <c r="M396" i="1" s="1"/>
  <c r="C397" i="1"/>
  <c r="M397" i="1" s="1" a="1"/>
  <c r="M397" i="1" s="1"/>
  <c r="C398" i="1"/>
  <c r="M398" i="1" s="1" a="1"/>
  <c r="M398" i="1" s="1"/>
  <c r="C399" i="1"/>
  <c r="M399" i="1" s="1" a="1"/>
  <c r="M399" i="1" s="1"/>
  <c r="C400" i="1"/>
  <c r="M400" i="1" s="1" a="1"/>
  <c r="M400" i="1" s="1"/>
  <c r="C401" i="1"/>
  <c r="M401" i="1" s="1" a="1"/>
  <c r="M401" i="1" s="1"/>
  <c r="C402" i="1"/>
  <c r="M402" i="1" s="1" a="1"/>
  <c r="M402" i="1" s="1"/>
  <c r="C403" i="1"/>
  <c r="M403" i="1" s="1" a="1"/>
  <c r="M403" i="1" s="1"/>
  <c r="C404" i="1"/>
  <c r="M404" i="1" s="1" a="1"/>
  <c r="M404" i="1" s="1"/>
  <c r="C405" i="1"/>
  <c r="M405" i="1" s="1" a="1"/>
  <c r="M405" i="1" s="1"/>
  <c r="C406" i="1"/>
  <c r="M406" i="1" s="1" a="1"/>
  <c r="M406" i="1" s="1"/>
  <c r="C407" i="1"/>
  <c r="M407" i="1" s="1" a="1"/>
  <c r="M407" i="1" s="1"/>
  <c r="C408" i="1"/>
  <c r="M408" i="1" s="1" a="1"/>
  <c r="M408" i="1" s="1"/>
  <c r="C409" i="1"/>
  <c r="M409" i="1" s="1" a="1"/>
  <c r="M409" i="1" s="1"/>
  <c r="C410" i="1"/>
  <c r="M410" i="1" s="1" a="1"/>
  <c r="M410" i="1" s="1"/>
  <c r="C411" i="1"/>
  <c r="M411" i="1" s="1" a="1"/>
  <c r="M411" i="1" s="1"/>
  <c r="C412" i="1"/>
  <c r="M412" i="1" s="1" a="1"/>
  <c r="M412" i="1" s="1"/>
  <c r="C413" i="1"/>
  <c r="M413" i="1" s="1" a="1"/>
  <c r="M413" i="1" s="1"/>
  <c r="C414" i="1"/>
  <c r="M414" i="1" s="1" a="1"/>
  <c r="M414" i="1" s="1"/>
  <c r="C415" i="1"/>
  <c r="M415" i="1" s="1" a="1"/>
  <c r="M415" i="1" s="1"/>
  <c r="C416" i="1"/>
  <c r="M416" i="1" s="1" a="1"/>
  <c r="M416" i="1" s="1"/>
  <c r="C417" i="1"/>
  <c r="M417" i="1" s="1" a="1"/>
  <c r="M417" i="1" s="1"/>
  <c r="C418" i="1"/>
  <c r="M418" i="1" s="1" a="1"/>
  <c r="M418" i="1" s="1"/>
  <c r="C419" i="1"/>
  <c r="M419" i="1" s="1" a="1"/>
  <c r="M419" i="1" s="1"/>
  <c r="C420" i="1"/>
  <c r="M420" i="1" s="1" a="1"/>
  <c r="M420" i="1" s="1"/>
  <c r="C421" i="1"/>
  <c r="M421" i="1" s="1" a="1"/>
  <c r="M421" i="1" s="1"/>
  <c r="C422" i="1"/>
  <c r="M422" i="1" s="1" a="1"/>
  <c r="M422" i="1" s="1"/>
  <c r="C423" i="1"/>
  <c r="M423" i="1" s="1" a="1"/>
  <c r="M423" i="1" s="1"/>
  <c r="C424" i="1"/>
  <c r="M424" i="1" s="1" a="1"/>
  <c r="M424" i="1" s="1"/>
  <c r="C425" i="1"/>
  <c r="M425" i="1" s="1" a="1"/>
  <c r="M425" i="1" s="1"/>
  <c r="C426" i="1"/>
  <c r="M426" i="1" s="1" a="1"/>
  <c r="M426" i="1" s="1"/>
  <c r="C427" i="1"/>
  <c r="M427" i="1" s="1" a="1"/>
  <c r="M427" i="1" s="1"/>
  <c r="C428" i="1"/>
  <c r="M428" i="1" s="1" a="1"/>
  <c r="M428" i="1" s="1"/>
  <c r="C429" i="1"/>
  <c r="M429" i="1" s="1" a="1"/>
  <c r="M429" i="1" s="1"/>
  <c r="C430" i="1"/>
  <c r="M430" i="1" s="1" a="1"/>
  <c r="M430" i="1" s="1"/>
  <c r="C431" i="1"/>
  <c r="M431" i="1" s="1" a="1"/>
  <c r="M431" i="1" s="1"/>
  <c r="C432" i="1"/>
  <c r="M432" i="1" s="1" a="1"/>
  <c r="M432" i="1" s="1"/>
  <c r="C433" i="1"/>
  <c r="M433" i="1" s="1" a="1"/>
  <c r="M433" i="1" s="1"/>
  <c r="C434" i="1"/>
  <c r="M434" i="1" s="1" a="1"/>
  <c r="M434" i="1" s="1"/>
  <c r="C435" i="1"/>
  <c r="M435" i="1" s="1" a="1"/>
  <c r="M435" i="1" s="1"/>
  <c r="C436" i="1"/>
  <c r="M436" i="1" s="1" a="1"/>
  <c r="M436" i="1" s="1"/>
  <c r="C437" i="1"/>
  <c r="M437" i="1" s="1" a="1"/>
  <c r="M437" i="1" s="1"/>
  <c r="C438" i="1"/>
  <c r="M438" i="1" s="1" a="1"/>
  <c r="M438" i="1" s="1"/>
  <c r="C439" i="1"/>
  <c r="M439" i="1" s="1" a="1"/>
  <c r="M439" i="1" s="1"/>
  <c r="C440" i="1"/>
  <c r="M440" i="1" s="1" a="1"/>
  <c r="M440" i="1" s="1"/>
  <c r="C441" i="1"/>
  <c r="M441" i="1" s="1" a="1"/>
  <c r="M441" i="1" s="1"/>
  <c r="C442" i="1"/>
  <c r="M442" i="1" s="1" a="1"/>
  <c r="M442" i="1" s="1"/>
  <c r="C443" i="1"/>
  <c r="M443" i="1" s="1" a="1"/>
  <c r="M443" i="1" s="1"/>
  <c r="C444" i="1"/>
  <c r="M444" i="1" s="1" a="1"/>
  <c r="M444" i="1" s="1"/>
  <c r="C445" i="1"/>
  <c r="M445" i="1" s="1" a="1"/>
  <c r="M445" i="1" s="1"/>
  <c r="C446" i="1"/>
  <c r="M446" i="1" s="1" a="1"/>
  <c r="M446" i="1" s="1"/>
  <c r="C447" i="1"/>
  <c r="M447" i="1" s="1" a="1"/>
  <c r="M447" i="1" s="1"/>
  <c r="C448" i="1"/>
  <c r="M448" i="1" s="1" a="1"/>
  <c r="M448" i="1" s="1"/>
  <c r="C449" i="1"/>
  <c r="M449" i="1" s="1" a="1"/>
  <c r="M449" i="1" s="1"/>
  <c r="C450" i="1"/>
  <c r="M450" i="1" s="1" a="1"/>
  <c r="M450" i="1" s="1"/>
  <c r="C451" i="1"/>
  <c r="M451" i="1" s="1" a="1"/>
  <c r="M451" i="1" s="1"/>
  <c r="C452" i="1"/>
  <c r="M452" i="1" s="1" a="1"/>
  <c r="M452" i="1" s="1"/>
  <c r="C453" i="1"/>
  <c r="M453" i="1" s="1" a="1"/>
  <c r="M453" i="1" s="1"/>
  <c r="C454" i="1"/>
  <c r="M454" i="1" s="1" a="1"/>
  <c r="M454" i="1" s="1"/>
  <c r="C455" i="1"/>
  <c r="M455" i="1" s="1" a="1"/>
  <c r="M455" i="1" s="1"/>
  <c r="C456" i="1"/>
  <c r="M456" i="1" s="1" a="1"/>
  <c r="M456" i="1" s="1"/>
  <c r="C457" i="1"/>
  <c r="M457" i="1" s="1" a="1"/>
  <c r="M457" i="1" s="1"/>
  <c r="C458" i="1"/>
  <c r="M458" i="1" s="1" a="1"/>
  <c r="M458" i="1" s="1"/>
  <c r="C459" i="1"/>
  <c r="M459" i="1" s="1" a="1"/>
  <c r="M459" i="1" s="1"/>
  <c r="C460" i="1"/>
  <c r="M460" i="1" s="1" a="1"/>
  <c r="M460" i="1" s="1"/>
  <c r="C461" i="1"/>
  <c r="M461" i="1" s="1" a="1"/>
  <c r="M461" i="1" s="1"/>
  <c r="C462" i="1"/>
  <c r="M462" i="1" s="1" a="1"/>
  <c r="M462" i="1" s="1"/>
  <c r="C463" i="1"/>
  <c r="M463" i="1" s="1" a="1"/>
  <c r="M463" i="1" s="1"/>
  <c r="C464" i="1"/>
  <c r="M464" i="1" s="1" a="1"/>
  <c r="M464" i="1" s="1"/>
  <c r="C465" i="1"/>
  <c r="M465" i="1" s="1" a="1"/>
  <c r="M465" i="1" s="1"/>
  <c r="C466" i="1"/>
  <c r="M466" i="1" s="1" a="1"/>
  <c r="M466" i="1" s="1"/>
  <c r="C467" i="1"/>
  <c r="M467" i="1" s="1" a="1"/>
  <c r="M467" i="1" s="1"/>
  <c r="C468" i="1"/>
  <c r="M468" i="1" s="1" a="1"/>
  <c r="M468" i="1" s="1"/>
  <c r="C469" i="1"/>
  <c r="M469" i="1" s="1" a="1"/>
  <c r="M469" i="1" s="1"/>
  <c r="C470" i="1"/>
  <c r="M470" i="1" s="1" a="1"/>
  <c r="M470" i="1" s="1"/>
  <c r="C471" i="1"/>
  <c r="M471" i="1" s="1" a="1"/>
  <c r="M471" i="1" s="1"/>
  <c r="C472" i="1"/>
  <c r="M472" i="1" s="1" a="1"/>
  <c r="M472" i="1" s="1"/>
  <c r="C473" i="1"/>
  <c r="M473" i="1" s="1" a="1"/>
  <c r="M473" i="1" s="1"/>
  <c r="C474" i="1"/>
  <c r="M474" i="1" s="1" a="1"/>
  <c r="M474" i="1" s="1"/>
  <c r="C475" i="1"/>
  <c r="M475" i="1" s="1" a="1"/>
  <c r="M475" i="1" s="1"/>
  <c r="C476" i="1"/>
  <c r="M476" i="1" s="1" a="1"/>
  <c r="M476" i="1" s="1"/>
  <c r="C477" i="1"/>
  <c r="M477" i="1" s="1" a="1"/>
  <c r="M477" i="1" s="1"/>
  <c r="C478" i="1"/>
  <c r="M478" i="1" s="1" a="1"/>
  <c r="M478" i="1" s="1"/>
  <c r="C479" i="1"/>
  <c r="M479" i="1" s="1" a="1"/>
  <c r="M479" i="1" s="1"/>
  <c r="C480" i="1"/>
  <c r="M480" i="1" s="1" a="1"/>
  <c r="M480" i="1" s="1"/>
  <c r="C481" i="1"/>
  <c r="M481" i="1" s="1" a="1"/>
  <c r="M481" i="1" s="1"/>
  <c r="C482" i="1"/>
  <c r="M482" i="1" s="1" a="1"/>
  <c r="M482" i="1" s="1"/>
  <c r="C483" i="1"/>
  <c r="M483" i="1" s="1" a="1"/>
  <c r="M483" i="1" s="1"/>
  <c r="C484" i="1"/>
  <c r="M484" i="1" s="1" a="1"/>
  <c r="M484" i="1" s="1"/>
  <c r="C485" i="1"/>
  <c r="M485" i="1" s="1" a="1"/>
  <c r="M485" i="1" s="1"/>
  <c r="C486" i="1"/>
  <c r="M486" i="1" s="1" a="1"/>
  <c r="M486" i="1" s="1"/>
  <c r="C487" i="1"/>
  <c r="M487" i="1" s="1" a="1"/>
  <c r="M487" i="1" s="1"/>
  <c r="C488" i="1"/>
  <c r="M488" i="1" s="1" a="1"/>
  <c r="M488" i="1" s="1"/>
  <c r="G90" i="1"/>
  <c r="C90" i="1"/>
  <c r="M90" i="1" s="1" a="1"/>
  <c r="M90" i="1" s="1"/>
  <c r="G91" i="1"/>
  <c r="C91" i="1"/>
  <c r="M91" i="1" s="1" a="1"/>
  <c r="M91" i="1" s="1"/>
  <c r="G92" i="1"/>
  <c r="C92" i="1"/>
  <c r="M92" i="1" s="1" a="1"/>
  <c r="M92" i="1" s="1"/>
  <c r="G93" i="1"/>
  <c r="C93" i="1"/>
  <c r="M93" i="1" s="1" a="1"/>
  <c r="M93" i="1" s="1"/>
  <c r="G94" i="1"/>
  <c r="C94" i="1"/>
  <c r="M94" i="1" s="1" a="1"/>
  <c r="M94" i="1" s="1"/>
  <c r="G95" i="1"/>
  <c r="C95" i="1"/>
  <c r="M95" i="1" s="1" a="1"/>
  <c r="M95" i="1" s="1"/>
  <c r="G96" i="1"/>
  <c r="C96" i="1"/>
  <c r="M96" i="1" s="1" a="1"/>
  <c r="M96" i="1" s="1"/>
  <c r="G97" i="1"/>
  <c r="C97" i="1"/>
  <c r="M97" i="1" s="1" a="1"/>
  <c r="M97" i="1" s="1"/>
  <c r="G98" i="1"/>
  <c r="C98" i="1"/>
  <c r="M98" i="1" s="1" a="1"/>
  <c r="M98" i="1" s="1"/>
  <c r="C99" i="1"/>
  <c r="M99" i="1" s="1" a="1"/>
  <c r="M99" i="1" s="1"/>
  <c r="G99" i="1"/>
  <c r="C100" i="1"/>
  <c r="M100" i="1" s="1" a="1"/>
  <c r="M100" i="1" s="1"/>
  <c r="G100" i="1"/>
  <c r="C101" i="1"/>
  <c r="M101" i="1" s="1" a="1"/>
  <c r="M101" i="1" s="1"/>
  <c r="G101" i="1"/>
  <c r="G102" i="1"/>
  <c r="C102" i="1"/>
  <c r="M102" i="1" s="1" a="1"/>
  <c r="M102" i="1" s="1"/>
  <c r="G103" i="1"/>
  <c r="C103" i="1"/>
  <c r="M103" i="1" s="1" a="1"/>
  <c r="M103" i="1" s="1"/>
  <c r="G104" i="1"/>
  <c r="C104" i="1"/>
  <c r="M104" i="1" s="1" a="1"/>
  <c r="M104" i="1" s="1"/>
  <c r="G105" i="1"/>
  <c r="C105" i="1"/>
  <c r="M105" i="1" s="1" a="1"/>
  <c r="M105" i="1" s="1"/>
  <c r="G106" i="1"/>
  <c r="C106" i="1"/>
  <c r="M106" i="1" s="1" a="1"/>
  <c r="M106" i="1" s="1"/>
  <c r="C107" i="1"/>
  <c r="M107" i="1" s="1" a="1"/>
  <c r="M107" i="1" s="1"/>
  <c r="G107" i="1"/>
  <c r="G108" i="1"/>
  <c r="C108" i="1"/>
  <c r="M108" i="1" s="1" a="1"/>
  <c r="M108" i="1" s="1"/>
  <c r="G109" i="1"/>
  <c r="C109" i="1"/>
  <c r="M109" i="1" s="1" a="1"/>
  <c r="M109" i="1" s="1"/>
  <c r="G110" i="1"/>
  <c r="C110" i="1"/>
  <c r="M110" i="1" s="1" a="1"/>
  <c r="M110" i="1" s="1"/>
  <c r="G111" i="1"/>
  <c r="C111" i="1"/>
  <c r="M111" i="1" s="1" a="1"/>
  <c r="M111" i="1" s="1"/>
  <c r="G112" i="1"/>
  <c r="C112" i="1"/>
  <c r="M112" i="1" s="1" a="1"/>
  <c r="M112" i="1" s="1"/>
  <c r="G113" i="1"/>
  <c r="C113" i="1"/>
  <c r="M113" i="1" s="1" a="1"/>
  <c r="M113" i="1" s="1"/>
  <c r="G114" i="1"/>
  <c r="C114" i="1"/>
  <c r="M114" i="1" s="1" a="1"/>
  <c r="M114" i="1" s="1"/>
  <c r="G115" i="1"/>
  <c r="C115" i="1"/>
  <c r="M115" i="1" s="1" a="1"/>
  <c r="M115" i="1" s="1"/>
  <c r="G116" i="1"/>
  <c r="C116" i="1"/>
  <c r="M116" i="1" s="1" a="1"/>
  <c r="M116" i="1" s="1"/>
  <c r="G117" i="1"/>
  <c r="C117" i="1"/>
  <c r="M117" i="1" s="1" a="1"/>
  <c r="M117" i="1" s="1"/>
  <c r="G118" i="1"/>
  <c r="C118" i="1"/>
  <c r="M118" i="1" s="1" a="1"/>
  <c r="M118" i="1" s="1"/>
  <c r="G119" i="1"/>
  <c r="C119" i="1"/>
  <c r="M119" i="1" s="1" a="1"/>
  <c r="M119" i="1" s="1"/>
  <c r="G120" i="1"/>
  <c r="C120" i="1"/>
  <c r="M120" i="1" s="1" a="1"/>
  <c r="M120" i="1" s="1"/>
  <c r="G121" i="1"/>
  <c r="C121" i="1"/>
  <c r="M121" i="1" s="1" a="1"/>
  <c r="M121" i="1" s="1"/>
  <c r="G122" i="1"/>
  <c r="C122" i="1"/>
  <c r="M122" i="1" s="1" a="1"/>
  <c r="M122" i="1" s="1"/>
  <c r="G123" i="1"/>
  <c r="C123" i="1"/>
  <c r="M123" i="1" s="1" a="1"/>
  <c r="M123" i="1" s="1"/>
  <c r="G124" i="1"/>
  <c r="C124" i="1"/>
  <c r="M124" i="1" s="1" a="1"/>
  <c r="M124" i="1" s="1"/>
  <c r="G125" i="1"/>
  <c r="C125" i="1"/>
  <c r="M125" i="1" s="1" a="1"/>
  <c r="M125" i="1" s="1"/>
  <c r="C126" i="1"/>
  <c r="M126" i="1" s="1" a="1"/>
  <c r="M126" i="1" s="1"/>
  <c r="G126" i="1"/>
  <c r="C127" i="1"/>
  <c r="M127" i="1" s="1" a="1"/>
  <c r="M127" i="1" s="1"/>
  <c r="G127" i="1"/>
  <c r="G128" i="1"/>
  <c r="C128" i="1"/>
  <c r="M128" i="1" s="1" a="1"/>
  <c r="M128" i="1" s="1"/>
  <c r="G129" i="1"/>
  <c r="C129" i="1"/>
  <c r="M129" i="1" s="1" a="1"/>
  <c r="M129" i="1" s="1"/>
  <c r="C130" i="1"/>
  <c r="M130" i="1" s="1" a="1"/>
  <c r="M130" i="1" s="1"/>
  <c r="G130" i="1"/>
  <c r="G131" i="1"/>
  <c r="C131" i="1"/>
  <c r="M131" i="1" s="1" a="1"/>
  <c r="M131" i="1" s="1"/>
  <c r="G132" i="1"/>
  <c r="C132" i="1"/>
  <c r="M132" i="1" s="1" a="1"/>
  <c r="M132" i="1" s="1"/>
  <c r="G133" i="1"/>
  <c r="C133" i="1"/>
  <c r="M133" i="1" s="1" a="1"/>
  <c r="M133" i="1" s="1"/>
  <c r="G134" i="1"/>
  <c r="C134" i="1"/>
  <c r="M134" i="1" s="1" a="1"/>
  <c r="M134" i="1" s="1"/>
  <c r="G135" i="1"/>
  <c r="C135" i="1"/>
  <c r="M135" i="1" s="1" a="1"/>
  <c r="M135" i="1" s="1"/>
  <c r="G136" i="1"/>
  <c r="C136" i="1"/>
  <c r="M136" i="1" s="1" a="1"/>
  <c r="M136" i="1" s="1"/>
  <c r="G137" i="1"/>
  <c r="C137" i="1"/>
  <c r="M137" i="1" s="1" a="1"/>
  <c r="M137" i="1" s="1"/>
  <c r="G138" i="1"/>
  <c r="C138" i="1"/>
  <c r="M138" i="1" s="1" a="1"/>
  <c r="M138" i="1" s="1"/>
  <c r="G139" i="1"/>
  <c r="C139" i="1"/>
  <c r="M139" i="1" s="1" a="1"/>
  <c r="M139" i="1" s="1"/>
  <c r="C140" i="1"/>
  <c r="M140" i="1" s="1" a="1"/>
  <c r="M140" i="1" s="1"/>
  <c r="G140" i="1"/>
  <c r="C141" i="1"/>
  <c r="M141" i="1" s="1" a="1"/>
  <c r="M141" i="1" s="1"/>
  <c r="G141" i="1"/>
  <c r="C142" i="1"/>
  <c r="M142" i="1" s="1" a="1"/>
  <c r="M142" i="1" s="1"/>
  <c r="G142" i="1"/>
  <c r="G143" i="1"/>
  <c r="C143" i="1"/>
  <c r="M143" i="1" s="1" a="1"/>
  <c r="M143" i="1" s="1"/>
  <c r="C144" i="1"/>
  <c r="M144" i="1" s="1" a="1"/>
  <c r="M144" i="1" s="1"/>
  <c r="G144" i="1"/>
  <c r="G145" i="1"/>
  <c r="C145" i="1"/>
  <c r="M145" i="1" s="1" a="1"/>
  <c r="M145" i="1" s="1"/>
  <c r="G146" i="1"/>
  <c r="C146" i="1"/>
  <c r="M146" i="1" s="1" a="1"/>
  <c r="M146" i="1" s="1"/>
  <c r="C147" i="1"/>
  <c r="M147" i="1" s="1" a="1"/>
  <c r="M147" i="1" s="1"/>
  <c r="G147" i="1"/>
  <c r="C148" i="1"/>
  <c r="M148" i="1" s="1" a="1"/>
  <c r="M148" i="1" s="1"/>
  <c r="G148" i="1"/>
  <c r="C149" i="1"/>
  <c r="M149" i="1" s="1" a="1"/>
  <c r="M149" i="1" s="1"/>
  <c r="G149" i="1"/>
  <c r="C150" i="1"/>
  <c r="M150" i="1" s="1" a="1"/>
  <c r="M150" i="1" s="1"/>
  <c r="G150" i="1"/>
  <c r="C151" i="1"/>
  <c r="M151" i="1" s="1" a="1"/>
  <c r="M151" i="1" s="1"/>
  <c r="G151" i="1"/>
  <c r="G152" i="1"/>
  <c r="C152" i="1"/>
  <c r="M152" i="1" s="1" a="1"/>
  <c r="M152" i="1" s="1"/>
  <c r="C153" i="1"/>
  <c r="M153" i="1" s="1" a="1"/>
  <c r="M153" i="1" s="1"/>
  <c r="G153" i="1"/>
  <c r="C154" i="1"/>
  <c r="M154" i="1" s="1" a="1"/>
  <c r="M154" i="1" s="1"/>
  <c r="G154" i="1"/>
  <c r="C155" i="1"/>
  <c r="M155" i="1" s="1" a="1"/>
  <c r="M155" i="1" s="1"/>
  <c r="G155" i="1"/>
  <c r="C156" i="1"/>
  <c r="M156" i="1" s="1" a="1"/>
  <c r="M156" i="1" s="1"/>
  <c r="G156" i="1"/>
  <c r="C157" i="1"/>
  <c r="M157" i="1" s="1" a="1"/>
  <c r="M157" i="1" s="1"/>
  <c r="G157" i="1"/>
  <c r="C158" i="1"/>
  <c r="M158" i="1" s="1" a="1"/>
  <c r="M158" i="1" s="1"/>
  <c r="G158" i="1"/>
  <c r="C159" i="1"/>
  <c r="M159" i="1" s="1" a="1"/>
  <c r="M159" i="1" s="1"/>
  <c r="G159" i="1"/>
  <c r="C160" i="1"/>
  <c r="M160" i="1" s="1" a="1"/>
  <c r="M160" i="1" s="1"/>
  <c r="G160" i="1"/>
  <c r="C161" i="1"/>
  <c r="M161" i="1" s="1" a="1"/>
  <c r="M161" i="1" s="1"/>
  <c r="G161" i="1"/>
  <c r="C162" i="1"/>
  <c r="M162" i="1" s="1" a="1"/>
  <c r="M162" i="1" s="1"/>
  <c r="G162" i="1"/>
  <c r="C163" i="1"/>
  <c r="M163" i="1" s="1" a="1"/>
  <c r="M163" i="1" s="1"/>
  <c r="G163" i="1"/>
  <c r="G164" i="1"/>
  <c r="C164" i="1"/>
  <c r="M164" i="1" s="1" a="1"/>
  <c r="M164" i="1" s="1"/>
  <c r="G165" i="1"/>
  <c r="C165" i="1"/>
  <c r="M165" i="1" s="1" a="1"/>
  <c r="M165" i="1" s="1"/>
  <c r="G166" i="1"/>
  <c r="C166" i="1"/>
  <c r="M166" i="1" s="1" a="1"/>
  <c r="M166" i="1" s="1"/>
  <c r="G167" i="1"/>
  <c r="C167" i="1"/>
  <c r="M167" i="1" s="1" a="1"/>
  <c r="M167" i="1" s="1"/>
  <c r="G168" i="1"/>
  <c r="C168" i="1"/>
  <c r="M168" i="1" s="1" a="1"/>
  <c r="M168" i="1" s="1"/>
  <c r="G169" i="1"/>
  <c r="C169" i="1"/>
  <c r="M169" i="1" s="1" a="1"/>
  <c r="M169" i="1" s="1"/>
  <c r="G170" i="1"/>
  <c r="C170" i="1"/>
  <c r="M170" i="1" s="1" a="1"/>
  <c r="M170" i="1" s="1"/>
  <c r="G171" i="1"/>
  <c r="C171" i="1"/>
  <c r="M171" i="1" s="1" a="1"/>
  <c r="M171" i="1" s="1"/>
  <c r="G172" i="1"/>
  <c r="C172" i="1"/>
  <c r="M172" i="1" s="1" a="1"/>
  <c r="M172" i="1" s="1"/>
  <c r="G173" i="1"/>
  <c r="C173" i="1"/>
  <c r="M173" i="1" s="1" a="1"/>
  <c r="M173" i="1" s="1"/>
  <c r="G174" i="1"/>
  <c r="C174" i="1"/>
  <c r="M174" i="1" s="1" a="1"/>
  <c r="M174" i="1" s="1"/>
  <c r="G175" i="1"/>
  <c r="C175" i="1"/>
  <c r="M175" i="1" s="1" a="1"/>
  <c r="M175" i="1" s="1"/>
  <c r="G176" i="1"/>
  <c r="C176" i="1"/>
  <c r="M176" i="1" s="1" a="1"/>
  <c r="M176" i="1" s="1"/>
  <c r="G177" i="1"/>
  <c r="C177" i="1"/>
  <c r="M177" i="1" s="1" a="1"/>
  <c r="M177" i="1" s="1"/>
  <c r="G178" i="1"/>
  <c r="C178" i="1"/>
  <c r="M178" i="1" s="1" a="1"/>
  <c r="M178" i="1" s="1"/>
  <c r="G179" i="1"/>
  <c r="C179" i="1"/>
  <c r="M179" i="1" s="1" a="1"/>
  <c r="M179" i="1" s="1"/>
  <c r="G180" i="1"/>
  <c r="C180" i="1"/>
  <c r="M180" i="1" s="1" a="1"/>
  <c r="M180" i="1" s="1"/>
  <c r="G181" i="1"/>
  <c r="C181" i="1"/>
  <c r="M181" i="1" s="1" a="1"/>
  <c r="M181" i="1" s="1"/>
  <c r="G182" i="1"/>
  <c r="C182" i="1"/>
  <c r="M182" i="1" s="1" a="1"/>
  <c r="M182" i="1" s="1"/>
  <c r="G183" i="1"/>
  <c r="C183" i="1"/>
  <c r="M183" i="1" s="1" a="1"/>
  <c r="M183" i="1" s="1"/>
  <c r="G184" i="1"/>
  <c r="C184" i="1"/>
  <c r="M184" i="1" s="1" a="1"/>
  <c r="M184" i="1" s="1"/>
  <c r="G185" i="1"/>
  <c r="C185" i="1"/>
  <c r="M185" i="1" s="1" a="1"/>
  <c r="M185" i="1" s="1"/>
  <c r="C186" i="1"/>
  <c r="M186" i="1" s="1" a="1"/>
  <c r="M186" i="1" s="1"/>
  <c r="G186" i="1"/>
  <c r="C187" i="1"/>
  <c r="M187" i="1" s="1" a="1"/>
  <c r="M187" i="1" s="1"/>
  <c r="G187" i="1"/>
  <c r="C188" i="1"/>
  <c r="M188" i="1" s="1" a="1"/>
  <c r="M188" i="1" s="1"/>
  <c r="G188" i="1"/>
  <c r="G189" i="1"/>
  <c r="C189" i="1"/>
  <c r="M189" i="1" s="1" a="1"/>
  <c r="M189" i="1" s="1"/>
  <c r="G190" i="1"/>
  <c r="C190" i="1"/>
  <c r="M190" i="1" s="1" a="1"/>
  <c r="M190" i="1" s="1"/>
  <c r="G191" i="1"/>
  <c r="C191" i="1"/>
  <c r="M191" i="1" s="1" a="1"/>
  <c r="M191" i="1" s="1"/>
  <c r="G192" i="1"/>
  <c r="C192" i="1"/>
  <c r="M192" i="1" s="1" a="1"/>
  <c r="M192" i="1" s="1"/>
  <c r="G193" i="1"/>
  <c r="C193" i="1"/>
  <c r="M193" i="1" s="1" a="1"/>
  <c r="M193" i="1" s="1"/>
  <c r="G194" i="1"/>
  <c r="C194" i="1"/>
  <c r="M194" i="1" s="1" a="1"/>
  <c r="M194" i="1" s="1"/>
  <c r="G195" i="1"/>
  <c r="C195" i="1"/>
  <c r="M195" i="1" s="1" a="1"/>
  <c r="M195" i="1" s="1"/>
  <c r="G196" i="1"/>
  <c r="C196" i="1"/>
  <c r="M196" i="1" s="1" a="1"/>
  <c r="M196" i="1" s="1"/>
  <c r="C197" i="1"/>
  <c r="M197" i="1" s="1" a="1"/>
  <c r="M197" i="1" s="1"/>
  <c r="G197" i="1"/>
  <c r="G198" i="1"/>
  <c r="C198" i="1"/>
  <c r="M198" i="1" s="1" a="1"/>
  <c r="M198" i="1" s="1"/>
  <c r="G199" i="1"/>
  <c r="C199" i="1"/>
  <c r="M199" i="1" s="1" a="1"/>
  <c r="M199" i="1" s="1"/>
  <c r="C200" i="1"/>
  <c r="M200" i="1" s="1" a="1"/>
  <c r="M200" i="1" s="1"/>
  <c r="G200" i="1"/>
  <c r="G201" i="1"/>
  <c r="C201" i="1"/>
  <c r="M201" i="1" s="1" a="1"/>
  <c r="M201" i="1" s="1"/>
  <c r="G202" i="1"/>
  <c r="C202" i="1"/>
  <c r="M202" i="1" s="1" a="1"/>
  <c r="M202" i="1" s="1"/>
  <c r="G203" i="1"/>
  <c r="C203" i="1"/>
  <c r="M203" i="1" s="1" a="1"/>
  <c r="M203" i="1" s="1"/>
  <c r="G204" i="1"/>
  <c r="C204" i="1"/>
  <c r="M204" i="1" s="1" a="1"/>
  <c r="M204" i="1" s="1"/>
  <c r="C205" i="1"/>
  <c r="M205" i="1" s="1" a="1"/>
  <c r="M205" i="1" s="1"/>
  <c r="G205" i="1"/>
  <c r="C206" i="1"/>
  <c r="M206" i="1" s="1" a="1"/>
  <c r="M206" i="1" s="1"/>
  <c r="G206" i="1"/>
  <c r="C207" i="1"/>
  <c r="M207" i="1" s="1" a="1"/>
  <c r="M207" i="1" s="1"/>
  <c r="G207" i="1"/>
  <c r="C208" i="1"/>
  <c r="M208" i="1" s="1" a="1"/>
  <c r="M208" i="1" s="1"/>
  <c r="G208" i="1"/>
  <c r="C209" i="1"/>
  <c r="M209" i="1" s="1" a="1"/>
  <c r="M209" i="1" s="1"/>
  <c r="G209" i="1"/>
  <c r="G210" i="1"/>
  <c r="C210" i="1"/>
  <c r="M210" i="1" s="1" a="1"/>
  <c r="M210" i="1" s="1"/>
  <c r="C211" i="1"/>
  <c r="M211" i="1" s="1" a="1"/>
  <c r="M211" i="1" s="1"/>
  <c r="G211" i="1"/>
  <c r="C212" i="1"/>
  <c r="M212" i="1" s="1" a="1"/>
  <c r="M212" i="1" s="1"/>
  <c r="G212" i="1"/>
  <c r="C213" i="1"/>
  <c r="M213" i="1" s="1" a="1"/>
  <c r="M213" i="1" s="1"/>
  <c r="G213" i="1"/>
  <c r="G214" i="1"/>
  <c r="C214" i="1"/>
  <c r="M214" i="1" s="1" a="1"/>
  <c r="M214" i="1" s="1"/>
  <c r="C215" i="1"/>
  <c r="M215" i="1" s="1" a="1"/>
  <c r="M215" i="1" s="1"/>
  <c r="G215" i="1"/>
  <c r="C216" i="1"/>
  <c r="M216" i="1" s="1" a="1"/>
  <c r="M216" i="1" s="1"/>
  <c r="G216" i="1"/>
  <c r="C217" i="1"/>
  <c r="M217" i="1" s="1" a="1"/>
  <c r="M217" i="1" s="1"/>
  <c r="G217" i="1"/>
  <c r="C218" i="1"/>
  <c r="M218" i="1" s="1" a="1"/>
  <c r="M218" i="1" s="1"/>
  <c r="G218" i="1"/>
  <c r="C219" i="1"/>
  <c r="M219" i="1" s="1" a="1"/>
  <c r="M219" i="1" s="1"/>
  <c r="G219" i="1"/>
  <c r="C220" i="1"/>
  <c r="M220" i="1" s="1" a="1"/>
  <c r="M220" i="1" s="1"/>
  <c r="G220" i="1"/>
  <c r="C221" i="1"/>
  <c r="M221" i="1" s="1" a="1"/>
  <c r="M221" i="1" s="1"/>
  <c r="G221" i="1"/>
  <c r="C222" i="1"/>
  <c r="M222" i="1" s="1" a="1"/>
  <c r="M222" i="1" s="1"/>
  <c r="G222" i="1"/>
  <c r="C223" i="1"/>
  <c r="M223" i="1" s="1" a="1"/>
  <c r="M223" i="1" s="1"/>
  <c r="G223" i="1"/>
  <c r="C224" i="1"/>
  <c r="M224" i="1" s="1" a="1"/>
  <c r="M224" i="1" s="1"/>
  <c r="G224" i="1"/>
  <c r="C225" i="1"/>
  <c r="M225" i="1" s="1" a="1"/>
  <c r="M225" i="1" s="1"/>
  <c r="G225" i="1"/>
  <c r="C226" i="1"/>
  <c r="M226" i="1" s="1" a="1"/>
  <c r="M226" i="1" s="1"/>
  <c r="G226" i="1"/>
  <c r="C227" i="1"/>
  <c r="M227" i="1" s="1" a="1"/>
  <c r="M227" i="1" s="1"/>
  <c r="G227" i="1"/>
  <c r="G228" i="1"/>
  <c r="C228" i="1"/>
  <c r="M228" i="1" s="1" a="1"/>
  <c r="M228" i="1" s="1"/>
  <c r="G229" i="1"/>
  <c r="C229" i="1"/>
  <c r="M229" i="1" s="1" a="1"/>
  <c r="M229" i="1" s="1"/>
  <c r="C230" i="1"/>
  <c r="M230" i="1" s="1" a="1"/>
  <c r="M230" i="1" s="1"/>
  <c r="G230" i="1"/>
  <c r="G231" i="1"/>
  <c r="C231" i="1"/>
  <c r="M231" i="1" s="1" a="1"/>
  <c r="M231" i="1" s="1"/>
  <c r="C232" i="1"/>
  <c r="M232" i="1" s="1" a="1"/>
  <c r="M232" i="1" s="1"/>
  <c r="G232" i="1"/>
  <c r="C233" i="1"/>
  <c r="M233" i="1" s="1" a="1"/>
  <c r="M233" i="1" s="1"/>
  <c r="G233" i="1"/>
  <c r="G234" i="1"/>
  <c r="C234" i="1"/>
  <c r="M234" i="1" s="1" a="1"/>
  <c r="M234" i="1" s="1"/>
  <c r="G235" i="1"/>
  <c r="C235" i="1"/>
  <c r="M235" i="1" s="1" a="1"/>
  <c r="M235" i="1" s="1"/>
  <c r="G236" i="1"/>
  <c r="C236" i="1"/>
  <c r="M236" i="1" s="1" a="1"/>
  <c r="M236" i="1" s="1"/>
  <c r="G237" i="1"/>
  <c r="C237" i="1"/>
  <c r="M237" i="1" s="1" a="1"/>
  <c r="M237" i="1" s="1"/>
  <c r="C238" i="1"/>
  <c r="M238" i="1" s="1" a="1"/>
  <c r="M238" i="1" s="1"/>
  <c r="G238" i="1"/>
  <c r="C239" i="1"/>
  <c r="M239" i="1" s="1" a="1"/>
  <c r="M239" i="1" s="1"/>
  <c r="G239" i="1"/>
  <c r="C240" i="1"/>
  <c r="M240" i="1" s="1" a="1"/>
  <c r="M240" i="1" s="1"/>
  <c r="G240" i="1"/>
  <c r="C241" i="1"/>
  <c r="M241" i="1" s="1" a="1"/>
  <c r="M241" i="1" s="1"/>
  <c r="G241" i="1"/>
  <c r="G242" i="1"/>
  <c r="C242" i="1"/>
  <c r="M242" i="1" s="1" a="1"/>
  <c r="M242" i="1" s="1"/>
  <c r="G17" i="1"/>
  <c r="C17" i="1"/>
  <c r="M17" i="1" s="1" a="1"/>
  <c r="M17" i="1" s="1"/>
  <c r="G18" i="1"/>
  <c r="C18" i="1"/>
  <c r="G19" i="1"/>
  <c r="C19" i="1"/>
  <c r="M19" i="1" s="1" a="1"/>
  <c r="M19" i="1" s="1"/>
  <c r="C20" i="1"/>
  <c r="M20" i="1" s="1" a="1"/>
  <c r="M20" i="1" s="1"/>
  <c r="G20" i="1"/>
  <c r="C21" i="1"/>
  <c r="M21" i="1" s="1" a="1"/>
  <c r="M21" i="1" s="1"/>
  <c r="G21" i="1"/>
  <c r="G22" i="1"/>
  <c r="C22" i="1"/>
  <c r="M22" i="1" s="1" a="1"/>
  <c r="M22" i="1" s="1"/>
  <c r="G23" i="1"/>
  <c r="C23" i="1"/>
  <c r="M23" i="1" s="1" a="1"/>
  <c r="M23" i="1" s="1"/>
  <c r="G24" i="1"/>
  <c r="C24" i="1"/>
  <c r="M24" i="1" s="1" a="1"/>
  <c r="M24" i="1" s="1"/>
  <c r="G25" i="1"/>
  <c r="C25" i="1"/>
  <c r="M25" i="1" s="1" a="1"/>
  <c r="M25" i="1" s="1"/>
  <c r="G26" i="1"/>
  <c r="C26" i="1"/>
  <c r="G27" i="1"/>
  <c r="C27" i="1"/>
  <c r="M27" i="1" s="1" a="1"/>
  <c r="M27" i="1" s="1"/>
  <c r="G28" i="1"/>
  <c r="C28" i="1"/>
  <c r="M28" i="1" s="1" a="1"/>
  <c r="M28" i="1" s="1"/>
  <c r="C29" i="1"/>
  <c r="M29" i="1" s="1" a="1"/>
  <c r="M29" i="1" s="1"/>
  <c r="G29" i="1"/>
  <c r="C30" i="1"/>
  <c r="M30" i="1" s="1" a="1"/>
  <c r="M30" i="1" s="1"/>
  <c r="G30" i="1"/>
  <c r="C31" i="1"/>
  <c r="M31" i="1" s="1" a="1"/>
  <c r="M31" i="1" s="1"/>
  <c r="G31" i="1"/>
  <c r="G32" i="1"/>
  <c r="C32" i="1"/>
  <c r="M32" i="1" s="1" a="1"/>
  <c r="M32" i="1" s="1"/>
  <c r="C33" i="1"/>
  <c r="M33" i="1" s="1" a="1"/>
  <c r="M33" i="1" s="1"/>
  <c r="G33" i="1"/>
  <c r="G34" i="1"/>
  <c r="C34" i="1"/>
  <c r="M34" i="1" s="1" a="1"/>
  <c r="M34" i="1" s="1"/>
  <c r="C35" i="1"/>
  <c r="G35" i="1"/>
  <c r="G36" i="1"/>
  <c r="C36" i="1"/>
  <c r="M36" i="1" s="1" a="1"/>
  <c r="M36" i="1" s="1"/>
  <c r="G37" i="1"/>
  <c r="C37" i="1"/>
  <c r="M37" i="1" s="1" a="1"/>
  <c r="M37" i="1" s="1"/>
  <c r="C38" i="1"/>
  <c r="M38" i="1" s="1" a="1"/>
  <c r="M38" i="1" s="1"/>
  <c r="G38" i="1"/>
  <c r="C39" i="1"/>
  <c r="M39" i="1" s="1" a="1"/>
  <c r="M39" i="1" s="1"/>
  <c r="G39" i="1"/>
  <c r="G40" i="1"/>
  <c r="C40" i="1"/>
  <c r="M40" i="1" s="1" a="1"/>
  <c r="M40" i="1" s="1"/>
  <c r="C41" i="1"/>
  <c r="M41" i="1" s="1" a="1"/>
  <c r="M41" i="1" s="1"/>
  <c r="G41" i="1"/>
  <c r="G42" i="1"/>
  <c r="C42" i="1"/>
  <c r="M42" i="1" s="1" a="1"/>
  <c r="M42" i="1" s="1"/>
  <c r="G43" i="1"/>
  <c r="C43" i="1"/>
  <c r="M43" i="1" s="1" a="1"/>
  <c r="M43" i="1" s="1"/>
  <c r="G44" i="1"/>
  <c r="C44" i="1"/>
  <c r="M44" i="1" s="1" a="1"/>
  <c r="M44" i="1" s="1"/>
  <c r="G45" i="1"/>
  <c r="C45" i="1"/>
  <c r="M45" i="1" s="1" a="1"/>
  <c r="M45" i="1" s="1"/>
  <c r="C46" i="1"/>
  <c r="M46" i="1" s="1" a="1"/>
  <c r="M46" i="1" s="1"/>
  <c r="G46" i="1"/>
  <c r="G47" i="1"/>
  <c r="C47" i="1"/>
  <c r="M47" i="1" s="1" a="1"/>
  <c r="M47" i="1" s="1"/>
  <c r="C48" i="1"/>
  <c r="M48" i="1" s="1" a="1"/>
  <c r="M48" i="1" s="1"/>
  <c r="G48" i="1"/>
  <c r="C49" i="1"/>
  <c r="M49" i="1" s="1" a="1"/>
  <c r="M49" i="1" s="1"/>
  <c r="G49" i="1"/>
  <c r="G50" i="1"/>
  <c r="C50" i="1"/>
  <c r="M50" i="1" s="1" a="1"/>
  <c r="M50" i="1" s="1"/>
  <c r="C51" i="1"/>
  <c r="M51" i="1" s="1" a="1"/>
  <c r="M51" i="1" s="1"/>
  <c r="G51" i="1"/>
  <c r="G52" i="1"/>
  <c r="C52" i="1"/>
  <c r="M52" i="1" s="1" a="1"/>
  <c r="M52" i="1" s="1"/>
  <c r="C53" i="1"/>
  <c r="M53" i="1" s="1" a="1"/>
  <c r="M53" i="1" s="1"/>
  <c r="G53" i="1"/>
  <c r="C54" i="1"/>
  <c r="M54" i="1" s="1" a="1"/>
  <c r="M54" i="1" s="1"/>
  <c r="G54" i="1"/>
  <c r="C55" i="1"/>
  <c r="M55" i="1" s="1" a="1"/>
  <c r="M55" i="1" s="1"/>
  <c r="G55" i="1"/>
  <c r="C56" i="1"/>
  <c r="M56" i="1" s="1" a="1"/>
  <c r="M56" i="1" s="1"/>
  <c r="G56" i="1"/>
  <c r="G57" i="1"/>
  <c r="C57" i="1"/>
  <c r="M57" i="1" s="1" a="1"/>
  <c r="M57" i="1" s="1"/>
  <c r="G58" i="1"/>
  <c r="C58" i="1"/>
  <c r="M58" i="1" s="1" a="1"/>
  <c r="M58" i="1" s="1"/>
  <c r="G59" i="1"/>
  <c r="C59" i="1"/>
  <c r="M59" i="1" s="1" a="1"/>
  <c r="M59" i="1" s="1"/>
  <c r="G60" i="1"/>
  <c r="C60" i="1"/>
  <c r="M60" i="1" s="1" a="1"/>
  <c r="M60" i="1" s="1"/>
  <c r="C61" i="1"/>
  <c r="M61" i="1" s="1" a="1"/>
  <c r="M61" i="1" s="1"/>
  <c r="G61" i="1"/>
  <c r="G62" i="1"/>
  <c r="C62" i="1"/>
  <c r="M62" i="1" s="1" a="1"/>
  <c r="M62" i="1" s="1"/>
  <c r="C63" i="1"/>
  <c r="M63" i="1" s="1" a="1"/>
  <c r="M63" i="1" s="1"/>
  <c r="G63" i="1"/>
  <c r="C64" i="1"/>
  <c r="M64" i="1" s="1" a="1"/>
  <c r="M64" i="1" s="1"/>
  <c r="G64" i="1"/>
  <c r="C65" i="1"/>
  <c r="M65" i="1" s="1" a="1"/>
  <c r="M65" i="1" s="1"/>
  <c r="G65" i="1"/>
  <c r="G66" i="1"/>
  <c r="C66" i="1"/>
  <c r="M66" i="1" s="1" a="1"/>
  <c r="M66" i="1" s="1"/>
  <c r="G67" i="1"/>
  <c r="C67" i="1"/>
  <c r="M67" i="1" s="1" a="1"/>
  <c r="M67" i="1" s="1"/>
  <c r="G68" i="1"/>
  <c r="C68" i="1"/>
  <c r="M68" i="1" s="1" a="1"/>
  <c r="M68" i="1" s="1"/>
  <c r="G69" i="1"/>
  <c r="C69" i="1"/>
  <c r="M69" i="1" s="1" a="1"/>
  <c r="M69" i="1" s="1"/>
  <c r="C70" i="1"/>
  <c r="M70" i="1" s="1" a="1"/>
  <c r="M70" i="1" s="1"/>
  <c r="G70" i="1"/>
  <c r="C71" i="1"/>
  <c r="M71" i="1" s="1" a="1"/>
  <c r="M71" i="1" s="1"/>
  <c r="G71" i="1"/>
  <c r="C72" i="1"/>
  <c r="M72" i="1" s="1" a="1"/>
  <c r="M72" i="1" s="1"/>
  <c r="G72" i="1"/>
  <c r="C73" i="1"/>
  <c r="M73" i="1" s="1" a="1"/>
  <c r="M73" i="1" s="1"/>
  <c r="G73" i="1"/>
  <c r="C74" i="1"/>
  <c r="M74" i="1" s="1" a="1"/>
  <c r="M74" i="1" s="1"/>
  <c r="G74" i="1"/>
  <c r="C75" i="1"/>
  <c r="M75" i="1" s="1" a="1"/>
  <c r="M75" i="1" s="1"/>
  <c r="G75" i="1"/>
  <c r="C76" i="1"/>
  <c r="M76" i="1" s="1" a="1"/>
  <c r="M76" i="1" s="1"/>
  <c r="G76" i="1"/>
  <c r="C77" i="1"/>
  <c r="M77" i="1" s="1" a="1"/>
  <c r="M77" i="1" s="1"/>
  <c r="G77" i="1"/>
  <c r="C78" i="1"/>
  <c r="M78" i="1" s="1" a="1"/>
  <c r="M78" i="1" s="1"/>
  <c r="G78" i="1"/>
  <c r="G79" i="1"/>
  <c r="C79" i="1"/>
  <c r="M79" i="1" s="1" a="1"/>
  <c r="M79" i="1" s="1"/>
  <c r="G80" i="1"/>
  <c r="C80" i="1"/>
  <c r="M80" i="1" s="1" a="1"/>
  <c r="M80" i="1" s="1"/>
  <c r="G81" i="1"/>
  <c r="C81" i="1"/>
  <c r="M81" i="1" s="1" a="1"/>
  <c r="M81" i="1" s="1"/>
  <c r="G82" i="1"/>
  <c r="C82" i="1"/>
  <c r="M82" i="1" s="1" a="1"/>
  <c r="M82" i="1" s="1"/>
  <c r="G83" i="1"/>
  <c r="C83" i="1"/>
  <c r="M83" i="1" s="1" a="1"/>
  <c r="M83" i="1" s="1"/>
  <c r="C84" i="1"/>
  <c r="M84" i="1" s="1" a="1"/>
  <c r="M84" i="1" s="1"/>
  <c r="G84" i="1"/>
  <c r="C85" i="1"/>
  <c r="M85" i="1" s="1" a="1"/>
  <c r="M85" i="1" s="1"/>
  <c r="G85" i="1"/>
  <c r="C86" i="1"/>
  <c r="M86" i="1" s="1" a="1"/>
  <c r="M86" i="1" s="1"/>
  <c r="G86" i="1"/>
  <c r="C87" i="1"/>
  <c r="M87" i="1" s="1" a="1"/>
  <c r="M87" i="1" s="1"/>
  <c r="G87" i="1"/>
  <c r="C88" i="1"/>
  <c r="M88" i="1" s="1" a="1"/>
  <c r="M88" i="1" s="1"/>
  <c r="G88" i="1"/>
  <c r="G89" i="1"/>
  <c r="C89" i="1"/>
  <c r="M89" i="1" s="1" a="1"/>
  <c r="M89" i="1" s="1"/>
  <c r="C510" i="1"/>
  <c r="M510" i="1" s="1" a="1"/>
  <c r="M510" i="1" s="1"/>
  <c r="G510" i="1"/>
  <c r="C511" i="1"/>
  <c r="M511" i="1" s="1" a="1"/>
  <c r="M511" i="1" s="1"/>
  <c r="G511" i="1"/>
  <c r="C512" i="1"/>
  <c r="M512" i="1" s="1" a="1"/>
  <c r="M512" i="1" s="1"/>
  <c r="G512" i="1"/>
  <c r="C513" i="1"/>
  <c r="M513" i="1" s="1" a="1"/>
  <c r="M513" i="1" s="1"/>
  <c r="G513" i="1"/>
  <c r="G514" i="1"/>
  <c r="C514" i="1"/>
  <c r="M514" i="1" s="1" a="1"/>
  <c r="M514" i="1" s="1"/>
  <c r="C515" i="1"/>
  <c r="M515" i="1" s="1" a="1"/>
  <c r="M515" i="1" s="1"/>
  <c r="G515" i="1"/>
  <c r="C516" i="1"/>
  <c r="M516" i="1" s="1" a="1"/>
  <c r="M516" i="1" s="1"/>
  <c r="G516" i="1"/>
  <c r="G517" i="1"/>
  <c r="C517" i="1"/>
  <c r="M517" i="1" s="1" a="1"/>
  <c r="M517" i="1" s="1"/>
  <c r="G518" i="1"/>
  <c r="C518" i="1"/>
  <c r="M518" i="1" s="1" a="1"/>
  <c r="M518" i="1" s="1"/>
  <c r="G519" i="1"/>
  <c r="C519" i="1"/>
  <c r="M519" i="1" s="1" a="1"/>
  <c r="M519" i="1" s="1"/>
  <c r="C520" i="1"/>
  <c r="M520" i="1" s="1" a="1"/>
  <c r="M520" i="1" s="1"/>
  <c r="G520" i="1"/>
  <c r="C521" i="1"/>
  <c r="M521" i="1" s="1" a="1"/>
  <c r="M521" i="1" s="1"/>
  <c r="G521" i="1"/>
  <c r="G522" i="1"/>
  <c r="C522" i="1"/>
  <c r="M522" i="1" s="1" a="1"/>
  <c r="M522" i="1" s="1"/>
  <c r="G523" i="1"/>
  <c r="C523" i="1"/>
  <c r="M523" i="1" s="1" a="1"/>
  <c r="M523" i="1" s="1"/>
  <c r="G524" i="1"/>
  <c r="C524" i="1"/>
  <c r="M524" i="1" s="1" a="1"/>
  <c r="M524" i="1" s="1"/>
  <c r="G525" i="1"/>
  <c r="C525" i="1"/>
  <c r="M525" i="1" s="1" a="1"/>
  <c r="M525" i="1" s="1"/>
  <c r="G526" i="1"/>
  <c r="C526" i="1"/>
  <c r="M526" i="1" s="1" a="1"/>
  <c r="M526" i="1" s="1"/>
  <c r="G527" i="1"/>
  <c r="C527" i="1"/>
  <c r="M527" i="1" s="1" a="1"/>
  <c r="M527" i="1" s="1"/>
  <c r="G528" i="1"/>
  <c r="C528" i="1"/>
  <c r="M528" i="1" s="1" a="1"/>
  <c r="M528" i="1" s="1"/>
  <c r="G529" i="1"/>
  <c r="C529" i="1"/>
  <c r="M529" i="1" s="1" a="1"/>
  <c r="M529" i="1" s="1"/>
  <c r="G530" i="1"/>
  <c r="C530" i="1"/>
  <c r="M530" i="1" s="1" a="1"/>
  <c r="M530" i="1" s="1"/>
  <c r="G531" i="1"/>
  <c r="C531" i="1"/>
  <c r="M531" i="1" s="1" a="1"/>
  <c r="M531" i="1" s="1"/>
  <c r="C532" i="1"/>
  <c r="M532" i="1" s="1" a="1"/>
  <c r="M532" i="1" s="1"/>
  <c r="G532" i="1"/>
  <c r="G533" i="1"/>
  <c r="C533" i="1"/>
  <c r="M533" i="1" s="1" a="1"/>
  <c r="M533" i="1" s="1"/>
  <c r="C534" i="1"/>
  <c r="M534" i="1" s="1" a="1"/>
  <c r="M534" i="1" s="1"/>
  <c r="G534" i="1"/>
  <c r="C535" i="1"/>
  <c r="M535" i="1" s="1" a="1"/>
  <c r="M535" i="1" s="1"/>
  <c r="G535" i="1"/>
  <c r="G536" i="1"/>
  <c r="C536" i="1"/>
  <c r="M536" i="1" s="1" a="1"/>
  <c r="M536" i="1" s="1"/>
  <c r="G537" i="1"/>
  <c r="C537" i="1"/>
  <c r="M537" i="1" s="1" a="1"/>
  <c r="M537" i="1" s="1"/>
  <c r="C538" i="1"/>
  <c r="M538" i="1" s="1" a="1"/>
  <c r="M538" i="1" s="1"/>
  <c r="G538" i="1"/>
  <c r="C539" i="1"/>
  <c r="M539" i="1" s="1" a="1"/>
  <c r="M539" i="1" s="1"/>
  <c r="G539" i="1"/>
  <c r="G540" i="1"/>
  <c r="C540" i="1"/>
  <c r="M540" i="1" s="1" a="1"/>
  <c r="M540" i="1" s="1"/>
  <c r="G541" i="1"/>
  <c r="C541" i="1"/>
  <c r="M541" i="1" s="1" a="1"/>
  <c r="M541" i="1" s="1"/>
  <c r="G542" i="1"/>
  <c r="C542" i="1"/>
  <c r="M542" i="1" s="1" a="1"/>
  <c r="M542" i="1" s="1"/>
  <c r="G543" i="1"/>
  <c r="C543" i="1"/>
  <c r="M543" i="1" s="1" a="1"/>
  <c r="M543" i="1" s="1"/>
  <c r="G544" i="1"/>
  <c r="C544" i="1"/>
  <c r="M544" i="1" s="1" a="1"/>
  <c r="M544" i="1" s="1"/>
  <c r="C545" i="1"/>
  <c r="M545" i="1" s="1" a="1"/>
  <c r="M545" i="1" s="1"/>
  <c r="G545" i="1"/>
  <c r="G546" i="1"/>
  <c r="C546" i="1"/>
  <c r="M546" i="1" s="1" a="1"/>
  <c r="M546" i="1" s="1"/>
  <c r="G547" i="1"/>
  <c r="C547" i="1"/>
  <c r="M547" i="1" s="1" a="1"/>
  <c r="M547" i="1" s="1"/>
  <c r="G548" i="1"/>
  <c r="C548" i="1"/>
  <c r="M548" i="1" s="1" a="1"/>
  <c r="M548" i="1" s="1"/>
  <c r="G549" i="1"/>
  <c r="C549" i="1"/>
  <c r="M549" i="1" s="1" a="1"/>
  <c r="M549" i="1" s="1"/>
  <c r="G550" i="1"/>
  <c r="C550" i="1"/>
  <c r="M550" i="1" s="1" a="1"/>
  <c r="M550" i="1" s="1"/>
  <c r="G551" i="1"/>
  <c r="C551" i="1"/>
  <c r="M551" i="1" s="1" a="1"/>
  <c r="M551" i="1" s="1"/>
  <c r="G552" i="1"/>
  <c r="C552" i="1"/>
  <c r="M552" i="1" s="1" a="1"/>
  <c r="M552" i="1" s="1"/>
  <c r="G553" i="1"/>
  <c r="C553" i="1"/>
  <c r="M553" i="1" s="1" a="1"/>
  <c r="M553" i="1" s="1"/>
  <c r="C554" i="1"/>
  <c r="M554" i="1" s="1" a="1"/>
  <c r="M554" i="1" s="1"/>
  <c r="G554" i="1"/>
  <c r="G555" i="1"/>
  <c r="C555" i="1"/>
  <c r="M555" i="1" s="1" a="1"/>
  <c r="M555" i="1" s="1"/>
  <c r="C556" i="1"/>
  <c r="M556" i="1" s="1" a="1"/>
  <c r="M556" i="1" s="1"/>
  <c r="G556" i="1"/>
  <c r="C557" i="1"/>
  <c r="M557" i="1" s="1" a="1"/>
  <c r="M557" i="1" s="1"/>
  <c r="G557" i="1"/>
  <c r="G558" i="1"/>
  <c r="C558" i="1"/>
  <c r="M558" i="1" s="1" a="1"/>
  <c r="M558" i="1" s="1"/>
  <c r="C559" i="1"/>
  <c r="M559" i="1" s="1" a="1"/>
  <c r="M559" i="1" s="1"/>
  <c r="G559" i="1"/>
  <c r="C560" i="1"/>
  <c r="M560" i="1" s="1" a="1"/>
  <c r="M560" i="1" s="1"/>
  <c r="G560" i="1"/>
  <c r="C561" i="1"/>
  <c r="M561" i="1" s="1" a="1"/>
  <c r="M561" i="1" s="1"/>
  <c r="G561" i="1"/>
  <c r="G562" i="1"/>
  <c r="C562" i="1"/>
  <c r="M562" i="1" s="1" a="1"/>
  <c r="M562" i="1" s="1"/>
  <c r="C563" i="1"/>
  <c r="M563" i="1" s="1" a="1"/>
  <c r="M563" i="1" s="1"/>
  <c r="G563" i="1"/>
  <c r="C564" i="1"/>
  <c r="M564" i="1" s="1" a="1"/>
  <c r="M564" i="1" s="1"/>
  <c r="G564" i="1"/>
  <c r="C565" i="1"/>
  <c r="M565" i="1" s="1" a="1"/>
  <c r="M565" i="1" s="1"/>
  <c r="G565" i="1"/>
  <c r="G566" i="1"/>
  <c r="C566" i="1"/>
  <c r="M566" i="1" s="1" a="1"/>
  <c r="M566" i="1" s="1"/>
  <c r="G567" i="1"/>
  <c r="C567" i="1"/>
  <c r="M567" i="1" s="1" a="1"/>
  <c r="M567" i="1" s="1"/>
  <c r="C568" i="1"/>
  <c r="M568" i="1" s="1" a="1"/>
  <c r="M568" i="1" s="1"/>
  <c r="G568" i="1"/>
  <c r="G569" i="1"/>
  <c r="C569" i="1"/>
  <c r="M569" i="1" s="1" a="1"/>
  <c r="M569" i="1" s="1"/>
  <c r="G570" i="1"/>
  <c r="C570" i="1"/>
  <c r="M570" i="1" s="1" a="1"/>
  <c r="M570" i="1" s="1"/>
  <c r="C571" i="1"/>
  <c r="M571" i="1" s="1" a="1"/>
  <c r="M571" i="1" s="1"/>
  <c r="G571" i="1"/>
  <c r="C572" i="1"/>
  <c r="M572" i="1" s="1" a="1"/>
  <c r="M572" i="1" s="1"/>
  <c r="G572" i="1"/>
  <c r="C573" i="1"/>
  <c r="M573" i="1" s="1" a="1"/>
  <c r="M573" i="1" s="1"/>
  <c r="G573" i="1"/>
  <c r="G574" i="1"/>
  <c r="C574" i="1"/>
  <c r="M574" i="1" s="1" a="1"/>
  <c r="M574" i="1" s="1"/>
  <c r="G575" i="1"/>
  <c r="C575" i="1"/>
  <c r="M575" i="1" s="1" a="1"/>
  <c r="M575" i="1" s="1"/>
  <c r="G576" i="1"/>
  <c r="C576" i="1"/>
  <c r="M576" i="1" s="1" a="1"/>
  <c r="M576" i="1" s="1"/>
  <c r="C577" i="1"/>
  <c r="M577" i="1" s="1" a="1"/>
  <c r="M577" i="1" s="1"/>
  <c r="G577" i="1"/>
  <c r="G578" i="1"/>
  <c r="C578" i="1"/>
  <c r="M578" i="1" s="1" a="1"/>
  <c r="M578" i="1" s="1"/>
  <c r="G579" i="1"/>
  <c r="C579" i="1"/>
  <c r="M579" i="1" s="1" a="1"/>
  <c r="M579" i="1" s="1"/>
  <c r="G580" i="1"/>
  <c r="C580" i="1"/>
  <c r="M580" i="1" s="1" a="1"/>
  <c r="M580" i="1" s="1"/>
  <c r="G581" i="1"/>
  <c r="C581" i="1"/>
  <c r="M581" i="1" s="1" a="1"/>
  <c r="M581" i="1" s="1"/>
  <c r="C582" i="1"/>
  <c r="M582" i="1" s="1" a="1"/>
  <c r="M582" i="1" s="1"/>
  <c r="G582" i="1"/>
  <c r="G583" i="1"/>
  <c r="C583" i="1"/>
  <c r="M583" i="1" s="1" a="1"/>
  <c r="M583" i="1" s="1"/>
  <c r="C584" i="1"/>
  <c r="M584" i="1" s="1" a="1"/>
  <c r="M584" i="1" s="1"/>
  <c r="G584" i="1"/>
  <c r="G585" i="1"/>
  <c r="C585" i="1"/>
  <c r="M585" i="1" s="1" a="1"/>
  <c r="M585" i="1" s="1"/>
  <c r="G586" i="1"/>
  <c r="C586" i="1"/>
  <c r="M586" i="1" s="1" a="1"/>
  <c r="M586" i="1" s="1"/>
  <c r="C587" i="1"/>
  <c r="M587" i="1" s="1" a="1"/>
  <c r="M587" i="1" s="1"/>
  <c r="G587" i="1"/>
  <c r="G588" i="1"/>
  <c r="C588" i="1"/>
  <c r="M588" i="1" s="1" a="1"/>
  <c r="M588" i="1" s="1"/>
  <c r="G589" i="1"/>
  <c r="C589" i="1"/>
  <c r="M589" i="1" s="1" a="1"/>
  <c r="M589" i="1" s="1"/>
  <c r="G590" i="1"/>
  <c r="C590" i="1"/>
  <c r="M590" i="1" s="1" a="1"/>
  <c r="M590" i="1" s="1"/>
  <c r="G591" i="1"/>
  <c r="C591" i="1"/>
  <c r="M591" i="1" s="1" a="1"/>
  <c r="M591" i="1" s="1"/>
  <c r="G592" i="1"/>
  <c r="C592" i="1"/>
  <c r="M592" i="1" s="1" a="1"/>
  <c r="M592" i="1" s="1"/>
  <c r="G593" i="1"/>
  <c r="C593" i="1"/>
  <c r="M593" i="1" s="1" a="1"/>
  <c r="M593" i="1" s="1"/>
  <c r="G594" i="1"/>
  <c r="C594" i="1"/>
  <c r="M594" i="1" s="1" a="1"/>
  <c r="M594" i="1" s="1"/>
  <c r="G595" i="1"/>
  <c r="C595" i="1"/>
  <c r="M595" i="1" s="1" a="1"/>
  <c r="M595" i="1" s="1"/>
  <c r="C596" i="1"/>
  <c r="M596" i="1" s="1" a="1"/>
  <c r="M596" i="1" s="1"/>
  <c r="G596" i="1"/>
  <c r="G597" i="1"/>
  <c r="C597" i="1"/>
  <c r="M597" i="1" s="1" a="1"/>
  <c r="M597" i="1" s="1"/>
  <c r="G598" i="1"/>
  <c r="C598" i="1"/>
  <c r="M598" i="1" s="1" a="1"/>
  <c r="M598" i="1" s="1"/>
  <c r="G599" i="1"/>
  <c r="C599" i="1"/>
  <c r="M599" i="1" s="1" a="1"/>
  <c r="M599" i="1" s="1"/>
  <c r="G600" i="1"/>
  <c r="C600" i="1"/>
  <c r="M600" i="1" s="1" a="1"/>
  <c r="M600" i="1" s="1"/>
  <c r="C601" i="1"/>
  <c r="M601" i="1" s="1" a="1"/>
  <c r="M601" i="1" s="1"/>
  <c r="G601" i="1"/>
  <c r="C602" i="1"/>
  <c r="M602" i="1" s="1" a="1"/>
  <c r="M602" i="1" s="1"/>
  <c r="G602" i="1"/>
  <c r="C603" i="1"/>
  <c r="M603" i="1" s="1" a="1"/>
  <c r="M603" i="1" s="1"/>
  <c r="G603" i="1"/>
  <c r="G604" i="1"/>
  <c r="C604" i="1"/>
  <c r="M604" i="1" s="1" a="1"/>
  <c r="M604" i="1" s="1"/>
  <c r="C605" i="1"/>
  <c r="M605" i="1" s="1" a="1"/>
  <c r="M605" i="1" s="1"/>
  <c r="G605" i="1"/>
  <c r="C606" i="1"/>
  <c r="M606" i="1" s="1" a="1"/>
  <c r="M606" i="1" s="1"/>
  <c r="G606" i="1"/>
  <c r="C607" i="1"/>
  <c r="M607" i="1" s="1" a="1"/>
  <c r="M607" i="1" s="1"/>
  <c r="G607" i="1"/>
  <c r="C608" i="1"/>
  <c r="M608" i="1" s="1" a="1"/>
  <c r="M608" i="1" s="1"/>
  <c r="G608" i="1"/>
  <c r="C609" i="1"/>
  <c r="M609" i="1" s="1" a="1"/>
  <c r="M609" i="1" s="1"/>
  <c r="G609" i="1"/>
  <c r="G610" i="1"/>
  <c r="C610" i="1"/>
  <c r="M610" i="1" s="1" a="1"/>
  <c r="M610" i="1" s="1"/>
  <c r="G611" i="1"/>
  <c r="C611" i="1"/>
  <c r="M611" i="1" s="1" a="1"/>
  <c r="M611" i="1" s="1"/>
  <c r="G612" i="1"/>
  <c r="C612" i="1"/>
  <c r="M612" i="1" s="1" a="1"/>
  <c r="M612" i="1" s="1"/>
  <c r="G613" i="1"/>
  <c r="C613" i="1"/>
  <c r="M613" i="1" s="1" a="1"/>
  <c r="M613" i="1" s="1"/>
  <c r="C614" i="1"/>
  <c r="M614" i="1" s="1" a="1"/>
  <c r="M614" i="1" s="1"/>
  <c r="G614" i="1"/>
  <c r="C615" i="1"/>
  <c r="M615" i="1" s="1" a="1"/>
  <c r="M615" i="1" s="1"/>
  <c r="G615" i="1"/>
  <c r="G616" i="1"/>
  <c r="C616" i="1"/>
  <c r="M616" i="1" s="1" a="1"/>
  <c r="M616" i="1" s="1"/>
  <c r="G617" i="1"/>
  <c r="C617" i="1"/>
  <c r="M617" i="1" s="1" a="1"/>
  <c r="M617" i="1" s="1"/>
  <c r="G618" i="1"/>
  <c r="C618" i="1"/>
  <c r="M618" i="1" s="1" a="1"/>
  <c r="M618" i="1" s="1"/>
  <c r="G619" i="1"/>
  <c r="C619" i="1"/>
  <c r="M619" i="1" s="1" a="1"/>
  <c r="M619" i="1" s="1"/>
  <c r="G620" i="1"/>
  <c r="C620" i="1"/>
  <c r="M620" i="1" s="1" a="1"/>
  <c r="M620" i="1" s="1"/>
  <c r="C621" i="1"/>
  <c r="M621" i="1" s="1" a="1"/>
  <c r="M621" i="1" s="1"/>
  <c r="G621" i="1"/>
  <c r="C622" i="1"/>
  <c r="M622" i="1" s="1" a="1"/>
  <c r="M622" i="1" s="1"/>
  <c r="G622" i="1"/>
  <c r="C623" i="1"/>
  <c r="M623" i="1" s="1" a="1"/>
  <c r="M623" i="1" s="1"/>
  <c r="G623" i="1"/>
  <c r="C624" i="1"/>
  <c r="M624" i="1" s="1" a="1"/>
  <c r="M624" i="1" s="1"/>
  <c r="G624" i="1"/>
  <c r="C625" i="1"/>
  <c r="M625" i="1" s="1" a="1"/>
  <c r="M625" i="1" s="1"/>
  <c r="G625" i="1"/>
  <c r="G626" i="1"/>
  <c r="C626" i="1"/>
  <c r="M626" i="1" s="1" a="1"/>
  <c r="M626" i="1" s="1"/>
  <c r="C627" i="1"/>
  <c r="M627" i="1" s="1" a="1"/>
  <c r="M627" i="1" s="1"/>
  <c r="G627" i="1"/>
  <c r="G628" i="1"/>
  <c r="C628" i="1"/>
  <c r="M628" i="1" s="1" a="1"/>
  <c r="M628" i="1" s="1"/>
  <c r="C629" i="1"/>
  <c r="M629" i="1" s="1" a="1"/>
  <c r="M629" i="1" s="1"/>
  <c r="G629" i="1"/>
  <c r="C630" i="1"/>
  <c r="M630" i="1" s="1" a="1"/>
  <c r="M630" i="1" s="1"/>
  <c r="G630" i="1"/>
  <c r="C631" i="1"/>
  <c r="M631" i="1" s="1" a="1"/>
  <c r="M631" i="1" s="1"/>
  <c r="G631" i="1"/>
  <c r="C632" i="1"/>
  <c r="M632" i="1" s="1" a="1"/>
  <c r="M632" i="1" s="1"/>
  <c r="G632" i="1"/>
  <c r="G633" i="1"/>
  <c r="C633" i="1"/>
  <c r="M633" i="1" s="1" a="1"/>
  <c r="M633" i="1" s="1"/>
  <c r="G634" i="1"/>
  <c r="C634" i="1"/>
  <c r="M634" i="1" s="1" a="1"/>
  <c r="M634" i="1" s="1"/>
  <c r="G635" i="1"/>
  <c r="C635" i="1"/>
  <c r="M635" i="1" s="1" a="1"/>
  <c r="M635" i="1" s="1"/>
  <c r="G636" i="1"/>
  <c r="C636" i="1"/>
  <c r="M636" i="1" s="1" a="1"/>
  <c r="M636" i="1" s="1"/>
  <c r="G637" i="1"/>
  <c r="C637" i="1"/>
  <c r="M637" i="1" s="1" a="1"/>
  <c r="M637" i="1" s="1"/>
  <c r="G638" i="1"/>
  <c r="C638" i="1"/>
  <c r="M638" i="1" s="1" a="1"/>
  <c r="M638" i="1" s="1"/>
  <c r="G639" i="1"/>
  <c r="C639" i="1"/>
  <c r="M639" i="1" s="1" a="1"/>
  <c r="M639" i="1" s="1"/>
  <c r="G640" i="1"/>
  <c r="C640" i="1"/>
  <c r="M640" i="1" s="1" a="1"/>
  <c r="M640" i="1" s="1"/>
  <c r="G641" i="1"/>
  <c r="C641" i="1"/>
  <c r="M641" i="1" s="1" a="1"/>
  <c r="M641" i="1" s="1"/>
  <c r="C642" i="1"/>
  <c r="M642" i="1" s="1" a="1"/>
  <c r="M642" i="1" s="1"/>
  <c r="G642" i="1"/>
  <c r="G643" i="1"/>
  <c r="C643" i="1"/>
  <c r="M643" i="1" s="1" a="1"/>
  <c r="M643" i="1" s="1"/>
  <c r="C644" i="1"/>
  <c r="M644" i="1" s="1" a="1"/>
  <c r="M644" i="1" s="1"/>
  <c r="G644" i="1"/>
  <c r="C645" i="1"/>
  <c r="M645" i="1" s="1" a="1"/>
  <c r="M645" i="1" s="1"/>
  <c r="G645" i="1"/>
  <c r="C646" i="1"/>
  <c r="M646" i="1" s="1" a="1"/>
  <c r="M646" i="1" s="1"/>
  <c r="G646" i="1"/>
  <c r="C647" i="1"/>
  <c r="M647" i="1" s="1" a="1"/>
  <c r="M647" i="1" s="1"/>
  <c r="G647" i="1"/>
  <c r="C648" i="1"/>
  <c r="M648" i="1" s="1" a="1"/>
  <c r="M648" i="1" s="1"/>
  <c r="G648" i="1"/>
  <c r="G649" i="1"/>
  <c r="C649" i="1"/>
  <c r="M649" i="1" s="1" a="1"/>
  <c r="M649" i="1" s="1"/>
  <c r="G650" i="1"/>
  <c r="C650" i="1"/>
  <c r="M650" i="1" s="1" a="1"/>
  <c r="M650" i="1" s="1"/>
  <c r="C651" i="1"/>
  <c r="M651" i="1" s="1" a="1"/>
  <c r="M651" i="1" s="1"/>
  <c r="G651" i="1"/>
  <c r="G652" i="1"/>
  <c r="C652" i="1"/>
  <c r="M652" i="1" s="1" a="1"/>
  <c r="M652" i="1" s="1"/>
  <c r="C653" i="1"/>
  <c r="M653" i="1" s="1" a="1"/>
  <c r="M653" i="1" s="1"/>
  <c r="G653" i="1"/>
  <c r="G654" i="1"/>
  <c r="C654" i="1"/>
  <c r="M654" i="1" s="1" a="1"/>
  <c r="M654" i="1" s="1"/>
  <c r="C655" i="1"/>
  <c r="M655" i="1" s="1" a="1"/>
  <c r="M655" i="1" s="1"/>
  <c r="G655" i="1"/>
  <c r="C656" i="1"/>
  <c r="M656" i="1" s="1" a="1"/>
  <c r="M656" i="1" s="1"/>
  <c r="G656" i="1"/>
  <c r="C657" i="1"/>
  <c r="M657" i="1" s="1" a="1"/>
  <c r="M657" i="1" s="1"/>
  <c r="G657" i="1"/>
  <c r="G658" i="1"/>
  <c r="C658" i="1"/>
  <c r="M658" i="1" s="1" a="1"/>
  <c r="M658" i="1" s="1"/>
  <c r="C659" i="1"/>
  <c r="M659" i="1" s="1" a="1"/>
  <c r="M659" i="1" s="1"/>
  <c r="G659" i="1"/>
  <c r="C660" i="1"/>
  <c r="M660" i="1" s="1" a="1"/>
  <c r="M660" i="1" s="1"/>
  <c r="G660" i="1"/>
  <c r="C661" i="1"/>
  <c r="M661" i="1" s="1" a="1"/>
  <c r="M661" i="1" s="1"/>
  <c r="G661" i="1"/>
  <c r="C662" i="1"/>
  <c r="M662" i="1" s="1" a="1"/>
  <c r="M662" i="1" s="1"/>
  <c r="G662" i="1"/>
  <c r="G663" i="1"/>
  <c r="C663" i="1"/>
  <c r="M663" i="1" s="1" a="1"/>
  <c r="M663" i="1" s="1"/>
  <c r="G664" i="1"/>
  <c r="C664" i="1"/>
  <c r="M664" i="1" s="1" a="1"/>
  <c r="M664" i="1" s="1"/>
  <c r="C665" i="1"/>
  <c r="M665" i="1" s="1" a="1"/>
  <c r="M665" i="1" s="1"/>
  <c r="G665" i="1"/>
  <c r="G666" i="1"/>
  <c r="C666" i="1"/>
  <c r="M666" i="1" s="1" a="1"/>
  <c r="M666" i="1" s="1"/>
  <c r="G667" i="1"/>
  <c r="C667" i="1"/>
  <c r="M667" i="1" s="1" a="1"/>
  <c r="M667" i="1" s="1"/>
  <c r="G668" i="1"/>
  <c r="C668" i="1"/>
  <c r="M668" i="1" s="1" a="1"/>
  <c r="M668" i="1" s="1"/>
  <c r="C669" i="1"/>
  <c r="M669" i="1" s="1" a="1"/>
  <c r="M669" i="1" s="1"/>
  <c r="G669" i="1"/>
  <c r="G670" i="1"/>
  <c r="C670" i="1"/>
  <c r="M670" i="1" s="1" a="1"/>
  <c r="M670" i="1" s="1"/>
  <c r="G671" i="1"/>
  <c r="C671" i="1"/>
  <c r="M671" i="1" s="1" a="1"/>
  <c r="M671" i="1" s="1"/>
  <c r="C672" i="1"/>
  <c r="M672" i="1" s="1" a="1"/>
  <c r="M672" i="1" s="1"/>
  <c r="G672" i="1"/>
  <c r="G673" i="1"/>
  <c r="C673" i="1"/>
  <c r="M673" i="1" s="1" a="1"/>
  <c r="M673" i="1" s="1"/>
  <c r="G674" i="1"/>
  <c r="C674" i="1"/>
  <c r="M674" i="1" s="1" a="1"/>
  <c r="M674" i="1" s="1"/>
  <c r="C675" i="1"/>
  <c r="M675" i="1" s="1" a="1"/>
  <c r="M675" i="1" s="1"/>
  <c r="G675" i="1"/>
  <c r="C676" i="1"/>
  <c r="M676" i="1" s="1" a="1"/>
  <c r="M676" i="1" s="1"/>
  <c r="G676" i="1"/>
  <c r="G677" i="1"/>
  <c r="C677" i="1"/>
  <c r="M677" i="1" s="1" a="1"/>
  <c r="M677" i="1" s="1"/>
  <c r="C678" i="1"/>
  <c r="M678" i="1" s="1" a="1"/>
  <c r="M678" i="1" s="1"/>
  <c r="G678" i="1"/>
  <c r="G679" i="1"/>
  <c r="C679" i="1"/>
  <c r="M679" i="1" s="1" a="1"/>
  <c r="M679" i="1" s="1"/>
  <c r="C680" i="1"/>
  <c r="M680" i="1" s="1" a="1"/>
  <c r="M680" i="1" s="1"/>
  <c r="G680" i="1"/>
  <c r="C681" i="1"/>
  <c r="M681" i="1" s="1" a="1"/>
  <c r="M681" i="1" s="1"/>
  <c r="G681" i="1"/>
  <c r="G682" i="1"/>
  <c r="C682" i="1"/>
  <c r="M682" i="1" s="1" a="1"/>
  <c r="M682" i="1" s="1"/>
  <c r="G683" i="1"/>
  <c r="C683" i="1"/>
  <c r="M683" i="1" s="1" a="1"/>
  <c r="M683" i="1" s="1"/>
  <c r="C684" i="1"/>
  <c r="M684" i="1" s="1" a="1"/>
  <c r="M684" i="1" s="1"/>
  <c r="G684" i="1"/>
  <c r="C685" i="1"/>
  <c r="M685" i="1" s="1" a="1"/>
  <c r="M685" i="1" s="1"/>
  <c r="G685" i="1"/>
  <c r="C686" i="1"/>
  <c r="M686" i="1" s="1" a="1"/>
  <c r="M686" i="1" s="1"/>
  <c r="G686" i="1"/>
  <c r="G687" i="1"/>
  <c r="C687" i="1"/>
  <c r="M687" i="1" s="1" a="1"/>
  <c r="M687" i="1" s="1"/>
  <c r="G688" i="1"/>
  <c r="C688" i="1"/>
  <c r="M688" i="1" s="1" a="1"/>
  <c r="M688" i="1" s="1"/>
  <c r="G689" i="1"/>
  <c r="C689" i="1"/>
  <c r="M689" i="1" s="1" a="1"/>
  <c r="M689" i="1" s="1"/>
  <c r="C690" i="1"/>
  <c r="M690" i="1" s="1" a="1"/>
  <c r="M690" i="1" s="1"/>
  <c r="G690" i="1"/>
  <c r="G691" i="1"/>
  <c r="C691" i="1"/>
  <c r="M691" i="1" s="1" a="1"/>
  <c r="M691" i="1" s="1"/>
  <c r="C692" i="1"/>
  <c r="M692" i="1" s="1" a="1"/>
  <c r="M692" i="1" s="1"/>
  <c r="G692" i="1"/>
  <c r="C693" i="1"/>
  <c r="M693" i="1" s="1" a="1"/>
  <c r="M693" i="1" s="1"/>
  <c r="G693" i="1"/>
  <c r="C694" i="1"/>
  <c r="M694" i="1" s="1" a="1"/>
  <c r="M694" i="1" s="1"/>
  <c r="G694" i="1"/>
  <c r="C695" i="1"/>
  <c r="M695" i="1" s="1" a="1"/>
  <c r="M695" i="1" s="1"/>
  <c r="G695" i="1"/>
  <c r="C696" i="1"/>
  <c r="M696" i="1" s="1" a="1"/>
  <c r="M696" i="1" s="1"/>
  <c r="G696" i="1"/>
  <c r="G697" i="1"/>
  <c r="C697" i="1"/>
  <c r="M697" i="1" s="1" a="1"/>
  <c r="M697" i="1" s="1"/>
  <c r="G698" i="1"/>
  <c r="C698" i="1"/>
  <c r="M698" i="1" s="1" a="1"/>
  <c r="M698" i="1" s="1"/>
  <c r="G699" i="1"/>
  <c r="C699" i="1"/>
  <c r="M699" i="1" s="1" a="1"/>
  <c r="M699" i="1" s="1"/>
  <c r="C700" i="1"/>
  <c r="M700" i="1" s="1" a="1"/>
  <c r="M700" i="1" s="1"/>
  <c r="G700" i="1"/>
  <c r="C701" i="1"/>
  <c r="M701" i="1" s="1" a="1"/>
  <c r="M701" i="1" s="1"/>
  <c r="G701" i="1"/>
  <c r="C702" i="1"/>
  <c r="M702" i="1" s="1" a="1"/>
  <c r="M702" i="1" s="1"/>
  <c r="G702" i="1"/>
  <c r="C703" i="1"/>
  <c r="M703" i="1" s="1" a="1"/>
  <c r="M703" i="1" s="1"/>
  <c r="G703" i="1"/>
  <c r="C704" i="1"/>
  <c r="M704" i="1" s="1" a="1"/>
  <c r="M704" i="1" s="1"/>
  <c r="G704" i="1"/>
  <c r="C705" i="1"/>
  <c r="M705" i="1" s="1" a="1"/>
  <c r="M705" i="1" s="1"/>
  <c r="G705" i="1"/>
  <c r="G706" i="1"/>
  <c r="C706" i="1"/>
  <c r="M706" i="1" s="1" a="1"/>
  <c r="M706" i="1" s="1"/>
  <c r="G707" i="1"/>
  <c r="C707" i="1"/>
  <c r="M707" i="1" s="1" a="1"/>
  <c r="M707" i="1" s="1"/>
  <c r="C708" i="1"/>
  <c r="M708" i="1" s="1" a="1"/>
  <c r="M708" i="1" s="1"/>
  <c r="G708" i="1"/>
  <c r="C709" i="1"/>
  <c r="M709" i="1" s="1" a="1"/>
  <c r="M709" i="1" s="1"/>
  <c r="G709" i="1"/>
  <c r="C710" i="1"/>
  <c r="M710" i="1" s="1" a="1"/>
  <c r="M710" i="1" s="1"/>
  <c r="G710" i="1"/>
  <c r="C711" i="1"/>
  <c r="M711" i="1" s="1" a="1"/>
  <c r="M711" i="1" s="1"/>
  <c r="G711" i="1"/>
  <c r="C712" i="1"/>
  <c r="M712" i="1" s="1" a="1"/>
  <c r="M712" i="1" s="1"/>
  <c r="G712" i="1"/>
  <c r="C713" i="1"/>
  <c r="M713" i="1" s="1" a="1"/>
  <c r="M713" i="1" s="1"/>
  <c r="G713" i="1"/>
  <c r="C714" i="1"/>
  <c r="M714" i="1" s="1" a="1"/>
  <c r="M714" i="1" s="1"/>
  <c r="G714" i="1"/>
  <c r="G715" i="1"/>
  <c r="C715" i="1"/>
  <c r="M715" i="1" s="1" a="1"/>
  <c r="M715" i="1" s="1"/>
  <c r="C716" i="1"/>
  <c r="M716" i="1" s="1" a="1"/>
  <c r="M716" i="1" s="1"/>
  <c r="G716" i="1"/>
  <c r="C717" i="1"/>
  <c r="M717" i="1" s="1" a="1"/>
  <c r="M717" i="1" s="1"/>
  <c r="G717" i="1"/>
  <c r="G718" i="1"/>
  <c r="C718" i="1"/>
  <c r="M718" i="1" s="1" a="1"/>
  <c r="M718" i="1" s="1"/>
  <c r="G719" i="1"/>
  <c r="C719" i="1"/>
  <c r="M719" i="1" s="1" a="1"/>
  <c r="M719" i="1" s="1"/>
  <c r="G720" i="1"/>
  <c r="C720" i="1"/>
  <c r="M720" i="1" s="1" a="1"/>
  <c r="M720" i="1" s="1"/>
  <c r="G721" i="1"/>
  <c r="C721" i="1"/>
  <c r="M721" i="1" s="1" a="1"/>
  <c r="M721" i="1" s="1"/>
  <c r="C722" i="1"/>
  <c r="M722" i="1" s="1" a="1"/>
  <c r="M722" i="1" s="1"/>
  <c r="G722" i="1"/>
  <c r="C723" i="1"/>
  <c r="M723" i="1" s="1" a="1"/>
  <c r="M723" i="1" s="1"/>
  <c r="G723" i="1"/>
  <c r="G724" i="1"/>
  <c r="C724" i="1"/>
  <c r="M724" i="1" s="1" a="1"/>
  <c r="M724" i="1" s="1"/>
  <c r="C725" i="1"/>
  <c r="M725" i="1" s="1" a="1"/>
  <c r="M725" i="1" s="1"/>
  <c r="G725" i="1"/>
  <c r="G726" i="1"/>
  <c r="C726" i="1"/>
  <c r="M726" i="1" s="1" a="1"/>
  <c r="M726" i="1" s="1"/>
  <c r="C727" i="1"/>
  <c r="M727" i="1" s="1" a="1"/>
  <c r="M727" i="1" s="1"/>
  <c r="G727" i="1"/>
  <c r="G728" i="1"/>
  <c r="C728" i="1"/>
  <c r="M728" i="1" s="1" a="1"/>
  <c r="M728" i="1" s="1"/>
  <c r="C729" i="1"/>
  <c r="M729" i="1" s="1" a="1"/>
  <c r="M729" i="1" s="1"/>
  <c r="G729" i="1"/>
  <c r="C730" i="1"/>
  <c r="M730" i="1" s="1" a="1"/>
  <c r="M730" i="1" s="1"/>
  <c r="G730" i="1"/>
  <c r="G731" i="1"/>
  <c r="C731" i="1"/>
  <c r="M731" i="1" s="1" a="1"/>
  <c r="M731" i="1" s="1"/>
  <c r="C732" i="1"/>
  <c r="M732" i="1" s="1" a="1"/>
  <c r="M732" i="1" s="1"/>
  <c r="G732" i="1"/>
  <c r="C733" i="1"/>
  <c r="M733" i="1" s="1" a="1"/>
  <c r="M733" i="1" s="1"/>
  <c r="G733" i="1"/>
  <c r="C734" i="1"/>
  <c r="M734" i="1" s="1" a="1"/>
  <c r="M734" i="1" s="1"/>
  <c r="G734" i="1"/>
  <c r="C735" i="1"/>
  <c r="M735" i="1" s="1" a="1"/>
  <c r="M735" i="1" s="1"/>
  <c r="G735" i="1"/>
  <c r="C736" i="1"/>
  <c r="M736" i="1" s="1" a="1"/>
  <c r="M736" i="1" s="1"/>
  <c r="G736" i="1"/>
  <c r="C737" i="1"/>
  <c r="M737" i="1" s="1" a="1"/>
  <c r="M737" i="1" s="1"/>
  <c r="G737" i="1"/>
  <c r="C738" i="1"/>
  <c r="M738" i="1" s="1" a="1"/>
  <c r="M738" i="1" s="1"/>
  <c r="G738" i="1"/>
  <c r="C739" i="1"/>
  <c r="M739" i="1" s="1" a="1"/>
  <c r="M739" i="1" s="1"/>
  <c r="G739" i="1"/>
  <c r="C740" i="1"/>
  <c r="M740" i="1" s="1" a="1"/>
  <c r="M740" i="1" s="1"/>
  <c r="G740" i="1"/>
  <c r="C741" i="1"/>
  <c r="M741" i="1" s="1" a="1"/>
  <c r="M741" i="1" s="1"/>
  <c r="G741" i="1"/>
  <c r="C742" i="1"/>
  <c r="M742" i="1" s="1" a="1"/>
  <c r="M742" i="1" s="1"/>
  <c r="G742" i="1"/>
  <c r="C743" i="1"/>
  <c r="M743" i="1" s="1" a="1"/>
  <c r="M743" i="1" s="1"/>
  <c r="G743" i="1"/>
  <c r="G744" i="1"/>
  <c r="C744" i="1"/>
  <c r="M744" i="1" s="1" a="1"/>
  <c r="M744" i="1" s="1"/>
  <c r="C745" i="1"/>
  <c r="M745" i="1" s="1" a="1"/>
  <c r="M745" i="1" s="1"/>
  <c r="G745" i="1"/>
  <c r="G746" i="1"/>
  <c r="C746" i="1"/>
  <c r="M746" i="1" s="1" a="1"/>
  <c r="M746" i="1" s="1"/>
  <c r="C747" i="1"/>
  <c r="M747" i="1" s="1" a="1"/>
  <c r="M747" i="1" s="1"/>
  <c r="G747" i="1"/>
  <c r="C748" i="1"/>
  <c r="M748" i="1" s="1" a="1"/>
  <c r="M748" i="1" s="1"/>
  <c r="G748" i="1"/>
  <c r="G749" i="1"/>
  <c r="C749" i="1"/>
  <c r="M749" i="1" s="1" a="1"/>
  <c r="M749" i="1" s="1"/>
  <c r="C750" i="1"/>
  <c r="M750" i="1" s="1" a="1"/>
  <c r="M750" i="1" s="1"/>
  <c r="G750" i="1"/>
  <c r="G751" i="1"/>
  <c r="C751" i="1"/>
  <c r="M751" i="1" s="1" a="1"/>
  <c r="M751" i="1" s="1"/>
  <c r="G752" i="1"/>
  <c r="C752" i="1"/>
  <c r="M752" i="1" s="1" a="1"/>
  <c r="M752" i="1" s="1"/>
  <c r="G753" i="1"/>
  <c r="C753" i="1"/>
  <c r="M753" i="1" s="1" a="1"/>
  <c r="M753" i="1" s="1"/>
  <c r="C754" i="1"/>
  <c r="M754" i="1" s="1" a="1"/>
  <c r="M754" i="1" s="1"/>
  <c r="G754" i="1"/>
  <c r="C755" i="1"/>
  <c r="M755" i="1" s="1" a="1"/>
  <c r="M755" i="1" s="1"/>
  <c r="G755" i="1"/>
  <c r="G756" i="1"/>
  <c r="C756" i="1"/>
  <c r="M756" i="1" s="1" a="1"/>
  <c r="M756" i="1" s="1"/>
  <c r="G757" i="1"/>
  <c r="C757" i="1"/>
  <c r="M757" i="1" s="1" a="1"/>
  <c r="M757" i="1" s="1"/>
  <c r="G758" i="1"/>
  <c r="C758" i="1"/>
  <c r="M758" i="1" s="1" a="1"/>
  <c r="M758" i="1" s="1"/>
  <c r="G759" i="1"/>
  <c r="C759" i="1"/>
  <c r="M759" i="1" s="1" a="1"/>
  <c r="M759" i="1" s="1"/>
  <c r="C760" i="1"/>
  <c r="M760" i="1" s="1" a="1"/>
  <c r="M760" i="1" s="1"/>
  <c r="G760" i="1"/>
  <c r="G761" i="1"/>
  <c r="C761" i="1"/>
  <c r="M761" i="1" s="1" a="1"/>
  <c r="M761" i="1" s="1"/>
  <c r="C762" i="1"/>
  <c r="M762" i="1" s="1" a="1"/>
  <c r="M762" i="1" s="1"/>
  <c r="G762" i="1"/>
  <c r="C763" i="1"/>
  <c r="M763" i="1" s="1" a="1"/>
  <c r="M763" i="1" s="1"/>
  <c r="G763" i="1"/>
  <c r="G764" i="1"/>
  <c r="C764" i="1"/>
  <c r="M764" i="1" s="1" a="1"/>
  <c r="M764" i="1" s="1"/>
  <c r="G765" i="1"/>
  <c r="C765" i="1"/>
  <c r="M765" i="1" s="1" a="1"/>
  <c r="M765" i="1" s="1"/>
  <c r="G766" i="1"/>
  <c r="C766" i="1"/>
  <c r="M766" i="1" s="1" a="1"/>
  <c r="M766" i="1" s="1"/>
  <c r="C767" i="1"/>
  <c r="M767" i="1" s="1" a="1"/>
  <c r="M767" i="1" s="1"/>
  <c r="G767" i="1"/>
  <c r="G768" i="1"/>
  <c r="C768" i="1"/>
  <c r="M768" i="1" s="1" a="1"/>
  <c r="M768" i="1" s="1"/>
  <c r="C769" i="1"/>
  <c r="M769" i="1" s="1" a="1"/>
  <c r="M769" i="1" s="1"/>
  <c r="G769" i="1"/>
  <c r="C770" i="1"/>
  <c r="M770" i="1" s="1" a="1"/>
  <c r="M770" i="1" s="1"/>
  <c r="G770" i="1"/>
  <c r="C771" i="1"/>
  <c r="M771" i="1" s="1" a="1"/>
  <c r="M771" i="1" s="1"/>
  <c r="G771" i="1"/>
  <c r="C772" i="1"/>
  <c r="M772" i="1" s="1" a="1"/>
  <c r="M772" i="1" s="1"/>
  <c r="G772" i="1"/>
  <c r="C773" i="1"/>
  <c r="M773" i="1" s="1" a="1"/>
  <c r="M773" i="1" s="1"/>
  <c r="G773" i="1"/>
  <c r="G774" i="1"/>
  <c r="C774" i="1"/>
  <c r="M774" i="1" s="1" a="1"/>
  <c r="M774" i="1" s="1"/>
  <c r="G775" i="1"/>
  <c r="C775" i="1"/>
  <c r="M775" i="1" s="1" a="1"/>
  <c r="M775" i="1" s="1"/>
  <c r="C776" i="1"/>
  <c r="M776" i="1" s="1" a="1"/>
  <c r="M776" i="1" s="1"/>
  <c r="G776" i="1"/>
  <c r="C777" i="1"/>
  <c r="M777" i="1" s="1" a="1"/>
  <c r="M777" i="1" s="1"/>
  <c r="G777" i="1"/>
  <c r="C778" i="1"/>
  <c r="M778" i="1" s="1" a="1"/>
  <c r="M778" i="1" s="1"/>
  <c r="G778" i="1"/>
  <c r="G779" i="1"/>
  <c r="C779" i="1"/>
  <c r="M779" i="1" s="1" a="1"/>
  <c r="M779" i="1" s="1"/>
  <c r="C780" i="1"/>
  <c r="M780" i="1" s="1" a="1"/>
  <c r="M780" i="1" s="1"/>
  <c r="G780" i="1"/>
  <c r="C781" i="1"/>
  <c r="M781" i="1" s="1" a="1"/>
  <c r="M781" i="1" s="1"/>
  <c r="G781" i="1"/>
  <c r="C782" i="1"/>
  <c r="M782" i="1" s="1" a="1"/>
  <c r="M782" i="1" s="1"/>
  <c r="G782" i="1"/>
  <c r="C783" i="1"/>
  <c r="M783" i="1" s="1" a="1"/>
  <c r="M783" i="1" s="1"/>
  <c r="G783" i="1"/>
  <c r="G784" i="1"/>
  <c r="C784" i="1"/>
  <c r="M784" i="1" s="1" a="1"/>
  <c r="M784" i="1" s="1"/>
  <c r="C785" i="1"/>
  <c r="M785" i="1" s="1" a="1"/>
  <c r="M785" i="1" s="1"/>
  <c r="G785" i="1"/>
  <c r="C786" i="1"/>
  <c r="M786" i="1" s="1" a="1"/>
  <c r="M786" i="1" s="1"/>
  <c r="G786" i="1"/>
  <c r="G787" i="1"/>
  <c r="C787" i="1"/>
  <c r="M787" i="1" s="1" a="1"/>
  <c r="M787" i="1" s="1"/>
  <c r="C788" i="1"/>
  <c r="M788" i="1" s="1" a="1"/>
  <c r="M788" i="1" s="1"/>
  <c r="G788" i="1"/>
  <c r="G789" i="1"/>
  <c r="C789" i="1"/>
  <c r="M789" i="1" s="1" a="1"/>
  <c r="M789" i="1" s="1"/>
  <c r="G790" i="1"/>
  <c r="C790" i="1"/>
  <c r="M790" i="1" s="1" a="1"/>
  <c r="M790" i="1" s="1"/>
  <c r="G791" i="1"/>
  <c r="C791" i="1"/>
  <c r="M791" i="1" s="1" a="1"/>
  <c r="M791" i="1" s="1"/>
  <c r="G792" i="1"/>
  <c r="C792" i="1"/>
  <c r="M792" i="1" s="1" a="1"/>
  <c r="M792" i="1" s="1"/>
  <c r="G793" i="1"/>
  <c r="C793" i="1"/>
  <c r="M793" i="1" s="1" a="1"/>
  <c r="M793" i="1" s="1"/>
  <c r="G794" i="1"/>
  <c r="C794" i="1"/>
  <c r="M794" i="1" s="1" a="1"/>
  <c r="M794" i="1" s="1"/>
  <c r="G795" i="1"/>
  <c r="C795" i="1"/>
  <c r="M795" i="1" s="1" a="1"/>
  <c r="M795" i="1" s="1"/>
  <c r="C796" i="1"/>
  <c r="M796" i="1" s="1" a="1"/>
  <c r="M796" i="1" s="1"/>
  <c r="G796" i="1"/>
  <c r="G797" i="1"/>
  <c r="C797" i="1"/>
  <c r="M797" i="1" s="1" a="1"/>
  <c r="M797" i="1" s="1"/>
  <c r="C798" i="1"/>
  <c r="M798" i="1" s="1" a="1"/>
  <c r="M798" i="1" s="1"/>
  <c r="G798" i="1"/>
  <c r="C799" i="1"/>
  <c r="M799" i="1" s="1" a="1"/>
  <c r="M799" i="1" s="1"/>
  <c r="G799" i="1"/>
  <c r="G800" i="1"/>
  <c r="C800" i="1"/>
  <c r="M800" i="1" s="1" a="1"/>
  <c r="M800" i="1" s="1"/>
  <c r="C801" i="1"/>
  <c r="M801" i="1" s="1" a="1"/>
  <c r="M801" i="1" s="1"/>
  <c r="G801" i="1"/>
  <c r="G802" i="1"/>
  <c r="C802" i="1"/>
  <c r="M802" i="1" s="1" a="1"/>
  <c r="M802" i="1" s="1"/>
  <c r="C803" i="1"/>
  <c r="M803" i="1" s="1" a="1"/>
  <c r="M803" i="1" s="1"/>
  <c r="G803" i="1"/>
  <c r="C804" i="1"/>
  <c r="M804" i="1" s="1" a="1"/>
  <c r="M804" i="1" s="1"/>
  <c r="G804" i="1"/>
  <c r="G805" i="1"/>
  <c r="C805" i="1"/>
  <c r="M805" i="1" s="1" a="1"/>
  <c r="M805" i="1" s="1"/>
  <c r="G806" i="1"/>
  <c r="C806" i="1"/>
  <c r="M806" i="1" s="1" a="1"/>
  <c r="M806" i="1" s="1"/>
  <c r="G807" i="1"/>
  <c r="C807" i="1"/>
  <c r="M807" i="1" s="1" a="1"/>
  <c r="M807" i="1" s="1"/>
  <c r="G808" i="1"/>
  <c r="C808" i="1"/>
  <c r="M808" i="1" s="1" a="1"/>
  <c r="M808" i="1" s="1"/>
  <c r="G809" i="1"/>
  <c r="C809" i="1"/>
  <c r="M809" i="1" s="1" a="1"/>
  <c r="M809" i="1" s="1"/>
  <c r="G810" i="1"/>
  <c r="C810" i="1"/>
  <c r="M810" i="1" s="1" a="1"/>
  <c r="M810" i="1" s="1"/>
  <c r="C811" i="1"/>
  <c r="M811" i="1" s="1" a="1"/>
  <c r="M811" i="1" s="1"/>
  <c r="G811" i="1"/>
  <c r="G812" i="1"/>
  <c r="C812" i="1"/>
  <c r="M812" i="1" s="1" a="1"/>
  <c r="M812" i="1" s="1"/>
  <c r="C813" i="1"/>
  <c r="M813" i="1" s="1" a="1"/>
  <c r="M813" i="1" s="1"/>
  <c r="G813" i="1"/>
  <c r="G814" i="1"/>
  <c r="C814" i="1"/>
  <c r="M814" i="1" s="1" a="1"/>
  <c r="M814" i="1" s="1"/>
  <c r="G815" i="1"/>
  <c r="C815" i="1"/>
  <c r="M815" i="1" s="1" a="1"/>
  <c r="M815" i="1" s="1"/>
  <c r="G816" i="1"/>
  <c r="C816" i="1"/>
  <c r="M816" i="1" s="1" a="1"/>
  <c r="M816" i="1" s="1"/>
  <c r="C817" i="1"/>
  <c r="M817" i="1" s="1" a="1"/>
  <c r="M817" i="1" s="1"/>
  <c r="G817" i="1"/>
  <c r="C818" i="1"/>
  <c r="M818" i="1" s="1" a="1"/>
  <c r="M818" i="1" s="1"/>
  <c r="G818" i="1"/>
  <c r="G819" i="1"/>
  <c r="C819" i="1"/>
  <c r="M819" i="1" s="1" a="1"/>
  <c r="M819" i="1" s="1"/>
  <c r="G820" i="1"/>
  <c r="C820" i="1"/>
  <c r="M820" i="1" s="1" a="1"/>
  <c r="M820" i="1" s="1"/>
  <c r="C821" i="1"/>
  <c r="M821" i="1" s="1" a="1"/>
  <c r="M821" i="1" s="1"/>
  <c r="G821" i="1"/>
  <c r="G822" i="1"/>
  <c r="C822" i="1"/>
  <c r="M822" i="1" s="1" a="1"/>
  <c r="M822" i="1" s="1"/>
  <c r="G823" i="1"/>
  <c r="C823" i="1"/>
  <c r="M823" i="1" s="1" a="1"/>
  <c r="M823" i="1" s="1"/>
  <c r="C824" i="1"/>
  <c r="M824" i="1" s="1" a="1"/>
  <c r="M824" i="1" s="1"/>
  <c r="G824" i="1"/>
  <c r="G825" i="1"/>
  <c r="C825" i="1"/>
  <c r="M825" i="1" s="1" a="1"/>
  <c r="M825" i="1" s="1"/>
  <c r="C826" i="1"/>
  <c r="M826" i="1" s="1" a="1"/>
  <c r="M826" i="1" s="1"/>
  <c r="G826" i="1"/>
  <c r="C827" i="1"/>
  <c r="M827" i="1" s="1" a="1"/>
  <c r="M827" i="1" s="1"/>
  <c r="G827" i="1"/>
  <c r="C828" i="1"/>
  <c r="M828" i="1" s="1" a="1"/>
  <c r="M828" i="1" s="1"/>
  <c r="G828" i="1"/>
  <c r="C829" i="1"/>
  <c r="M829" i="1" s="1" a="1"/>
  <c r="M829" i="1" s="1"/>
  <c r="G829" i="1"/>
  <c r="G830" i="1"/>
  <c r="C830" i="1"/>
  <c r="M830" i="1" s="1" a="1"/>
  <c r="M830" i="1" s="1"/>
  <c r="G831" i="1"/>
  <c r="C831" i="1"/>
  <c r="M831" i="1" s="1" a="1"/>
  <c r="M831" i="1" s="1"/>
  <c r="C832" i="1"/>
  <c r="M832" i="1" s="1" a="1"/>
  <c r="M832" i="1" s="1"/>
  <c r="G832" i="1"/>
  <c r="C833" i="1"/>
  <c r="M833" i="1" s="1" a="1"/>
  <c r="M833" i="1" s="1"/>
  <c r="G833" i="1"/>
  <c r="G834" i="1"/>
  <c r="C834" i="1"/>
  <c r="M834" i="1" s="1" a="1"/>
  <c r="M834" i="1" s="1"/>
  <c r="G835" i="1"/>
  <c r="C835" i="1"/>
  <c r="M835" i="1" s="1" a="1"/>
  <c r="M835" i="1" s="1"/>
  <c r="G836" i="1"/>
  <c r="C836" i="1"/>
  <c r="M836" i="1" s="1" a="1"/>
  <c r="M836" i="1" s="1"/>
  <c r="C837" i="1"/>
  <c r="M837" i="1" s="1" a="1"/>
  <c r="M837" i="1" s="1"/>
  <c r="G837" i="1"/>
  <c r="C838" i="1"/>
  <c r="M838" i="1" s="1" a="1"/>
  <c r="M838" i="1" s="1"/>
  <c r="G838" i="1"/>
  <c r="G839" i="1"/>
  <c r="C839" i="1"/>
  <c r="M839" i="1" s="1" a="1"/>
  <c r="M839" i="1" s="1"/>
  <c r="C840" i="1"/>
  <c r="M840" i="1" s="1" a="1"/>
  <c r="M840" i="1" s="1"/>
  <c r="G840" i="1"/>
  <c r="G841" i="1"/>
  <c r="C841" i="1"/>
  <c r="M841" i="1" s="1" a="1"/>
  <c r="M841" i="1" s="1"/>
  <c r="C842" i="1"/>
  <c r="M842" i="1" s="1" a="1"/>
  <c r="M842" i="1" s="1"/>
  <c r="G842" i="1"/>
  <c r="C843" i="1"/>
  <c r="M843" i="1" s="1" a="1"/>
  <c r="M843" i="1" s="1"/>
  <c r="G843" i="1"/>
  <c r="G844" i="1"/>
  <c r="C844" i="1"/>
  <c r="M844" i="1" s="1" a="1"/>
  <c r="M844" i="1" s="1"/>
  <c r="G845" i="1"/>
  <c r="C845" i="1"/>
  <c r="M845" i="1" s="1" a="1"/>
  <c r="M845" i="1" s="1"/>
  <c r="G846" i="1"/>
  <c r="C846" i="1"/>
  <c r="M846" i="1" s="1" a="1"/>
  <c r="M846" i="1" s="1"/>
  <c r="C847" i="1"/>
  <c r="M847" i="1" s="1" a="1"/>
  <c r="M847" i="1" s="1"/>
  <c r="G847" i="1"/>
  <c r="G848" i="1"/>
  <c r="C848" i="1"/>
  <c r="M848" i="1" s="1" a="1"/>
  <c r="M848" i="1" s="1"/>
  <c r="C849" i="1"/>
  <c r="M849" i="1" s="1" a="1"/>
  <c r="M849" i="1" s="1"/>
  <c r="G849" i="1"/>
  <c r="G850" i="1"/>
  <c r="C850" i="1"/>
  <c r="M850" i="1" s="1" a="1"/>
  <c r="M850" i="1" s="1"/>
  <c r="G851" i="1"/>
  <c r="C851" i="1"/>
  <c r="M851" i="1" s="1" a="1"/>
  <c r="M851" i="1" s="1"/>
  <c r="C852" i="1"/>
  <c r="M852" i="1" s="1" a="1"/>
  <c r="M852" i="1" s="1"/>
  <c r="G852" i="1"/>
  <c r="G853" i="1"/>
  <c r="C853" i="1"/>
  <c r="M853" i="1" s="1" a="1"/>
  <c r="M853" i="1" s="1"/>
  <c r="G854" i="1"/>
  <c r="C854" i="1"/>
  <c r="M854" i="1" s="1" a="1"/>
  <c r="M854" i="1" s="1"/>
  <c r="G855" i="1"/>
  <c r="C855" i="1"/>
  <c r="M855" i="1" s="1" a="1"/>
  <c r="M855" i="1" s="1"/>
  <c r="C856" i="1"/>
  <c r="M856" i="1" s="1" a="1"/>
  <c r="M856" i="1" s="1"/>
  <c r="G856" i="1"/>
  <c r="G857" i="1"/>
  <c r="C857" i="1"/>
  <c r="M857" i="1" s="1" a="1"/>
  <c r="M857" i="1" s="1"/>
  <c r="G858" i="1"/>
  <c r="C858" i="1"/>
  <c r="M858" i="1" s="1" a="1"/>
  <c r="M858" i="1" s="1"/>
  <c r="C859" i="1"/>
  <c r="M859" i="1" s="1" a="1"/>
  <c r="M859" i="1" s="1"/>
  <c r="G859" i="1"/>
  <c r="G860" i="1"/>
  <c r="C860" i="1"/>
  <c r="M860" i="1" s="1" a="1"/>
  <c r="M860" i="1" s="1"/>
  <c r="G861" i="1"/>
  <c r="C861" i="1"/>
  <c r="M861" i="1" s="1" a="1"/>
  <c r="M861" i="1" s="1"/>
  <c r="G862" i="1"/>
  <c r="C862" i="1"/>
  <c r="M862" i="1" s="1" a="1"/>
  <c r="M862" i="1" s="1"/>
  <c r="C863" i="1"/>
  <c r="M863" i="1" s="1" a="1"/>
  <c r="M863" i="1" s="1"/>
  <c r="G863" i="1"/>
  <c r="G864" i="1"/>
  <c r="C864" i="1"/>
  <c r="M864" i="1" s="1" a="1"/>
  <c r="M864" i="1" s="1"/>
  <c r="C865" i="1"/>
  <c r="M865" i="1" s="1" a="1"/>
  <c r="M865" i="1" s="1"/>
  <c r="G865" i="1"/>
  <c r="C866" i="1"/>
  <c r="M866" i="1" s="1" a="1"/>
  <c r="M866" i="1" s="1"/>
  <c r="G866" i="1"/>
  <c r="C867" i="1"/>
  <c r="M867" i="1" s="1" a="1"/>
  <c r="M867" i="1" s="1"/>
  <c r="G867" i="1"/>
  <c r="G868" i="1"/>
  <c r="C868" i="1"/>
  <c r="M868" i="1" s="1" a="1"/>
  <c r="M868" i="1" s="1"/>
  <c r="C869" i="1"/>
  <c r="M869" i="1" s="1" a="1"/>
  <c r="M869" i="1" s="1"/>
  <c r="G869" i="1"/>
  <c r="G870" i="1"/>
  <c r="C870" i="1"/>
  <c r="M870" i="1" s="1" a="1"/>
  <c r="M870" i="1" s="1"/>
  <c r="C871" i="1"/>
  <c r="M871" i="1" s="1" a="1"/>
  <c r="M871" i="1" s="1"/>
  <c r="G871" i="1"/>
  <c r="G872" i="1"/>
  <c r="C872" i="1"/>
  <c r="M872" i="1" s="1" a="1"/>
  <c r="M872" i="1" s="1"/>
  <c r="C873" i="1"/>
  <c r="M873" i="1" s="1" a="1"/>
  <c r="M873" i="1" s="1"/>
  <c r="G873" i="1"/>
  <c r="G874" i="1"/>
  <c r="C874" i="1"/>
  <c r="M874" i="1" s="1" a="1"/>
  <c r="M874" i="1" s="1"/>
  <c r="G875" i="1"/>
  <c r="C875" i="1"/>
  <c r="M875" i="1" s="1" a="1"/>
  <c r="M875" i="1" s="1"/>
  <c r="C876" i="1"/>
  <c r="M876" i="1" s="1" a="1"/>
  <c r="M876" i="1" s="1"/>
  <c r="G876" i="1"/>
  <c r="C877" i="1"/>
  <c r="M877" i="1" s="1" a="1"/>
  <c r="M877" i="1" s="1"/>
  <c r="G877" i="1"/>
  <c r="G878" i="1"/>
  <c r="C878" i="1"/>
  <c r="M878" i="1" s="1" a="1"/>
  <c r="M878" i="1" s="1"/>
  <c r="G879" i="1"/>
  <c r="C879" i="1"/>
  <c r="M879" i="1" s="1" a="1"/>
  <c r="M879" i="1" s="1"/>
  <c r="C880" i="1"/>
  <c r="M880" i="1" s="1" a="1"/>
  <c r="M880" i="1" s="1"/>
  <c r="G880" i="1"/>
  <c r="C881" i="1"/>
  <c r="M881" i="1" s="1" a="1"/>
  <c r="M881" i="1" s="1"/>
  <c r="G881" i="1"/>
  <c r="C882" i="1"/>
  <c r="M882" i="1" s="1" a="1"/>
  <c r="M882" i="1" s="1"/>
  <c r="G882" i="1"/>
  <c r="G883" i="1"/>
  <c r="C883" i="1"/>
  <c r="M883" i="1" s="1" a="1"/>
  <c r="M883" i="1" s="1"/>
  <c r="C884" i="1"/>
  <c r="M884" i="1" s="1" a="1"/>
  <c r="M884" i="1" s="1"/>
  <c r="G884" i="1"/>
  <c r="G885" i="1"/>
  <c r="C885" i="1"/>
  <c r="M885" i="1" s="1" a="1"/>
  <c r="M885" i="1" s="1"/>
  <c r="C886" i="1"/>
  <c r="M886" i="1" s="1" a="1"/>
  <c r="M886" i="1" s="1"/>
  <c r="G886" i="1"/>
  <c r="C887" i="1"/>
  <c r="M887" i="1" s="1" a="1"/>
  <c r="M887" i="1" s="1"/>
  <c r="G887" i="1"/>
  <c r="C888" i="1"/>
  <c r="M888" i="1" s="1" a="1"/>
  <c r="M888" i="1" s="1"/>
  <c r="G888" i="1"/>
  <c r="C889" i="1"/>
  <c r="M889" i="1" s="1" a="1"/>
  <c r="M889" i="1" s="1"/>
  <c r="G889" i="1"/>
  <c r="G890" i="1"/>
  <c r="C890" i="1"/>
  <c r="M890" i="1" s="1" a="1"/>
  <c r="M890" i="1" s="1"/>
  <c r="C891" i="1"/>
  <c r="M891" i="1" s="1" a="1"/>
  <c r="M891" i="1" s="1"/>
  <c r="G891" i="1"/>
  <c r="G892" i="1"/>
  <c r="C892" i="1"/>
  <c r="M892" i="1" s="1" a="1"/>
  <c r="M892" i="1" s="1"/>
  <c r="G893" i="1"/>
  <c r="C893" i="1"/>
  <c r="M893" i="1" s="1" a="1"/>
  <c r="M893" i="1" s="1"/>
  <c r="G894" i="1"/>
  <c r="C894" i="1"/>
  <c r="M894" i="1" s="1" a="1"/>
  <c r="M894" i="1" s="1"/>
  <c r="C895" i="1"/>
  <c r="M895" i="1" s="1" a="1"/>
  <c r="M895" i="1" s="1"/>
  <c r="G895" i="1"/>
  <c r="G896" i="1"/>
  <c r="C896" i="1"/>
  <c r="M896" i="1" s="1" a="1"/>
  <c r="M896" i="1" s="1"/>
  <c r="C897" i="1"/>
  <c r="M897" i="1" s="1" a="1"/>
  <c r="M897" i="1" s="1"/>
  <c r="G897" i="1"/>
  <c r="G898" i="1"/>
  <c r="C898" i="1"/>
  <c r="M898" i="1" s="1" a="1"/>
  <c r="M898" i="1" s="1"/>
  <c r="G899" i="1"/>
  <c r="C899" i="1"/>
  <c r="M899" i="1" s="1" a="1"/>
  <c r="M899" i="1" s="1"/>
  <c r="G900" i="1"/>
  <c r="C900" i="1"/>
  <c r="M900" i="1" s="1" a="1"/>
  <c r="M900" i="1" s="1"/>
  <c r="G901" i="1"/>
  <c r="C901" i="1"/>
  <c r="M901" i="1" s="1" a="1"/>
  <c r="M901" i="1" s="1"/>
  <c r="G902" i="1"/>
  <c r="C902" i="1"/>
  <c r="M902" i="1" s="1" a="1"/>
  <c r="M902" i="1" s="1"/>
  <c r="G903" i="1"/>
  <c r="C903" i="1"/>
  <c r="M903" i="1" s="1" a="1"/>
  <c r="M903" i="1" s="1"/>
  <c r="C904" i="1"/>
  <c r="M904" i="1" s="1" a="1"/>
  <c r="M904" i="1" s="1"/>
  <c r="G904" i="1"/>
  <c r="G905" i="1"/>
  <c r="C905" i="1"/>
  <c r="M905" i="1" s="1" a="1"/>
  <c r="M905" i="1" s="1"/>
  <c r="G906" i="1"/>
  <c r="C906" i="1"/>
  <c r="M906" i="1" s="1" a="1"/>
  <c r="M906" i="1" s="1"/>
  <c r="G907" i="1"/>
  <c r="C907" i="1"/>
  <c r="M907" i="1" s="1" a="1"/>
  <c r="M907" i="1" s="1"/>
  <c r="C908" i="1"/>
  <c r="M908" i="1" s="1" a="1"/>
  <c r="M908" i="1" s="1"/>
  <c r="G908" i="1"/>
  <c r="C909" i="1"/>
  <c r="M909" i="1" s="1" a="1"/>
  <c r="M909" i="1" s="1"/>
  <c r="G909" i="1"/>
  <c r="G910" i="1"/>
  <c r="C910" i="1"/>
  <c r="M910" i="1" s="1" a="1"/>
  <c r="M910" i="1" s="1"/>
  <c r="C911" i="1"/>
  <c r="M911" i="1" s="1" a="1"/>
  <c r="M911" i="1" s="1"/>
  <c r="G911" i="1"/>
  <c r="G912" i="1"/>
  <c r="C912" i="1"/>
  <c r="M912" i="1" s="1" a="1"/>
  <c r="M912" i="1" s="1"/>
  <c r="G913" i="1"/>
  <c r="C913" i="1"/>
  <c r="M913" i="1" s="1" a="1"/>
  <c r="M913" i="1" s="1"/>
  <c r="C914" i="1"/>
  <c r="M914" i="1" s="1" a="1"/>
  <c r="M914" i="1" s="1"/>
  <c r="G914" i="1"/>
  <c r="C915" i="1"/>
  <c r="M915" i="1" s="1" a="1"/>
  <c r="M915" i="1" s="1"/>
  <c r="G915" i="1"/>
  <c r="G916" i="1"/>
  <c r="C916" i="1"/>
  <c r="M916" i="1" s="1" a="1"/>
  <c r="M916" i="1" s="1"/>
  <c r="G917" i="1"/>
  <c r="C917" i="1"/>
  <c r="M917" i="1" s="1" a="1"/>
  <c r="M917" i="1" s="1"/>
  <c r="G918" i="1"/>
  <c r="C918" i="1"/>
  <c r="M918" i="1" s="1" a="1"/>
  <c r="M918" i="1" s="1"/>
  <c r="G919" i="1"/>
  <c r="C919" i="1"/>
  <c r="M919" i="1" s="1" a="1"/>
  <c r="M919" i="1" s="1"/>
  <c r="G920" i="1"/>
  <c r="C920" i="1"/>
  <c r="M920" i="1" s="1" a="1"/>
  <c r="M920" i="1" s="1"/>
  <c r="C921" i="1"/>
  <c r="M921" i="1" s="1" a="1"/>
  <c r="M921" i="1" s="1"/>
  <c r="G921" i="1"/>
  <c r="G922" i="1"/>
  <c r="C922" i="1"/>
  <c r="M922" i="1" s="1" a="1"/>
  <c r="M922" i="1" s="1"/>
  <c r="G923" i="1"/>
  <c r="C923" i="1"/>
  <c r="M923" i="1" s="1" a="1"/>
  <c r="M923" i="1" s="1"/>
  <c r="G924" i="1"/>
  <c r="C924" i="1"/>
  <c r="M924" i="1" s="1" a="1"/>
  <c r="M924" i="1" s="1"/>
  <c r="G925" i="1"/>
  <c r="C925" i="1"/>
  <c r="M925" i="1" s="1" a="1"/>
  <c r="M925" i="1" s="1"/>
  <c r="G926" i="1"/>
  <c r="C926" i="1"/>
  <c r="M926" i="1" s="1" a="1"/>
  <c r="M926" i="1" s="1"/>
  <c r="C927" i="1"/>
  <c r="M927" i="1" s="1" a="1"/>
  <c r="M927" i="1" s="1"/>
  <c r="G927" i="1"/>
  <c r="C928" i="1"/>
  <c r="M928" i="1" s="1" a="1"/>
  <c r="M928" i="1" s="1"/>
  <c r="G928" i="1"/>
  <c r="G929" i="1"/>
  <c r="C929" i="1"/>
  <c r="M929" i="1" s="1" a="1"/>
  <c r="M929" i="1" s="1"/>
  <c r="C930" i="1"/>
  <c r="M930" i="1" s="1" a="1"/>
  <c r="M930" i="1" s="1"/>
  <c r="G930" i="1"/>
  <c r="C931" i="1"/>
  <c r="M931" i="1" s="1" a="1"/>
  <c r="M931" i="1" s="1"/>
  <c r="G931" i="1"/>
  <c r="C932" i="1"/>
  <c r="M932" i="1" s="1" a="1"/>
  <c r="M932" i="1" s="1"/>
  <c r="G932" i="1"/>
  <c r="C933" i="1"/>
  <c r="M933" i="1" s="1" a="1"/>
  <c r="M933" i="1" s="1"/>
  <c r="G933" i="1"/>
  <c r="G934" i="1"/>
  <c r="C934" i="1"/>
  <c r="M934" i="1" s="1" a="1"/>
  <c r="M934" i="1" s="1"/>
  <c r="G935" i="1"/>
  <c r="C935" i="1"/>
  <c r="M935" i="1" s="1" a="1"/>
  <c r="M935" i="1" s="1"/>
  <c r="G936" i="1"/>
  <c r="C936" i="1"/>
  <c r="M936" i="1" s="1" a="1"/>
  <c r="M936" i="1" s="1"/>
  <c r="G937" i="1"/>
  <c r="C937" i="1"/>
  <c r="M937" i="1" s="1" a="1"/>
  <c r="M937" i="1" s="1"/>
  <c r="C938" i="1"/>
  <c r="M938" i="1" s="1" a="1"/>
  <c r="M938" i="1" s="1"/>
  <c r="G938" i="1"/>
  <c r="G939" i="1"/>
  <c r="C939" i="1"/>
  <c r="M939" i="1" s="1" a="1"/>
  <c r="M939" i="1" s="1"/>
  <c r="C940" i="1"/>
  <c r="M940" i="1" s="1" a="1"/>
  <c r="M940" i="1" s="1"/>
  <c r="G940" i="1"/>
  <c r="C941" i="1"/>
  <c r="M941" i="1" s="1" a="1"/>
  <c r="M941" i="1" s="1"/>
  <c r="G941" i="1"/>
  <c r="G942" i="1"/>
  <c r="C942" i="1"/>
  <c r="M942" i="1" s="1" a="1"/>
  <c r="M942" i="1" s="1"/>
  <c r="G943" i="1"/>
  <c r="C943" i="1"/>
  <c r="M943" i="1" s="1" a="1"/>
  <c r="M943" i="1" s="1"/>
  <c r="G944" i="1"/>
  <c r="C944" i="1"/>
  <c r="M944" i="1" s="1" a="1"/>
  <c r="M944" i="1" s="1"/>
  <c r="G945" i="1"/>
  <c r="C945" i="1"/>
  <c r="M945" i="1" s="1" a="1"/>
  <c r="M945" i="1" s="1"/>
  <c r="G946" i="1"/>
  <c r="C946" i="1"/>
  <c r="M946" i="1" s="1" a="1"/>
  <c r="M946" i="1" s="1"/>
  <c r="G947" i="1"/>
  <c r="C947" i="1"/>
  <c r="M947" i="1" s="1" a="1"/>
  <c r="M947" i="1" s="1"/>
  <c r="G948" i="1"/>
  <c r="C948" i="1"/>
  <c r="M948" i="1" s="1" a="1"/>
  <c r="M948" i="1" s="1"/>
  <c r="G949" i="1"/>
  <c r="C949" i="1"/>
  <c r="M949" i="1" s="1" a="1"/>
  <c r="M949" i="1" s="1"/>
  <c r="G950" i="1"/>
  <c r="C950" i="1"/>
  <c r="M950" i="1" s="1" a="1"/>
  <c r="M950" i="1" s="1"/>
  <c r="G951" i="1"/>
  <c r="C951" i="1"/>
  <c r="M951" i="1" s="1" a="1"/>
  <c r="M951" i="1" s="1"/>
  <c r="G952" i="1"/>
  <c r="C952" i="1"/>
  <c r="M952" i="1" s="1" a="1"/>
  <c r="M952" i="1" s="1"/>
  <c r="G953" i="1"/>
  <c r="C953" i="1"/>
  <c r="M953" i="1" s="1" a="1"/>
  <c r="M953" i="1" s="1"/>
  <c r="G954" i="1"/>
  <c r="C954" i="1"/>
  <c r="M954" i="1" s="1" a="1"/>
  <c r="M954" i="1" s="1"/>
  <c r="C955" i="1"/>
  <c r="M955" i="1" s="1" a="1"/>
  <c r="M955" i="1" s="1"/>
  <c r="G955" i="1"/>
  <c r="C956" i="1"/>
  <c r="M956" i="1" s="1" a="1"/>
  <c r="M956" i="1" s="1"/>
  <c r="G956" i="1"/>
  <c r="C957" i="1"/>
  <c r="M957" i="1" s="1" a="1"/>
  <c r="M957" i="1" s="1"/>
  <c r="G957" i="1"/>
  <c r="C958" i="1"/>
  <c r="M958" i="1" s="1" a="1"/>
  <c r="M958" i="1" s="1"/>
  <c r="G958" i="1"/>
  <c r="C959" i="1"/>
  <c r="M959" i="1" s="1" a="1"/>
  <c r="M959" i="1" s="1"/>
  <c r="G959" i="1"/>
  <c r="G960" i="1"/>
  <c r="C960" i="1"/>
  <c r="M960" i="1" s="1" a="1"/>
  <c r="M960" i="1" s="1"/>
  <c r="C961" i="1"/>
  <c r="M961" i="1" s="1" a="1"/>
  <c r="M961" i="1" s="1"/>
  <c r="G961" i="1"/>
  <c r="G962" i="1"/>
  <c r="C962" i="1"/>
  <c r="M962" i="1" s="1" a="1"/>
  <c r="M962" i="1" s="1"/>
  <c r="C963" i="1"/>
  <c r="M963" i="1" s="1" a="1"/>
  <c r="M963" i="1" s="1"/>
  <c r="G963" i="1"/>
  <c r="C964" i="1"/>
  <c r="M964" i="1" s="1" a="1"/>
  <c r="M964" i="1" s="1"/>
  <c r="G964" i="1"/>
  <c r="C965" i="1"/>
  <c r="M965" i="1" s="1" a="1"/>
  <c r="M965" i="1" s="1"/>
  <c r="G965" i="1"/>
  <c r="C966" i="1"/>
  <c r="M966" i="1" s="1" a="1"/>
  <c r="M966" i="1" s="1"/>
  <c r="G966" i="1"/>
  <c r="C967" i="1"/>
  <c r="M967" i="1" s="1" a="1"/>
  <c r="M967" i="1" s="1"/>
  <c r="G967" i="1"/>
  <c r="C968" i="1"/>
  <c r="M968" i="1" s="1" a="1"/>
  <c r="M968" i="1" s="1"/>
  <c r="G968" i="1"/>
  <c r="C969" i="1"/>
  <c r="M969" i="1" s="1" a="1"/>
  <c r="M969" i="1" s="1"/>
  <c r="G969" i="1"/>
  <c r="G970" i="1"/>
  <c r="C970" i="1"/>
  <c r="M970" i="1" s="1" a="1"/>
  <c r="M970" i="1" s="1"/>
  <c r="G971" i="1"/>
  <c r="C971" i="1"/>
  <c r="M971" i="1" s="1" a="1"/>
  <c r="M971" i="1" s="1"/>
  <c r="G972" i="1"/>
  <c r="C972" i="1"/>
  <c r="M972" i="1" s="1" a="1"/>
  <c r="M972" i="1" s="1"/>
  <c r="G973" i="1"/>
  <c r="C973" i="1"/>
  <c r="M973" i="1" s="1" a="1"/>
  <c r="M973" i="1" s="1"/>
  <c r="G974" i="1"/>
  <c r="C974" i="1"/>
  <c r="M974" i="1" s="1" a="1"/>
  <c r="M974" i="1" s="1"/>
  <c r="G975" i="1"/>
  <c r="C975" i="1"/>
  <c r="M975" i="1" s="1" a="1"/>
  <c r="M975" i="1" s="1"/>
  <c r="G976" i="1"/>
  <c r="C976" i="1"/>
  <c r="M976" i="1" s="1" a="1"/>
  <c r="M976" i="1" s="1"/>
  <c r="G977" i="1"/>
  <c r="C977" i="1"/>
  <c r="M977" i="1" s="1" a="1"/>
  <c r="M977" i="1" s="1"/>
  <c r="G978" i="1"/>
  <c r="C978" i="1"/>
  <c r="M978" i="1" s="1" a="1"/>
  <c r="M978" i="1" s="1"/>
  <c r="G979" i="1"/>
  <c r="C979" i="1"/>
  <c r="M979" i="1" s="1" a="1"/>
  <c r="M979" i="1" s="1"/>
  <c r="G980" i="1"/>
  <c r="C980" i="1"/>
  <c r="M980" i="1" s="1" a="1"/>
  <c r="M980" i="1" s="1"/>
  <c r="G981" i="1"/>
  <c r="C981" i="1"/>
  <c r="M981" i="1" s="1" a="1"/>
  <c r="M981" i="1" s="1"/>
  <c r="G982" i="1"/>
  <c r="C982" i="1"/>
  <c r="M982" i="1" s="1" a="1"/>
  <c r="M982" i="1" s="1"/>
  <c r="G983" i="1"/>
  <c r="C983" i="1"/>
  <c r="M983" i="1" s="1" a="1"/>
  <c r="M983" i="1" s="1"/>
  <c r="G984" i="1"/>
  <c r="C984" i="1"/>
  <c r="M984" i="1" s="1" a="1"/>
  <c r="M984" i="1" s="1"/>
  <c r="G985" i="1"/>
  <c r="C985" i="1"/>
  <c r="M985" i="1" s="1" a="1"/>
  <c r="M985" i="1" s="1"/>
  <c r="G986" i="1"/>
  <c r="C986" i="1"/>
  <c r="M986" i="1" s="1" a="1"/>
  <c r="M986" i="1" s="1"/>
  <c r="G987" i="1"/>
  <c r="C987" i="1"/>
  <c r="M987" i="1" s="1" a="1"/>
  <c r="M987" i="1" s="1"/>
  <c r="G988" i="1"/>
  <c r="C988" i="1"/>
  <c r="M988" i="1" s="1" a="1"/>
  <c r="M988" i="1" s="1"/>
  <c r="C989" i="1"/>
  <c r="M989" i="1" s="1" a="1"/>
  <c r="M989" i="1" s="1"/>
  <c r="G989" i="1"/>
  <c r="C990" i="1"/>
  <c r="M990" i="1" s="1" a="1"/>
  <c r="M990" i="1" s="1"/>
  <c r="G990" i="1"/>
  <c r="G991" i="1"/>
  <c r="C991" i="1"/>
  <c r="M991" i="1" s="1" a="1"/>
  <c r="M991" i="1" s="1"/>
  <c r="G992" i="1"/>
  <c r="C992" i="1"/>
  <c r="M992" i="1" s="1" a="1"/>
  <c r="M992" i="1" s="1"/>
  <c r="G993" i="1"/>
  <c r="C993" i="1"/>
  <c r="M993" i="1" s="1" a="1"/>
  <c r="M993" i="1" s="1"/>
  <c r="G994" i="1"/>
  <c r="C994" i="1"/>
  <c r="M994" i="1" s="1" a="1"/>
  <c r="M994" i="1" s="1"/>
  <c r="G995" i="1"/>
  <c r="C995" i="1"/>
  <c r="M995" i="1" s="1" a="1"/>
  <c r="M995" i="1" s="1"/>
  <c r="G996" i="1"/>
  <c r="C996" i="1"/>
  <c r="M996" i="1" s="1" a="1"/>
  <c r="M996" i="1" s="1"/>
  <c r="G997" i="1"/>
  <c r="C997" i="1"/>
  <c r="M997" i="1" s="1" a="1"/>
  <c r="M997" i="1" s="1"/>
  <c r="G998" i="1"/>
  <c r="C998" i="1"/>
  <c r="M998" i="1" s="1" a="1"/>
  <c r="M998" i="1" s="1"/>
  <c r="G999" i="1"/>
  <c r="C999" i="1"/>
  <c r="M999" i="1" s="1" a="1"/>
  <c r="M999" i="1" s="1"/>
  <c r="G1000" i="1"/>
  <c r="C1000" i="1"/>
  <c r="M1000" i="1" s="1" a="1"/>
  <c r="M1000" i="1" s="1"/>
  <c r="G1001" i="1"/>
  <c r="C1001" i="1"/>
  <c r="M1001" i="1" s="1" a="1"/>
  <c r="M1001" i="1" s="1"/>
  <c r="G1002" i="1"/>
  <c r="C1002" i="1"/>
  <c r="M1002" i="1" s="1" a="1"/>
  <c r="M1002" i="1" s="1"/>
  <c r="G1003" i="1"/>
  <c r="C1003" i="1"/>
  <c r="M1003" i="1" s="1" a="1"/>
  <c r="M1003" i="1" s="1"/>
  <c r="G1004" i="1"/>
  <c r="C1004" i="1"/>
  <c r="M1004" i="1" s="1" a="1"/>
  <c r="M1004" i="1" s="1"/>
  <c r="G1005" i="1"/>
  <c r="C1005" i="1"/>
  <c r="M1005" i="1" s="1" a="1"/>
  <c r="M1005" i="1" s="1"/>
  <c r="G16" i="1"/>
  <c r="C16" i="1"/>
  <c r="M16" i="1" s="1" a="1"/>
  <c r="M16" i="1" s="1"/>
  <c r="E20" i="3"/>
  <c r="E21" i="3"/>
  <c r="E18" i="3"/>
  <c r="E19" i="3"/>
  <c r="E16" i="3"/>
  <c r="E17" i="3"/>
  <c r="G9" i="3"/>
  <c r="I8" i="2" s="1"/>
  <c r="G7" i="3"/>
  <c r="I6" i="2" s="1"/>
  <c r="G8" i="3"/>
  <c r="I7" i="2" s="1"/>
  <c r="E23" i="4"/>
  <c r="E22" i="4"/>
  <c r="E20" i="4"/>
  <c r="E21" i="4"/>
  <c r="E19" i="4"/>
  <c r="E18" i="4"/>
  <c r="E17" i="4"/>
  <c r="E16" i="4"/>
  <c r="G9" i="4"/>
  <c r="G8" i="4"/>
  <c r="I12" i="2" s="1"/>
  <c r="G7" i="4"/>
  <c r="C16" i="3"/>
  <c r="G10" i="3" s="1"/>
  <c r="I9" i="2" s="1"/>
  <c r="C16" i="4"/>
  <c r="L11" i="5"/>
  <c r="M11" i="5"/>
  <c r="O11" i="5" s="1"/>
  <c r="L12" i="5"/>
  <c r="M12" i="5"/>
  <c r="O12" i="5" s="1"/>
  <c r="L13" i="5"/>
  <c r="M13" i="5"/>
  <c r="O13" i="5" s="1"/>
  <c r="L14" i="5"/>
  <c r="M14" i="5" s="1"/>
  <c r="O14" i="5" s="1"/>
  <c r="L15" i="5"/>
  <c r="M15" i="5" s="1"/>
  <c r="O15" i="5" s="1"/>
  <c r="L16" i="5"/>
  <c r="M16" i="5" s="1"/>
  <c r="O16" i="5" s="1"/>
  <c r="L17" i="5"/>
  <c r="M17" i="5" s="1"/>
  <c r="O17" i="5" s="1"/>
  <c r="L18" i="5"/>
  <c r="M18" i="5" s="1"/>
  <c r="O18" i="5" s="1"/>
  <c r="L19" i="5"/>
  <c r="M19" i="5"/>
  <c r="O19" i="5" s="1"/>
  <c r="L20" i="5"/>
  <c r="M20" i="5" s="1"/>
  <c r="O20" i="5" s="1"/>
  <c r="L21" i="5"/>
  <c r="M21" i="5" s="1"/>
  <c r="O21" i="5" s="1"/>
  <c r="L22" i="5"/>
  <c r="M22" i="5"/>
  <c r="O22" i="5" s="1"/>
  <c r="L23" i="5"/>
  <c r="M23" i="5"/>
  <c r="O23" i="5" s="1"/>
  <c r="L24" i="5"/>
  <c r="M24" i="5" s="1"/>
  <c r="O24" i="5" s="1"/>
  <c r="L25" i="5"/>
  <c r="M25" i="5"/>
  <c r="O25" i="5" s="1"/>
  <c r="L26" i="5"/>
  <c r="M26" i="5" s="1"/>
  <c r="O26" i="5" s="1"/>
  <c r="L27" i="5"/>
  <c r="M27" i="5" s="1"/>
  <c r="O27" i="5" s="1"/>
  <c r="H236" i="1" l="1"/>
  <c r="I236" i="1" s="1"/>
  <c r="J236" i="1" s="1"/>
  <c r="K236" i="1" a="1"/>
  <c r="K236" i="1" s="1"/>
  <c r="K237" i="1" a="1"/>
  <c r="K237" i="1" s="1"/>
  <c r="H237" i="1"/>
  <c r="I237" i="1" s="1"/>
  <c r="J237" i="1" s="1"/>
  <c r="H238" i="1"/>
  <c r="I238" i="1" s="1"/>
  <c r="J238" i="1" s="1"/>
  <c r="K238" i="1" a="1"/>
  <c r="K238" i="1" s="1"/>
  <c r="H239" i="1"/>
  <c r="I239" i="1" s="1"/>
  <c r="J239" i="1" s="1"/>
  <c r="K239" i="1" a="1"/>
  <c r="K239" i="1" s="1"/>
  <c r="H240" i="1"/>
  <c r="I240" i="1" s="1"/>
  <c r="J240" i="1" s="1"/>
  <c r="K240" i="1" a="1"/>
  <c r="K240" i="1" s="1"/>
  <c r="H241" i="1"/>
  <c r="I241" i="1" s="1"/>
  <c r="J241" i="1" s="1"/>
  <c r="K241" i="1" a="1"/>
  <c r="K241" i="1" s="1"/>
  <c r="H242" i="1"/>
  <c r="I242" i="1" s="1"/>
  <c r="J242" i="1" s="1"/>
  <c r="K242" i="1" a="1"/>
  <c r="K242" i="1" s="1"/>
  <c r="D18" i="1"/>
  <c r="E18" i="1" s="1"/>
  <c r="L18" i="1" s="1"/>
  <c r="M18" i="1" a="1"/>
  <c r="M18" i="1" s="1"/>
  <c r="D26" i="1"/>
  <c r="E26" i="1" s="1"/>
  <c r="L26" i="1" s="1"/>
  <c r="M26" i="1" a="1"/>
  <c r="M26" i="1" s="1"/>
  <c r="D35" i="1"/>
  <c r="E35" i="1" s="1"/>
  <c r="L35" i="1" s="1"/>
  <c r="M35" i="1" a="1"/>
  <c r="M35" i="1" s="1"/>
  <c r="Q33" i="1"/>
  <c r="D324" i="1"/>
  <c r="E324" i="1" s="1"/>
  <c r="L324" i="1" s="1"/>
  <c r="D325" i="1"/>
  <c r="E325" i="1" s="1"/>
  <c r="L325" i="1" s="1"/>
  <c r="H355" i="1"/>
  <c r="I355" i="1" s="1"/>
  <c r="J355" i="1" s="1"/>
  <c r="K355" i="1" a="1"/>
  <c r="K355" i="1" s="1"/>
  <c r="H359" i="1"/>
  <c r="I359" i="1" s="1"/>
  <c r="J359" i="1" s="1"/>
  <c r="K359" i="1" a="1"/>
  <c r="K359" i="1" s="1"/>
  <c r="H362" i="1"/>
  <c r="I362" i="1" s="1"/>
  <c r="J362" i="1" s="1"/>
  <c r="K362" i="1" a="1"/>
  <c r="K362" i="1" s="1"/>
  <c r="H365" i="1"/>
  <c r="I365" i="1" s="1"/>
  <c r="J365" i="1" s="1"/>
  <c r="K365" i="1" a="1"/>
  <c r="K365" i="1" s="1"/>
  <c r="H369" i="1"/>
  <c r="I369" i="1" s="1"/>
  <c r="J369" i="1" s="1"/>
  <c r="K369" i="1" a="1"/>
  <c r="K369" i="1" s="1"/>
  <c r="D323" i="1"/>
  <c r="E323" i="1" s="1"/>
  <c r="L323" i="1" s="1"/>
  <c r="D320" i="1"/>
  <c r="E320" i="1" s="1"/>
  <c r="L320" i="1" s="1"/>
  <c r="D321" i="1"/>
  <c r="E321" i="1" s="1"/>
  <c r="L321" i="1" s="1"/>
  <c r="D322" i="1"/>
  <c r="E322" i="1" s="1"/>
  <c r="L322" i="1" s="1"/>
  <c r="D315" i="1"/>
  <c r="E315" i="1" s="1"/>
  <c r="L315" i="1" s="1"/>
  <c r="D318" i="1"/>
  <c r="E318" i="1" s="1"/>
  <c r="L318" i="1" s="1"/>
  <c r="D319" i="1"/>
  <c r="E319" i="1" s="1"/>
  <c r="L319" i="1" s="1"/>
  <c r="D316" i="1"/>
  <c r="E316" i="1" s="1"/>
  <c r="L316" i="1" s="1"/>
  <c r="D317" i="1"/>
  <c r="E317" i="1" s="1"/>
  <c r="L317" i="1" s="1"/>
  <c r="H366" i="1"/>
  <c r="I366" i="1" s="1"/>
  <c r="J366" i="1" s="1"/>
  <c r="K366" i="1" a="1"/>
  <c r="K366" i="1" s="1"/>
  <c r="H367" i="1"/>
  <c r="I367" i="1" s="1"/>
  <c r="J367" i="1" s="1"/>
  <c r="K367" i="1" a="1"/>
  <c r="K367" i="1" s="1"/>
  <c r="H361" i="1"/>
  <c r="I361" i="1" s="1"/>
  <c r="J361" i="1" s="1"/>
  <c r="K361" i="1" a="1"/>
  <c r="K361" i="1" s="1"/>
  <c r="H363" i="1"/>
  <c r="I363" i="1" s="1"/>
  <c r="J363" i="1" s="1"/>
  <c r="K363" i="1" a="1"/>
  <c r="K363" i="1" s="1"/>
  <c r="H232" i="1"/>
  <c r="I232" i="1" s="1"/>
  <c r="J232" i="1" s="1"/>
  <c r="K232" i="1" a="1"/>
  <c r="K232" i="1" s="1"/>
  <c r="H233" i="1"/>
  <c r="I233" i="1" s="1"/>
  <c r="J233" i="1" s="1"/>
  <c r="K233" i="1" a="1"/>
  <c r="K233" i="1" s="1"/>
  <c r="H234" i="1"/>
  <c r="I234" i="1" s="1"/>
  <c r="J234" i="1" s="1"/>
  <c r="K234" i="1" a="1"/>
  <c r="K234" i="1" s="1"/>
  <c r="H235" i="1"/>
  <c r="I235" i="1" s="1"/>
  <c r="J235" i="1" s="1"/>
  <c r="K235" i="1" a="1"/>
  <c r="K235" i="1" s="1"/>
  <c r="D303" i="1"/>
  <c r="E303" i="1" s="1"/>
  <c r="L303" i="1" s="1"/>
  <c r="D305" i="1"/>
  <c r="E305" i="1" s="1"/>
  <c r="L305" i="1" s="1"/>
  <c r="D306" i="1"/>
  <c r="E306" i="1" s="1"/>
  <c r="L306" i="1" s="1"/>
  <c r="D307" i="1"/>
  <c r="E307" i="1" s="1"/>
  <c r="L307" i="1" s="1"/>
  <c r="D309" i="1"/>
  <c r="E309" i="1" s="1"/>
  <c r="L309" i="1" s="1"/>
  <c r="D311" i="1"/>
  <c r="E311" i="1" s="1"/>
  <c r="L311" i="1" s="1"/>
  <c r="D313" i="1"/>
  <c r="E313" i="1" s="1"/>
  <c r="L313" i="1" s="1"/>
  <c r="D304" i="1"/>
  <c r="E304" i="1" s="1"/>
  <c r="L304" i="1" s="1"/>
  <c r="D308" i="1"/>
  <c r="E308" i="1" s="1"/>
  <c r="L308" i="1" s="1"/>
  <c r="D310" i="1"/>
  <c r="E310" i="1" s="1"/>
  <c r="L310" i="1" s="1"/>
  <c r="D312" i="1"/>
  <c r="E312" i="1" s="1"/>
  <c r="L312" i="1" s="1"/>
  <c r="D314" i="1"/>
  <c r="E314" i="1" s="1"/>
  <c r="L314" i="1" s="1"/>
  <c r="K370" i="1" a="1"/>
  <c r="K370" i="1" s="1"/>
  <c r="H370" i="1"/>
  <c r="I370" i="1" s="1"/>
  <c r="J370" i="1" s="1"/>
  <c r="H375" i="1"/>
  <c r="I375" i="1" s="1"/>
  <c r="J375" i="1" s="1"/>
  <c r="K375" i="1" a="1"/>
  <c r="K375" i="1" s="1"/>
  <c r="H380" i="1"/>
  <c r="I380" i="1" s="1"/>
  <c r="J380" i="1" s="1"/>
  <c r="K380" i="1" a="1"/>
  <c r="K380" i="1" s="1"/>
  <c r="H384" i="1"/>
  <c r="I384" i="1" s="1"/>
  <c r="J384" i="1" s="1"/>
  <c r="K384" i="1" a="1"/>
  <c r="K384" i="1" s="1"/>
  <c r="H389" i="1"/>
  <c r="I389" i="1" s="1"/>
  <c r="J389" i="1" s="1"/>
  <c r="K389" i="1" a="1"/>
  <c r="K389" i="1" s="1"/>
  <c r="H394" i="1"/>
  <c r="I394" i="1" s="1"/>
  <c r="J394" i="1" s="1"/>
  <c r="K394" i="1" a="1"/>
  <c r="K394" i="1" s="1"/>
  <c r="K424" i="1" a="1"/>
  <c r="K424" i="1" s="1"/>
  <c r="H424" i="1"/>
  <c r="I424" i="1" s="1"/>
  <c r="J424" i="1" s="1"/>
  <c r="H429" i="1"/>
  <c r="I429" i="1" s="1"/>
  <c r="J429" i="1" s="1"/>
  <c r="K429" i="1" a="1"/>
  <c r="K429" i="1" s="1"/>
  <c r="K434" i="1" a="1"/>
  <c r="K434" i="1" s="1"/>
  <c r="H434" i="1"/>
  <c r="I434" i="1" s="1"/>
  <c r="J434" i="1" s="1"/>
  <c r="H439" i="1"/>
  <c r="I439" i="1" s="1"/>
  <c r="J439" i="1" s="1"/>
  <c r="K439" i="1" a="1"/>
  <c r="K439" i="1" s="1"/>
  <c r="H443" i="1"/>
  <c r="I443" i="1" s="1"/>
  <c r="J443" i="1" s="1"/>
  <c r="K443" i="1" a="1"/>
  <c r="K443" i="1" s="1"/>
  <c r="K447" i="1" a="1"/>
  <c r="K447" i="1" s="1"/>
  <c r="H447" i="1"/>
  <c r="I447" i="1" s="1"/>
  <c r="J447" i="1" s="1"/>
  <c r="K451" i="1" a="1"/>
  <c r="K451" i="1" s="1"/>
  <c r="H451" i="1"/>
  <c r="I451" i="1" s="1"/>
  <c r="J451" i="1" s="1"/>
  <c r="H456" i="1"/>
  <c r="I456" i="1" s="1"/>
  <c r="J456" i="1" s="1"/>
  <c r="K456" i="1" a="1"/>
  <c r="K456" i="1" s="1"/>
  <c r="H460" i="1"/>
  <c r="I460" i="1" s="1"/>
  <c r="J460" i="1" s="1"/>
  <c r="K460" i="1" a="1"/>
  <c r="K460" i="1" s="1"/>
  <c r="H465" i="1"/>
  <c r="I465" i="1" s="1"/>
  <c r="J465" i="1" s="1"/>
  <c r="K465" i="1" a="1"/>
  <c r="K465" i="1" s="1"/>
  <c r="K470" i="1" a="1"/>
  <c r="K470" i="1" s="1"/>
  <c r="H470" i="1"/>
  <c r="I470" i="1" s="1"/>
  <c r="J470" i="1" s="1"/>
  <c r="K474" i="1" a="1"/>
  <c r="K474" i="1" s="1"/>
  <c r="H474" i="1"/>
  <c r="I474" i="1" s="1"/>
  <c r="J474" i="1" s="1"/>
  <c r="H372" i="1"/>
  <c r="I372" i="1" s="1"/>
  <c r="J372" i="1" s="1"/>
  <c r="K372" i="1" a="1"/>
  <c r="K372" i="1" s="1"/>
  <c r="K377" i="1" a="1"/>
  <c r="K377" i="1" s="1"/>
  <c r="H377" i="1"/>
  <c r="I377" i="1" s="1"/>
  <c r="J377" i="1" s="1"/>
  <c r="K382" i="1" a="1"/>
  <c r="K382" i="1" s="1"/>
  <c r="H382" i="1"/>
  <c r="I382" i="1" s="1"/>
  <c r="J382" i="1" s="1"/>
  <c r="K387" i="1" a="1"/>
  <c r="K387" i="1" s="1"/>
  <c r="H387" i="1"/>
  <c r="I387" i="1" s="1"/>
  <c r="J387" i="1" s="1"/>
  <c r="K391" i="1" a="1"/>
  <c r="K391" i="1" s="1"/>
  <c r="H391" i="1"/>
  <c r="I391" i="1" s="1"/>
  <c r="J391" i="1" s="1"/>
  <c r="K396" i="1" a="1"/>
  <c r="K396" i="1" s="1"/>
  <c r="H396" i="1"/>
  <c r="I396" i="1" s="1"/>
  <c r="J396" i="1" s="1"/>
  <c r="H426" i="1"/>
  <c r="I426" i="1" s="1"/>
  <c r="J426" i="1" s="1"/>
  <c r="K426" i="1" a="1"/>
  <c r="K426" i="1" s="1"/>
  <c r="H430" i="1"/>
  <c r="I430" i="1" s="1"/>
  <c r="J430" i="1" s="1"/>
  <c r="K430" i="1" a="1"/>
  <c r="K430" i="1" s="1"/>
  <c r="K433" i="1" a="1"/>
  <c r="K433" i="1" s="1"/>
  <c r="H433" i="1"/>
  <c r="I433" i="1" s="1"/>
  <c r="J433" i="1" s="1"/>
  <c r="K437" i="1" a="1"/>
  <c r="K437" i="1" s="1"/>
  <c r="H437" i="1"/>
  <c r="I437" i="1" s="1"/>
  <c r="J437" i="1" s="1"/>
  <c r="K441" i="1" a="1"/>
  <c r="K441" i="1" s="1"/>
  <c r="H441" i="1"/>
  <c r="I441" i="1" s="1"/>
  <c r="J441" i="1" s="1"/>
  <c r="H445" i="1"/>
  <c r="I445" i="1" s="1"/>
  <c r="J445" i="1" s="1"/>
  <c r="K445" i="1" a="1"/>
  <c r="K445" i="1" s="1"/>
  <c r="H449" i="1"/>
  <c r="I449" i="1" s="1"/>
  <c r="J449" i="1" s="1"/>
  <c r="K449" i="1" a="1"/>
  <c r="K449" i="1" s="1"/>
  <c r="H454" i="1"/>
  <c r="I454" i="1" s="1"/>
  <c r="J454" i="1" s="1"/>
  <c r="K454" i="1" a="1"/>
  <c r="K454" i="1" s="1"/>
  <c r="K459" i="1" a="1"/>
  <c r="K459" i="1" s="1"/>
  <c r="H459" i="1"/>
  <c r="I459" i="1" s="1"/>
  <c r="J459" i="1" s="1"/>
  <c r="H463" i="1"/>
  <c r="I463" i="1" s="1"/>
  <c r="J463" i="1" s="1"/>
  <c r="K463" i="1" a="1"/>
  <c r="K463" i="1" s="1"/>
  <c r="H468" i="1"/>
  <c r="I468" i="1" s="1"/>
  <c r="J468" i="1" s="1"/>
  <c r="K468" i="1" a="1"/>
  <c r="K468" i="1" s="1"/>
  <c r="H472" i="1"/>
  <c r="I472" i="1" s="1"/>
  <c r="J472" i="1" s="1"/>
  <c r="K472" i="1" a="1"/>
  <c r="K472" i="1" s="1"/>
  <c r="K373" i="1" a="1"/>
  <c r="K373" i="1" s="1"/>
  <c r="H373" i="1"/>
  <c r="I373" i="1" s="1"/>
  <c r="J373" i="1" s="1"/>
  <c r="H376" i="1"/>
  <c r="I376" i="1" s="1"/>
  <c r="J376" i="1" s="1"/>
  <c r="K376" i="1" a="1"/>
  <c r="K376" i="1" s="1"/>
  <c r="K379" i="1" a="1"/>
  <c r="K379" i="1" s="1"/>
  <c r="H379" i="1"/>
  <c r="I379" i="1" s="1"/>
  <c r="J379" i="1" s="1"/>
  <c r="K383" i="1" a="1"/>
  <c r="K383" i="1" s="1"/>
  <c r="H383" i="1"/>
  <c r="I383" i="1" s="1"/>
  <c r="J383" i="1" s="1"/>
  <c r="K386" i="1" a="1"/>
  <c r="K386" i="1" s="1"/>
  <c r="H386" i="1"/>
  <c r="I386" i="1" s="1"/>
  <c r="J386" i="1" s="1"/>
  <c r="K390" i="1" a="1"/>
  <c r="K390" i="1" s="1"/>
  <c r="H390" i="1"/>
  <c r="I390" i="1" s="1"/>
  <c r="J390" i="1" s="1"/>
  <c r="H393" i="1"/>
  <c r="I393" i="1" s="1"/>
  <c r="J393" i="1" s="1"/>
  <c r="K393" i="1" a="1"/>
  <c r="K393" i="1" s="1"/>
  <c r="H414" i="1"/>
  <c r="I414" i="1" s="1"/>
  <c r="J414" i="1" s="1"/>
  <c r="K414" i="1" a="1"/>
  <c r="K414" i="1" s="1"/>
  <c r="H418" i="1"/>
  <c r="I418" i="1" s="1"/>
  <c r="J418" i="1" s="1"/>
  <c r="K418" i="1" a="1"/>
  <c r="K418" i="1" s="1"/>
  <c r="K420" i="1" a="1"/>
  <c r="K420" i="1" s="1"/>
  <c r="H420" i="1"/>
  <c r="I420" i="1" s="1"/>
  <c r="J420" i="1" s="1"/>
  <c r="K425" i="1" a="1"/>
  <c r="K425" i="1" s="1"/>
  <c r="H425" i="1"/>
  <c r="I425" i="1" s="1"/>
  <c r="J425" i="1" s="1"/>
  <c r="K428" i="1" a="1"/>
  <c r="K428" i="1" s="1"/>
  <c r="H428" i="1"/>
  <c r="I428" i="1" s="1"/>
  <c r="J428" i="1" s="1"/>
  <c r="K432" i="1" a="1"/>
  <c r="K432" i="1" s="1"/>
  <c r="H432" i="1"/>
  <c r="I432" i="1" s="1"/>
  <c r="J432" i="1" s="1"/>
  <c r="H436" i="1"/>
  <c r="I436" i="1" s="1"/>
  <c r="J436" i="1" s="1"/>
  <c r="K436" i="1" a="1"/>
  <c r="K436" i="1" s="1"/>
  <c r="K440" i="1" a="1"/>
  <c r="K440" i="1" s="1"/>
  <c r="H440" i="1"/>
  <c r="I440" i="1" s="1"/>
  <c r="J440" i="1" s="1"/>
  <c r="K444" i="1" a="1"/>
  <c r="K444" i="1" s="1"/>
  <c r="H444" i="1"/>
  <c r="I444" i="1" s="1"/>
  <c r="J444" i="1" s="1"/>
  <c r="K448" i="1" a="1"/>
  <c r="K448" i="1" s="1"/>
  <c r="H448" i="1"/>
  <c r="I448" i="1" s="1"/>
  <c r="J448" i="1" s="1"/>
  <c r="K452" i="1" a="1"/>
  <c r="K452" i="1" s="1"/>
  <c r="H452" i="1"/>
  <c r="I452" i="1" s="1"/>
  <c r="J452" i="1" s="1"/>
  <c r="H455" i="1"/>
  <c r="I455" i="1" s="1"/>
  <c r="J455" i="1" s="1"/>
  <c r="K455" i="1" a="1"/>
  <c r="K455" i="1" s="1"/>
  <c r="K458" i="1" a="1"/>
  <c r="K458" i="1" s="1"/>
  <c r="H458" i="1"/>
  <c r="I458" i="1" s="1"/>
  <c r="J458" i="1" s="1"/>
  <c r="K462" i="1" a="1"/>
  <c r="K462" i="1" s="1"/>
  <c r="H462" i="1"/>
  <c r="I462" i="1" s="1"/>
  <c r="J462" i="1" s="1"/>
  <c r="K466" i="1" a="1"/>
  <c r="K466" i="1" s="1"/>
  <c r="H466" i="1"/>
  <c r="I466" i="1" s="1"/>
  <c r="J466" i="1" s="1"/>
  <c r="K469" i="1" a="1"/>
  <c r="K469" i="1" s="1"/>
  <c r="H469" i="1"/>
  <c r="I469" i="1" s="1"/>
  <c r="J469" i="1" s="1"/>
  <c r="H473" i="1"/>
  <c r="I473" i="1" s="1"/>
  <c r="J473" i="1" s="1"/>
  <c r="K473" i="1" a="1"/>
  <c r="K473" i="1" s="1"/>
  <c r="D274" i="1"/>
  <c r="E274" i="1" s="1"/>
  <c r="L274" i="1" s="1"/>
  <c r="D276" i="1"/>
  <c r="E276" i="1" s="1"/>
  <c r="L276" i="1" s="1"/>
  <c r="D278" i="1"/>
  <c r="E278" i="1" s="1"/>
  <c r="L278" i="1" s="1"/>
  <c r="D280" i="1"/>
  <c r="E280" i="1" s="1"/>
  <c r="L280" i="1" s="1"/>
  <c r="D282" i="1"/>
  <c r="E282" i="1" s="1"/>
  <c r="L282" i="1" s="1"/>
  <c r="D283" i="1"/>
  <c r="E283" i="1" s="1"/>
  <c r="L283" i="1" s="1"/>
  <c r="D285" i="1"/>
  <c r="E285" i="1" s="1"/>
  <c r="L285" i="1" s="1"/>
  <c r="D287" i="1"/>
  <c r="E287" i="1" s="1"/>
  <c r="L287" i="1" s="1"/>
  <c r="D289" i="1"/>
  <c r="E289" i="1" s="1"/>
  <c r="L289" i="1" s="1"/>
  <c r="D291" i="1"/>
  <c r="E291" i="1" s="1"/>
  <c r="L291" i="1" s="1"/>
  <c r="D293" i="1"/>
  <c r="E293" i="1" s="1"/>
  <c r="L293" i="1" s="1"/>
  <c r="D295" i="1"/>
  <c r="E295" i="1" s="1"/>
  <c r="L295" i="1" s="1"/>
  <c r="D297" i="1"/>
  <c r="E297" i="1" s="1"/>
  <c r="L297" i="1" s="1"/>
  <c r="D299" i="1"/>
  <c r="E299" i="1" s="1"/>
  <c r="L299" i="1" s="1"/>
  <c r="D301" i="1"/>
  <c r="E301" i="1" s="1"/>
  <c r="L301" i="1" s="1"/>
  <c r="K354" i="1" a="1"/>
  <c r="K354" i="1" s="1"/>
  <c r="H354" i="1"/>
  <c r="I354" i="1" s="1"/>
  <c r="J354" i="1" s="1"/>
  <c r="D275" i="1"/>
  <c r="E275" i="1" s="1"/>
  <c r="L275" i="1" s="1"/>
  <c r="D277" i="1"/>
  <c r="E277" i="1" s="1"/>
  <c r="L277" i="1" s="1"/>
  <c r="D279" i="1"/>
  <c r="E279" i="1" s="1"/>
  <c r="L279" i="1" s="1"/>
  <c r="D281" i="1"/>
  <c r="E281" i="1" s="1"/>
  <c r="L281" i="1" s="1"/>
  <c r="D284" i="1"/>
  <c r="E284" i="1" s="1"/>
  <c r="L284" i="1" s="1"/>
  <c r="D286" i="1"/>
  <c r="E286" i="1" s="1"/>
  <c r="L286" i="1" s="1"/>
  <c r="D288" i="1"/>
  <c r="E288" i="1" s="1"/>
  <c r="L288" i="1" s="1"/>
  <c r="D290" i="1"/>
  <c r="E290" i="1" s="1"/>
  <c r="L290" i="1" s="1"/>
  <c r="D292" i="1"/>
  <c r="E292" i="1" s="1"/>
  <c r="L292" i="1" s="1"/>
  <c r="D294" i="1"/>
  <c r="E294" i="1" s="1"/>
  <c r="L294" i="1" s="1"/>
  <c r="D296" i="1"/>
  <c r="E296" i="1" s="1"/>
  <c r="L296" i="1" s="1"/>
  <c r="D298" i="1"/>
  <c r="E298" i="1" s="1"/>
  <c r="L298" i="1" s="1"/>
  <c r="D300" i="1"/>
  <c r="E300" i="1" s="1"/>
  <c r="L300" i="1" s="1"/>
  <c r="D302" i="1"/>
  <c r="E302" i="1" s="1"/>
  <c r="L302" i="1" s="1"/>
  <c r="K243" i="1" a="1"/>
  <c r="K243" i="1" s="1"/>
  <c r="H243" i="1"/>
  <c r="I243" i="1" s="1"/>
  <c r="J243" i="1" s="1"/>
  <c r="H244" i="1"/>
  <c r="I244" i="1" s="1"/>
  <c r="J244" i="1" s="1"/>
  <c r="K244" i="1" a="1"/>
  <c r="K244" i="1" s="1"/>
  <c r="H245" i="1"/>
  <c r="I245" i="1" s="1"/>
  <c r="J245" i="1" s="1"/>
  <c r="K245" i="1" a="1"/>
  <c r="K245" i="1" s="1"/>
  <c r="K246" i="1" a="1"/>
  <c r="K246" i="1" s="1"/>
  <c r="H246" i="1"/>
  <c r="I246" i="1" s="1"/>
  <c r="J246" i="1" s="1"/>
  <c r="K247" i="1" a="1"/>
  <c r="K247" i="1" s="1"/>
  <c r="H247" i="1"/>
  <c r="I247" i="1" s="1"/>
  <c r="J247" i="1" s="1"/>
  <c r="K248" i="1" a="1"/>
  <c r="K248" i="1" s="1"/>
  <c r="H248" i="1"/>
  <c r="I248" i="1" s="1"/>
  <c r="J248" i="1" s="1"/>
  <c r="H249" i="1"/>
  <c r="I249" i="1" s="1"/>
  <c r="J249" i="1" s="1"/>
  <c r="K249" i="1" a="1"/>
  <c r="K249" i="1" s="1"/>
  <c r="H250" i="1"/>
  <c r="I250" i="1" s="1"/>
  <c r="J250" i="1" s="1"/>
  <c r="K250" i="1" a="1"/>
  <c r="K250" i="1" s="1"/>
  <c r="H251" i="1"/>
  <c r="I251" i="1" s="1"/>
  <c r="J251" i="1" s="1"/>
  <c r="K251" i="1" a="1"/>
  <c r="K251" i="1" s="1"/>
  <c r="K252" i="1" a="1"/>
  <c r="K252" i="1" s="1"/>
  <c r="H252" i="1"/>
  <c r="I252" i="1" s="1"/>
  <c r="J252" i="1" s="1"/>
  <c r="K253" i="1" a="1"/>
  <c r="K253" i="1" s="1"/>
  <c r="H253" i="1"/>
  <c r="I253" i="1" s="1"/>
  <c r="J253" i="1" s="1"/>
  <c r="K254" i="1" a="1"/>
  <c r="K254" i="1" s="1"/>
  <c r="H254" i="1"/>
  <c r="I254" i="1" s="1"/>
  <c r="J254" i="1" s="1"/>
  <c r="H255" i="1"/>
  <c r="I255" i="1" s="1"/>
  <c r="J255" i="1" s="1"/>
  <c r="K255" i="1" a="1"/>
  <c r="K255" i="1" s="1"/>
  <c r="K256" i="1" a="1"/>
  <c r="K256" i="1" s="1"/>
  <c r="H256" i="1"/>
  <c r="I256" i="1" s="1"/>
  <c r="J256" i="1" s="1"/>
  <c r="H257" i="1"/>
  <c r="I257" i="1" s="1"/>
  <c r="J257" i="1" s="1"/>
  <c r="K257" i="1" a="1"/>
  <c r="K257" i="1" s="1"/>
  <c r="K258" i="1" a="1"/>
  <c r="K258" i="1" s="1"/>
  <c r="H258" i="1"/>
  <c r="I258" i="1" s="1"/>
  <c r="J258" i="1" s="1"/>
  <c r="H259" i="1"/>
  <c r="I259" i="1" s="1"/>
  <c r="J259" i="1" s="1"/>
  <c r="K259" i="1" a="1"/>
  <c r="K259" i="1" s="1"/>
  <c r="K260" i="1" a="1"/>
  <c r="K260" i="1" s="1"/>
  <c r="H260" i="1"/>
  <c r="I260" i="1" s="1"/>
  <c r="J260" i="1" s="1"/>
  <c r="H261" i="1"/>
  <c r="I261" i="1" s="1"/>
  <c r="J261" i="1" s="1"/>
  <c r="K261" i="1" a="1"/>
  <c r="K261" i="1" s="1"/>
  <c r="K262" i="1" a="1"/>
  <c r="K262" i="1" s="1"/>
  <c r="H262" i="1"/>
  <c r="I262" i="1" s="1"/>
  <c r="J262" i="1" s="1"/>
  <c r="H263" i="1"/>
  <c r="I263" i="1" s="1"/>
  <c r="J263" i="1" s="1"/>
  <c r="K263" i="1" a="1"/>
  <c r="K263" i="1" s="1"/>
  <c r="K264" i="1" a="1"/>
  <c r="K264" i="1" s="1"/>
  <c r="H264" i="1"/>
  <c r="I264" i="1" s="1"/>
  <c r="J264" i="1" s="1"/>
  <c r="H265" i="1"/>
  <c r="I265" i="1" s="1"/>
  <c r="J265" i="1" s="1"/>
  <c r="K265" i="1" a="1"/>
  <c r="K265" i="1" s="1"/>
  <c r="H266" i="1"/>
  <c r="I266" i="1" s="1"/>
  <c r="J266" i="1" s="1"/>
  <c r="K266" i="1" a="1"/>
  <c r="K266" i="1" s="1"/>
  <c r="H267" i="1"/>
  <c r="I267" i="1" s="1"/>
  <c r="J267" i="1" s="1"/>
  <c r="K267" i="1" a="1"/>
  <c r="K267" i="1" s="1"/>
  <c r="K268" i="1" a="1"/>
  <c r="K268" i="1" s="1"/>
  <c r="H268" i="1"/>
  <c r="I268" i="1" s="1"/>
  <c r="J268" i="1" s="1"/>
  <c r="H269" i="1"/>
  <c r="I269" i="1" s="1"/>
  <c r="J269" i="1" s="1"/>
  <c r="K269" i="1" a="1"/>
  <c r="K269" i="1" s="1"/>
  <c r="H270" i="1"/>
  <c r="I270" i="1" s="1"/>
  <c r="J270" i="1" s="1"/>
  <c r="K270" i="1" a="1"/>
  <c r="K270" i="1" s="1"/>
  <c r="H271" i="1"/>
  <c r="I271" i="1" s="1"/>
  <c r="J271" i="1" s="1"/>
  <c r="K271" i="1" a="1"/>
  <c r="K271" i="1" s="1"/>
  <c r="K272" i="1" a="1"/>
  <c r="K272" i="1" s="1"/>
  <c r="H272" i="1"/>
  <c r="I272" i="1" s="1"/>
  <c r="J272" i="1" s="1"/>
  <c r="H273" i="1"/>
  <c r="I273" i="1" s="1"/>
  <c r="J273" i="1" s="1"/>
  <c r="K273" i="1" a="1"/>
  <c r="K273" i="1" s="1"/>
  <c r="D489" i="1"/>
  <c r="E489" i="1" s="1"/>
  <c r="L489" i="1" s="1"/>
  <c r="H489" i="1"/>
  <c r="I489" i="1" s="1"/>
  <c r="J489" i="1" s="1"/>
  <c r="K489" i="1" a="1"/>
  <c r="K489" i="1" s="1"/>
  <c r="D490" i="1"/>
  <c r="E490" i="1" s="1"/>
  <c r="L490" i="1" s="1"/>
  <c r="H490" i="1"/>
  <c r="I490" i="1" s="1"/>
  <c r="J490" i="1" s="1"/>
  <c r="K490" i="1" a="1"/>
  <c r="K490" i="1" s="1"/>
  <c r="D491" i="1"/>
  <c r="E491" i="1" s="1"/>
  <c r="L491" i="1" s="1"/>
  <c r="H491" i="1"/>
  <c r="I491" i="1" s="1"/>
  <c r="J491" i="1" s="1"/>
  <c r="K491" i="1" a="1"/>
  <c r="K491" i="1" s="1"/>
  <c r="D492" i="1"/>
  <c r="E492" i="1" s="1"/>
  <c r="L492" i="1" s="1"/>
  <c r="K492" i="1" a="1"/>
  <c r="K492" i="1" s="1"/>
  <c r="H492" i="1"/>
  <c r="I492" i="1" s="1"/>
  <c r="J492" i="1" s="1"/>
  <c r="D493" i="1"/>
  <c r="E493" i="1" s="1"/>
  <c r="L493" i="1" s="1"/>
  <c r="K493" i="1" a="1"/>
  <c r="K493" i="1" s="1"/>
  <c r="H493" i="1"/>
  <c r="I493" i="1" s="1"/>
  <c r="J493" i="1" s="1"/>
  <c r="D494" i="1"/>
  <c r="E494" i="1" s="1"/>
  <c r="L494" i="1" s="1"/>
  <c r="K494" i="1" a="1"/>
  <c r="K494" i="1" s="1"/>
  <c r="H494" i="1"/>
  <c r="I494" i="1" s="1"/>
  <c r="J494" i="1" s="1"/>
  <c r="D495" i="1"/>
  <c r="E495" i="1" s="1"/>
  <c r="L495" i="1" s="1"/>
  <c r="K495" i="1" a="1"/>
  <c r="K495" i="1" s="1"/>
  <c r="H495" i="1"/>
  <c r="I495" i="1" s="1"/>
  <c r="J495" i="1" s="1"/>
  <c r="D496" i="1"/>
  <c r="E496" i="1" s="1"/>
  <c r="L496" i="1" s="1"/>
  <c r="K496" i="1" a="1"/>
  <c r="K496" i="1" s="1"/>
  <c r="H496" i="1"/>
  <c r="I496" i="1" s="1"/>
  <c r="J496" i="1" s="1"/>
  <c r="D497" i="1"/>
  <c r="E497" i="1" s="1"/>
  <c r="L497" i="1" s="1"/>
  <c r="K497" i="1" a="1"/>
  <c r="K497" i="1" s="1"/>
  <c r="H497" i="1"/>
  <c r="I497" i="1" s="1"/>
  <c r="J497" i="1" s="1"/>
  <c r="D498" i="1"/>
  <c r="E498" i="1" s="1"/>
  <c r="L498" i="1" s="1"/>
  <c r="K498" i="1" a="1"/>
  <c r="K498" i="1" s="1"/>
  <c r="H498" i="1"/>
  <c r="I498" i="1" s="1"/>
  <c r="J498" i="1" s="1"/>
  <c r="D499" i="1"/>
  <c r="E499" i="1" s="1"/>
  <c r="L499" i="1" s="1"/>
  <c r="K499" i="1" a="1"/>
  <c r="K499" i="1" s="1"/>
  <c r="H499" i="1"/>
  <c r="I499" i="1" s="1"/>
  <c r="J499" i="1" s="1"/>
  <c r="D500" i="1"/>
  <c r="E500" i="1" s="1"/>
  <c r="L500" i="1" s="1"/>
  <c r="K500" i="1" a="1"/>
  <c r="K500" i="1" s="1"/>
  <c r="H500" i="1"/>
  <c r="I500" i="1" s="1"/>
  <c r="J500" i="1" s="1"/>
  <c r="D501" i="1"/>
  <c r="E501" i="1" s="1"/>
  <c r="L501" i="1" s="1"/>
  <c r="K501" i="1" a="1"/>
  <c r="K501" i="1" s="1"/>
  <c r="H501" i="1"/>
  <c r="I501" i="1" s="1"/>
  <c r="J501" i="1" s="1"/>
  <c r="D502" i="1"/>
  <c r="E502" i="1" s="1"/>
  <c r="L502" i="1" s="1"/>
  <c r="K502" i="1" a="1"/>
  <c r="K502" i="1" s="1"/>
  <c r="H502" i="1"/>
  <c r="I502" i="1" s="1"/>
  <c r="J502" i="1" s="1"/>
  <c r="D503" i="1"/>
  <c r="E503" i="1" s="1"/>
  <c r="L503" i="1" s="1"/>
  <c r="K503" i="1" a="1"/>
  <c r="K503" i="1" s="1"/>
  <c r="H503" i="1"/>
  <c r="I503" i="1" s="1"/>
  <c r="J503" i="1" s="1"/>
  <c r="D504" i="1"/>
  <c r="E504" i="1" s="1"/>
  <c r="L504" i="1" s="1"/>
  <c r="K504" i="1" a="1"/>
  <c r="K504" i="1" s="1"/>
  <c r="H504" i="1"/>
  <c r="I504" i="1" s="1"/>
  <c r="J504" i="1" s="1"/>
  <c r="D505" i="1"/>
  <c r="E505" i="1" s="1"/>
  <c r="L505" i="1" s="1"/>
  <c r="K505" i="1" a="1"/>
  <c r="K505" i="1" s="1"/>
  <c r="H505" i="1"/>
  <c r="I505" i="1" s="1"/>
  <c r="J505" i="1" s="1"/>
  <c r="D506" i="1"/>
  <c r="E506" i="1" s="1"/>
  <c r="L506" i="1" s="1"/>
  <c r="H506" i="1"/>
  <c r="I506" i="1" s="1"/>
  <c r="J506" i="1" s="1"/>
  <c r="K506" i="1" a="1"/>
  <c r="K506" i="1" s="1"/>
  <c r="D507" i="1"/>
  <c r="E507" i="1" s="1"/>
  <c r="L507" i="1" s="1"/>
  <c r="H507" i="1"/>
  <c r="I507" i="1" s="1"/>
  <c r="J507" i="1" s="1"/>
  <c r="K507" i="1" a="1"/>
  <c r="K507" i="1" s="1"/>
  <c r="D508" i="1"/>
  <c r="E508" i="1" s="1"/>
  <c r="L508" i="1" s="1"/>
  <c r="K508" i="1" a="1"/>
  <c r="K508" i="1" s="1"/>
  <c r="H508" i="1"/>
  <c r="I508" i="1" s="1"/>
  <c r="J508" i="1" s="1"/>
  <c r="D509" i="1"/>
  <c r="E509" i="1" s="1"/>
  <c r="L509" i="1" s="1"/>
  <c r="H509" i="1"/>
  <c r="I509" i="1" s="1"/>
  <c r="J509" i="1" s="1"/>
  <c r="K509" i="1" a="1"/>
  <c r="K509" i="1" s="1"/>
  <c r="H274" i="1"/>
  <c r="I274" i="1" s="1"/>
  <c r="J274" i="1" s="1"/>
  <c r="K274" i="1" a="1"/>
  <c r="K274" i="1" s="1"/>
  <c r="H275" i="1"/>
  <c r="I275" i="1" s="1"/>
  <c r="J275" i="1" s="1"/>
  <c r="K275" i="1" a="1"/>
  <c r="K275" i="1" s="1"/>
  <c r="H276" i="1"/>
  <c r="I276" i="1" s="1"/>
  <c r="J276" i="1" s="1"/>
  <c r="K276" i="1" a="1"/>
  <c r="K276" i="1" s="1"/>
  <c r="K277" i="1" a="1"/>
  <c r="K277" i="1" s="1"/>
  <c r="H277" i="1"/>
  <c r="I277" i="1" s="1"/>
  <c r="J277" i="1" s="1"/>
  <c r="K278" i="1" a="1"/>
  <c r="K278" i="1" s="1"/>
  <c r="H278" i="1"/>
  <c r="I278" i="1" s="1"/>
  <c r="J278" i="1" s="1"/>
  <c r="K279" i="1" a="1"/>
  <c r="K279" i="1" s="1"/>
  <c r="H279" i="1"/>
  <c r="I279" i="1" s="1"/>
  <c r="J279" i="1" s="1"/>
  <c r="K280" i="1" a="1"/>
  <c r="K280" i="1" s="1"/>
  <c r="H280" i="1"/>
  <c r="I280" i="1" s="1"/>
  <c r="J280" i="1" s="1"/>
  <c r="H281" i="1"/>
  <c r="I281" i="1" s="1"/>
  <c r="J281" i="1" s="1"/>
  <c r="K281" i="1" a="1"/>
  <c r="K281" i="1" s="1"/>
  <c r="H282" i="1"/>
  <c r="I282" i="1" s="1"/>
  <c r="J282" i="1" s="1"/>
  <c r="K282" i="1" a="1"/>
  <c r="K282" i="1" s="1"/>
  <c r="K283" i="1" a="1"/>
  <c r="K283" i="1" s="1"/>
  <c r="H283" i="1"/>
  <c r="I283" i="1" s="1"/>
  <c r="J283" i="1" s="1"/>
  <c r="K284" i="1" a="1"/>
  <c r="K284" i="1" s="1"/>
  <c r="H284" i="1"/>
  <c r="I284" i="1" s="1"/>
  <c r="J284" i="1" s="1"/>
  <c r="K285" i="1" a="1"/>
  <c r="K285" i="1" s="1"/>
  <c r="H285" i="1"/>
  <c r="I285" i="1" s="1"/>
  <c r="J285" i="1" s="1"/>
  <c r="H286" i="1"/>
  <c r="I286" i="1" s="1"/>
  <c r="J286" i="1" s="1"/>
  <c r="K286" i="1" a="1"/>
  <c r="K286" i="1" s="1"/>
  <c r="H287" i="1"/>
  <c r="I287" i="1" s="1"/>
  <c r="J287" i="1" s="1"/>
  <c r="K287" i="1" a="1"/>
  <c r="K287" i="1" s="1"/>
  <c r="K288" i="1" a="1"/>
  <c r="K288" i="1" s="1"/>
  <c r="H288" i="1"/>
  <c r="I288" i="1" s="1"/>
  <c r="J288" i="1" s="1"/>
  <c r="K289" i="1" a="1"/>
  <c r="K289" i="1" s="1"/>
  <c r="H289" i="1"/>
  <c r="I289" i="1" s="1"/>
  <c r="J289" i="1" s="1"/>
  <c r="K290" i="1" a="1"/>
  <c r="K290" i="1" s="1"/>
  <c r="H290" i="1"/>
  <c r="I290" i="1" s="1"/>
  <c r="J290" i="1" s="1"/>
  <c r="H291" i="1"/>
  <c r="I291" i="1" s="1"/>
  <c r="J291" i="1" s="1"/>
  <c r="K291" i="1" a="1"/>
  <c r="K291" i="1" s="1"/>
  <c r="K292" i="1" a="1"/>
  <c r="K292" i="1" s="1"/>
  <c r="H292" i="1"/>
  <c r="I292" i="1" s="1"/>
  <c r="J292" i="1" s="1"/>
  <c r="K293" i="1" a="1"/>
  <c r="K293" i="1" s="1"/>
  <c r="H293" i="1"/>
  <c r="I293" i="1" s="1"/>
  <c r="J293" i="1" s="1"/>
  <c r="H294" i="1"/>
  <c r="I294" i="1" s="1"/>
  <c r="J294" i="1" s="1"/>
  <c r="K294" i="1" a="1"/>
  <c r="K294" i="1" s="1"/>
  <c r="H295" i="1"/>
  <c r="I295" i="1" s="1"/>
  <c r="J295" i="1" s="1"/>
  <c r="K295" i="1" a="1"/>
  <c r="K295" i="1" s="1"/>
  <c r="H296" i="1"/>
  <c r="I296" i="1" s="1"/>
  <c r="J296" i="1" s="1"/>
  <c r="K296" i="1" a="1"/>
  <c r="K296" i="1" s="1"/>
  <c r="K297" i="1" a="1"/>
  <c r="K297" i="1" s="1"/>
  <c r="H297" i="1"/>
  <c r="I297" i="1" s="1"/>
  <c r="J297" i="1" s="1"/>
  <c r="K298" i="1" a="1"/>
  <c r="K298" i="1" s="1"/>
  <c r="H298" i="1"/>
  <c r="I298" i="1" s="1"/>
  <c r="J298" i="1" s="1"/>
  <c r="H299" i="1"/>
  <c r="I299" i="1" s="1"/>
  <c r="J299" i="1" s="1"/>
  <c r="K299" i="1" a="1"/>
  <c r="K299" i="1" s="1"/>
  <c r="K300" i="1" a="1"/>
  <c r="K300" i="1" s="1"/>
  <c r="H300" i="1"/>
  <c r="I300" i="1" s="1"/>
  <c r="J300" i="1" s="1"/>
  <c r="K301" i="1" a="1"/>
  <c r="K301" i="1" s="1"/>
  <c r="H301" i="1"/>
  <c r="I301" i="1" s="1"/>
  <c r="J301" i="1" s="1"/>
  <c r="K302" i="1" a="1"/>
  <c r="K302" i="1" s="1"/>
  <c r="H302" i="1"/>
  <c r="I302" i="1" s="1"/>
  <c r="J302" i="1" s="1"/>
  <c r="K303" i="1" a="1"/>
  <c r="K303" i="1" s="1"/>
  <c r="H303" i="1"/>
  <c r="I303" i="1" s="1"/>
  <c r="J303" i="1" s="1"/>
  <c r="K304" i="1" a="1"/>
  <c r="K304" i="1" s="1"/>
  <c r="H304" i="1"/>
  <c r="I304" i="1" s="1"/>
  <c r="J304" i="1" s="1"/>
  <c r="K305" i="1" a="1"/>
  <c r="K305" i="1" s="1"/>
  <c r="H305" i="1"/>
  <c r="I305" i="1" s="1"/>
  <c r="J305" i="1" s="1"/>
  <c r="K306" i="1" a="1"/>
  <c r="K306" i="1" s="1"/>
  <c r="H306" i="1"/>
  <c r="I306" i="1" s="1"/>
  <c r="J306" i="1" s="1"/>
  <c r="K307" i="1" a="1"/>
  <c r="K307" i="1" s="1"/>
  <c r="H307" i="1"/>
  <c r="I307" i="1" s="1"/>
  <c r="J307" i="1" s="1"/>
  <c r="H356" i="1"/>
  <c r="I356" i="1" s="1"/>
  <c r="J356" i="1" s="1"/>
  <c r="K356" i="1" a="1"/>
  <c r="K356" i="1" s="1"/>
  <c r="H360" i="1"/>
  <c r="I360" i="1" s="1"/>
  <c r="J360" i="1" s="1"/>
  <c r="K360" i="1" a="1"/>
  <c r="K360" i="1" s="1"/>
  <c r="K364" i="1" a="1"/>
  <c r="K364" i="1" s="1"/>
  <c r="H364" i="1"/>
  <c r="I364" i="1" s="1"/>
  <c r="J364" i="1" s="1"/>
  <c r="K368" i="1" a="1"/>
  <c r="K368" i="1" s="1"/>
  <c r="H368" i="1"/>
  <c r="I368" i="1" s="1"/>
  <c r="J368" i="1" s="1"/>
  <c r="K371" i="1" a="1"/>
  <c r="K371" i="1" s="1"/>
  <c r="H371" i="1"/>
  <c r="I371" i="1" s="1"/>
  <c r="J371" i="1" s="1"/>
  <c r="K374" i="1" a="1"/>
  <c r="K374" i="1" s="1"/>
  <c r="H374" i="1"/>
  <c r="I374" i="1" s="1"/>
  <c r="J374" i="1" s="1"/>
  <c r="H378" i="1"/>
  <c r="I378" i="1" s="1"/>
  <c r="J378" i="1" s="1"/>
  <c r="K378" i="1" a="1"/>
  <c r="K378" i="1" s="1"/>
  <c r="K381" i="1" a="1"/>
  <c r="K381" i="1" s="1"/>
  <c r="H381" i="1"/>
  <c r="I381" i="1" s="1"/>
  <c r="J381" i="1" s="1"/>
  <c r="H385" i="1"/>
  <c r="I385" i="1" s="1"/>
  <c r="J385" i="1" s="1"/>
  <c r="K385" i="1" a="1"/>
  <c r="K385" i="1" s="1"/>
  <c r="H388" i="1"/>
  <c r="I388" i="1" s="1"/>
  <c r="J388" i="1" s="1"/>
  <c r="K388" i="1" a="1"/>
  <c r="K388" i="1" s="1"/>
  <c r="H392" i="1"/>
  <c r="I392" i="1" s="1"/>
  <c r="J392" i="1" s="1"/>
  <c r="K392" i="1" a="1"/>
  <c r="K392" i="1" s="1"/>
  <c r="H395" i="1"/>
  <c r="I395" i="1" s="1"/>
  <c r="J395" i="1" s="1"/>
  <c r="K395" i="1" a="1"/>
  <c r="K395" i="1" s="1"/>
  <c r="H417" i="1"/>
  <c r="I417" i="1" s="1"/>
  <c r="J417" i="1" s="1"/>
  <c r="K417" i="1" a="1"/>
  <c r="K417" i="1" s="1"/>
  <c r="K422" i="1" a="1"/>
  <c r="K422" i="1" s="1"/>
  <c r="H422" i="1"/>
  <c r="I422" i="1" s="1"/>
  <c r="J422" i="1" s="1"/>
  <c r="K423" i="1" a="1"/>
  <c r="K423" i="1" s="1"/>
  <c r="H423" i="1"/>
  <c r="I423" i="1" s="1"/>
  <c r="J423" i="1" s="1"/>
  <c r="K427" i="1" a="1"/>
  <c r="K427" i="1" s="1"/>
  <c r="H427" i="1"/>
  <c r="I427" i="1" s="1"/>
  <c r="J427" i="1" s="1"/>
  <c r="K431" i="1" a="1"/>
  <c r="K431" i="1" s="1"/>
  <c r="H431" i="1"/>
  <c r="I431" i="1" s="1"/>
  <c r="J431" i="1" s="1"/>
  <c r="H435" i="1"/>
  <c r="I435" i="1" s="1"/>
  <c r="J435" i="1" s="1"/>
  <c r="K435" i="1" a="1"/>
  <c r="K435" i="1" s="1"/>
  <c r="H438" i="1"/>
  <c r="I438" i="1" s="1"/>
  <c r="J438" i="1" s="1"/>
  <c r="K438" i="1" a="1"/>
  <c r="K438" i="1" s="1"/>
  <c r="H442" i="1"/>
  <c r="I442" i="1" s="1"/>
  <c r="J442" i="1" s="1"/>
  <c r="K442" i="1" a="1"/>
  <c r="K442" i="1" s="1"/>
  <c r="H446" i="1"/>
  <c r="I446" i="1" s="1"/>
  <c r="J446" i="1" s="1"/>
  <c r="K446" i="1" a="1"/>
  <c r="K446" i="1" s="1"/>
  <c r="K450" i="1" a="1"/>
  <c r="K450" i="1" s="1"/>
  <c r="H450" i="1"/>
  <c r="I450" i="1" s="1"/>
  <c r="J450" i="1" s="1"/>
  <c r="H453" i="1"/>
  <c r="I453" i="1" s="1"/>
  <c r="J453" i="1" s="1"/>
  <c r="K453" i="1" a="1"/>
  <c r="K453" i="1" s="1"/>
  <c r="H457" i="1"/>
  <c r="I457" i="1" s="1"/>
  <c r="J457" i="1" s="1"/>
  <c r="K457" i="1" a="1"/>
  <c r="K457" i="1" s="1"/>
  <c r="K461" i="1" a="1"/>
  <c r="K461" i="1" s="1"/>
  <c r="H461" i="1"/>
  <c r="I461" i="1" s="1"/>
  <c r="J461" i="1" s="1"/>
  <c r="H464" i="1"/>
  <c r="I464" i="1" s="1"/>
  <c r="J464" i="1" s="1"/>
  <c r="K464" i="1" a="1"/>
  <c r="K464" i="1" s="1"/>
  <c r="K467" i="1" a="1"/>
  <c r="K467" i="1" s="1"/>
  <c r="H467" i="1"/>
  <c r="I467" i="1" s="1"/>
  <c r="J467" i="1" s="1"/>
  <c r="K471" i="1" a="1"/>
  <c r="K471" i="1" s="1"/>
  <c r="H471" i="1"/>
  <c r="I471" i="1" s="1"/>
  <c r="J471" i="1" s="1"/>
  <c r="K475" i="1" a="1"/>
  <c r="K475" i="1" s="1"/>
  <c r="H475" i="1"/>
  <c r="I475" i="1" s="1"/>
  <c r="J475" i="1" s="1"/>
  <c r="H479" i="1"/>
  <c r="I479" i="1" s="1"/>
  <c r="J479" i="1" s="1"/>
  <c r="K479" i="1" a="1"/>
  <c r="K479" i="1" s="1"/>
  <c r="H482" i="1"/>
  <c r="I482" i="1" s="1"/>
  <c r="J482" i="1" s="1"/>
  <c r="K482" i="1" a="1"/>
  <c r="K482" i="1" s="1"/>
  <c r="K486" i="1" a="1"/>
  <c r="K486" i="1" s="1"/>
  <c r="H486" i="1"/>
  <c r="I486" i="1" s="1"/>
  <c r="J486" i="1" s="1"/>
  <c r="D326" i="1"/>
  <c r="E326" i="1" s="1"/>
  <c r="L326" i="1" s="1"/>
  <c r="D327" i="1"/>
  <c r="E327" i="1" s="1"/>
  <c r="L327" i="1" s="1"/>
  <c r="D328" i="1"/>
  <c r="E328" i="1" s="1"/>
  <c r="L328" i="1" s="1"/>
  <c r="D329" i="1"/>
  <c r="E329" i="1" s="1"/>
  <c r="L329" i="1" s="1"/>
  <c r="D330" i="1"/>
  <c r="E330" i="1" s="1"/>
  <c r="L330" i="1" s="1"/>
  <c r="D331" i="1"/>
  <c r="E331" i="1" s="1"/>
  <c r="L331" i="1" s="1"/>
  <c r="D332" i="1"/>
  <c r="E332" i="1" s="1"/>
  <c r="L332" i="1" s="1"/>
  <c r="D333" i="1"/>
  <c r="E333" i="1" s="1"/>
  <c r="L333" i="1" s="1"/>
  <c r="D334" i="1"/>
  <c r="E334" i="1" s="1"/>
  <c r="L334" i="1" s="1"/>
  <c r="D335" i="1"/>
  <c r="E335" i="1" s="1"/>
  <c r="L335" i="1" s="1"/>
  <c r="D336" i="1"/>
  <c r="E336" i="1" s="1"/>
  <c r="L336" i="1" s="1"/>
  <c r="D337" i="1"/>
  <c r="E337" i="1" s="1"/>
  <c r="L337" i="1" s="1"/>
  <c r="D338" i="1"/>
  <c r="E338" i="1" s="1"/>
  <c r="L338" i="1" s="1"/>
  <c r="D339" i="1"/>
  <c r="E339" i="1" s="1"/>
  <c r="L339" i="1" s="1"/>
  <c r="D340" i="1"/>
  <c r="E340" i="1" s="1"/>
  <c r="L340" i="1" s="1"/>
  <c r="D341" i="1"/>
  <c r="E341" i="1" s="1"/>
  <c r="L341" i="1" s="1"/>
  <c r="D342" i="1"/>
  <c r="E342" i="1" s="1"/>
  <c r="L342" i="1" s="1"/>
  <c r="D343" i="1"/>
  <c r="E343" i="1" s="1"/>
  <c r="L343" i="1" s="1"/>
  <c r="D344" i="1"/>
  <c r="E344" i="1" s="1"/>
  <c r="L344" i="1" s="1"/>
  <c r="D345" i="1"/>
  <c r="E345" i="1" s="1"/>
  <c r="L345" i="1" s="1"/>
  <c r="D346" i="1"/>
  <c r="E346" i="1" s="1"/>
  <c r="L346" i="1" s="1"/>
  <c r="D347" i="1"/>
  <c r="E347" i="1" s="1"/>
  <c r="L347" i="1" s="1"/>
  <c r="D348" i="1"/>
  <c r="E348" i="1" s="1"/>
  <c r="L348" i="1" s="1"/>
  <c r="D349" i="1"/>
  <c r="E349" i="1" s="1"/>
  <c r="L349" i="1" s="1"/>
  <c r="D350" i="1"/>
  <c r="E350" i="1" s="1"/>
  <c r="L350" i="1" s="1"/>
  <c r="D351" i="1"/>
  <c r="E351" i="1" s="1"/>
  <c r="L351" i="1" s="1"/>
  <c r="D352" i="1"/>
  <c r="E352" i="1" s="1"/>
  <c r="L352" i="1" s="1"/>
  <c r="D353" i="1"/>
  <c r="E353" i="1" s="1"/>
  <c r="L353" i="1" s="1"/>
  <c r="D354" i="1"/>
  <c r="E354" i="1" s="1"/>
  <c r="L354" i="1" s="1"/>
  <c r="D355" i="1"/>
  <c r="E355" i="1" s="1"/>
  <c r="L355" i="1" s="1"/>
  <c r="D356" i="1"/>
  <c r="E356" i="1" s="1"/>
  <c r="L356" i="1" s="1"/>
  <c r="D357" i="1"/>
  <c r="E357" i="1" s="1"/>
  <c r="L357" i="1" s="1"/>
  <c r="D358" i="1"/>
  <c r="E358" i="1" s="1"/>
  <c r="L358" i="1" s="1"/>
  <c r="D359" i="1"/>
  <c r="E359" i="1" s="1"/>
  <c r="L359" i="1" s="1"/>
  <c r="D360" i="1"/>
  <c r="E360" i="1" s="1"/>
  <c r="L360" i="1" s="1"/>
  <c r="D361" i="1"/>
  <c r="E361" i="1" s="1"/>
  <c r="L361" i="1" s="1"/>
  <c r="D362" i="1"/>
  <c r="E362" i="1" s="1"/>
  <c r="L362" i="1" s="1"/>
  <c r="D363" i="1"/>
  <c r="E363" i="1" s="1"/>
  <c r="L363" i="1" s="1"/>
  <c r="D364" i="1"/>
  <c r="E364" i="1" s="1"/>
  <c r="L364" i="1" s="1"/>
  <c r="D365" i="1"/>
  <c r="E365" i="1" s="1"/>
  <c r="L365" i="1" s="1"/>
  <c r="D366" i="1"/>
  <c r="E366" i="1" s="1"/>
  <c r="L366" i="1" s="1"/>
  <c r="D367" i="1"/>
  <c r="E367" i="1" s="1"/>
  <c r="L367" i="1" s="1"/>
  <c r="D368" i="1"/>
  <c r="E368" i="1" s="1"/>
  <c r="L368" i="1" s="1"/>
  <c r="D369" i="1"/>
  <c r="E369" i="1" s="1"/>
  <c r="L369" i="1" s="1"/>
  <c r="D370" i="1"/>
  <c r="E370" i="1" s="1"/>
  <c r="L370" i="1" s="1"/>
  <c r="D371" i="1"/>
  <c r="E371" i="1" s="1"/>
  <c r="L371" i="1" s="1"/>
  <c r="D372" i="1"/>
  <c r="E372" i="1" s="1"/>
  <c r="L372" i="1" s="1"/>
  <c r="D373" i="1"/>
  <c r="E373" i="1" s="1"/>
  <c r="L373" i="1" s="1"/>
  <c r="D374" i="1"/>
  <c r="E374" i="1" s="1"/>
  <c r="L374" i="1" s="1"/>
  <c r="D375" i="1"/>
  <c r="E375" i="1" s="1"/>
  <c r="L375" i="1" s="1"/>
  <c r="D376" i="1"/>
  <c r="E376" i="1" s="1"/>
  <c r="L376" i="1" s="1"/>
  <c r="H478" i="1"/>
  <c r="I478" i="1" s="1"/>
  <c r="J478" i="1" s="1"/>
  <c r="K478" i="1" a="1"/>
  <c r="K478" i="1" s="1"/>
  <c r="H483" i="1"/>
  <c r="I483" i="1" s="1"/>
  <c r="J483" i="1" s="1"/>
  <c r="K483" i="1" a="1"/>
  <c r="K483" i="1" s="1"/>
  <c r="H476" i="1"/>
  <c r="I476" i="1" s="1"/>
  <c r="J476" i="1" s="1"/>
  <c r="K476" i="1" a="1"/>
  <c r="K476" i="1" s="1"/>
  <c r="K481" i="1" a="1"/>
  <c r="K481" i="1" s="1"/>
  <c r="H481" i="1"/>
  <c r="I481" i="1" s="1"/>
  <c r="J481" i="1" s="1"/>
  <c r="H485" i="1"/>
  <c r="I485" i="1" s="1"/>
  <c r="J485" i="1" s="1"/>
  <c r="K485" i="1" a="1"/>
  <c r="K485" i="1" s="1"/>
  <c r="H477" i="1"/>
  <c r="I477" i="1" s="1"/>
  <c r="J477" i="1" s="1"/>
  <c r="K477" i="1" a="1"/>
  <c r="K477" i="1" s="1"/>
  <c r="H480" i="1"/>
  <c r="I480" i="1" s="1"/>
  <c r="J480" i="1" s="1"/>
  <c r="K480" i="1" a="1"/>
  <c r="K480" i="1" s="1"/>
  <c r="H484" i="1"/>
  <c r="I484" i="1" s="1"/>
  <c r="J484" i="1" s="1"/>
  <c r="K484" i="1" a="1"/>
  <c r="K484" i="1" s="1"/>
  <c r="D90" i="1"/>
  <c r="E90" i="1" s="1"/>
  <c r="L90" i="1" s="1"/>
  <c r="D91" i="1"/>
  <c r="E91" i="1" s="1"/>
  <c r="L91" i="1" s="1"/>
  <c r="D92" i="1"/>
  <c r="E92" i="1" s="1"/>
  <c r="L92" i="1" s="1"/>
  <c r="D93" i="1"/>
  <c r="E93" i="1" s="1"/>
  <c r="L93" i="1" s="1"/>
  <c r="D94" i="1"/>
  <c r="E94" i="1" s="1"/>
  <c r="L94" i="1" s="1"/>
  <c r="D95" i="1"/>
  <c r="E95" i="1" s="1"/>
  <c r="L95" i="1" s="1"/>
  <c r="D96" i="1"/>
  <c r="E96" i="1" s="1"/>
  <c r="L96" i="1" s="1"/>
  <c r="H308" i="1"/>
  <c r="I308" i="1" s="1"/>
  <c r="J308" i="1" s="1"/>
  <c r="K308" i="1" a="1"/>
  <c r="K308" i="1" s="1"/>
  <c r="H309" i="1"/>
  <c r="I309" i="1" s="1"/>
  <c r="J309" i="1" s="1"/>
  <c r="K309" i="1" a="1"/>
  <c r="K309" i="1" s="1"/>
  <c r="H310" i="1"/>
  <c r="I310" i="1" s="1"/>
  <c r="J310" i="1" s="1"/>
  <c r="K310" i="1" a="1"/>
  <c r="K310" i="1" s="1"/>
  <c r="H311" i="1"/>
  <c r="I311" i="1" s="1"/>
  <c r="J311" i="1" s="1"/>
  <c r="K311" i="1" a="1"/>
  <c r="K311" i="1" s="1"/>
  <c r="H312" i="1"/>
  <c r="I312" i="1" s="1"/>
  <c r="J312" i="1" s="1"/>
  <c r="K312" i="1" a="1"/>
  <c r="K312" i="1" s="1"/>
  <c r="H313" i="1"/>
  <c r="I313" i="1" s="1"/>
  <c r="J313" i="1" s="1"/>
  <c r="K313" i="1" a="1"/>
  <c r="K313" i="1" s="1"/>
  <c r="H314" i="1"/>
  <c r="I314" i="1" s="1"/>
  <c r="J314" i="1" s="1"/>
  <c r="K314" i="1" a="1"/>
  <c r="K314" i="1" s="1"/>
  <c r="H315" i="1"/>
  <c r="I315" i="1" s="1"/>
  <c r="J315" i="1" s="1"/>
  <c r="K315" i="1" a="1"/>
  <c r="K315" i="1" s="1"/>
  <c r="H316" i="1"/>
  <c r="I316" i="1" s="1"/>
  <c r="J316" i="1" s="1"/>
  <c r="K316" i="1" a="1"/>
  <c r="K316" i="1" s="1"/>
  <c r="H317" i="1"/>
  <c r="I317" i="1" s="1"/>
  <c r="J317" i="1" s="1"/>
  <c r="K317" i="1" a="1"/>
  <c r="K317" i="1" s="1"/>
  <c r="H318" i="1"/>
  <c r="I318" i="1" s="1"/>
  <c r="J318" i="1" s="1"/>
  <c r="K318" i="1" a="1"/>
  <c r="K318" i="1" s="1"/>
  <c r="H319" i="1"/>
  <c r="I319" i="1" s="1"/>
  <c r="J319" i="1" s="1"/>
  <c r="K319" i="1" a="1"/>
  <c r="K319" i="1" s="1"/>
  <c r="H320" i="1"/>
  <c r="I320" i="1" s="1"/>
  <c r="J320" i="1" s="1"/>
  <c r="K320" i="1" a="1"/>
  <c r="K320" i="1" s="1"/>
  <c r="H321" i="1"/>
  <c r="I321" i="1" s="1"/>
  <c r="J321" i="1" s="1"/>
  <c r="K321" i="1" a="1"/>
  <c r="K321" i="1" s="1"/>
  <c r="H322" i="1"/>
  <c r="I322" i="1" s="1"/>
  <c r="J322" i="1" s="1"/>
  <c r="K322" i="1" a="1"/>
  <c r="K322" i="1" s="1"/>
  <c r="H323" i="1"/>
  <c r="I323" i="1" s="1"/>
  <c r="J323" i="1" s="1"/>
  <c r="K323" i="1" a="1"/>
  <c r="K323" i="1" s="1"/>
  <c r="H324" i="1"/>
  <c r="I324" i="1" s="1"/>
  <c r="J324" i="1" s="1"/>
  <c r="K324" i="1" a="1"/>
  <c r="K324" i="1" s="1"/>
  <c r="H325" i="1"/>
  <c r="I325" i="1" s="1"/>
  <c r="J325" i="1" s="1"/>
  <c r="K325" i="1" a="1"/>
  <c r="K325" i="1" s="1"/>
  <c r="H326" i="1"/>
  <c r="I326" i="1" s="1"/>
  <c r="J326" i="1" s="1"/>
  <c r="K326" i="1" a="1"/>
  <c r="K326" i="1" s="1"/>
  <c r="H327" i="1"/>
  <c r="I327" i="1" s="1"/>
  <c r="J327" i="1" s="1"/>
  <c r="K327" i="1" a="1"/>
  <c r="K327" i="1" s="1"/>
  <c r="H328" i="1"/>
  <c r="I328" i="1" s="1"/>
  <c r="J328" i="1" s="1"/>
  <c r="K328" i="1" a="1"/>
  <c r="K328" i="1" s="1"/>
  <c r="H329" i="1"/>
  <c r="I329" i="1" s="1"/>
  <c r="J329" i="1" s="1"/>
  <c r="K329" i="1" a="1"/>
  <c r="K329" i="1" s="1"/>
  <c r="H330" i="1"/>
  <c r="I330" i="1" s="1"/>
  <c r="J330" i="1" s="1"/>
  <c r="K330" i="1" a="1"/>
  <c r="K330" i="1" s="1"/>
  <c r="H331" i="1"/>
  <c r="I331" i="1" s="1"/>
  <c r="J331" i="1" s="1"/>
  <c r="K331" i="1" a="1"/>
  <c r="K331" i="1" s="1"/>
  <c r="H332" i="1"/>
  <c r="I332" i="1" s="1"/>
  <c r="J332" i="1" s="1"/>
  <c r="K332" i="1" a="1"/>
  <c r="K332" i="1" s="1"/>
  <c r="H333" i="1"/>
  <c r="I333" i="1" s="1"/>
  <c r="J333" i="1" s="1"/>
  <c r="K333" i="1" a="1"/>
  <c r="K333" i="1" s="1"/>
  <c r="H334" i="1"/>
  <c r="I334" i="1" s="1"/>
  <c r="J334" i="1" s="1"/>
  <c r="K334" i="1" a="1"/>
  <c r="K334" i="1" s="1"/>
  <c r="H335" i="1"/>
  <c r="I335" i="1" s="1"/>
  <c r="J335" i="1" s="1"/>
  <c r="K335" i="1" a="1"/>
  <c r="K335" i="1" s="1"/>
  <c r="H336" i="1"/>
  <c r="I336" i="1" s="1"/>
  <c r="J336" i="1" s="1"/>
  <c r="K336" i="1" a="1"/>
  <c r="K336" i="1" s="1"/>
  <c r="H337" i="1"/>
  <c r="I337" i="1" s="1"/>
  <c r="J337" i="1" s="1"/>
  <c r="K337" i="1" a="1"/>
  <c r="K337" i="1" s="1"/>
  <c r="H338" i="1"/>
  <c r="I338" i="1" s="1"/>
  <c r="J338" i="1" s="1"/>
  <c r="K338" i="1" a="1"/>
  <c r="K338" i="1" s="1"/>
  <c r="H339" i="1"/>
  <c r="I339" i="1" s="1"/>
  <c r="J339" i="1" s="1"/>
  <c r="K339" i="1" a="1"/>
  <c r="K339" i="1" s="1"/>
  <c r="H340" i="1"/>
  <c r="I340" i="1" s="1"/>
  <c r="J340" i="1" s="1"/>
  <c r="K340" i="1" a="1"/>
  <c r="K340" i="1" s="1"/>
  <c r="K345" i="1" a="1"/>
  <c r="K345" i="1" s="1"/>
  <c r="H345" i="1"/>
  <c r="I345" i="1" s="1"/>
  <c r="J345" i="1" s="1"/>
  <c r="K346" i="1" a="1"/>
  <c r="K346" i="1" s="1"/>
  <c r="H346" i="1"/>
  <c r="I346" i="1" s="1"/>
  <c r="J346" i="1" s="1"/>
  <c r="H348" i="1"/>
  <c r="I348" i="1" s="1"/>
  <c r="J348" i="1" s="1"/>
  <c r="K348" i="1" a="1"/>
  <c r="K348" i="1" s="1"/>
  <c r="H351" i="1"/>
  <c r="I351" i="1" s="1"/>
  <c r="J351" i="1" s="1"/>
  <c r="K351" i="1" a="1"/>
  <c r="K351" i="1" s="1"/>
  <c r="K399" i="1" a="1"/>
  <c r="K399" i="1" s="1"/>
  <c r="H399" i="1"/>
  <c r="I399" i="1" s="1"/>
  <c r="J399" i="1" s="1"/>
  <c r="K402" i="1" a="1"/>
  <c r="K402" i="1" s="1"/>
  <c r="H402" i="1"/>
  <c r="I402" i="1" s="1"/>
  <c r="J402" i="1" s="1"/>
  <c r="K406" i="1" a="1"/>
  <c r="K406" i="1" s="1"/>
  <c r="H406" i="1"/>
  <c r="I406" i="1" s="1"/>
  <c r="J406" i="1" s="1"/>
  <c r="K409" i="1" a="1"/>
  <c r="K409" i="1" s="1"/>
  <c r="H409" i="1"/>
  <c r="I409" i="1" s="1"/>
  <c r="J409" i="1" s="1"/>
  <c r="H413" i="1"/>
  <c r="I413" i="1" s="1"/>
  <c r="J413" i="1" s="1"/>
  <c r="K413" i="1" a="1"/>
  <c r="K413" i="1" s="1"/>
  <c r="D377" i="1"/>
  <c r="E377" i="1" s="1"/>
  <c r="L377" i="1" s="1"/>
  <c r="D378" i="1"/>
  <c r="E378" i="1" s="1"/>
  <c r="L378" i="1" s="1"/>
  <c r="D379" i="1"/>
  <c r="E379" i="1" s="1"/>
  <c r="L379" i="1" s="1"/>
  <c r="D380" i="1"/>
  <c r="E380" i="1" s="1"/>
  <c r="L380" i="1" s="1"/>
  <c r="D381" i="1"/>
  <c r="E381" i="1" s="1"/>
  <c r="L381" i="1" s="1"/>
  <c r="D382" i="1"/>
  <c r="E382" i="1" s="1"/>
  <c r="L382" i="1" s="1"/>
  <c r="D383" i="1"/>
  <c r="E383" i="1" s="1"/>
  <c r="L383" i="1" s="1"/>
  <c r="D384" i="1"/>
  <c r="E384" i="1" s="1"/>
  <c r="L384" i="1" s="1"/>
  <c r="D385" i="1"/>
  <c r="E385" i="1" s="1"/>
  <c r="L385" i="1" s="1"/>
  <c r="D386" i="1"/>
  <c r="E386" i="1" s="1"/>
  <c r="L386" i="1" s="1"/>
  <c r="D387" i="1"/>
  <c r="E387" i="1" s="1"/>
  <c r="L387" i="1" s="1"/>
  <c r="D388" i="1"/>
  <c r="E388" i="1" s="1"/>
  <c r="L388" i="1" s="1"/>
  <c r="D389" i="1"/>
  <c r="E389" i="1" s="1"/>
  <c r="L389" i="1" s="1"/>
  <c r="D390" i="1"/>
  <c r="E390" i="1" s="1"/>
  <c r="L390" i="1" s="1"/>
  <c r="D391" i="1"/>
  <c r="E391" i="1" s="1"/>
  <c r="L391" i="1" s="1"/>
  <c r="D392" i="1"/>
  <c r="E392" i="1" s="1"/>
  <c r="L392" i="1" s="1"/>
  <c r="D393" i="1"/>
  <c r="E393" i="1" s="1"/>
  <c r="L393" i="1" s="1"/>
  <c r="D394" i="1"/>
  <c r="E394" i="1" s="1"/>
  <c r="L394" i="1" s="1"/>
  <c r="D395" i="1"/>
  <c r="E395" i="1" s="1"/>
  <c r="L395" i="1" s="1"/>
  <c r="D396" i="1"/>
  <c r="E396" i="1" s="1"/>
  <c r="L396" i="1" s="1"/>
  <c r="D397" i="1"/>
  <c r="E397" i="1" s="1"/>
  <c r="L397" i="1" s="1"/>
  <c r="D398" i="1"/>
  <c r="E398" i="1" s="1"/>
  <c r="L398" i="1" s="1"/>
  <c r="D399" i="1"/>
  <c r="E399" i="1" s="1"/>
  <c r="L399" i="1" s="1"/>
  <c r="D400" i="1"/>
  <c r="E400" i="1" s="1"/>
  <c r="L400" i="1" s="1"/>
  <c r="D401" i="1"/>
  <c r="E401" i="1" s="1"/>
  <c r="L401" i="1" s="1"/>
  <c r="D402" i="1"/>
  <c r="E402" i="1" s="1"/>
  <c r="L402" i="1" s="1"/>
  <c r="D403" i="1"/>
  <c r="E403" i="1" s="1"/>
  <c r="L403" i="1" s="1"/>
  <c r="D404" i="1"/>
  <c r="E404" i="1" s="1"/>
  <c r="L404" i="1" s="1"/>
  <c r="D405" i="1"/>
  <c r="E405" i="1" s="1"/>
  <c r="L405" i="1" s="1"/>
  <c r="D406" i="1"/>
  <c r="E406" i="1" s="1"/>
  <c r="L406" i="1" s="1"/>
  <c r="D407" i="1"/>
  <c r="E407" i="1" s="1"/>
  <c r="L407" i="1" s="1"/>
  <c r="D408" i="1"/>
  <c r="E408" i="1" s="1"/>
  <c r="L408" i="1" s="1"/>
  <c r="D409" i="1"/>
  <c r="E409" i="1" s="1"/>
  <c r="L409" i="1" s="1"/>
  <c r="D410" i="1"/>
  <c r="E410" i="1" s="1"/>
  <c r="L410" i="1" s="1"/>
  <c r="D411" i="1"/>
  <c r="E411" i="1" s="1"/>
  <c r="L411" i="1" s="1"/>
  <c r="D412" i="1"/>
  <c r="E412" i="1" s="1"/>
  <c r="L412" i="1" s="1"/>
  <c r="D413" i="1"/>
  <c r="E413" i="1" s="1"/>
  <c r="L413" i="1" s="1"/>
  <c r="D414" i="1"/>
  <c r="E414" i="1" s="1"/>
  <c r="L414" i="1" s="1"/>
  <c r="D415" i="1"/>
  <c r="E415" i="1" s="1"/>
  <c r="L415" i="1" s="1"/>
  <c r="D416" i="1"/>
  <c r="E416" i="1" s="1"/>
  <c r="L416" i="1" s="1"/>
  <c r="D417" i="1"/>
  <c r="E417" i="1" s="1"/>
  <c r="L417" i="1" s="1"/>
  <c r="D418" i="1"/>
  <c r="E418" i="1" s="1"/>
  <c r="L418" i="1" s="1"/>
  <c r="D419" i="1"/>
  <c r="E419" i="1" s="1"/>
  <c r="L419" i="1" s="1"/>
  <c r="D420" i="1"/>
  <c r="E420" i="1" s="1"/>
  <c r="L420" i="1" s="1"/>
  <c r="D421" i="1"/>
  <c r="E421" i="1" s="1"/>
  <c r="L421" i="1" s="1"/>
  <c r="D422" i="1"/>
  <c r="E422" i="1" s="1"/>
  <c r="L422" i="1" s="1"/>
  <c r="D423" i="1"/>
  <c r="E423" i="1" s="1"/>
  <c r="L423" i="1" s="1"/>
  <c r="D424" i="1"/>
  <c r="E424" i="1" s="1"/>
  <c r="L424" i="1" s="1"/>
  <c r="D425" i="1"/>
  <c r="E425" i="1" s="1"/>
  <c r="L425" i="1" s="1"/>
  <c r="D426" i="1"/>
  <c r="E426" i="1" s="1"/>
  <c r="L426" i="1" s="1"/>
  <c r="D427" i="1"/>
  <c r="E427" i="1" s="1"/>
  <c r="L427" i="1" s="1"/>
  <c r="D428" i="1"/>
  <c r="E428" i="1" s="1"/>
  <c r="L428" i="1" s="1"/>
  <c r="D429" i="1"/>
  <c r="E429" i="1" s="1"/>
  <c r="L429" i="1" s="1"/>
  <c r="D430" i="1"/>
  <c r="E430" i="1" s="1"/>
  <c r="L430" i="1" s="1"/>
  <c r="D431" i="1"/>
  <c r="E431" i="1" s="1"/>
  <c r="L431" i="1" s="1"/>
  <c r="D432" i="1"/>
  <c r="E432" i="1" s="1"/>
  <c r="L432" i="1" s="1"/>
  <c r="D433" i="1"/>
  <c r="E433" i="1" s="1"/>
  <c r="L433" i="1" s="1"/>
  <c r="D434" i="1"/>
  <c r="E434" i="1" s="1"/>
  <c r="L434" i="1" s="1"/>
  <c r="D435" i="1"/>
  <c r="E435" i="1" s="1"/>
  <c r="L435" i="1" s="1"/>
  <c r="D436" i="1"/>
  <c r="E436" i="1" s="1"/>
  <c r="L436" i="1" s="1"/>
  <c r="D437" i="1"/>
  <c r="E437" i="1" s="1"/>
  <c r="L437" i="1" s="1"/>
  <c r="D438" i="1"/>
  <c r="E438" i="1" s="1"/>
  <c r="L438" i="1" s="1"/>
  <c r="D439" i="1"/>
  <c r="E439" i="1" s="1"/>
  <c r="L439" i="1" s="1"/>
  <c r="D440" i="1"/>
  <c r="E440" i="1" s="1"/>
  <c r="L440" i="1" s="1"/>
  <c r="D441" i="1"/>
  <c r="E441" i="1" s="1"/>
  <c r="L441" i="1" s="1"/>
  <c r="D442" i="1"/>
  <c r="E442" i="1" s="1"/>
  <c r="L442" i="1" s="1"/>
  <c r="D443" i="1"/>
  <c r="E443" i="1" s="1"/>
  <c r="L443" i="1" s="1"/>
  <c r="D444" i="1"/>
  <c r="E444" i="1" s="1"/>
  <c r="L444" i="1" s="1"/>
  <c r="D445" i="1"/>
  <c r="E445" i="1" s="1"/>
  <c r="L445" i="1" s="1"/>
  <c r="D446" i="1"/>
  <c r="E446" i="1" s="1"/>
  <c r="L446" i="1" s="1"/>
  <c r="D447" i="1"/>
  <c r="E447" i="1" s="1"/>
  <c r="L447" i="1" s="1"/>
  <c r="D448" i="1"/>
  <c r="E448" i="1" s="1"/>
  <c r="L448" i="1" s="1"/>
  <c r="D449" i="1"/>
  <c r="E449" i="1" s="1"/>
  <c r="L449" i="1" s="1"/>
  <c r="D450" i="1"/>
  <c r="E450" i="1" s="1"/>
  <c r="L450" i="1" s="1"/>
  <c r="D451" i="1"/>
  <c r="E451" i="1" s="1"/>
  <c r="L451" i="1" s="1"/>
  <c r="D452" i="1"/>
  <c r="E452" i="1" s="1"/>
  <c r="L452" i="1" s="1"/>
  <c r="D453" i="1"/>
  <c r="E453" i="1" s="1"/>
  <c r="L453" i="1" s="1"/>
  <c r="D454" i="1"/>
  <c r="E454" i="1" s="1"/>
  <c r="L454" i="1" s="1"/>
  <c r="D455" i="1"/>
  <c r="E455" i="1" s="1"/>
  <c r="L455" i="1" s="1"/>
  <c r="D456" i="1"/>
  <c r="E456" i="1" s="1"/>
  <c r="L456" i="1" s="1"/>
  <c r="D457" i="1"/>
  <c r="E457" i="1" s="1"/>
  <c r="L457" i="1" s="1"/>
  <c r="D458" i="1"/>
  <c r="E458" i="1" s="1"/>
  <c r="L458" i="1" s="1"/>
  <c r="D459" i="1"/>
  <c r="E459" i="1" s="1"/>
  <c r="L459" i="1" s="1"/>
  <c r="D460" i="1"/>
  <c r="E460" i="1" s="1"/>
  <c r="L460" i="1" s="1"/>
  <c r="D461" i="1"/>
  <c r="E461" i="1" s="1"/>
  <c r="L461" i="1" s="1"/>
  <c r="D462" i="1"/>
  <c r="E462" i="1" s="1"/>
  <c r="L462" i="1" s="1"/>
  <c r="D463" i="1"/>
  <c r="E463" i="1" s="1"/>
  <c r="L463" i="1" s="1"/>
  <c r="D464" i="1"/>
  <c r="E464" i="1" s="1"/>
  <c r="L464" i="1" s="1"/>
  <c r="D465" i="1"/>
  <c r="E465" i="1" s="1"/>
  <c r="L465" i="1" s="1"/>
  <c r="D466" i="1"/>
  <c r="E466" i="1" s="1"/>
  <c r="L466" i="1" s="1"/>
  <c r="D467" i="1"/>
  <c r="E467" i="1" s="1"/>
  <c r="L467" i="1" s="1"/>
  <c r="D468" i="1"/>
  <c r="E468" i="1" s="1"/>
  <c r="L468" i="1" s="1"/>
  <c r="D469" i="1"/>
  <c r="E469" i="1" s="1"/>
  <c r="L469" i="1" s="1"/>
  <c r="D470" i="1"/>
  <c r="E470" i="1" s="1"/>
  <c r="L470" i="1" s="1"/>
  <c r="D471" i="1"/>
  <c r="E471" i="1" s="1"/>
  <c r="L471" i="1" s="1"/>
  <c r="D472" i="1"/>
  <c r="E472" i="1" s="1"/>
  <c r="L472" i="1" s="1"/>
  <c r="D473" i="1"/>
  <c r="E473" i="1" s="1"/>
  <c r="L473" i="1" s="1"/>
  <c r="D474" i="1"/>
  <c r="E474" i="1" s="1"/>
  <c r="L474" i="1" s="1"/>
  <c r="D475" i="1"/>
  <c r="E475" i="1" s="1"/>
  <c r="L475" i="1" s="1"/>
  <c r="D476" i="1"/>
  <c r="E476" i="1" s="1"/>
  <c r="L476" i="1" s="1"/>
  <c r="D477" i="1"/>
  <c r="E477" i="1" s="1"/>
  <c r="L477" i="1" s="1"/>
  <c r="D478" i="1"/>
  <c r="E478" i="1" s="1"/>
  <c r="L478" i="1" s="1"/>
  <c r="D479" i="1"/>
  <c r="E479" i="1" s="1"/>
  <c r="L479" i="1" s="1"/>
  <c r="D480" i="1"/>
  <c r="E480" i="1" s="1"/>
  <c r="L480" i="1" s="1"/>
  <c r="D481" i="1"/>
  <c r="E481" i="1" s="1"/>
  <c r="L481" i="1" s="1"/>
  <c r="D482" i="1"/>
  <c r="E482" i="1" s="1"/>
  <c r="L482" i="1" s="1"/>
  <c r="D483" i="1"/>
  <c r="E483" i="1" s="1"/>
  <c r="L483" i="1" s="1"/>
  <c r="D484" i="1"/>
  <c r="E484" i="1" s="1"/>
  <c r="L484" i="1" s="1"/>
  <c r="D485" i="1"/>
  <c r="E485" i="1" s="1"/>
  <c r="L485" i="1" s="1"/>
  <c r="D486" i="1"/>
  <c r="E486" i="1" s="1"/>
  <c r="L486" i="1" s="1"/>
  <c r="D487" i="1"/>
  <c r="E487" i="1" s="1"/>
  <c r="L487" i="1" s="1"/>
  <c r="D488" i="1"/>
  <c r="E488" i="1" s="1"/>
  <c r="L488" i="1" s="1"/>
  <c r="K341" i="1" a="1"/>
  <c r="K341" i="1" s="1"/>
  <c r="H341" i="1"/>
  <c r="I341" i="1" s="1"/>
  <c r="J341" i="1" s="1"/>
  <c r="K347" i="1" a="1"/>
  <c r="K347" i="1" s="1"/>
  <c r="H347" i="1"/>
  <c r="I347" i="1" s="1"/>
  <c r="J347" i="1" s="1"/>
  <c r="K353" i="1" a="1"/>
  <c r="K353" i="1" s="1"/>
  <c r="H353" i="1"/>
  <c r="I353" i="1" s="1"/>
  <c r="J353" i="1" s="1"/>
  <c r="K357" i="1" a="1"/>
  <c r="K357" i="1" s="1"/>
  <c r="H357" i="1"/>
  <c r="I357" i="1" s="1"/>
  <c r="J357" i="1" s="1"/>
  <c r="H398" i="1"/>
  <c r="I398" i="1" s="1"/>
  <c r="J398" i="1" s="1"/>
  <c r="K398" i="1" a="1"/>
  <c r="K398" i="1" s="1"/>
  <c r="H403" i="1"/>
  <c r="I403" i="1" s="1"/>
  <c r="J403" i="1" s="1"/>
  <c r="K403" i="1" a="1"/>
  <c r="K403" i="1" s="1"/>
  <c r="H407" i="1"/>
  <c r="I407" i="1" s="1"/>
  <c r="J407" i="1" s="1"/>
  <c r="K407" i="1" a="1"/>
  <c r="K407" i="1" s="1"/>
  <c r="K411" i="1" a="1"/>
  <c r="K411" i="1" s="1"/>
  <c r="H411" i="1"/>
  <c r="I411" i="1" s="1"/>
  <c r="J411" i="1" s="1"/>
  <c r="H415" i="1"/>
  <c r="I415" i="1" s="1"/>
  <c r="J415" i="1" s="1"/>
  <c r="K415" i="1" a="1"/>
  <c r="K415" i="1" s="1"/>
  <c r="K419" i="1" a="1"/>
  <c r="K419" i="1" s="1"/>
  <c r="H419" i="1"/>
  <c r="I419" i="1" s="1"/>
  <c r="J419" i="1" s="1"/>
  <c r="K487" i="1" a="1"/>
  <c r="K487" i="1" s="1"/>
  <c r="H487" i="1"/>
  <c r="I487" i="1" s="1"/>
  <c r="J487" i="1" s="1"/>
  <c r="H342" i="1"/>
  <c r="I342" i="1" s="1"/>
  <c r="J342" i="1" s="1"/>
  <c r="K342" i="1" a="1"/>
  <c r="K342" i="1" s="1"/>
  <c r="H352" i="1"/>
  <c r="I352" i="1" s="1"/>
  <c r="J352" i="1" s="1"/>
  <c r="K352" i="1" a="1"/>
  <c r="K352" i="1" s="1"/>
  <c r="H358" i="1"/>
  <c r="I358" i="1" s="1"/>
  <c r="J358" i="1" s="1"/>
  <c r="K358" i="1" a="1"/>
  <c r="K358" i="1" s="1"/>
  <c r="H400" i="1"/>
  <c r="I400" i="1" s="1"/>
  <c r="J400" i="1" s="1"/>
  <c r="K400" i="1" a="1"/>
  <c r="K400" i="1" s="1"/>
  <c r="H404" i="1"/>
  <c r="I404" i="1" s="1"/>
  <c r="J404" i="1" s="1"/>
  <c r="K404" i="1" a="1"/>
  <c r="K404" i="1" s="1"/>
  <c r="K408" i="1" a="1"/>
  <c r="K408" i="1" s="1"/>
  <c r="H408" i="1"/>
  <c r="I408" i="1" s="1"/>
  <c r="J408" i="1" s="1"/>
  <c r="K412" i="1" a="1"/>
  <c r="K412" i="1" s="1"/>
  <c r="H412" i="1"/>
  <c r="I412" i="1" s="1"/>
  <c r="J412" i="1" s="1"/>
  <c r="K416" i="1" a="1"/>
  <c r="K416" i="1" s="1"/>
  <c r="H416" i="1"/>
  <c r="I416" i="1" s="1"/>
  <c r="J416" i="1" s="1"/>
  <c r="K421" i="1" a="1"/>
  <c r="K421" i="1" s="1"/>
  <c r="H421" i="1"/>
  <c r="I421" i="1" s="1"/>
  <c r="J421" i="1" s="1"/>
  <c r="K344" i="1" a="1"/>
  <c r="K344" i="1" s="1"/>
  <c r="H344" i="1"/>
  <c r="I344" i="1" s="1"/>
  <c r="J344" i="1" s="1"/>
  <c r="K349" i="1" a="1"/>
  <c r="K349" i="1" s="1"/>
  <c r="H349" i="1"/>
  <c r="I349" i="1" s="1"/>
  <c r="J349" i="1" s="1"/>
  <c r="K397" i="1" a="1"/>
  <c r="K397" i="1" s="1"/>
  <c r="H397" i="1"/>
  <c r="I397" i="1" s="1"/>
  <c r="J397" i="1" s="1"/>
  <c r="H401" i="1"/>
  <c r="I401" i="1" s="1"/>
  <c r="J401" i="1" s="1"/>
  <c r="K401" i="1" a="1"/>
  <c r="K401" i="1" s="1"/>
  <c r="K405" i="1" a="1"/>
  <c r="K405" i="1" s="1"/>
  <c r="H405" i="1"/>
  <c r="I405" i="1" s="1"/>
  <c r="J405" i="1" s="1"/>
  <c r="H410" i="1"/>
  <c r="I410" i="1" s="1"/>
  <c r="J410" i="1" s="1"/>
  <c r="K410" i="1" a="1"/>
  <c r="K410" i="1" s="1"/>
  <c r="K488" i="1" a="1"/>
  <c r="K488" i="1" s="1"/>
  <c r="H488" i="1"/>
  <c r="I488" i="1" s="1"/>
  <c r="J488" i="1" s="1"/>
  <c r="K343" i="1" a="1"/>
  <c r="K343" i="1" s="1"/>
  <c r="H343" i="1"/>
  <c r="I343" i="1" s="1"/>
  <c r="J343" i="1" s="1"/>
  <c r="H350" i="1"/>
  <c r="I350" i="1" s="1"/>
  <c r="J350" i="1" s="1"/>
  <c r="K350" i="1" a="1"/>
  <c r="K350" i="1" s="1"/>
  <c r="D243" i="1"/>
  <c r="E243" i="1" s="1"/>
  <c r="L243" i="1" s="1"/>
  <c r="D244" i="1"/>
  <c r="E244" i="1" s="1"/>
  <c r="L244" i="1" s="1"/>
  <c r="D245" i="1"/>
  <c r="E245" i="1" s="1"/>
  <c r="L245" i="1" s="1"/>
  <c r="D246" i="1"/>
  <c r="E246" i="1" s="1"/>
  <c r="L246" i="1" s="1"/>
  <c r="D247" i="1"/>
  <c r="E247" i="1" s="1"/>
  <c r="L247" i="1" s="1"/>
  <c r="D248" i="1"/>
  <c r="E248" i="1" s="1"/>
  <c r="L248" i="1" s="1"/>
  <c r="D249" i="1"/>
  <c r="E249" i="1" s="1"/>
  <c r="L249" i="1" s="1"/>
  <c r="D250" i="1"/>
  <c r="E250" i="1" s="1"/>
  <c r="L250" i="1" s="1"/>
  <c r="D251" i="1"/>
  <c r="E251" i="1" s="1"/>
  <c r="L251" i="1" s="1"/>
  <c r="D252" i="1"/>
  <c r="E252" i="1" s="1"/>
  <c r="L252" i="1" s="1"/>
  <c r="D253" i="1"/>
  <c r="E253" i="1" s="1"/>
  <c r="L253" i="1" s="1"/>
  <c r="D254" i="1"/>
  <c r="E254" i="1" s="1"/>
  <c r="L254" i="1" s="1"/>
  <c r="D255" i="1"/>
  <c r="E255" i="1" s="1"/>
  <c r="L255" i="1" s="1"/>
  <c r="D256" i="1"/>
  <c r="E256" i="1" s="1"/>
  <c r="L256" i="1" s="1"/>
  <c r="D257" i="1"/>
  <c r="E257" i="1" s="1"/>
  <c r="L257" i="1" s="1"/>
  <c r="D258" i="1"/>
  <c r="E258" i="1" s="1"/>
  <c r="L258" i="1" s="1"/>
  <c r="D259" i="1"/>
  <c r="E259" i="1" s="1"/>
  <c r="L259" i="1" s="1"/>
  <c r="D260" i="1"/>
  <c r="E260" i="1" s="1"/>
  <c r="L260" i="1" s="1"/>
  <c r="D261" i="1"/>
  <c r="E261" i="1" s="1"/>
  <c r="L261" i="1" s="1"/>
  <c r="D262" i="1"/>
  <c r="E262" i="1" s="1"/>
  <c r="L262" i="1" s="1"/>
  <c r="D263" i="1"/>
  <c r="E263" i="1" s="1"/>
  <c r="L263" i="1" s="1"/>
  <c r="D264" i="1"/>
  <c r="E264" i="1" s="1"/>
  <c r="L264" i="1" s="1"/>
  <c r="D265" i="1"/>
  <c r="E265" i="1" s="1"/>
  <c r="L265" i="1" s="1"/>
  <c r="D266" i="1"/>
  <c r="E266" i="1" s="1"/>
  <c r="L266" i="1" s="1"/>
  <c r="D267" i="1"/>
  <c r="E267" i="1" s="1"/>
  <c r="L267" i="1" s="1"/>
  <c r="D268" i="1"/>
  <c r="E268" i="1" s="1"/>
  <c r="L268" i="1" s="1"/>
  <c r="D269" i="1"/>
  <c r="E269" i="1" s="1"/>
  <c r="L269" i="1" s="1"/>
  <c r="D270" i="1"/>
  <c r="E270" i="1" s="1"/>
  <c r="L270" i="1" s="1"/>
  <c r="D271" i="1"/>
  <c r="E271" i="1" s="1"/>
  <c r="L271" i="1" s="1"/>
  <c r="D272" i="1"/>
  <c r="E272" i="1" s="1"/>
  <c r="L272" i="1" s="1"/>
  <c r="D273" i="1"/>
  <c r="E273" i="1" s="1"/>
  <c r="L273" i="1" s="1"/>
  <c r="H90" i="1"/>
  <c r="I90" i="1" s="1"/>
  <c r="J90" i="1" s="1"/>
  <c r="K90" i="1" a="1"/>
  <c r="K90" i="1" s="1"/>
  <c r="K91" i="1" a="1"/>
  <c r="K91" i="1" s="1"/>
  <c r="H91" i="1"/>
  <c r="I91" i="1" s="1"/>
  <c r="J91" i="1" s="1"/>
  <c r="K92" i="1" a="1"/>
  <c r="K92" i="1" s="1"/>
  <c r="H92" i="1"/>
  <c r="I92" i="1" s="1"/>
  <c r="J92" i="1" s="1"/>
  <c r="K93" i="1" a="1"/>
  <c r="K93" i="1" s="1"/>
  <c r="H93" i="1"/>
  <c r="I93" i="1" s="1"/>
  <c r="J93" i="1" s="1"/>
  <c r="K94" i="1" a="1"/>
  <c r="K94" i="1" s="1"/>
  <c r="H94" i="1"/>
  <c r="I94" i="1" s="1"/>
  <c r="J94" i="1" s="1"/>
  <c r="K95" i="1" a="1"/>
  <c r="K95" i="1" s="1"/>
  <c r="H95" i="1"/>
  <c r="I95" i="1" s="1"/>
  <c r="J95" i="1" s="1"/>
  <c r="K96" i="1" a="1"/>
  <c r="K96" i="1" s="1"/>
  <c r="H96" i="1"/>
  <c r="I96" i="1" s="1"/>
  <c r="J96" i="1" s="1"/>
  <c r="K97" i="1" a="1"/>
  <c r="K97" i="1" s="1"/>
  <c r="H97" i="1"/>
  <c r="I97" i="1" s="1"/>
  <c r="J97" i="1" s="1"/>
  <c r="D97" i="1"/>
  <c r="E97" i="1" s="1"/>
  <c r="L97" i="1" s="1"/>
  <c r="K98" i="1" a="1"/>
  <c r="K98" i="1" s="1"/>
  <c r="H98" i="1"/>
  <c r="I98" i="1" s="1"/>
  <c r="J98" i="1" s="1"/>
  <c r="D98" i="1"/>
  <c r="E98" i="1" s="1"/>
  <c r="L98" i="1" s="1"/>
  <c r="D99" i="1"/>
  <c r="E99" i="1" s="1"/>
  <c r="L99" i="1" s="1"/>
  <c r="K99" i="1" a="1"/>
  <c r="K99" i="1" s="1"/>
  <c r="H99" i="1"/>
  <c r="I99" i="1" s="1"/>
  <c r="J99" i="1" s="1"/>
  <c r="D100" i="1"/>
  <c r="E100" i="1" s="1"/>
  <c r="L100" i="1" s="1"/>
  <c r="K100" i="1" a="1"/>
  <c r="K100" i="1" s="1"/>
  <c r="H100" i="1"/>
  <c r="I100" i="1" s="1"/>
  <c r="J100" i="1" s="1"/>
  <c r="D101" i="1"/>
  <c r="E101" i="1" s="1"/>
  <c r="L101" i="1" s="1"/>
  <c r="K101" i="1" a="1"/>
  <c r="K101" i="1" s="1"/>
  <c r="H101" i="1"/>
  <c r="I101" i="1" s="1"/>
  <c r="J101" i="1" s="1"/>
  <c r="K102" i="1" a="1"/>
  <c r="K102" i="1" s="1"/>
  <c r="H102" i="1"/>
  <c r="I102" i="1" s="1"/>
  <c r="J102" i="1" s="1"/>
  <c r="D102" i="1"/>
  <c r="E102" i="1" s="1"/>
  <c r="L102" i="1" s="1"/>
  <c r="K103" i="1" a="1"/>
  <c r="K103" i="1" s="1"/>
  <c r="H103" i="1"/>
  <c r="I103" i="1" s="1"/>
  <c r="J103" i="1" s="1"/>
  <c r="D103" i="1"/>
  <c r="E103" i="1" s="1"/>
  <c r="L103" i="1" s="1"/>
  <c r="H104" i="1"/>
  <c r="I104" i="1" s="1"/>
  <c r="J104" i="1" s="1"/>
  <c r="K104" i="1" a="1"/>
  <c r="K104" i="1" s="1"/>
  <c r="D104" i="1"/>
  <c r="E104" i="1" s="1"/>
  <c r="L104" i="1" s="1"/>
  <c r="H105" i="1"/>
  <c r="I105" i="1" s="1"/>
  <c r="J105" i="1" s="1"/>
  <c r="K105" i="1" a="1"/>
  <c r="K105" i="1" s="1"/>
  <c r="D105" i="1"/>
  <c r="E105" i="1" s="1"/>
  <c r="L105" i="1" s="1"/>
  <c r="K106" i="1" a="1"/>
  <c r="K106" i="1" s="1"/>
  <c r="H106" i="1"/>
  <c r="I106" i="1" s="1"/>
  <c r="J106" i="1" s="1"/>
  <c r="D106" i="1"/>
  <c r="E106" i="1" s="1"/>
  <c r="L106" i="1" s="1"/>
  <c r="D107" i="1"/>
  <c r="E107" i="1" s="1"/>
  <c r="L107" i="1" s="1"/>
  <c r="K107" i="1" a="1"/>
  <c r="K107" i="1" s="1"/>
  <c r="H107" i="1"/>
  <c r="I107" i="1" s="1"/>
  <c r="J107" i="1" s="1"/>
  <c r="K108" i="1" a="1"/>
  <c r="K108" i="1" s="1"/>
  <c r="H108" i="1"/>
  <c r="I108" i="1" s="1"/>
  <c r="J108" i="1" s="1"/>
  <c r="D108" i="1"/>
  <c r="E108" i="1" s="1"/>
  <c r="L108" i="1" s="1"/>
  <c r="K109" i="1" a="1"/>
  <c r="K109" i="1" s="1"/>
  <c r="H109" i="1"/>
  <c r="I109" i="1" s="1"/>
  <c r="J109" i="1" s="1"/>
  <c r="D109" i="1"/>
  <c r="E109" i="1" s="1"/>
  <c r="L109" i="1" s="1"/>
  <c r="H110" i="1"/>
  <c r="I110" i="1" s="1"/>
  <c r="J110" i="1" s="1"/>
  <c r="K110" i="1" a="1"/>
  <c r="K110" i="1" s="1"/>
  <c r="D110" i="1"/>
  <c r="E110" i="1" s="1"/>
  <c r="L110" i="1" s="1"/>
  <c r="K111" i="1" a="1"/>
  <c r="K111" i="1" s="1"/>
  <c r="H111" i="1"/>
  <c r="I111" i="1" s="1"/>
  <c r="J111" i="1" s="1"/>
  <c r="D111" i="1"/>
  <c r="E111" i="1" s="1"/>
  <c r="L111" i="1" s="1"/>
  <c r="K112" i="1" a="1"/>
  <c r="K112" i="1" s="1"/>
  <c r="H112" i="1"/>
  <c r="I112" i="1" s="1"/>
  <c r="J112" i="1" s="1"/>
  <c r="D112" i="1"/>
  <c r="E112" i="1" s="1"/>
  <c r="L112" i="1" s="1"/>
  <c r="K113" i="1" a="1"/>
  <c r="K113" i="1" s="1"/>
  <c r="H113" i="1"/>
  <c r="I113" i="1" s="1"/>
  <c r="J113" i="1" s="1"/>
  <c r="D113" i="1"/>
  <c r="E113" i="1" s="1"/>
  <c r="L113" i="1" s="1"/>
  <c r="K114" i="1" a="1"/>
  <c r="K114" i="1" s="1"/>
  <c r="H114" i="1"/>
  <c r="I114" i="1" s="1"/>
  <c r="J114" i="1" s="1"/>
  <c r="D114" i="1"/>
  <c r="E114" i="1" s="1"/>
  <c r="L114" i="1" s="1"/>
  <c r="K115" i="1" a="1"/>
  <c r="K115" i="1" s="1"/>
  <c r="H115" i="1"/>
  <c r="I115" i="1" s="1"/>
  <c r="J115" i="1" s="1"/>
  <c r="D115" i="1"/>
  <c r="E115" i="1" s="1"/>
  <c r="L115" i="1" s="1"/>
  <c r="K116" i="1" a="1"/>
  <c r="K116" i="1" s="1"/>
  <c r="H116" i="1"/>
  <c r="I116" i="1" s="1"/>
  <c r="J116" i="1" s="1"/>
  <c r="D116" i="1"/>
  <c r="E116" i="1" s="1"/>
  <c r="L116" i="1" s="1"/>
  <c r="K117" i="1" a="1"/>
  <c r="K117" i="1" s="1"/>
  <c r="H117" i="1"/>
  <c r="I117" i="1" s="1"/>
  <c r="J117" i="1" s="1"/>
  <c r="D117" i="1"/>
  <c r="E117" i="1" s="1"/>
  <c r="L117" i="1" s="1"/>
  <c r="K118" i="1" a="1"/>
  <c r="K118" i="1" s="1"/>
  <c r="H118" i="1"/>
  <c r="I118" i="1" s="1"/>
  <c r="J118" i="1" s="1"/>
  <c r="D118" i="1"/>
  <c r="E118" i="1" s="1"/>
  <c r="L118" i="1" s="1"/>
  <c r="K119" i="1" a="1"/>
  <c r="K119" i="1" s="1"/>
  <c r="H119" i="1"/>
  <c r="I119" i="1" s="1"/>
  <c r="J119" i="1" s="1"/>
  <c r="D119" i="1"/>
  <c r="E119" i="1" s="1"/>
  <c r="L119" i="1" s="1"/>
  <c r="H120" i="1"/>
  <c r="I120" i="1" s="1"/>
  <c r="J120" i="1" s="1"/>
  <c r="K120" i="1" a="1"/>
  <c r="K120" i="1" s="1"/>
  <c r="D120" i="1"/>
  <c r="E120" i="1" s="1"/>
  <c r="L120" i="1" s="1"/>
  <c r="H121" i="1"/>
  <c r="I121" i="1" s="1"/>
  <c r="J121" i="1" s="1"/>
  <c r="K121" i="1" a="1"/>
  <c r="K121" i="1" s="1"/>
  <c r="D121" i="1"/>
  <c r="E121" i="1" s="1"/>
  <c r="L121" i="1" s="1"/>
  <c r="K122" i="1" a="1"/>
  <c r="K122" i="1" s="1"/>
  <c r="H122" i="1"/>
  <c r="I122" i="1" s="1"/>
  <c r="J122" i="1" s="1"/>
  <c r="D122" i="1"/>
  <c r="E122" i="1" s="1"/>
  <c r="L122" i="1" s="1"/>
  <c r="K123" i="1" a="1"/>
  <c r="K123" i="1" s="1"/>
  <c r="H123" i="1"/>
  <c r="I123" i="1" s="1"/>
  <c r="J123" i="1" s="1"/>
  <c r="D123" i="1"/>
  <c r="E123" i="1" s="1"/>
  <c r="L123" i="1" s="1"/>
  <c r="H124" i="1"/>
  <c r="I124" i="1" s="1"/>
  <c r="J124" i="1" s="1"/>
  <c r="K124" i="1" a="1"/>
  <c r="K124" i="1" s="1"/>
  <c r="D124" i="1"/>
  <c r="E124" i="1" s="1"/>
  <c r="L124" i="1" s="1"/>
  <c r="H125" i="1"/>
  <c r="I125" i="1" s="1"/>
  <c r="J125" i="1" s="1"/>
  <c r="K125" i="1" a="1"/>
  <c r="K125" i="1" s="1"/>
  <c r="D125" i="1"/>
  <c r="E125" i="1" s="1"/>
  <c r="L125" i="1" s="1"/>
  <c r="D126" i="1"/>
  <c r="E126" i="1" s="1"/>
  <c r="L126" i="1" s="1"/>
  <c r="K126" i="1" a="1"/>
  <c r="K126" i="1" s="1"/>
  <c r="H126" i="1"/>
  <c r="I126" i="1" s="1"/>
  <c r="J126" i="1" s="1"/>
  <c r="D127" i="1"/>
  <c r="E127" i="1" s="1"/>
  <c r="L127" i="1" s="1"/>
  <c r="H127" i="1"/>
  <c r="I127" i="1" s="1"/>
  <c r="J127" i="1" s="1"/>
  <c r="K127" i="1" a="1"/>
  <c r="K127" i="1" s="1"/>
  <c r="H128" i="1"/>
  <c r="I128" i="1" s="1"/>
  <c r="J128" i="1" s="1"/>
  <c r="K128" i="1" a="1"/>
  <c r="K128" i="1" s="1"/>
  <c r="D128" i="1"/>
  <c r="E128" i="1" s="1"/>
  <c r="L128" i="1" s="1"/>
  <c r="K129" i="1" a="1"/>
  <c r="K129" i="1" s="1"/>
  <c r="H129" i="1"/>
  <c r="I129" i="1" s="1"/>
  <c r="J129" i="1" s="1"/>
  <c r="D129" i="1"/>
  <c r="E129" i="1" s="1"/>
  <c r="L129" i="1" s="1"/>
  <c r="D130" i="1"/>
  <c r="E130" i="1" s="1"/>
  <c r="L130" i="1" s="1"/>
  <c r="H130" i="1"/>
  <c r="I130" i="1" s="1"/>
  <c r="J130" i="1" s="1"/>
  <c r="K130" i="1" a="1"/>
  <c r="K130" i="1" s="1"/>
  <c r="K131" i="1" a="1"/>
  <c r="K131" i="1" s="1"/>
  <c r="H131" i="1"/>
  <c r="I131" i="1" s="1"/>
  <c r="J131" i="1" s="1"/>
  <c r="D131" i="1"/>
  <c r="E131" i="1" s="1"/>
  <c r="L131" i="1" s="1"/>
  <c r="K132" i="1" a="1"/>
  <c r="K132" i="1" s="1"/>
  <c r="H132" i="1"/>
  <c r="I132" i="1" s="1"/>
  <c r="J132" i="1" s="1"/>
  <c r="D132" i="1"/>
  <c r="E132" i="1" s="1"/>
  <c r="L132" i="1" s="1"/>
  <c r="K133" i="1" a="1"/>
  <c r="K133" i="1" s="1"/>
  <c r="H133" i="1"/>
  <c r="I133" i="1" s="1"/>
  <c r="J133" i="1" s="1"/>
  <c r="D133" i="1"/>
  <c r="E133" i="1" s="1"/>
  <c r="L133" i="1" s="1"/>
  <c r="K134" i="1" a="1"/>
  <c r="K134" i="1" s="1"/>
  <c r="H134" i="1"/>
  <c r="I134" i="1" s="1"/>
  <c r="J134" i="1" s="1"/>
  <c r="D134" i="1"/>
  <c r="E134" i="1" s="1"/>
  <c r="L134" i="1" s="1"/>
  <c r="K135" i="1" a="1"/>
  <c r="K135" i="1" s="1"/>
  <c r="H135" i="1"/>
  <c r="I135" i="1" s="1"/>
  <c r="J135" i="1" s="1"/>
  <c r="D135" i="1"/>
  <c r="E135" i="1" s="1"/>
  <c r="L135" i="1" s="1"/>
  <c r="H136" i="1"/>
  <c r="I136" i="1" s="1"/>
  <c r="J136" i="1" s="1"/>
  <c r="K136" i="1" a="1"/>
  <c r="K136" i="1" s="1"/>
  <c r="D136" i="1"/>
  <c r="E136" i="1" s="1"/>
  <c r="L136" i="1" s="1"/>
  <c r="H137" i="1"/>
  <c r="I137" i="1" s="1"/>
  <c r="J137" i="1" s="1"/>
  <c r="K137" i="1" a="1"/>
  <c r="K137" i="1" s="1"/>
  <c r="D137" i="1"/>
  <c r="E137" i="1" s="1"/>
  <c r="L137" i="1" s="1"/>
  <c r="H138" i="1"/>
  <c r="I138" i="1" s="1"/>
  <c r="J138" i="1" s="1"/>
  <c r="K138" i="1" a="1"/>
  <c r="K138" i="1" s="1"/>
  <c r="D138" i="1"/>
  <c r="E138" i="1" s="1"/>
  <c r="L138" i="1" s="1"/>
  <c r="H139" i="1"/>
  <c r="I139" i="1" s="1"/>
  <c r="J139" i="1" s="1"/>
  <c r="K139" i="1" a="1"/>
  <c r="K139" i="1" s="1"/>
  <c r="D139" i="1"/>
  <c r="E139" i="1" s="1"/>
  <c r="L139" i="1" s="1"/>
  <c r="D140" i="1"/>
  <c r="E140" i="1" s="1"/>
  <c r="L140" i="1" s="1"/>
  <c r="K140" i="1" a="1"/>
  <c r="K140" i="1" s="1"/>
  <c r="H140" i="1"/>
  <c r="I140" i="1" s="1"/>
  <c r="J140" i="1" s="1"/>
  <c r="D141" i="1"/>
  <c r="E141" i="1" s="1"/>
  <c r="L141" i="1" s="1"/>
  <c r="H141" i="1"/>
  <c r="I141" i="1" s="1"/>
  <c r="J141" i="1" s="1"/>
  <c r="K141" i="1" a="1"/>
  <c r="K141" i="1" s="1"/>
  <c r="D142" i="1"/>
  <c r="E142" i="1" s="1"/>
  <c r="L142" i="1" s="1"/>
  <c r="K142" i="1" a="1"/>
  <c r="K142" i="1" s="1"/>
  <c r="H142" i="1"/>
  <c r="I142" i="1" s="1"/>
  <c r="J142" i="1" s="1"/>
  <c r="H143" i="1"/>
  <c r="I143" i="1" s="1"/>
  <c r="J143" i="1" s="1"/>
  <c r="K143" i="1" a="1"/>
  <c r="K143" i="1" s="1"/>
  <c r="D143" i="1"/>
  <c r="E143" i="1" s="1"/>
  <c r="L143" i="1" s="1"/>
  <c r="D144" i="1"/>
  <c r="E144" i="1" s="1"/>
  <c r="L144" i="1" s="1"/>
  <c r="H144" i="1"/>
  <c r="I144" i="1" s="1"/>
  <c r="J144" i="1" s="1"/>
  <c r="K144" i="1" a="1"/>
  <c r="K144" i="1" s="1"/>
  <c r="H145" i="1"/>
  <c r="I145" i="1" s="1"/>
  <c r="J145" i="1" s="1"/>
  <c r="K145" i="1" a="1"/>
  <c r="K145" i="1" s="1"/>
  <c r="D145" i="1"/>
  <c r="E145" i="1" s="1"/>
  <c r="L145" i="1" s="1"/>
  <c r="H146" i="1"/>
  <c r="I146" i="1" s="1"/>
  <c r="J146" i="1" s="1"/>
  <c r="K146" i="1" a="1"/>
  <c r="K146" i="1" s="1"/>
  <c r="D146" i="1"/>
  <c r="E146" i="1" s="1"/>
  <c r="L146" i="1" s="1"/>
  <c r="D147" i="1"/>
  <c r="E147" i="1" s="1"/>
  <c r="L147" i="1" s="1"/>
  <c r="H147" i="1"/>
  <c r="I147" i="1" s="1"/>
  <c r="J147" i="1" s="1"/>
  <c r="K147" i="1" a="1"/>
  <c r="K147" i="1" s="1"/>
  <c r="D148" i="1"/>
  <c r="E148" i="1" s="1"/>
  <c r="L148" i="1" s="1"/>
  <c r="H148" i="1"/>
  <c r="I148" i="1" s="1"/>
  <c r="J148" i="1" s="1"/>
  <c r="K148" i="1" a="1"/>
  <c r="K148" i="1" s="1"/>
  <c r="D149" i="1"/>
  <c r="E149" i="1" s="1"/>
  <c r="L149" i="1" s="1"/>
  <c r="K149" i="1" a="1"/>
  <c r="K149" i="1" s="1"/>
  <c r="H149" i="1"/>
  <c r="I149" i="1" s="1"/>
  <c r="J149" i="1" s="1"/>
  <c r="D150" i="1"/>
  <c r="E150" i="1" s="1"/>
  <c r="L150" i="1" s="1"/>
  <c r="K150" i="1" a="1"/>
  <c r="K150" i="1" s="1"/>
  <c r="H150" i="1"/>
  <c r="I150" i="1" s="1"/>
  <c r="J150" i="1" s="1"/>
  <c r="D151" i="1"/>
  <c r="E151" i="1" s="1"/>
  <c r="L151" i="1" s="1"/>
  <c r="K151" i="1" a="1"/>
  <c r="K151" i="1" s="1"/>
  <c r="H151" i="1"/>
  <c r="I151" i="1" s="1"/>
  <c r="J151" i="1" s="1"/>
  <c r="H152" i="1"/>
  <c r="I152" i="1" s="1"/>
  <c r="J152" i="1" s="1"/>
  <c r="K152" i="1" a="1"/>
  <c r="K152" i="1" s="1"/>
  <c r="D152" i="1"/>
  <c r="E152" i="1" s="1"/>
  <c r="L152" i="1" s="1"/>
  <c r="D153" i="1"/>
  <c r="E153" i="1" s="1"/>
  <c r="L153" i="1" s="1"/>
  <c r="K153" i="1" a="1"/>
  <c r="K153" i="1" s="1"/>
  <c r="H153" i="1"/>
  <c r="I153" i="1" s="1"/>
  <c r="J153" i="1" s="1"/>
  <c r="D154" i="1"/>
  <c r="E154" i="1" s="1"/>
  <c r="L154" i="1" s="1"/>
  <c r="K154" i="1" a="1"/>
  <c r="K154" i="1" s="1"/>
  <c r="H154" i="1"/>
  <c r="I154" i="1" s="1"/>
  <c r="J154" i="1" s="1"/>
  <c r="D155" i="1"/>
  <c r="E155" i="1" s="1"/>
  <c r="L155" i="1" s="1"/>
  <c r="H155" i="1"/>
  <c r="I155" i="1" s="1"/>
  <c r="J155" i="1" s="1"/>
  <c r="K155" i="1" a="1"/>
  <c r="K155" i="1" s="1"/>
  <c r="D156" i="1"/>
  <c r="E156" i="1" s="1"/>
  <c r="L156" i="1" s="1"/>
  <c r="H156" i="1"/>
  <c r="I156" i="1" s="1"/>
  <c r="J156" i="1" s="1"/>
  <c r="K156" i="1" a="1"/>
  <c r="K156" i="1" s="1"/>
  <c r="D157" i="1"/>
  <c r="E157" i="1" s="1"/>
  <c r="L157" i="1" s="1"/>
  <c r="H157" i="1"/>
  <c r="I157" i="1" s="1"/>
  <c r="J157" i="1" s="1"/>
  <c r="K157" i="1" a="1"/>
  <c r="K157" i="1" s="1"/>
  <c r="D158" i="1"/>
  <c r="E158" i="1" s="1"/>
  <c r="L158" i="1" s="1"/>
  <c r="H158" i="1"/>
  <c r="I158" i="1" s="1"/>
  <c r="J158" i="1" s="1"/>
  <c r="K158" i="1" a="1"/>
  <c r="K158" i="1" s="1"/>
  <c r="D159" i="1"/>
  <c r="E159" i="1" s="1"/>
  <c r="L159" i="1" s="1"/>
  <c r="H159" i="1"/>
  <c r="I159" i="1" s="1"/>
  <c r="J159" i="1" s="1"/>
  <c r="K159" i="1" a="1"/>
  <c r="K159" i="1" s="1"/>
  <c r="D160" i="1"/>
  <c r="E160" i="1" s="1"/>
  <c r="L160" i="1" s="1"/>
  <c r="H160" i="1"/>
  <c r="I160" i="1" s="1"/>
  <c r="J160" i="1" s="1"/>
  <c r="K160" i="1" a="1"/>
  <c r="K160" i="1" s="1"/>
  <c r="D161" i="1"/>
  <c r="E161" i="1" s="1"/>
  <c r="L161" i="1" s="1"/>
  <c r="K161" i="1" a="1"/>
  <c r="K161" i="1" s="1"/>
  <c r="H161" i="1"/>
  <c r="I161" i="1" s="1"/>
  <c r="J161" i="1" s="1"/>
  <c r="D162" i="1"/>
  <c r="E162" i="1" s="1"/>
  <c r="L162" i="1" s="1"/>
  <c r="H162" i="1"/>
  <c r="I162" i="1" s="1"/>
  <c r="J162" i="1" s="1"/>
  <c r="K162" i="1" a="1"/>
  <c r="K162" i="1" s="1"/>
  <c r="D163" i="1"/>
  <c r="E163" i="1" s="1"/>
  <c r="L163" i="1" s="1"/>
  <c r="H163" i="1"/>
  <c r="I163" i="1" s="1"/>
  <c r="J163" i="1" s="1"/>
  <c r="K163" i="1" a="1"/>
  <c r="K163" i="1" s="1"/>
  <c r="H164" i="1"/>
  <c r="I164" i="1" s="1"/>
  <c r="J164" i="1" s="1"/>
  <c r="K164" i="1" a="1"/>
  <c r="K164" i="1" s="1"/>
  <c r="D164" i="1"/>
  <c r="E164" i="1" s="1"/>
  <c r="L164" i="1" s="1"/>
  <c r="H165" i="1"/>
  <c r="I165" i="1" s="1"/>
  <c r="J165" i="1" s="1"/>
  <c r="K165" i="1" a="1"/>
  <c r="K165" i="1" s="1"/>
  <c r="D165" i="1"/>
  <c r="E165" i="1" s="1"/>
  <c r="L165" i="1" s="1"/>
  <c r="H166" i="1"/>
  <c r="I166" i="1" s="1"/>
  <c r="J166" i="1" s="1"/>
  <c r="K166" i="1" a="1"/>
  <c r="K166" i="1" s="1"/>
  <c r="D166" i="1"/>
  <c r="E166" i="1" s="1"/>
  <c r="L166" i="1" s="1"/>
  <c r="H167" i="1"/>
  <c r="I167" i="1" s="1"/>
  <c r="J167" i="1" s="1"/>
  <c r="K167" i="1" a="1"/>
  <c r="K167" i="1" s="1"/>
  <c r="D167" i="1"/>
  <c r="E167" i="1" s="1"/>
  <c r="L167" i="1" s="1"/>
  <c r="H168" i="1"/>
  <c r="I168" i="1" s="1"/>
  <c r="J168" i="1" s="1"/>
  <c r="K168" i="1" a="1"/>
  <c r="K168" i="1" s="1"/>
  <c r="D168" i="1"/>
  <c r="E168" i="1" s="1"/>
  <c r="L168" i="1" s="1"/>
  <c r="H169" i="1"/>
  <c r="I169" i="1" s="1"/>
  <c r="J169" i="1" s="1"/>
  <c r="K169" i="1" a="1"/>
  <c r="K169" i="1" s="1"/>
  <c r="D169" i="1"/>
  <c r="E169" i="1" s="1"/>
  <c r="L169" i="1" s="1"/>
  <c r="H170" i="1"/>
  <c r="I170" i="1" s="1"/>
  <c r="J170" i="1" s="1"/>
  <c r="K170" i="1" a="1"/>
  <c r="K170" i="1" s="1"/>
  <c r="D170" i="1"/>
  <c r="E170" i="1" s="1"/>
  <c r="L170" i="1" s="1"/>
  <c r="H171" i="1"/>
  <c r="I171" i="1" s="1"/>
  <c r="J171" i="1" s="1"/>
  <c r="K171" i="1" a="1"/>
  <c r="K171" i="1" s="1"/>
  <c r="D171" i="1"/>
  <c r="E171" i="1" s="1"/>
  <c r="L171" i="1" s="1"/>
  <c r="K172" i="1" a="1"/>
  <c r="K172" i="1" s="1"/>
  <c r="H172" i="1"/>
  <c r="I172" i="1" s="1"/>
  <c r="J172" i="1" s="1"/>
  <c r="D172" i="1"/>
  <c r="E172" i="1" s="1"/>
  <c r="L172" i="1" s="1"/>
  <c r="H173" i="1"/>
  <c r="I173" i="1" s="1"/>
  <c r="J173" i="1" s="1"/>
  <c r="K173" i="1" a="1"/>
  <c r="K173" i="1" s="1"/>
  <c r="D173" i="1"/>
  <c r="E173" i="1" s="1"/>
  <c r="L173" i="1" s="1"/>
  <c r="H174" i="1"/>
  <c r="I174" i="1" s="1"/>
  <c r="J174" i="1" s="1"/>
  <c r="K174" i="1" a="1"/>
  <c r="K174" i="1" s="1"/>
  <c r="D174" i="1"/>
  <c r="E174" i="1" s="1"/>
  <c r="L174" i="1" s="1"/>
  <c r="H175" i="1"/>
  <c r="I175" i="1" s="1"/>
  <c r="J175" i="1" s="1"/>
  <c r="K175" i="1" a="1"/>
  <c r="K175" i="1" s="1"/>
  <c r="D175" i="1"/>
  <c r="E175" i="1" s="1"/>
  <c r="L175" i="1" s="1"/>
  <c r="H176" i="1"/>
  <c r="I176" i="1" s="1"/>
  <c r="J176" i="1" s="1"/>
  <c r="K176" i="1" a="1"/>
  <c r="K176" i="1" s="1"/>
  <c r="D176" i="1"/>
  <c r="E176" i="1" s="1"/>
  <c r="L176" i="1" s="1"/>
  <c r="K177" i="1" a="1"/>
  <c r="K177" i="1" s="1"/>
  <c r="H177" i="1"/>
  <c r="I177" i="1" s="1"/>
  <c r="J177" i="1" s="1"/>
  <c r="D177" i="1"/>
  <c r="E177" i="1" s="1"/>
  <c r="L177" i="1" s="1"/>
  <c r="K178" i="1" a="1"/>
  <c r="K178" i="1" s="1"/>
  <c r="H178" i="1"/>
  <c r="I178" i="1" s="1"/>
  <c r="J178" i="1" s="1"/>
  <c r="D178" i="1"/>
  <c r="E178" i="1" s="1"/>
  <c r="L178" i="1" s="1"/>
  <c r="H179" i="1"/>
  <c r="I179" i="1" s="1"/>
  <c r="J179" i="1" s="1"/>
  <c r="K179" i="1" a="1"/>
  <c r="K179" i="1" s="1"/>
  <c r="D179" i="1"/>
  <c r="E179" i="1" s="1"/>
  <c r="L179" i="1" s="1"/>
  <c r="K180" i="1" a="1"/>
  <c r="K180" i="1" s="1"/>
  <c r="H180" i="1"/>
  <c r="I180" i="1" s="1"/>
  <c r="J180" i="1" s="1"/>
  <c r="D180" i="1"/>
  <c r="E180" i="1" s="1"/>
  <c r="L180" i="1" s="1"/>
  <c r="K181" i="1" a="1"/>
  <c r="K181" i="1" s="1"/>
  <c r="H181" i="1"/>
  <c r="I181" i="1" s="1"/>
  <c r="J181" i="1" s="1"/>
  <c r="D181" i="1"/>
  <c r="E181" i="1" s="1"/>
  <c r="L181" i="1" s="1"/>
  <c r="K182" i="1" a="1"/>
  <c r="K182" i="1" s="1"/>
  <c r="H182" i="1"/>
  <c r="I182" i="1" s="1"/>
  <c r="J182" i="1" s="1"/>
  <c r="D182" i="1"/>
  <c r="E182" i="1" s="1"/>
  <c r="L182" i="1" s="1"/>
  <c r="K183" i="1" a="1"/>
  <c r="K183" i="1" s="1"/>
  <c r="H183" i="1"/>
  <c r="I183" i="1" s="1"/>
  <c r="J183" i="1" s="1"/>
  <c r="D183" i="1"/>
  <c r="E183" i="1" s="1"/>
  <c r="L183" i="1" s="1"/>
  <c r="K184" i="1" a="1"/>
  <c r="K184" i="1" s="1"/>
  <c r="H184" i="1"/>
  <c r="I184" i="1" s="1"/>
  <c r="J184" i="1" s="1"/>
  <c r="D184" i="1"/>
  <c r="E184" i="1" s="1"/>
  <c r="L184" i="1" s="1"/>
  <c r="H185" i="1"/>
  <c r="I185" i="1" s="1"/>
  <c r="J185" i="1" s="1"/>
  <c r="K185" i="1" a="1"/>
  <c r="K185" i="1" s="1"/>
  <c r="D185" i="1"/>
  <c r="E185" i="1" s="1"/>
  <c r="L185" i="1" s="1"/>
  <c r="D186" i="1"/>
  <c r="E186" i="1" s="1"/>
  <c r="L186" i="1" s="1"/>
  <c r="H186" i="1"/>
  <c r="I186" i="1" s="1"/>
  <c r="J186" i="1" s="1"/>
  <c r="K186" i="1" a="1"/>
  <c r="K186" i="1" s="1"/>
  <c r="D187" i="1"/>
  <c r="E187" i="1" s="1"/>
  <c r="L187" i="1" s="1"/>
  <c r="H187" i="1"/>
  <c r="I187" i="1" s="1"/>
  <c r="J187" i="1" s="1"/>
  <c r="K187" i="1" a="1"/>
  <c r="K187" i="1" s="1"/>
  <c r="D188" i="1"/>
  <c r="E188" i="1" s="1"/>
  <c r="L188" i="1" s="1"/>
  <c r="H188" i="1"/>
  <c r="I188" i="1" s="1"/>
  <c r="J188" i="1" s="1"/>
  <c r="K188" i="1" a="1"/>
  <c r="K188" i="1" s="1"/>
  <c r="H189" i="1"/>
  <c r="I189" i="1" s="1"/>
  <c r="J189" i="1" s="1"/>
  <c r="K189" i="1" a="1"/>
  <c r="K189" i="1" s="1"/>
  <c r="D189" i="1"/>
  <c r="E189" i="1" s="1"/>
  <c r="L189" i="1" s="1"/>
  <c r="H190" i="1"/>
  <c r="I190" i="1" s="1"/>
  <c r="J190" i="1" s="1"/>
  <c r="K190" i="1" a="1"/>
  <c r="K190" i="1" s="1"/>
  <c r="D190" i="1"/>
  <c r="E190" i="1" s="1"/>
  <c r="L190" i="1" s="1"/>
  <c r="H191" i="1"/>
  <c r="I191" i="1" s="1"/>
  <c r="J191" i="1" s="1"/>
  <c r="K191" i="1" a="1"/>
  <c r="K191" i="1" s="1"/>
  <c r="D191" i="1"/>
  <c r="E191" i="1" s="1"/>
  <c r="L191" i="1" s="1"/>
  <c r="H192" i="1"/>
  <c r="I192" i="1" s="1"/>
  <c r="J192" i="1" s="1"/>
  <c r="K192" i="1" a="1"/>
  <c r="K192" i="1" s="1"/>
  <c r="D192" i="1"/>
  <c r="E192" i="1" s="1"/>
  <c r="L192" i="1" s="1"/>
  <c r="H193" i="1"/>
  <c r="I193" i="1" s="1"/>
  <c r="J193" i="1" s="1"/>
  <c r="K193" i="1" a="1"/>
  <c r="K193" i="1" s="1"/>
  <c r="D193" i="1"/>
  <c r="E193" i="1" s="1"/>
  <c r="L193" i="1" s="1"/>
  <c r="H194" i="1"/>
  <c r="I194" i="1" s="1"/>
  <c r="J194" i="1" s="1"/>
  <c r="K194" i="1" a="1"/>
  <c r="K194" i="1" s="1"/>
  <c r="D194" i="1"/>
  <c r="E194" i="1" s="1"/>
  <c r="L194" i="1" s="1"/>
  <c r="K195" i="1" a="1"/>
  <c r="K195" i="1" s="1"/>
  <c r="H195" i="1"/>
  <c r="I195" i="1" s="1"/>
  <c r="J195" i="1" s="1"/>
  <c r="D195" i="1"/>
  <c r="E195" i="1" s="1"/>
  <c r="L195" i="1" s="1"/>
  <c r="H196" i="1"/>
  <c r="I196" i="1" s="1"/>
  <c r="J196" i="1" s="1"/>
  <c r="K196" i="1" a="1"/>
  <c r="K196" i="1" s="1"/>
  <c r="D196" i="1"/>
  <c r="E196" i="1" s="1"/>
  <c r="L196" i="1" s="1"/>
  <c r="D197" i="1"/>
  <c r="E197" i="1" s="1"/>
  <c r="L197" i="1" s="1"/>
  <c r="H197" i="1"/>
  <c r="I197" i="1" s="1"/>
  <c r="J197" i="1" s="1"/>
  <c r="K197" i="1" a="1"/>
  <c r="K197" i="1" s="1"/>
  <c r="H198" i="1"/>
  <c r="I198" i="1" s="1"/>
  <c r="J198" i="1" s="1"/>
  <c r="K198" i="1" a="1"/>
  <c r="K198" i="1" s="1"/>
  <c r="D198" i="1"/>
  <c r="E198" i="1" s="1"/>
  <c r="L198" i="1" s="1"/>
  <c r="H199" i="1"/>
  <c r="I199" i="1" s="1"/>
  <c r="J199" i="1" s="1"/>
  <c r="K199" i="1" a="1"/>
  <c r="K199" i="1" s="1"/>
  <c r="D199" i="1"/>
  <c r="E199" i="1" s="1"/>
  <c r="L199" i="1" s="1"/>
  <c r="D200" i="1"/>
  <c r="E200" i="1" s="1"/>
  <c r="L200" i="1" s="1"/>
  <c r="H200" i="1"/>
  <c r="I200" i="1" s="1"/>
  <c r="J200" i="1" s="1"/>
  <c r="K200" i="1" a="1"/>
  <c r="K200" i="1" s="1"/>
  <c r="H201" i="1"/>
  <c r="I201" i="1" s="1"/>
  <c r="J201" i="1" s="1"/>
  <c r="K201" i="1" a="1"/>
  <c r="K201" i="1" s="1"/>
  <c r="D201" i="1"/>
  <c r="E201" i="1" s="1"/>
  <c r="L201" i="1" s="1"/>
  <c r="K202" i="1" a="1"/>
  <c r="K202" i="1" s="1"/>
  <c r="H202" i="1"/>
  <c r="I202" i="1" s="1"/>
  <c r="J202" i="1" s="1"/>
  <c r="D202" i="1"/>
  <c r="E202" i="1" s="1"/>
  <c r="L202" i="1" s="1"/>
  <c r="H203" i="1"/>
  <c r="I203" i="1" s="1"/>
  <c r="J203" i="1" s="1"/>
  <c r="K203" i="1" a="1"/>
  <c r="K203" i="1" s="1"/>
  <c r="D203" i="1"/>
  <c r="E203" i="1" s="1"/>
  <c r="L203" i="1" s="1"/>
  <c r="K204" i="1" a="1"/>
  <c r="K204" i="1" s="1"/>
  <c r="H204" i="1"/>
  <c r="I204" i="1" s="1"/>
  <c r="J204" i="1" s="1"/>
  <c r="D204" i="1"/>
  <c r="E204" i="1" s="1"/>
  <c r="L204" i="1" s="1"/>
  <c r="D205" i="1"/>
  <c r="E205" i="1" s="1"/>
  <c r="L205" i="1" s="1"/>
  <c r="H205" i="1"/>
  <c r="I205" i="1" s="1"/>
  <c r="J205" i="1" s="1"/>
  <c r="K205" i="1" a="1"/>
  <c r="K205" i="1" s="1"/>
  <c r="D206" i="1"/>
  <c r="E206" i="1" s="1"/>
  <c r="L206" i="1" s="1"/>
  <c r="H206" i="1"/>
  <c r="I206" i="1" s="1"/>
  <c r="J206" i="1" s="1"/>
  <c r="K206" i="1" a="1"/>
  <c r="K206" i="1" s="1"/>
  <c r="D207" i="1"/>
  <c r="E207" i="1" s="1"/>
  <c r="L207" i="1" s="1"/>
  <c r="H207" i="1"/>
  <c r="I207" i="1" s="1"/>
  <c r="J207" i="1" s="1"/>
  <c r="K207" i="1" a="1"/>
  <c r="K207" i="1" s="1"/>
  <c r="D208" i="1"/>
  <c r="E208" i="1" s="1"/>
  <c r="L208" i="1" s="1"/>
  <c r="H208" i="1"/>
  <c r="I208" i="1" s="1"/>
  <c r="J208" i="1" s="1"/>
  <c r="K208" i="1" a="1"/>
  <c r="K208" i="1" s="1"/>
  <c r="D209" i="1"/>
  <c r="E209" i="1" s="1"/>
  <c r="L209" i="1" s="1"/>
  <c r="K209" i="1" a="1"/>
  <c r="K209" i="1" s="1"/>
  <c r="H209" i="1"/>
  <c r="I209" i="1" s="1"/>
  <c r="J209" i="1" s="1"/>
  <c r="K210" i="1" a="1"/>
  <c r="K210" i="1" s="1"/>
  <c r="H210" i="1"/>
  <c r="I210" i="1" s="1"/>
  <c r="J210" i="1" s="1"/>
  <c r="D210" i="1"/>
  <c r="E210" i="1" s="1"/>
  <c r="L210" i="1" s="1"/>
  <c r="D211" i="1"/>
  <c r="E211" i="1" s="1"/>
  <c r="L211" i="1" s="1"/>
  <c r="K211" i="1" a="1"/>
  <c r="K211" i="1" s="1"/>
  <c r="H211" i="1"/>
  <c r="I211" i="1" s="1"/>
  <c r="J211" i="1" s="1"/>
  <c r="D212" i="1"/>
  <c r="E212" i="1" s="1"/>
  <c r="L212" i="1" s="1"/>
  <c r="H212" i="1"/>
  <c r="I212" i="1" s="1"/>
  <c r="J212" i="1" s="1"/>
  <c r="K212" i="1" a="1"/>
  <c r="K212" i="1" s="1"/>
  <c r="D213" i="1"/>
  <c r="E213" i="1" s="1"/>
  <c r="L213" i="1" s="1"/>
  <c r="H213" i="1"/>
  <c r="I213" i="1" s="1"/>
  <c r="J213" i="1" s="1"/>
  <c r="K213" i="1" a="1"/>
  <c r="K213" i="1" s="1"/>
  <c r="H214" i="1"/>
  <c r="I214" i="1" s="1"/>
  <c r="J214" i="1" s="1"/>
  <c r="K214" i="1" a="1"/>
  <c r="K214" i="1" s="1"/>
  <c r="D214" i="1"/>
  <c r="E214" i="1" s="1"/>
  <c r="L214" i="1" s="1"/>
  <c r="D215" i="1"/>
  <c r="E215" i="1" s="1"/>
  <c r="L215" i="1" s="1"/>
  <c r="H215" i="1"/>
  <c r="I215" i="1" s="1"/>
  <c r="J215" i="1" s="1"/>
  <c r="K215" i="1" a="1"/>
  <c r="K215" i="1" s="1"/>
  <c r="D216" i="1"/>
  <c r="E216" i="1" s="1"/>
  <c r="L216" i="1" s="1"/>
  <c r="H216" i="1"/>
  <c r="I216" i="1" s="1"/>
  <c r="J216" i="1" s="1"/>
  <c r="K216" i="1" a="1"/>
  <c r="K216" i="1" s="1"/>
  <c r="D217" i="1"/>
  <c r="E217" i="1" s="1"/>
  <c r="L217" i="1" s="1"/>
  <c r="H217" i="1"/>
  <c r="I217" i="1" s="1"/>
  <c r="J217" i="1" s="1"/>
  <c r="K217" i="1" a="1"/>
  <c r="K217" i="1" s="1"/>
  <c r="D218" i="1"/>
  <c r="E218" i="1" s="1"/>
  <c r="L218" i="1" s="1"/>
  <c r="K218" i="1" a="1"/>
  <c r="K218" i="1" s="1"/>
  <c r="H218" i="1"/>
  <c r="I218" i="1" s="1"/>
  <c r="J218" i="1" s="1"/>
  <c r="D219" i="1"/>
  <c r="E219" i="1" s="1"/>
  <c r="L219" i="1" s="1"/>
  <c r="K219" i="1" a="1"/>
  <c r="K219" i="1" s="1"/>
  <c r="H219" i="1"/>
  <c r="I219" i="1" s="1"/>
  <c r="J219" i="1" s="1"/>
  <c r="D220" i="1"/>
  <c r="E220" i="1" s="1"/>
  <c r="L220" i="1" s="1"/>
  <c r="K220" i="1" a="1"/>
  <c r="K220" i="1" s="1"/>
  <c r="H220" i="1"/>
  <c r="I220" i="1" s="1"/>
  <c r="J220" i="1" s="1"/>
  <c r="D221" i="1"/>
  <c r="E221" i="1" s="1"/>
  <c r="L221" i="1" s="1"/>
  <c r="K221" i="1" a="1"/>
  <c r="K221" i="1" s="1"/>
  <c r="H221" i="1"/>
  <c r="I221" i="1" s="1"/>
  <c r="J221" i="1" s="1"/>
  <c r="D222" i="1"/>
  <c r="E222" i="1" s="1"/>
  <c r="L222" i="1" s="1"/>
  <c r="H222" i="1"/>
  <c r="I222" i="1" s="1"/>
  <c r="J222" i="1" s="1"/>
  <c r="K222" i="1" a="1"/>
  <c r="K222" i="1" s="1"/>
  <c r="D223" i="1"/>
  <c r="E223" i="1" s="1"/>
  <c r="L223" i="1" s="1"/>
  <c r="H223" i="1"/>
  <c r="I223" i="1" s="1"/>
  <c r="J223" i="1" s="1"/>
  <c r="K223" i="1" a="1"/>
  <c r="K223" i="1" s="1"/>
  <c r="D224" i="1"/>
  <c r="E224" i="1" s="1"/>
  <c r="L224" i="1" s="1"/>
  <c r="H224" i="1"/>
  <c r="I224" i="1" s="1"/>
  <c r="J224" i="1" s="1"/>
  <c r="K224" i="1" a="1"/>
  <c r="K224" i="1" s="1"/>
  <c r="D225" i="1"/>
  <c r="E225" i="1" s="1"/>
  <c r="L225" i="1" s="1"/>
  <c r="K225" i="1" a="1"/>
  <c r="K225" i="1" s="1"/>
  <c r="H225" i="1"/>
  <c r="I225" i="1" s="1"/>
  <c r="J225" i="1" s="1"/>
  <c r="D226" i="1"/>
  <c r="E226" i="1" s="1"/>
  <c r="L226" i="1" s="1"/>
  <c r="H226" i="1"/>
  <c r="I226" i="1" s="1"/>
  <c r="J226" i="1" s="1"/>
  <c r="K226" i="1" a="1"/>
  <c r="K226" i="1" s="1"/>
  <c r="D227" i="1"/>
  <c r="E227" i="1" s="1"/>
  <c r="L227" i="1" s="1"/>
  <c r="H227" i="1"/>
  <c r="I227" i="1" s="1"/>
  <c r="J227" i="1" s="1"/>
  <c r="K227" i="1" a="1"/>
  <c r="K227" i="1" s="1"/>
  <c r="K228" i="1" a="1"/>
  <c r="K228" i="1" s="1"/>
  <c r="H228" i="1"/>
  <c r="I228" i="1" s="1"/>
  <c r="J228" i="1" s="1"/>
  <c r="D228" i="1"/>
  <c r="E228" i="1" s="1"/>
  <c r="L228" i="1" s="1"/>
  <c r="H229" i="1"/>
  <c r="I229" i="1" s="1"/>
  <c r="J229" i="1" s="1"/>
  <c r="K229" i="1" a="1"/>
  <c r="K229" i="1" s="1"/>
  <c r="D229" i="1"/>
  <c r="E229" i="1" s="1"/>
  <c r="L229" i="1" s="1"/>
  <c r="D230" i="1"/>
  <c r="E230" i="1" s="1"/>
  <c r="L230" i="1" s="1"/>
  <c r="H230" i="1"/>
  <c r="I230" i="1" s="1"/>
  <c r="J230" i="1" s="1"/>
  <c r="K230" i="1" a="1"/>
  <c r="K230" i="1" s="1"/>
  <c r="K231" i="1" a="1"/>
  <c r="K231" i="1" s="1"/>
  <c r="H231" i="1"/>
  <c r="I231" i="1" s="1"/>
  <c r="J231" i="1" s="1"/>
  <c r="D231" i="1"/>
  <c r="E231" i="1" s="1"/>
  <c r="L231" i="1" s="1"/>
  <c r="D232" i="1"/>
  <c r="E232" i="1" s="1"/>
  <c r="L232" i="1" s="1"/>
  <c r="D233" i="1"/>
  <c r="E233" i="1" s="1"/>
  <c r="L233" i="1" s="1"/>
  <c r="D234" i="1"/>
  <c r="E234" i="1" s="1"/>
  <c r="L234" i="1" s="1"/>
  <c r="D235" i="1"/>
  <c r="E235" i="1" s="1"/>
  <c r="L235" i="1" s="1"/>
  <c r="D236" i="1"/>
  <c r="E236" i="1" s="1"/>
  <c r="L236" i="1" s="1"/>
  <c r="D237" i="1"/>
  <c r="E237" i="1" s="1"/>
  <c r="L237" i="1" s="1"/>
  <c r="D238" i="1"/>
  <c r="E238" i="1" s="1"/>
  <c r="L238" i="1" s="1"/>
  <c r="D239" i="1"/>
  <c r="E239" i="1" s="1"/>
  <c r="L239" i="1" s="1"/>
  <c r="D240" i="1"/>
  <c r="E240" i="1" s="1"/>
  <c r="L240" i="1" s="1"/>
  <c r="D241" i="1"/>
  <c r="E241" i="1" s="1"/>
  <c r="L241" i="1" s="1"/>
  <c r="D242" i="1"/>
  <c r="E242" i="1" s="1"/>
  <c r="L242" i="1" s="1"/>
  <c r="H17" i="1"/>
  <c r="I17" i="1" s="1"/>
  <c r="J17" i="1" s="1"/>
  <c r="K17" i="1" a="1"/>
  <c r="K17" i="1" s="1"/>
  <c r="D17" i="1"/>
  <c r="E17" i="1" s="1"/>
  <c r="L17" i="1" s="1"/>
  <c r="H18" i="1"/>
  <c r="I18" i="1" s="1"/>
  <c r="J18" i="1" s="1"/>
  <c r="K18" i="1" a="1"/>
  <c r="K18" i="1" s="1"/>
  <c r="H19" i="1"/>
  <c r="I19" i="1" s="1"/>
  <c r="J19" i="1" s="1"/>
  <c r="K19" i="1" a="1"/>
  <c r="K19" i="1" s="1"/>
  <c r="D19" i="1"/>
  <c r="E19" i="1" s="1"/>
  <c r="L19" i="1" s="1"/>
  <c r="D20" i="1"/>
  <c r="E20" i="1" s="1"/>
  <c r="L20" i="1" s="1"/>
  <c r="H20" i="1"/>
  <c r="I20" i="1" s="1"/>
  <c r="J20" i="1" s="1"/>
  <c r="K20" i="1" a="1"/>
  <c r="K20" i="1" s="1"/>
  <c r="D21" i="1"/>
  <c r="E21" i="1" s="1"/>
  <c r="L21" i="1" s="1"/>
  <c r="H21" i="1"/>
  <c r="I21" i="1" s="1"/>
  <c r="J21" i="1" s="1"/>
  <c r="K21" i="1" a="1"/>
  <c r="K21" i="1" s="1"/>
  <c r="H22" i="1"/>
  <c r="I22" i="1" s="1"/>
  <c r="J22" i="1" s="1"/>
  <c r="K22" i="1" a="1"/>
  <c r="K22" i="1" s="1"/>
  <c r="D22" i="1"/>
  <c r="E22" i="1" s="1"/>
  <c r="L22" i="1" s="1"/>
  <c r="H23" i="1"/>
  <c r="I23" i="1" s="1"/>
  <c r="J23" i="1" s="1"/>
  <c r="K23" i="1" a="1"/>
  <c r="K23" i="1" s="1"/>
  <c r="D23" i="1"/>
  <c r="E23" i="1" s="1"/>
  <c r="L23" i="1" s="1"/>
  <c r="H24" i="1"/>
  <c r="I24" i="1" s="1"/>
  <c r="J24" i="1" s="1"/>
  <c r="K24" i="1" a="1"/>
  <c r="K24" i="1" s="1"/>
  <c r="D24" i="1"/>
  <c r="E24" i="1" s="1"/>
  <c r="L24" i="1" s="1"/>
  <c r="H25" i="1"/>
  <c r="I25" i="1" s="1"/>
  <c r="J25" i="1" s="1"/>
  <c r="K25" i="1" a="1"/>
  <c r="K25" i="1" s="1"/>
  <c r="D25" i="1"/>
  <c r="E25" i="1" s="1"/>
  <c r="L25" i="1" s="1"/>
  <c r="H26" i="1"/>
  <c r="I26" i="1" s="1"/>
  <c r="J26" i="1" s="1"/>
  <c r="K26" i="1" a="1"/>
  <c r="K26" i="1" s="1"/>
  <c r="H27" i="1"/>
  <c r="I27" i="1" s="1"/>
  <c r="J27" i="1" s="1"/>
  <c r="K27" i="1" a="1"/>
  <c r="K27" i="1" s="1"/>
  <c r="D27" i="1"/>
  <c r="E27" i="1" s="1"/>
  <c r="L27" i="1" s="1"/>
  <c r="H28" i="1"/>
  <c r="I28" i="1" s="1"/>
  <c r="J28" i="1" s="1"/>
  <c r="K28" i="1" a="1"/>
  <c r="K28" i="1" s="1"/>
  <c r="D28" i="1"/>
  <c r="E28" i="1" s="1"/>
  <c r="L28" i="1" s="1"/>
  <c r="D29" i="1"/>
  <c r="E29" i="1" s="1"/>
  <c r="L29" i="1" s="1"/>
  <c r="H29" i="1"/>
  <c r="I29" i="1" s="1"/>
  <c r="J29" i="1" s="1"/>
  <c r="K29" i="1" a="1"/>
  <c r="K29" i="1" s="1"/>
  <c r="D30" i="1"/>
  <c r="E30" i="1" s="1"/>
  <c r="L30" i="1" s="1"/>
  <c r="H30" i="1"/>
  <c r="I30" i="1" s="1"/>
  <c r="J30" i="1" s="1"/>
  <c r="K30" i="1" a="1"/>
  <c r="K30" i="1" s="1"/>
  <c r="D31" i="1"/>
  <c r="E31" i="1" s="1"/>
  <c r="L31" i="1" s="1"/>
  <c r="H31" i="1"/>
  <c r="I31" i="1" s="1"/>
  <c r="J31" i="1" s="1"/>
  <c r="K31" i="1" a="1"/>
  <c r="K31" i="1" s="1"/>
  <c r="H32" i="1"/>
  <c r="I32" i="1" s="1"/>
  <c r="J32" i="1" s="1"/>
  <c r="K32" i="1" a="1"/>
  <c r="K32" i="1" s="1"/>
  <c r="D32" i="1"/>
  <c r="E32" i="1" s="1"/>
  <c r="L32" i="1" s="1"/>
  <c r="D33" i="1"/>
  <c r="E33" i="1" s="1"/>
  <c r="L33" i="1" s="1"/>
  <c r="H33" i="1"/>
  <c r="I33" i="1" s="1"/>
  <c r="J33" i="1" s="1"/>
  <c r="K33" i="1" a="1"/>
  <c r="K33" i="1" s="1"/>
  <c r="H34" i="1"/>
  <c r="I34" i="1" s="1"/>
  <c r="J34" i="1" s="1"/>
  <c r="K34" i="1" a="1"/>
  <c r="K34" i="1" s="1"/>
  <c r="D34" i="1"/>
  <c r="E34" i="1" s="1"/>
  <c r="L34" i="1" s="1"/>
  <c r="H35" i="1"/>
  <c r="I35" i="1" s="1"/>
  <c r="J35" i="1" s="1"/>
  <c r="K35" i="1" a="1"/>
  <c r="K35" i="1" s="1"/>
  <c r="H36" i="1"/>
  <c r="I36" i="1" s="1"/>
  <c r="J36" i="1" s="1"/>
  <c r="K36" i="1" a="1"/>
  <c r="K36" i="1" s="1"/>
  <c r="D36" i="1"/>
  <c r="E36" i="1" s="1"/>
  <c r="L36" i="1" s="1"/>
  <c r="H37" i="1"/>
  <c r="I37" i="1" s="1"/>
  <c r="J37" i="1" s="1"/>
  <c r="K37" i="1" a="1"/>
  <c r="K37" i="1" s="1"/>
  <c r="D37" i="1"/>
  <c r="E37" i="1" s="1"/>
  <c r="L37" i="1" s="1"/>
  <c r="D38" i="1"/>
  <c r="E38" i="1" s="1"/>
  <c r="L38" i="1" s="1"/>
  <c r="H38" i="1"/>
  <c r="I38" i="1" s="1"/>
  <c r="J38" i="1" s="1"/>
  <c r="K38" i="1" a="1"/>
  <c r="K38" i="1" s="1"/>
  <c r="D39" i="1"/>
  <c r="E39" i="1" s="1"/>
  <c r="L39" i="1" s="1"/>
  <c r="H39" i="1"/>
  <c r="I39" i="1" s="1"/>
  <c r="J39" i="1" s="1"/>
  <c r="K39" i="1" a="1"/>
  <c r="K39" i="1" s="1"/>
  <c r="H40" i="1"/>
  <c r="I40" i="1" s="1"/>
  <c r="J40" i="1" s="1"/>
  <c r="K40" i="1" a="1"/>
  <c r="K40" i="1" s="1"/>
  <c r="D40" i="1"/>
  <c r="E40" i="1" s="1"/>
  <c r="L40" i="1" s="1"/>
  <c r="D41" i="1"/>
  <c r="E41" i="1" s="1"/>
  <c r="L41" i="1" s="1"/>
  <c r="H41" i="1"/>
  <c r="I41" i="1" s="1"/>
  <c r="J41" i="1" s="1"/>
  <c r="K41" i="1" a="1"/>
  <c r="K41" i="1" s="1"/>
  <c r="H42" i="1"/>
  <c r="I42" i="1" s="1"/>
  <c r="J42" i="1" s="1"/>
  <c r="K42" i="1" a="1"/>
  <c r="K42" i="1" s="1"/>
  <c r="D42" i="1"/>
  <c r="E42" i="1" s="1"/>
  <c r="L42" i="1" s="1"/>
  <c r="H43" i="1"/>
  <c r="I43" i="1" s="1"/>
  <c r="J43" i="1" s="1"/>
  <c r="K43" i="1" a="1"/>
  <c r="K43" i="1" s="1"/>
  <c r="D43" i="1"/>
  <c r="E43" i="1" s="1"/>
  <c r="L43" i="1" s="1"/>
  <c r="H44" i="1"/>
  <c r="I44" i="1" s="1"/>
  <c r="J44" i="1" s="1"/>
  <c r="K44" i="1" a="1"/>
  <c r="K44" i="1" s="1"/>
  <c r="D44" i="1"/>
  <c r="E44" i="1" s="1"/>
  <c r="L44" i="1" s="1"/>
  <c r="H45" i="1"/>
  <c r="I45" i="1" s="1"/>
  <c r="J45" i="1" s="1"/>
  <c r="K45" i="1" a="1"/>
  <c r="K45" i="1" s="1"/>
  <c r="D45" i="1"/>
  <c r="E45" i="1" s="1"/>
  <c r="L45" i="1" s="1"/>
  <c r="D46" i="1"/>
  <c r="E46" i="1" s="1"/>
  <c r="L46" i="1" s="1"/>
  <c r="H46" i="1"/>
  <c r="I46" i="1" s="1"/>
  <c r="J46" i="1" s="1"/>
  <c r="K46" i="1" a="1"/>
  <c r="K46" i="1" s="1"/>
  <c r="H47" i="1"/>
  <c r="I47" i="1" s="1"/>
  <c r="J47" i="1" s="1"/>
  <c r="K47" i="1" a="1"/>
  <c r="K47" i="1" s="1"/>
  <c r="D47" i="1"/>
  <c r="E47" i="1" s="1"/>
  <c r="L47" i="1" s="1"/>
  <c r="D48" i="1"/>
  <c r="E48" i="1" s="1"/>
  <c r="L48" i="1" s="1"/>
  <c r="H48" i="1"/>
  <c r="I48" i="1" s="1"/>
  <c r="J48" i="1" s="1"/>
  <c r="K48" i="1" a="1"/>
  <c r="K48" i="1" s="1"/>
  <c r="D49" i="1"/>
  <c r="E49" i="1" s="1"/>
  <c r="L49" i="1" s="1"/>
  <c r="H49" i="1"/>
  <c r="I49" i="1" s="1"/>
  <c r="J49" i="1" s="1"/>
  <c r="K49" i="1" a="1"/>
  <c r="K49" i="1" s="1"/>
  <c r="H50" i="1"/>
  <c r="I50" i="1" s="1"/>
  <c r="J50" i="1" s="1"/>
  <c r="K50" i="1" a="1"/>
  <c r="K50" i="1" s="1"/>
  <c r="D50" i="1"/>
  <c r="E50" i="1" s="1"/>
  <c r="L50" i="1" s="1"/>
  <c r="D51" i="1"/>
  <c r="E51" i="1" s="1"/>
  <c r="L51" i="1" s="1"/>
  <c r="H51" i="1"/>
  <c r="I51" i="1" s="1"/>
  <c r="J51" i="1" s="1"/>
  <c r="K51" i="1" a="1"/>
  <c r="K51" i="1" s="1"/>
  <c r="H52" i="1"/>
  <c r="I52" i="1" s="1"/>
  <c r="J52" i="1" s="1"/>
  <c r="K52" i="1" a="1"/>
  <c r="K52" i="1" s="1"/>
  <c r="D52" i="1"/>
  <c r="E52" i="1" s="1"/>
  <c r="L52" i="1" s="1"/>
  <c r="D53" i="1"/>
  <c r="E53" i="1" s="1"/>
  <c r="L53" i="1" s="1"/>
  <c r="H53" i="1"/>
  <c r="I53" i="1" s="1"/>
  <c r="J53" i="1" s="1"/>
  <c r="K53" i="1" a="1"/>
  <c r="K53" i="1" s="1"/>
  <c r="D54" i="1"/>
  <c r="E54" i="1" s="1"/>
  <c r="L54" i="1" s="1"/>
  <c r="H54" i="1"/>
  <c r="I54" i="1" s="1"/>
  <c r="J54" i="1" s="1"/>
  <c r="K54" i="1" a="1"/>
  <c r="K54" i="1" s="1"/>
  <c r="D55" i="1"/>
  <c r="E55" i="1" s="1"/>
  <c r="L55" i="1" s="1"/>
  <c r="H55" i="1"/>
  <c r="I55" i="1" s="1"/>
  <c r="J55" i="1" s="1"/>
  <c r="K55" i="1" a="1"/>
  <c r="K55" i="1" s="1"/>
  <c r="D56" i="1"/>
  <c r="E56" i="1" s="1"/>
  <c r="L56" i="1" s="1"/>
  <c r="H56" i="1"/>
  <c r="I56" i="1" s="1"/>
  <c r="J56" i="1" s="1"/>
  <c r="K56" i="1" a="1"/>
  <c r="K56" i="1" s="1"/>
  <c r="H57" i="1"/>
  <c r="I57" i="1" s="1"/>
  <c r="J57" i="1" s="1"/>
  <c r="K57" i="1" a="1"/>
  <c r="K57" i="1" s="1"/>
  <c r="D57" i="1"/>
  <c r="E57" i="1" s="1"/>
  <c r="L57" i="1" s="1"/>
  <c r="H58" i="1"/>
  <c r="I58" i="1" s="1"/>
  <c r="J58" i="1" s="1"/>
  <c r="K58" i="1" a="1"/>
  <c r="K58" i="1" s="1"/>
  <c r="D58" i="1"/>
  <c r="E58" i="1" s="1"/>
  <c r="L58" i="1" s="1"/>
  <c r="H59" i="1"/>
  <c r="I59" i="1" s="1"/>
  <c r="J59" i="1" s="1"/>
  <c r="K59" i="1" a="1"/>
  <c r="K59" i="1" s="1"/>
  <c r="D59" i="1"/>
  <c r="E59" i="1" s="1"/>
  <c r="L59" i="1" s="1"/>
  <c r="H60" i="1"/>
  <c r="I60" i="1" s="1"/>
  <c r="J60" i="1" s="1"/>
  <c r="K60" i="1" a="1"/>
  <c r="K60" i="1" s="1"/>
  <c r="D60" i="1"/>
  <c r="E60" i="1" s="1"/>
  <c r="L60" i="1" s="1"/>
  <c r="D61" i="1"/>
  <c r="E61" i="1" s="1"/>
  <c r="L61" i="1" s="1"/>
  <c r="H61" i="1"/>
  <c r="I61" i="1" s="1"/>
  <c r="J61" i="1" s="1"/>
  <c r="K61" i="1" a="1"/>
  <c r="K61" i="1" s="1"/>
  <c r="H62" i="1"/>
  <c r="I62" i="1" s="1"/>
  <c r="J62" i="1" s="1"/>
  <c r="K62" i="1" a="1"/>
  <c r="K62" i="1" s="1"/>
  <c r="D62" i="1"/>
  <c r="E62" i="1" s="1"/>
  <c r="L62" i="1" s="1"/>
  <c r="D63" i="1"/>
  <c r="E63" i="1" s="1"/>
  <c r="L63" i="1" s="1"/>
  <c r="H63" i="1"/>
  <c r="I63" i="1" s="1"/>
  <c r="J63" i="1" s="1"/>
  <c r="K63" i="1" a="1"/>
  <c r="K63" i="1" s="1"/>
  <c r="D64" i="1"/>
  <c r="E64" i="1" s="1"/>
  <c r="L64" i="1" s="1"/>
  <c r="H64" i="1"/>
  <c r="I64" i="1" s="1"/>
  <c r="J64" i="1" s="1"/>
  <c r="K64" i="1" a="1"/>
  <c r="K64" i="1" s="1"/>
  <c r="D65" i="1"/>
  <c r="E65" i="1" s="1"/>
  <c r="L65" i="1" s="1"/>
  <c r="H65" i="1"/>
  <c r="I65" i="1" s="1"/>
  <c r="J65" i="1" s="1"/>
  <c r="K65" i="1" a="1"/>
  <c r="K65" i="1" s="1"/>
  <c r="H66" i="1"/>
  <c r="I66" i="1" s="1"/>
  <c r="J66" i="1" s="1"/>
  <c r="K66" i="1" a="1"/>
  <c r="K66" i="1" s="1"/>
  <c r="D66" i="1"/>
  <c r="E66" i="1" s="1"/>
  <c r="L66" i="1" s="1"/>
  <c r="H67" i="1"/>
  <c r="I67" i="1" s="1"/>
  <c r="J67" i="1" s="1"/>
  <c r="K67" i="1" a="1"/>
  <c r="K67" i="1" s="1"/>
  <c r="D67" i="1"/>
  <c r="E67" i="1" s="1"/>
  <c r="L67" i="1" s="1"/>
  <c r="H68" i="1"/>
  <c r="I68" i="1" s="1"/>
  <c r="J68" i="1" s="1"/>
  <c r="K68" i="1" a="1"/>
  <c r="K68" i="1" s="1"/>
  <c r="D68" i="1"/>
  <c r="E68" i="1" s="1"/>
  <c r="L68" i="1" s="1"/>
  <c r="H69" i="1"/>
  <c r="I69" i="1" s="1"/>
  <c r="J69" i="1" s="1"/>
  <c r="K69" i="1" a="1"/>
  <c r="K69" i="1" s="1"/>
  <c r="D69" i="1"/>
  <c r="E69" i="1" s="1"/>
  <c r="L69" i="1" s="1"/>
  <c r="D70" i="1"/>
  <c r="E70" i="1" s="1"/>
  <c r="L70" i="1" s="1"/>
  <c r="H70" i="1"/>
  <c r="I70" i="1" s="1"/>
  <c r="J70" i="1" s="1"/>
  <c r="K70" i="1" a="1"/>
  <c r="K70" i="1" s="1"/>
  <c r="D71" i="1"/>
  <c r="E71" i="1" s="1"/>
  <c r="L71" i="1" s="1"/>
  <c r="H71" i="1"/>
  <c r="I71" i="1" s="1"/>
  <c r="J71" i="1" s="1"/>
  <c r="K71" i="1" a="1"/>
  <c r="K71" i="1" s="1"/>
  <c r="D72" i="1"/>
  <c r="E72" i="1" s="1"/>
  <c r="L72" i="1" s="1"/>
  <c r="H72" i="1"/>
  <c r="I72" i="1" s="1"/>
  <c r="J72" i="1" s="1"/>
  <c r="K72" i="1" a="1"/>
  <c r="K72" i="1" s="1"/>
  <c r="D73" i="1"/>
  <c r="E73" i="1" s="1"/>
  <c r="L73" i="1" s="1"/>
  <c r="H73" i="1"/>
  <c r="I73" i="1" s="1"/>
  <c r="J73" i="1" s="1"/>
  <c r="K73" i="1" a="1"/>
  <c r="K73" i="1" s="1"/>
  <c r="D74" i="1"/>
  <c r="E74" i="1" s="1"/>
  <c r="L74" i="1" s="1"/>
  <c r="H74" i="1"/>
  <c r="I74" i="1" s="1"/>
  <c r="J74" i="1" s="1"/>
  <c r="K74" i="1" a="1"/>
  <c r="K74" i="1" s="1"/>
  <c r="D75" i="1"/>
  <c r="E75" i="1" s="1"/>
  <c r="L75" i="1" s="1"/>
  <c r="H75" i="1"/>
  <c r="I75" i="1" s="1"/>
  <c r="J75" i="1" s="1"/>
  <c r="K75" i="1" a="1"/>
  <c r="K75" i="1" s="1"/>
  <c r="D76" i="1"/>
  <c r="E76" i="1" s="1"/>
  <c r="L76" i="1" s="1"/>
  <c r="H76" i="1"/>
  <c r="I76" i="1" s="1"/>
  <c r="J76" i="1" s="1"/>
  <c r="K76" i="1" a="1"/>
  <c r="K76" i="1" s="1"/>
  <c r="D77" i="1"/>
  <c r="E77" i="1" s="1"/>
  <c r="L77" i="1" s="1"/>
  <c r="H77" i="1"/>
  <c r="I77" i="1" s="1"/>
  <c r="J77" i="1" s="1"/>
  <c r="K77" i="1" a="1"/>
  <c r="K77" i="1" s="1"/>
  <c r="D78" i="1"/>
  <c r="E78" i="1" s="1"/>
  <c r="L78" i="1" s="1"/>
  <c r="H78" i="1"/>
  <c r="I78" i="1" s="1"/>
  <c r="J78" i="1" s="1"/>
  <c r="K78" i="1" a="1"/>
  <c r="K78" i="1" s="1"/>
  <c r="H79" i="1"/>
  <c r="I79" i="1" s="1"/>
  <c r="J79" i="1" s="1"/>
  <c r="K79" i="1" a="1"/>
  <c r="K79" i="1" s="1"/>
  <c r="D79" i="1"/>
  <c r="E79" i="1" s="1"/>
  <c r="L79" i="1" s="1"/>
  <c r="H80" i="1"/>
  <c r="I80" i="1" s="1"/>
  <c r="J80" i="1" s="1"/>
  <c r="K80" i="1" a="1"/>
  <c r="K80" i="1" s="1"/>
  <c r="D80" i="1"/>
  <c r="E80" i="1" s="1"/>
  <c r="L80" i="1" s="1"/>
  <c r="H81" i="1"/>
  <c r="I81" i="1" s="1"/>
  <c r="J81" i="1" s="1"/>
  <c r="K81" i="1" a="1"/>
  <c r="K81" i="1" s="1"/>
  <c r="D81" i="1"/>
  <c r="E81" i="1" s="1"/>
  <c r="L81" i="1" s="1"/>
  <c r="H82" i="1"/>
  <c r="I82" i="1" s="1"/>
  <c r="J82" i="1" s="1"/>
  <c r="K82" i="1" a="1"/>
  <c r="K82" i="1" s="1"/>
  <c r="D82" i="1"/>
  <c r="E82" i="1" s="1"/>
  <c r="L82" i="1" s="1"/>
  <c r="H83" i="1"/>
  <c r="I83" i="1" s="1"/>
  <c r="J83" i="1" s="1"/>
  <c r="K83" i="1" a="1"/>
  <c r="K83" i="1" s="1"/>
  <c r="D83" i="1"/>
  <c r="E83" i="1" s="1"/>
  <c r="L83" i="1" s="1"/>
  <c r="D84" i="1"/>
  <c r="E84" i="1" s="1"/>
  <c r="L84" i="1" s="1"/>
  <c r="H84" i="1"/>
  <c r="I84" i="1" s="1"/>
  <c r="J84" i="1" s="1"/>
  <c r="K84" i="1" a="1"/>
  <c r="K84" i="1" s="1"/>
  <c r="D85" i="1"/>
  <c r="E85" i="1" s="1"/>
  <c r="L85" i="1" s="1"/>
  <c r="H85" i="1"/>
  <c r="I85" i="1" s="1"/>
  <c r="J85" i="1" s="1"/>
  <c r="K85" i="1" a="1"/>
  <c r="K85" i="1" s="1"/>
  <c r="D86" i="1"/>
  <c r="E86" i="1" s="1"/>
  <c r="L86" i="1" s="1"/>
  <c r="H86" i="1"/>
  <c r="I86" i="1" s="1"/>
  <c r="J86" i="1" s="1"/>
  <c r="K86" i="1" a="1"/>
  <c r="K86" i="1" s="1"/>
  <c r="D87" i="1"/>
  <c r="E87" i="1" s="1"/>
  <c r="L87" i="1" s="1"/>
  <c r="H87" i="1"/>
  <c r="I87" i="1" s="1"/>
  <c r="J87" i="1" s="1"/>
  <c r="K87" i="1" a="1"/>
  <c r="K87" i="1" s="1"/>
  <c r="D88" i="1"/>
  <c r="E88" i="1" s="1"/>
  <c r="L88" i="1" s="1"/>
  <c r="H88" i="1"/>
  <c r="I88" i="1" s="1"/>
  <c r="J88" i="1" s="1"/>
  <c r="K88" i="1" a="1"/>
  <c r="K88" i="1" s="1"/>
  <c r="H89" i="1"/>
  <c r="I89" i="1" s="1"/>
  <c r="J89" i="1" s="1"/>
  <c r="K89" i="1" a="1"/>
  <c r="K89" i="1" s="1"/>
  <c r="D89" i="1"/>
  <c r="E89" i="1" s="1"/>
  <c r="L89" i="1" s="1"/>
  <c r="D510" i="1"/>
  <c r="E510" i="1" s="1"/>
  <c r="L510" i="1" s="1"/>
  <c r="H510" i="1"/>
  <c r="I510" i="1" s="1"/>
  <c r="J510" i="1" s="1"/>
  <c r="K510" i="1" a="1"/>
  <c r="K510" i="1" s="1"/>
  <c r="D511" i="1"/>
  <c r="E511" i="1" s="1"/>
  <c r="L511" i="1" s="1"/>
  <c r="H511" i="1"/>
  <c r="I511" i="1" s="1"/>
  <c r="J511" i="1" s="1"/>
  <c r="K511" i="1" a="1"/>
  <c r="K511" i="1" s="1"/>
  <c r="D512" i="1"/>
  <c r="E512" i="1" s="1"/>
  <c r="L512" i="1" s="1"/>
  <c r="H512" i="1"/>
  <c r="I512" i="1" s="1"/>
  <c r="J512" i="1" s="1"/>
  <c r="K512" i="1" a="1"/>
  <c r="K512" i="1" s="1"/>
  <c r="D513" i="1"/>
  <c r="E513" i="1" s="1"/>
  <c r="L513" i="1" s="1"/>
  <c r="H513" i="1"/>
  <c r="I513" i="1" s="1"/>
  <c r="J513" i="1" s="1"/>
  <c r="K513" i="1" a="1"/>
  <c r="K513" i="1" s="1"/>
  <c r="H514" i="1"/>
  <c r="I514" i="1" s="1"/>
  <c r="J514" i="1" s="1"/>
  <c r="K514" i="1" a="1"/>
  <c r="K514" i="1" s="1"/>
  <c r="D514" i="1"/>
  <c r="E514" i="1" s="1"/>
  <c r="L514" i="1" s="1"/>
  <c r="D515" i="1"/>
  <c r="E515" i="1" s="1"/>
  <c r="L515" i="1" s="1"/>
  <c r="H515" i="1"/>
  <c r="I515" i="1" s="1"/>
  <c r="J515" i="1" s="1"/>
  <c r="K515" i="1" a="1"/>
  <c r="K515" i="1" s="1"/>
  <c r="D516" i="1"/>
  <c r="E516" i="1" s="1"/>
  <c r="L516" i="1" s="1"/>
  <c r="H516" i="1"/>
  <c r="I516" i="1" s="1"/>
  <c r="J516" i="1" s="1"/>
  <c r="K516" i="1" a="1"/>
  <c r="K516" i="1" s="1"/>
  <c r="H517" i="1"/>
  <c r="I517" i="1" s="1"/>
  <c r="J517" i="1" s="1"/>
  <c r="K517" i="1" a="1"/>
  <c r="K517" i="1" s="1"/>
  <c r="D517" i="1"/>
  <c r="E517" i="1" s="1"/>
  <c r="L517" i="1" s="1"/>
  <c r="H518" i="1"/>
  <c r="I518" i="1" s="1"/>
  <c r="J518" i="1" s="1"/>
  <c r="K518" i="1" a="1"/>
  <c r="K518" i="1" s="1"/>
  <c r="D518" i="1"/>
  <c r="E518" i="1" s="1"/>
  <c r="L518" i="1" s="1"/>
  <c r="H519" i="1"/>
  <c r="I519" i="1" s="1"/>
  <c r="J519" i="1" s="1"/>
  <c r="K519" i="1" a="1"/>
  <c r="K519" i="1" s="1"/>
  <c r="D519" i="1"/>
  <c r="E519" i="1" s="1"/>
  <c r="L519" i="1" s="1"/>
  <c r="D520" i="1"/>
  <c r="E520" i="1" s="1"/>
  <c r="L520" i="1" s="1"/>
  <c r="H520" i="1"/>
  <c r="I520" i="1" s="1"/>
  <c r="J520" i="1" s="1"/>
  <c r="K520" i="1" a="1"/>
  <c r="K520" i="1" s="1"/>
  <c r="D521" i="1"/>
  <c r="E521" i="1" s="1"/>
  <c r="L521" i="1" s="1"/>
  <c r="H521" i="1"/>
  <c r="I521" i="1" s="1"/>
  <c r="J521" i="1" s="1"/>
  <c r="K521" i="1" a="1"/>
  <c r="K521" i="1" s="1"/>
  <c r="H522" i="1"/>
  <c r="I522" i="1" s="1"/>
  <c r="J522" i="1" s="1"/>
  <c r="K522" i="1" a="1"/>
  <c r="K522" i="1" s="1"/>
  <c r="D522" i="1"/>
  <c r="E522" i="1" s="1"/>
  <c r="L522" i="1" s="1"/>
  <c r="H523" i="1"/>
  <c r="I523" i="1" s="1"/>
  <c r="J523" i="1" s="1"/>
  <c r="K523" i="1" a="1"/>
  <c r="K523" i="1" s="1"/>
  <c r="D523" i="1"/>
  <c r="E523" i="1" s="1"/>
  <c r="L523" i="1" s="1"/>
  <c r="H524" i="1"/>
  <c r="I524" i="1" s="1"/>
  <c r="J524" i="1" s="1"/>
  <c r="K524" i="1" a="1"/>
  <c r="K524" i="1" s="1"/>
  <c r="D524" i="1"/>
  <c r="E524" i="1" s="1"/>
  <c r="L524" i="1" s="1"/>
  <c r="H525" i="1"/>
  <c r="I525" i="1" s="1"/>
  <c r="J525" i="1" s="1"/>
  <c r="K525" i="1" a="1"/>
  <c r="K525" i="1" s="1"/>
  <c r="D525" i="1"/>
  <c r="E525" i="1" s="1"/>
  <c r="L525" i="1" s="1"/>
  <c r="H526" i="1"/>
  <c r="I526" i="1" s="1"/>
  <c r="J526" i="1" s="1"/>
  <c r="K526" i="1" a="1"/>
  <c r="K526" i="1" s="1"/>
  <c r="D526" i="1"/>
  <c r="E526" i="1" s="1"/>
  <c r="L526" i="1" s="1"/>
  <c r="K527" i="1" a="1"/>
  <c r="K527" i="1" s="1"/>
  <c r="H527" i="1"/>
  <c r="I527" i="1" s="1"/>
  <c r="J527" i="1" s="1"/>
  <c r="D527" i="1"/>
  <c r="E527" i="1" s="1"/>
  <c r="L527" i="1" s="1"/>
  <c r="K528" i="1" a="1"/>
  <c r="K528" i="1" s="1"/>
  <c r="H528" i="1"/>
  <c r="I528" i="1" s="1"/>
  <c r="J528" i="1" s="1"/>
  <c r="D528" i="1"/>
  <c r="E528" i="1" s="1"/>
  <c r="L528" i="1" s="1"/>
  <c r="H529" i="1"/>
  <c r="I529" i="1" s="1"/>
  <c r="J529" i="1" s="1"/>
  <c r="K529" i="1" a="1"/>
  <c r="K529" i="1" s="1"/>
  <c r="D529" i="1"/>
  <c r="E529" i="1" s="1"/>
  <c r="L529" i="1" s="1"/>
  <c r="K530" i="1" a="1"/>
  <c r="K530" i="1" s="1"/>
  <c r="H530" i="1"/>
  <c r="I530" i="1" s="1"/>
  <c r="J530" i="1" s="1"/>
  <c r="D530" i="1"/>
  <c r="E530" i="1" s="1"/>
  <c r="L530" i="1" s="1"/>
  <c r="H531" i="1"/>
  <c r="I531" i="1" s="1"/>
  <c r="J531" i="1" s="1"/>
  <c r="K531" i="1" a="1"/>
  <c r="K531" i="1" s="1"/>
  <c r="D531" i="1"/>
  <c r="E531" i="1" s="1"/>
  <c r="L531" i="1" s="1"/>
  <c r="D532" i="1"/>
  <c r="E532" i="1" s="1"/>
  <c r="L532" i="1" s="1"/>
  <c r="K532" i="1" a="1"/>
  <c r="K532" i="1" s="1"/>
  <c r="H532" i="1"/>
  <c r="I532" i="1" s="1"/>
  <c r="J532" i="1" s="1"/>
  <c r="K533" i="1" a="1"/>
  <c r="K533" i="1" s="1"/>
  <c r="H533" i="1"/>
  <c r="I533" i="1" s="1"/>
  <c r="J533" i="1" s="1"/>
  <c r="D533" i="1"/>
  <c r="E533" i="1" s="1"/>
  <c r="L533" i="1" s="1"/>
  <c r="D534" i="1"/>
  <c r="E534" i="1" s="1"/>
  <c r="L534" i="1" s="1"/>
  <c r="K534" i="1" a="1"/>
  <c r="K534" i="1" s="1"/>
  <c r="H534" i="1"/>
  <c r="I534" i="1" s="1"/>
  <c r="J534" i="1" s="1"/>
  <c r="D535" i="1"/>
  <c r="E535" i="1" s="1"/>
  <c r="L535" i="1" s="1"/>
  <c r="H535" i="1"/>
  <c r="I535" i="1" s="1"/>
  <c r="J535" i="1" s="1"/>
  <c r="K535" i="1" a="1"/>
  <c r="K535" i="1" s="1"/>
  <c r="K536" i="1" a="1"/>
  <c r="K536" i="1" s="1"/>
  <c r="H536" i="1"/>
  <c r="I536" i="1" s="1"/>
  <c r="J536" i="1" s="1"/>
  <c r="D536" i="1"/>
  <c r="E536" i="1" s="1"/>
  <c r="L536" i="1" s="1"/>
  <c r="H537" i="1"/>
  <c r="I537" i="1" s="1"/>
  <c r="J537" i="1" s="1"/>
  <c r="K537" i="1" a="1"/>
  <c r="K537" i="1" s="1"/>
  <c r="D537" i="1"/>
  <c r="E537" i="1" s="1"/>
  <c r="L537" i="1" s="1"/>
  <c r="D538" i="1"/>
  <c r="E538" i="1" s="1"/>
  <c r="L538" i="1" s="1"/>
  <c r="K538" i="1" a="1"/>
  <c r="K538" i="1" s="1"/>
  <c r="H538" i="1"/>
  <c r="I538" i="1" s="1"/>
  <c r="J538" i="1" s="1"/>
  <c r="D539" i="1"/>
  <c r="E539" i="1" s="1"/>
  <c r="L539" i="1" s="1"/>
  <c r="H539" i="1"/>
  <c r="I539" i="1" s="1"/>
  <c r="J539" i="1" s="1"/>
  <c r="K539" i="1" a="1"/>
  <c r="K539" i="1" s="1"/>
  <c r="K540" i="1" a="1"/>
  <c r="K540" i="1" s="1"/>
  <c r="H540" i="1"/>
  <c r="I540" i="1" s="1"/>
  <c r="J540" i="1" s="1"/>
  <c r="D540" i="1"/>
  <c r="E540" i="1" s="1"/>
  <c r="L540" i="1" s="1"/>
  <c r="K541" i="1" a="1"/>
  <c r="K541" i="1" s="1"/>
  <c r="H541" i="1"/>
  <c r="I541" i="1" s="1"/>
  <c r="J541" i="1" s="1"/>
  <c r="D541" i="1"/>
  <c r="E541" i="1" s="1"/>
  <c r="L541" i="1" s="1"/>
  <c r="K542" i="1" a="1"/>
  <c r="K542" i="1" s="1"/>
  <c r="H542" i="1"/>
  <c r="I542" i="1" s="1"/>
  <c r="J542" i="1" s="1"/>
  <c r="D542" i="1"/>
  <c r="E542" i="1" s="1"/>
  <c r="L542" i="1" s="1"/>
  <c r="H543" i="1"/>
  <c r="I543" i="1" s="1"/>
  <c r="J543" i="1" s="1"/>
  <c r="K543" i="1" a="1"/>
  <c r="K543" i="1" s="1"/>
  <c r="D543" i="1"/>
  <c r="E543" i="1" s="1"/>
  <c r="L543" i="1" s="1"/>
  <c r="K544" i="1" a="1"/>
  <c r="K544" i="1" s="1"/>
  <c r="H544" i="1"/>
  <c r="I544" i="1" s="1"/>
  <c r="J544" i="1" s="1"/>
  <c r="D544" i="1"/>
  <c r="E544" i="1" s="1"/>
  <c r="L544" i="1" s="1"/>
  <c r="D545" i="1"/>
  <c r="E545" i="1" s="1"/>
  <c r="L545" i="1" s="1"/>
  <c r="K545" i="1" a="1"/>
  <c r="K545" i="1" s="1"/>
  <c r="H545" i="1"/>
  <c r="I545" i="1" s="1"/>
  <c r="J545" i="1" s="1"/>
  <c r="H546" i="1"/>
  <c r="I546" i="1" s="1"/>
  <c r="J546" i="1" s="1"/>
  <c r="K546" i="1" a="1"/>
  <c r="K546" i="1" s="1"/>
  <c r="D546" i="1"/>
  <c r="E546" i="1" s="1"/>
  <c r="L546" i="1" s="1"/>
  <c r="K547" i="1" a="1"/>
  <c r="K547" i="1" s="1"/>
  <c r="H547" i="1"/>
  <c r="I547" i="1" s="1"/>
  <c r="J547" i="1" s="1"/>
  <c r="D547" i="1"/>
  <c r="E547" i="1" s="1"/>
  <c r="L547" i="1" s="1"/>
  <c r="K548" i="1" a="1"/>
  <c r="K548" i="1" s="1"/>
  <c r="H548" i="1"/>
  <c r="I548" i="1" s="1"/>
  <c r="J548" i="1" s="1"/>
  <c r="D548" i="1"/>
  <c r="E548" i="1" s="1"/>
  <c r="L548" i="1" s="1"/>
  <c r="H549" i="1"/>
  <c r="I549" i="1" s="1"/>
  <c r="J549" i="1" s="1"/>
  <c r="K549" i="1" a="1"/>
  <c r="K549" i="1" s="1"/>
  <c r="D549" i="1"/>
  <c r="E549" i="1" s="1"/>
  <c r="L549" i="1" s="1"/>
  <c r="K550" i="1" a="1"/>
  <c r="K550" i="1" s="1"/>
  <c r="H550" i="1"/>
  <c r="I550" i="1" s="1"/>
  <c r="J550" i="1" s="1"/>
  <c r="D550" i="1"/>
  <c r="E550" i="1" s="1"/>
  <c r="L550" i="1" s="1"/>
  <c r="K551" i="1" a="1"/>
  <c r="K551" i="1" s="1"/>
  <c r="H551" i="1"/>
  <c r="I551" i="1" s="1"/>
  <c r="J551" i="1" s="1"/>
  <c r="D551" i="1"/>
  <c r="E551" i="1" s="1"/>
  <c r="L551" i="1" s="1"/>
  <c r="H552" i="1"/>
  <c r="I552" i="1" s="1"/>
  <c r="J552" i="1" s="1"/>
  <c r="K552" i="1" a="1"/>
  <c r="K552" i="1" s="1"/>
  <c r="D552" i="1"/>
  <c r="E552" i="1" s="1"/>
  <c r="L552" i="1" s="1"/>
  <c r="K553" i="1" a="1"/>
  <c r="K553" i="1" s="1"/>
  <c r="H553" i="1"/>
  <c r="I553" i="1" s="1"/>
  <c r="J553" i="1" s="1"/>
  <c r="D553" i="1"/>
  <c r="E553" i="1" s="1"/>
  <c r="L553" i="1" s="1"/>
  <c r="D554" i="1"/>
  <c r="E554" i="1" s="1"/>
  <c r="L554" i="1" s="1"/>
  <c r="K554" i="1" a="1"/>
  <c r="K554" i="1" s="1"/>
  <c r="H554" i="1"/>
  <c r="I554" i="1" s="1"/>
  <c r="J554" i="1" s="1"/>
  <c r="H555" i="1"/>
  <c r="I555" i="1" s="1"/>
  <c r="J555" i="1" s="1"/>
  <c r="K555" i="1" a="1"/>
  <c r="K555" i="1" s="1"/>
  <c r="D555" i="1"/>
  <c r="E555" i="1" s="1"/>
  <c r="L555" i="1" s="1"/>
  <c r="D556" i="1"/>
  <c r="E556" i="1" s="1"/>
  <c r="L556" i="1" s="1"/>
  <c r="K556" i="1" a="1"/>
  <c r="K556" i="1" s="1"/>
  <c r="H556" i="1"/>
  <c r="I556" i="1" s="1"/>
  <c r="J556" i="1" s="1"/>
  <c r="D557" i="1"/>
  <c r="E557" i="1" s="1"/>
  <c r="L557" i="1" s="1"/>
  <c r="K557" i="1" a="1"/>
  <c r="K557" i="1" s="1"/>
  <c r="H557" i="1"/>
  <c r="I557" i="1" s="1"/>
  <c r="J557" i="1" s="1"/>
  <c r="H558" i="1"/>
  <c r="I558" i="1" s="1"/>
  <c r="J558" i="1" s="1"/>
  <c r="K558" i="1" a="1"/>
  <c r="K558" i="1" s="1"/>
  <c r="D558" i="1"/>
  <c r="E558" i="1" s="1"/>
  <c r="L558" i="1" s="1"/>
  <c r="D559" i="1"/>
  <c r="E559" i="1" s="1"/>
  <c r="L559" i="1" s="1"/>
  <c r="K559" i="1" a="1"/>
  <c r="K559" i="1" s="1"/>
  <c r="H559" i="1"/>
  <c r="I559" i="1" s="1"/>
  <c r="J559" i="1" s="1"/>
  <c r="D560" i="1"/>
  <c r="E560" i="1" s="1"/>
  <c r="L560" i="1" s="1"/>
  <c r="K560" i="1" a="1"/>
  <c r="K560" i="1" s="1"/>
  <c r="H560" i="1"/>
  <c r="I560" i="1" s="1"/>
  <c r="J560" i="1" s="1"/>
  <c r="D561" i="1"/>
  <c r="E561" i="1" s="1"/>
  <c r="L561" i="1" s="1"/>
  <c r="K561" i="1" a="1"/>
  <c r="K561" i="1" s="1"/>
  <c r="H561" i="1"/>
  <c r="I561" i="1" s="1"/>
  <c r="J561" i="1" s="1"/>
  <c r="H562" i="1"/>
  <c r="I562" i="1" s="1"/>
  <c r="J562" i="1" s="1"/>
  <c r="K562" i="1" a="1"/>
  <c r="K562" i="1" s="1"/>
  <c r="D562" i="1"/>
  <c r="E562" i="1" s="1"/>
  <c r="L562" i="1" s="1"/>
  <c r="D563" i="1"/>
  <c r="E563" i="1" s="1"/>
  <c r="L563" i="1" s="1"/>
  <c r="K563" i="1" a="1"/>
  <c r="K563" i="1" s="1"/>
  <c r="H563" i="1"/>
  <c r="I563" i="1" s="1"/>
  <c r="J563" i="1" s="1"/>
  <c r="D564" i="1"/>
  <c r="E564" i="1" s="1"/>
  <c r="L564" i="1" s="1"/>
  <c r="H564" i="1"/>
  <c r="I564" i="1" s="1"/>
  <c r="J564" i="1" s="1"/>
  <c r="K564" i="1" a="1"/>
  <c r="K564" i="1" s="1"/>
  <c r="D565" i="1"/>
  <c r="E565" i="1" s="1"/>
  <c r="L565" i="1" s="1"/>
  <c r="K565" i="1" a="1"/>
  <c r="K565" i="1" s="1"/>
  <c r="H565" i="1"/>
  <c r="I565" i="1" s="1"/>
  <c r="J565" i="1" s="1"/>
  <c r="K566" i="1" a="1"/>
  <c r="K566" i="1" s="1"/>
  <c r="H566" i="1"/>
  <c r="I566" i="1" s="1"/>
  <c r="J566" i="1" s="1"/>
  <c r="D566" i="1"/>
  <c r="E566" i="1" s="1"/>
  <c r="L566" i="1" s="1"/>
  <c r="K567" i="1" a="1"/>
  <c r="K567" i="1" s="1"/>
  <c r="H567" i="1"/>
  <c r="I567" i="1" s="1"/>
  <c r="J567" i="1" s="1"/>
  <c r="D567" i="1"/>
  <c r="E567" i="1" s="1"/>
  <c r="L567" i="1" s="1"/>
  <c r="D568" i="1"/>
  <c r="E568" i="1" s="1"/>
  <c r="L568" i="1" s="1"/>
  <c r="H568" i="1"/>
  <c r="I568" i="1" s="1"/>
  <c r="J568" i="1" s="1"/>
  <c r="K568" i="1" a="1"/>
  <c r="K568" i="1" s="1"/>
  <c r="K569" i="1" a="1"/>
  <c r="K569" i="1" s="1"/>
  <c r="H569" i="1"/>
  <c r="I569" i="1" s="1"/>
  <c r="J569" i="1" s="1"/>
  <c r="D569" i="1"/>
  <c r="E569" i="1" s="1"/>
  <c r="L569" i="1" s="1"/>
  <c r="H570" i="1"/>
  <c r="I570" i="1" s="1"/>
  <c r="J570" i="1" s="1"/>
  <c r="K570" i="1" a="1"/>
  <c r="K570" i="1" s="1"/>
  <c r="D570" i="1"/>
  <c r="E570" i="1" s="1"/>
  <c r="L570" i="1" s="1"/>
  <c r="D571" i="1"/>
  <c r="E571" i="1" s="1"/>
  <c r="L571" i="1" s="1"/>
  <c r="K571" i="1" a="1"/>
  <c r="K571" i="1" s="1"/>
  <c r="H571" i="1"/>
  <c r="I571" i="1" s="1"/>
  <c r="J571" i="1" s="1"/>
  <c r="D572" i="1"/>
  <c r="E572" i="1" s="1"/>
  <c r="L572" i="1" s="1"/>
  <c r="K572" i="1" a="1"/>
  <c r="K572" i="1" s="1"/>
  <c r="H572" i="1"/>
  <c r="I572" i="1" s="1"/>
  <c r="J572" i="1" s="1"/>
  <c r="D573" i="1"/>
  <c r="E573" i="1" s="1"/>
  <c r="L573" i="1" s="1"/>
  <c r="K573" i="1" a="1"/>
  <c r="K573" i="1" s="1"/>
  <c r="H573" i="1"/>
  <c r="I573" i="1" s="1"/>
  <c r="J573" i="1" s="1"/>
  <c r="K574" i="1" a="1"/>
  <c r="K574" i="1" s="1"/>
  <c r="H574" i="1"/>
  <c r="I574" i="1" s="1"/>
  <c r="J574" i="1" s="1"/>
  <c r="D574" i="1"/>
  <c r="E574" i="1" s="1"/>
  <c r="L574" i="1" s="1"/>
  <c r="H575" i="1"/>
  <c r="I575" i="1" s="1"/>
  <c r="J575" i="1" s="1"/>
  <c r="K575" i="1" a="1"/>
  <c r="K575" i="1" s="1"/>
  <c r="D575" i="1"/>
  <c r="E575" i="1" s="1"/>
  <c r="L575" i="1" s="1"/>
  <c r="K576" i="1" a="1"/>
  <c r="K576" i="1" s="1"/>
  <c r="H576" i="1"/>
  <c r="I576" i="1" s="1"/>
  <c r="J576" i="1" s="1"/>
  <c r="D576" i="1"/>
  <c r="E576" i="1" s="1"/>
  <c r="L576" i="1" s="1"/>
  <c r="D577" i="1"/>
  <c r="E577" i="1" s="1"/>
  <c r="L577" i="1" s="1"/>
  <c r="H577" i="1"/>
  <c r="I577" i="1" s="1"/>
  <c r="J577" i="1" s="1"/>
  <c r="K577" i="1" a="1"/>
  <c r="K577" i="1" s="1"/>
  <c r="K578" i="1" a="1"/>
  <c r="K578" i="1" s="1"/>
  <c r="H578" i="1"/>
  <c r="I578" i="1" s="1"/>
  <c r="J578" i="1" s="1"/>
  <c r="D578" i="1"/>
  <c r="E578" i="1" s="1"/>
  <c r="L578" i="1" s="1"/>
  <c r="H579" i="1"/>
  <c r="I579" i="1" s="1"/>
  <c r="J579" i="1" s="1"/>
  <c r="K579" i="1" a="1"/>
  <c r="K579" i="1" s="1"/>
  <c r="D579" i="1"/>
  <c r="E579" i="1" s="1"/>
  <c r="L579" i="1" s="1"/>
  <c r="K580" i="1" a="1"/>
  <c r="K580" i="1" s="1"/>
  <c r="H580" i="1"/>
  <c r="I580" i="1" s="1"/>
  <c r="J580" i="1" s="1"/>
  <c r="D580" i="1"/>
  <c r="E580" i="1" s="1"/>
  <c r="L580" i="1" s="1"/>
  <c r="K581" i="1" a="1"/>
  <c r="K581" i="1" s="1"/>
  <c r="H581" i="1"/>
  <c r="I581" i="1" s="1"/>
  <c r="J581" i="1" s="1"/>
  <c r="D581" i="1"/>
  <c r="E581" i="1" s="1"/>
  <c r="L581" i="1" s="1"/>
  <c r="D582" i="1"/>
  <c r="E582" i="1" s="1"/>
  <c r="L582" i="1" s="1"/>
  <c r="K582" i="1" a="1"/>
  <c r="K582" i="1" s="1"/>
  <c r="H582" i="1"/>
  <c r="I582" i="1" s="1"/>
  <c r="J582" i="1" s="1"/>
  <c r="H583" i="1"/>
  <c r="I583" i="1" s="1"/>
  <c r="J583" i="1" s="1"/>
  <c r="K583" i="1" a="1"/>
  <c r="K583" i="1" s="1"/>
  <c r="D583" i="1"/>
  <c r="E583" i="1" s="1"/>
  <c r="L583" i="1" s="1"/>
  <c r="D584" i="1"/>
  <c r="E584" i="1" s="1"/>
  <c r="L584" i="1" s="1"/>
  <c r="K584" i="1" a="1"/>
  <c r="K584" i="1" s="1"/>
  <c r="H584" i="1"/>
  <c r="I584" i="1" s="1"/>
  <c r="J584" i="1" s="1"/>
  <c r="K585" i="1" a="1"/>
  <c r="K585" i="1" s="1"/>
  <c r="H585" i="1"/>
  <c r="I585" i="1" s="1"/>
  <c r="J585" i="1" s="1"/>
  <c r="D585" i="1"/>
  <c r="E585" i="1" s="1"/>
  <c r="L585" i="1" s="1"/>
  <c r="H586" i="1"/>
  <c r="I586" i="1" s="1"/>
  <c r="J586" i="1" s="1"/>
  <c r="K586" i="1" a="1"/>
  <c r="K586" i="1" s="1"/>
  <c r="D586" i="1"/>
  <c r="E586" i="1" s="1"/>
  <c r="L586" i="1" s="1"/>
  <c r="D587" i="1"/>
  <c r="E587" i="1" s="1"/>
  <c r="L587" i="1" s="1"/>
  <c r="K587" i="1" a="1"/>
  <c r="K587" i="1" s="1"/>
  <c r="H587" i="1"/>
  <c r="I587" i="1" s="1"/>
  <c r="J587" i="1" s="1"/>
  <c r="H588" i="1"/>
  <c r="I588" i="1" s="1"/>
  <c r="J588" i="1" s="1"/>
  <c r="K588" i="1" a="1"/>
  <c r="K588" i="1" s="1"/>
  <c r="D588" i="1"/>
  <c r="E588" i="1" s="1"/>
  <c r="L588" i="1" s="1"/>
  <c r="K589" i="1" a="1"/>
  <c r="K589" i="1" s="1"/>
  <c r="H589" i="1"/>
  <c r="I589" i="1" s="1"/>
  <c r="J589" i="1" s="1"/>
  <c r="D589" i="1"/>
  <c r="E589" i="1" s="1"/>
  <c r="L589" i="1" s="1"/>
  <c r="K590" i="1" a="1"/>
  <c r="K590" i="1" s="1"/>
  <c r="H590" i="1"/>
  <c r="I590" i="1" s="1"/>
  <c r="J590" i="1" s="1"/>
  <c r="D590" i="1"/>
  <c r="E590" i="1" s="1"/>
  <c r="L590" i="1" s="1"/>
  <c r="K591" i="1" a="1"/>
  <c r="K591" i="1" s="1"/>
  <c r="H591" i="1"/>
  <c r="I591" i="1" s="1"/>
  <c r="J591" i="1" s="1"/>
  <c r="D591" i="1"/>
  <c r="E591" i="1" s="1"/>
  <c r="L591" i="1" s="1"/>
  <c r="H592" i="1"/>
  <c r="I592" i="1" s="1"/>
  <c r="J592" i="1" s="1"/>
  <c r="K592" i="1" a="1"/>
  <c r="K592" i="1" s="1"/>
  <c r="D592" i="1"/>
  <c r="E592" i="1" s="1"/>
  <c r="L592" i="1" s="1"/>
  <c r="K593" i="1" a="1"/>
  <c r="K593" i="1" s="1"/>
  <c r="H593" i="1"/>
  <c r="I593" i="1" s="1"/>
  <c r="J593" i="1" s="1"/>
  <c r="D593" i="1"/>
  <c r="E593" i="1" s="1"/>
  <c r="L593" i="1" s="1"/>
  <c r="H594" i="1"/>
  <c r="I594" i="1" s="1"/>
  <c r="J594" i="1" s="1"/>
  <c r="K594" i="1" a="1"/>
  <c r="K594" i="1" s="1"/>
  <c r="D594" i="1"/>
  <c r="E594" i="1" s="1"/>
  <c r="L594" i="1" s="1"/>
  <c r="K595" i="1" a="1"/>
  <c r="K595" i="1" s="1"/>
  <c r="H595" i="1"/>
  <c r="I595" i="1" s="1"/>
  <c r="J595" i="1" s="1"/>
  <c r="D595" i="1"/>
  <c r="E595" i="1" s="1"/>
  <c r="L595" i="1" s="1"/>
  <c r="D596" i="1"/>
  <c r="E596" i="1" s="1"/>
  <c r="L596" i="1" s="1"/>
  <c r="K596" i="1" a="1"/>
  <c r="K596" i="1" s="1"/>
  <c r="H596" i="1"/>
  <c r="I596" i="1" s="1"/>
  <c r="J596" i="1" s="1"/>
  <c r="K597" i="1" a="1"/>
  <c r="K597" i="1" s="1"/>
  <c r="H597" i="1"/>
  <c r="I597" i="1" s="1"/>
  <c r="J597" i="1" s="1"/>
  <c r="D597" i="1"/>
  <c r="E597" i="1" s="1"/>
  <c r="L597" i="1" s="1"/>
  <c r="H598" i="1"/>
  <c r="I598" i="1" s="1"/>
  <c r="J598" i="1" s="1"/>
  <c r="K598" i="1" a="1"/>
  <c r="K598" i="1" s="1"/>
  <c r="D598" i="1"/>
  <c r="E598" i="1" s="1"/>
  <c r="L598" i="1" s="1"/>
  <c r="K599" i="1" a="1"/>
  <c r="K599" i="1" s="1"/>
  <c r="H599" i="1"/>
  <c r="I599" i="1" s="1"/>
  <c r="J599" i="1" s="1"/>
  <c r="D599" i="1"/>
  <c r="E599" i="1" s="1"/>
  <c r="L599" i="1" s="1"/>
  <c r="K600" i="1" a="1"/>
  <c r="K600" i="1" s="1"/>
  <c r="H600" i="1"/>
  <c r="I600" i="1" s="1"/>
  <c r="J600" i="1" s="1"/>
  <c r="D600" i="1"/>
  <c r="E600" i="1" s="1"/>
  <c r="L600" i="1" s="1"/>
  <c r="D601" i="1"/>
  <c r="E601" i="1" s="1"/>
  <c r="L601" i="1" s="1"/>
  <c r="H601" i="1"/>
  <c r="I601" i="1" s="1"/>
  <c r="J601" i="1" s="1"/>
  <c r="K601" i="1" a="1"/>
  <c r="K601" i="1" s="1"/>
  <c r="D602" i="1"/>
  <c r="E602" i="1" s="1"/>
  <c r="L602" i="1" s="1"/>
  <c r="K602" i="1" a="1"/>
  <c r="K602" i="1" s="1"/>
  <c r="H602" i="1"/>
  <c r="I602" i="1" s="1"/>
  <c r="J602" i="1" s="1"/>
  <c r="D603" i="1"/>
  <c r="E603" i="1" s="1"/>
  <c r="L603" i="1" s="1"/>
  <c r="K603" i="1" a="1"/>
  <c r="K603" i="1" s="1"/>
  <c r="H603" i="1"/>
  <c r="I603" i="1" s="1"/>
  <c r="J603" i="1" s="1"/>
  <c r="K604" i="1" a="1"/>
  <c r="K604" i="1" s="1"/>
  <c r="H604" i="1"/>
  <c r="I604" i="1" s="1"/>
  <c r="J604" i="1" s="1"/>
  <c r="D604" i="1"/>
  <c r="E604" i="1" s="1"/>
  <c r="L604" i="1" s="1"/>
  <c r="D605" i="1"/>
  <c r="E605" i="1" s="1"/>
  <c r="L605" i="1" s="1"/>
  <c r="H605" i="1"/>
  <c r="I605" i="1" s="1"/>
  <c r="J605" i="1" s="1"/>
  <c r="K605" i="1" a="1"/>
  <c r="K605" i="1" s="1"/>
  <c r="D606" i="1"/>
  <c r="E606" i="1" s="1"/>
  <c r="L606" i="1" s="1"/>
  <c r="K606" i="1" a="1"/>
  <c r="K606" i="1" s="1"/>
  <c r="H606" i="1"/>
  <c r="I606" i="1" s="1"/>
  <c r="J606" i="1" s="1"/>
  <c r="D607" i="1"/>
  <c r="E607" i="1" s="1"/>
  <c r="L607" i="1" s="1"/>
  <c r="H607" i="1"/>
  <c r="I607" i="1" s="1"/>
  <c r="J607" i="1" s="1"/>
  <c r="K607" i="1" a="1"/>
  <c r="K607" i="1" s="1"/>
  <c r="D608" i="1"/>
  <c r="E608" i="1" s="1"/>
  <c r="L608" i="1" s="1"/>
  <c r="K608" i="1" a="1"/>
  <c r="K608" i="1" s="1"/>
  <c r="H608" i="1"/>
  <c r="I608" i="1" s="1"/>
  <c r="J608" i="1" s="1"/>
  <c r="D609" i="1"/>
  <c r="E609" i="1" s="1"/>
  <c r="L609" i="1" s="1"/>
  <c r="K609" i="1" a="1"/>
  <c r="K609" i="1" s="1"/>
  <c r="H609" i="1"/>
  <c r="I609" i="1" s="1"/>
  <c r="J609" i="1" s="1"/>
  <c r="H610" i="1"/>
  <c r="I610" i="1" s="1"/>
  <c r="J610" i="1" s="1"/>
  <c r="K610" i="1" a="1"/>
  <c r="K610" i="1" s="1"/>
  <c r="D610" i="1"/>
  <c r="E610" i="1" s="1"/>
  <c r="L610" i="1" s="1"/>
  <c r="K611" i="1" a="1"/>
  <c r="K611" i="1" s="1"/>
  <c r="H611" i="1"/>
  <c r="I611" i="1" s="1"/>
  <c r="J611" i="1" s="1"/>
  <c r="D611" i="1"/>
  <c r="E611" i="1" s="1"/>
  <c r="L611" i="1" s="1"/>
  <c r="K612" i="1" a="1"/>
  <c r="K612" i="1" s="1"/>
  <c r="H612" i="1"/>
  <c r="I612" i="1" s="1"/>
  <c r="J612" i="1" s="1"/>
  <c r="D612" i="1"/>
  <c r="E612" i="1" s="1"/>
  <c r="L612" i="1" s="1"/>
  <c r="K613" i="1" a="1"/>
  <c r="K613" i="1" s="1"/>
  <c r="H613" i="1"/>
  <c r="I613" i="1" s="1"/>
  <c r="J613" i="1" s="1"/>
  <c r="D613" i="1"/>
  <c r="E613" i="1" s="1"/>
  <c r="L613" i="1" s="1"/>
  <c r="D614" i="1"/>
  <c r="E614" i="1" s="1"/>
  <c r="L614" i="1" s="1"/>
  <c r="H614" i="1"/>
  <c r="I614" i="1" s="1"/>
  <c r="J614" i="1" s="1"/>
  <c r="K614" i="1" a="1"/>
  <c r="K614" i="1" s="1"/>
  <c r="D615" i="1"/>
  <c r="E615" i="1" s="1"/>
  <c r="L615" i="1" s="1"/>
  <c r="K615" i="1" a="1"/>
  <c r="K615" i="1" s="1"/>
  <c r="H615" i="1"/>
  <c r="I615" i="1" s="1"/>
  <c r="J615" i="1" s="1"/>
  <c r="K616" i="1" a="1"/>
  <c r="K616" i="1" s="1"/>
  <c r="H616" i="1"/>
  <c r="I616" i="1" s="1"/>
  <c r="J616" i="1" s="1"/>
  <c r="D616" i="1"/>
  <c r="E616" i="1" s="1"/>
  <c r="L616" i="1" s="1"/>
  <c r="K617" i="1" a="1"/>
  <c r="K617" i="1" s="1"/>
  <c r="H617" i="1"/>
  <c r="I617" i="1" s="1"/>
  <c r="J617" i="1" s="1"/>
  <c r="D617" i="1"/>
  <c r="E617" i="1" s="1"/>
  <c r="L617" i="1" s="1"/>
  <c r="H618" i="1"/>
  <c r="I618" i="1" s="1"/>
  <c r="J618" i="1" s="1"/>
  <c r="K618" i="1" a="1"/>
  <c r="K618" i="1" s="1"/>
  <c r="D618" i="1"/>
  <c r="E618" i="1" s="1"/>
  <c r="L618" i="1" s="1"/>
  <c r="K619" i="1" a="1"/>
  <c r="K619" i="1" s="1"/>
  <c r="H619" i="1"/>
  <c r="I619" i="1" s="1"/>
  <c r="J619" i="1" s="1"/>
  <c r="D619" i="1"/>
  <c r="E619" i="1" s="1"/>
  <c r="L619" i="1" s="1"/>
  <c r="K620" i="1" a="1"/>
  <c r="K620" i="1" s="1"/>
  <c r="H620" i="1"/>
  <c r="I620" i="1" s="1"/>
  <c r="J620" i="1" s="1"/>
  <c r="D620" i="1"/>
  <c r="E620" i="1" s="1"/>
  <c r="L620" i="1" s="1"/>
  <c r="D621" i="1"/>
  <c r="E621" i="1" s="1"/>
  <c r="L621" i="1" s="1"/>
  <c r="H621" i="1"/>
  <c r="I621" i="1" s="1"/>
  <c r="J621" i="1" s="1"/>
  <c r="K621" i="1" a="1"/>
  <c r="K621" i="1" s="1"/>
  <c r="D622" i="1"/>
  <c r="E622" i="1" s="1"/>
  <c r="L622" i="1" s="1"/>
  <c r="K622" i="1" a="1"/>
  <c r="K622" i="1" s="1"/>
  <c r="H622" i="1"/>
  <c r="I622" i="1" s="1"/>
  <c r="J622" i="1" s="1"/>
  <c r="D623" i="1"/>
  <c r="E623" i="1" s="1"/>
  <c r="L623" i="1" s="1"/>
  <c r="K623" i="1" a="1"/>
  <c r="K623" i="1" s="1"/>
  <c r="H623" i="1"/>
  <c r="I623" i="1" s="1"/>
  <c r="J623" i="1" s="1"/>
  <c r="D624" i="1"/>
  <c r="E624" i="1" s="1"/>
  <c r="L624" i="1" s="1"/>
  <c r="H624" i="1"/>
  <c r="I624" i="1" s="1"/>
  <c r="J624" i="1" s="1"/>
  <c r="K624" i="1" a="1"/>
  <c r="K624" i="1" s="1"/>
  <c r="D625" i="1"/>
  <c r="E625" i="1" s="1"/>
  <c r="L625" i="1" s="1"/>
  <c r="K625" i="1" a="1"/>
  <c r="K625" i="1" s="1"/>
  <c r="H625" i="1"/>
  <c r="I625" i="1" s="1"/>
  <c r="J625" i="1" s="1"/>
  <c r="H626" i="1"/>
  <c r="I626" i="1" s="1"/>
  <c r="J626" i="1" s="1"/>
  <c r="K626" i="1" a="1"/>
  <c r="K626" i="1" s="1"/>
  <c r="D626" i="1"/>
  <c r="E626" i="1" s="1"/>
  <c r="L626" i="1" s="1"/>
  <c r="D627" i="1"/>
  <c r="E627" i="1" s="1"/>
  <c r="L627" i="1" s="1"/>
  <c r="K627" i="1" a="1"/>
  <c r="K627" i="1" s="1"/>
  <c r="H627" i="1"/>
  <c r="I627" i="1" s="1"/>
  <c r="J627" i="1" s="1"/>
  <c r="K628" i="1" a="1"/>
  <c r="K628" i="1" s="1"/>
  <c r="H628" i="1"/>
  <c r="I628" i="1" s="1"/>
  <c r="J628" i="1" s="1"/>
  <c r="D628" i="1"/>
  <c r="E628" i="1" s="1"/>
  <c r="L628" i="1" s="1"/>
  <c r="D629" i="1"/>
  <c r="E629" i="1" s="1"/>
  <c r="L629" i="1" s="1"/>
  <c r="K629" i="1" a="1"/>
  <c r="K629" i="1" s="1"/>
  <c r="H629" i="1"/>
  <c r="I629" i="1" s="1"/>
  <c r="J629" i="1" s="1"/>
  <c r="D630" i="1"/>
  <c r="E630" i="1" s="1"/>
  <c r="L630" i="1" s="1"/>
  <c r="H630" i="1"/>
  <c r="I630" i="1" s="1"/>
  <c r="J630" i="1" s="1"/>
  <c r="K630" i="1" a="1"/>
  <c r="K630" i="1" s="1"/>
  <c r="D631" i="1"/>
  <c r="E631" i="1" s="1"/>
  <c r="L631" i="1" s="1"/>
  <c r="K631" i="1" a="1"/>
  <c r="K631" i="1" s="1"/>
  <c r="H631" i="1"/>
  <c r="I631" i="1" s="1"/>
  <c r="J631" i="1" s="1"/>
  <c r="D632" i="1"/>
  <c r="E632" i="1" s="1"/>
  <c r="L632" i="1" s="1"/>
  <c r="K632" i="1" a="1"/>
  <c r="K632" i="1" s="1"/>
  <c r="H632" i="1"/>
  <c r="I632" i="1" s="1"/>
  <c r="J632" i="1" s="1"/>
  <c r="H633" i="1"/>
  <c r="I633" i="1" s="1"/>
  <c r="J633" i="1" s="1"/>
  <c r="K633" i="1" a="1"/>
  <c r="K633" i="1" s="1"/>
  <c r="D633" i="1"/>
  <c r="E633" i="1" s="1"/>
  <c r="L633" i="1" s="1"/>
  <c r="K634" i="1" a="1"/>
  <c r="K634" i="1" s="1"/>
  <c r="H634" i="1"/>
  <c r="I634" i="1" s="1"/>
  <c r="J634" i="1" s="1"/>
  <c r="D634" i="1"/>
  <c r="E634" i="1" s="1"/>
  <c r="L634" i="1" s="1"/>
  <c r="K635" i="1" a="1"/>
  <c r="K635" i="1" s="1"/>
  <c r="H635" i="1"/>
  <c r="I635" i="1" s="1"/>
  <c r="J635" i="1" s="1"/>
  <c r="D635" i="1"/>
  <c r="E635" i="1" s="1"/>
  <c r="L635" i="1" s="1"/>
  <c r="K636" i="1" a="1"/>
  <c r="K636" i="1" s="1"/>
  <c r="H636" i="1"/>
  <c r="I636" i="1" s="1"/>
  <c r="J636" i="1" s="1"/>
  <c r="D636" i="1"/>
  <c r="E636" i="1" s="1"/>
  <c r="L636" i="1" s="1"/>
  <c r="H637" i="1"/>
  <c r="I637" i="1" s="1"/>
  <c r="J637" i="1" s="1"/>
  <c r="K637" i="1" a="1"/>
  <c r="K637" i="1" s="1"/>
  <c r="D637" i="1"/>
  <c r="E637" i="1" s="1"/>
  <c r="L637" i="1" s="1"/>
  <c r="K638" i="1" a="1"/>
  <c r="K638" i="1" s="1"/>
  <c r="H638" i="1"/>
  <c r="I638" i="1" s="1"/>
  <c r="J638" i="1" s="1"/>
  <c r="D638" i="1"/>
  <c r="E638" i="1" s="1"/>
  <c r="L638" i="1" s="1"/>
  <c r="K639" i="1" a="1"/>
  <c r="K639" i="1" s="1"/>
  <c r="H639" i="1"/>
  <c r="I639" i="1" s="1"/>
  <c r="J639" i="1" s="1"/>
  <c r="D639" i="1"/>
  <c r="E639" i="1" s="1"/>
  <c r="L639" i="1" s="1"/>
  <c r="K640" i="1" a="1"/>
  <c r="K640" i="1" s="1"/>
  <c r="H640" i="1"/>
  <c r="I640" i="1" s="1"/>
  <c r="J640" i="1" s="1"/>
  <c r="D640" i="1"/>
  <c r="E640" i="1" s="1"/>
  <c r="L640" i="1" s="1"/>
  <c r="H641" i="1"/>
  <c r="I641" i="1" s="1"/>
  <c r="J641" i="1" s="1"/>
  <c r="K641" i="1" a="1"/>
  <c r="K641" i="1" s="1"/>
  <c r="D641" i="1"/>
  <c r="E641" i="1" s="1"/>
  <c r="L641" i="1" s="1"/>
  <c r="D642" i="1"/>
  <c r="E642" i="1" s="1"/>
  <c r="L642" i="1" s="1"/>
  <c r="K642" i="1" a="1"/>
  <c r="K642" i="1" s="1"/>
  <c r="H642" i="1"/>
  <c r="I642" i="1" s="1"/>
  <c r="J642" i="1" s="1"/>
  <c r="K643" i="1" a="1"/>
  <c r="K643" i="1" s="1"/>
  <c r="H643" i="1"/>
  <c r="I643" i="1" s="1"/>
  <c r="J643" i="1" s="1"/>
  <c r="D643" i="1"/>
  <c r="E643" i="1" s="1"/>
  <c r="L643" i="1" s="1"/>
  <c r="D644" i="1"/>
  <c r="E644" i="1" s="1"/>
  <c r="L644" i="1" s="1"/>
  <c r="H644" i="1"/>
  <c r="I644" i="1" s="1"/>
  <c r="J644" i="1" s="1"/>
  <c r="K644" i="1" a="1"/>
  <c r="K644" i="1" s="1"/>
  <c r="D645" i="1"/>
  <c r="E645" i="1" s="1"/>
  <c r="L645" i="1" s="1"/>
  <c r="K645" i="1" a="1"/>
  <c r="K645" i="1" s="1"/>
  <c r="H645" i="1"/>
  <c r="I645" i="1" s="1"/>
  <c r="J645" i="1" s="1"/>
  <c r="D646" i="1"/>
  <c r="E646" i="1" s="1"/>
  <c r="L646" i="1" s="1"/>
  <c r="K646" i="1" a="1"/>
  <c r="K646" i="1" s="1"/>
  <c r="H646" i="1"/>
  <c r="I646" i="1" s="1"/>
  <c r="J646" i="1" s="1"/>
  <c r="D647" i="1"/>
  <c r="E647" i="1" s="1"/>
  <c r="L647" i="1" s="1"/>
  <c r="H647" i="1"/>
  <c r="I647" i="1" s="1"/>
  <c r="J647" i="1" s="1"/>
  <c r="K647" i="1" a="1"/>
  <c r="K647" i="1" s="1"/>
  <c r="D648" i="1"/>
  <c r="E648" i="1" s="1"/>
  <c r="L648" i="1" s="1"/>
  <c r="K648" i="1" a="1"/>
  <c r="K648" i="1" s="1"/>
  <c r="H648" i="1"/>
  <c r="I648" i="1" s="1"/>
  <c r="J648" i="1" s="1"/>
  <c r="K649" i="1" a="1"/>
  <c r="K649" i="1" s="1"/>
  <c r="H649" i="1"/>
  <c r="I649" i="1" s="1"/>
  <c r="J649" i="1" s="1"/>
  <c r="D649" i="1"/>
  <c r="E649" i="1" s="1"/>
  <c r="L649" i="1" s="1"/>
  <c r="H650" i="1"/>
  <c r="I650" i="1" s="1"/>
  <c r="J650" i="1" s="1"/>
  <c r="K650" i="1" a="1"/>
  <c r="K650" i="1" s="1"/>
  <c r="D650" i="1"/>
  <c r="E650" i="1" s="1"/>
  <c r="L650" i="1" s="1"/>
  <c r="D651" i="1"/>
  <c r="E651" i="1" s="1"/>
  <c r="L651" i="1" s="1"/>
  <c r="K651" i="1" a="1"/>
  <c r="K651" i="1" s="1"/>
  <c r="H651" i="1"/>
  <c r="I651" i="1" s="1"/>
  <c r="J651" i="1" s="1"/>
  <c r="K652" i="1" a="1"/>
  <c r="K652" i="1" s="1"/>
  <c r="H652" i="1"/>
  <c r="I652" i="1" s="1"/>
  <c r="J652" i="1" s="1"/>
  <c r="D652" i="1"/>
  <c r="E652" i="1" s="1"/>
  <c r="L652" i="1" s="1"/>
  <c r="D653" i="1"/>
  <c r="E653" i="1" s="1"/>
  <c r="L653" i="1" s="1"/>
  <c r="H653" i="1"/>
  <c r="I653" i="1" s="1"/>
  <c r="J653" i="1" s="1"/>
  <c r="K653" i="1" a="1"/>
  <c r="K653" i="1" s="1"/>
  <c r="K654" i="1" a="1"/>
  <c r="K654" i="1" s="1"/>
  <c r="H654" i="1"/>
  <c r="I654" i="1" s="1"/>
  <c r="J654" i="1" s="1"/>
  <c r="D654" i="1"/>
  <c r="E654" i="1" s="1"/>
  <c r="L654" i="1" s="1"/>
  <c r="D655" i="1"/>
  <c r="E655" i="1" s="1"/>
  <c r="L655" i="1" s="1"/>
  <c r="K655" i="1" a="1"/>
  <c r="K655" i="1" s="1"/>
  <c r="H655" i="1"/>
  <c r="I655" i="1" s="1"/>
  <c r="J655" i="1" s="1"/>
  <c r="D656" i="1"/>
  <c r="E656" i="1" s="1"/>
  <c r="L656" i="1" s="1"/>
  <c r="H656" i="1"/>
  <c r="I656" i="1" s="1"/>
  <c r="J656" i="1" s="1"/>
  <c r="K656" i="1" a="1"/>
  <c r="K656" i="1" s="1"/>
  <c r="D657" i="1"/>
  <c r="E657" i="1" s="1"/>
  <c r="L657" i="1" s="1"/>
  <c r="K657" i="1" a="1"/>
  <c r="K657" i="1" s="1"/>
  <c r="H657" i="1"/>
  <c r="I657" i="1" s="1"/>
  <c r="J657" i="1" s="1"/>
  <c r="K658" i="1" a="1"/>
  <c r="K658" i="1" s="1"/>
  <c r="H658" i="1"/>
  <c r="I658" i="1" s="1"/>
  <c r="J658" i="1" s="1"/>
  <c r="D658" i="1"/>
  <c r="E658" i="1" s="1"/>
  <c r="L658" i="1" s="1"/>
  <c r="D659" i="1"/>
  <c r="E659" i="1" s="1"/>
  <c r="L659" i="1" s="1"/>
  <c r="H659" i="1"/>
  <c r="I659" i="1" s="1"/>
  <c r="J659" i="1" s="1"/>
  <c r="K659" i="1" a="1"/>
  <c r="K659" i="1" s="1"/>
  <c r="D660" i="1"/>
  <c r="E660" i="1" s="1"/>
  <c r="L660" i="1" s="1"/>
  <c r="K660" i="1" a="1"/>
  <c r="K660" i="1" s="1"/>
  <c r="H660" i="1"/>
  <c r="I660" i="1" s="1"/>
  <c r="J660" i="1" s="1"/>
  <c r="D661" i="1"/>
  <c r="E661" i="1" s="1"/>
  <c r="L661" i="1" s="1"/>
  <c r="K661" i="1" a="1"/>
  <c r="K661" i="1" s="1"/>
  <c r="H661" i="1"/>
  <c r="I661" i="1" s="1"/>
  <c r="J661" i="1" s="1"/>
  <c r="D662" i="1"/>
  <c r="E662" i="1" s="1"/>
  <c r="L662" i="1" s="1"/>
  <c r="H662" i="1"/>
  <c r="I662" i="1" s="1"/>
  <c r="J662" i="1" s="1"/>
  <c r="K662" i="1" a="1"/>
  <c r="K662" i="1" s="1"/>
  <c r="K663" i="1" a="1"/>
  <c r="K663" i="1" s="1"/>
  <c r="H663" i="1"/>
  <c r="I663" i="1" s="1"/>
  <c r="J663" i="1" s="1"/>
  <c r="D663" i="1"/>
  <c r="E663" i="1" s="1"/>
  <c r="L663" i="1" s="1"/>
  <c r="H664" i="1"/>
  <c r="I664" i="1" s="1"/>
  <c r="J664" i="1" s="1"/>
  <c r="K664" i="1" a="1"/>
  <c r="K664" i="1" s="1"/>
  <c r="D664" i="1"/>
  <c r="E664" i="1" s="1"/>
  <c r="L664" i="1" s="1"/>
  <c r="D665" i="1"/>
  <c r="E665" i="1" s="1"/>
  <c r="L665" i="1" s="1"/>
  <c r="K665" i="1" a="1"/>
  <c r="K665" i="1" s="1"/>
  <c r="H665" i="1"/>
  <c r="I665" i="1" s="1"/>
  <c r="J665" i="1" s="1"/>
  <c r="K666" i="1" a="1"/>
  <c r="K666" i="1" s="1"/>
  <c r="H666" i="1"/>
  <c r="I666" i="1" s="1"/>
  <c r="J666" i="1" s="1"/>
  <c r="D666" i="1"/>
  <c r="E666" i="1" s="1"/>
  <c r="L666" i="1" s="1"/>
  <c r="H667" i="1"/>
  <c r="I667" i="1" s="1"/>
  <c r="J667" i="1" s="1"/>
  <c r="K667" i="1" a="1"/>
  <c r="K667" i="1" s="1"/>
  <c r="D667" i="1"/>
  <c r="E667" i="1" s="1"/>
  <c r="L667" i="1" s="1"/>
  <c r="K668" i="1" a="1"/>
  <c r="K668" i="1" s="1"/>
  <c r="H668" i="1"/>
  <c r="I668" i="1" s="1"/>
  <c r="J668" i="1" s="1"/>
  <c r="D668" i="1"/>
  <c r="E668" i="1" s="1"/>
  <c r="L668" i="1" s="1"/>
  <c r="D669" i="1"/>
  <c r="E669" i="1" s="1"/>
  <c r="L669" i="1" s="1"/>
  <c r="K669" i="1" a="1"/>
  <c r="K669" i="1" s="1"/>
  <c r="H669" i="1"/>
  <c r="I669" i="1" s="1"/>
  <c r="J669" i="1" s="1"/>
  <c r="H670" i="1"/>
  <c r="I670" i="1" s="1"/>
  <c r="J670" i="1" s="1"/>
  <c r="K670" i="1" a="1"/>
  <c r="K670" i="1" s="1"/>
  <c r="D670" i="1"/>
  <c r="E670" i="1" s="1"/>
  <c r="L670" i="1" s="1"/>
  <c r="K671" i="1" a="1"/>
  <c r="K671" i="1" s="1"/>
  <c r="H671" i="1"/>
  <c r="I671" i="1" s="1"/>
  <c r="J671" i="1" s="1"/>
  <c r="D671" i="1"/>
  <c r="E671" i="1" s="1"/>
  <c r="L671" i="1" s="1"/>
  <c r="D672" i="1"/>
  <c r="E672" i="1" s="1"/>
  <c r="L672" i="1" s="1"/>
  <c r="K672" i="1" a="1"/>
  <c r="K672" i="1" s="1"/>
  <c r="H672" i="1"/>
  <c r="I672" i="1" s="1"/>
  <c r="J672" i="1" s="1"/>
  <c r="H673" i="1"/>
  <c r="I673" i="1" s="1"/>
  <c r="J673" i="1" s="1"/>
  <c r="K673" i="1" a="1"/>
  <c r="K673" i="1" s="1"/>
  <c r="D673" i="1"/>
  <c r="E673" i="1" s="1"/>
  <c r="L673" i="1" s="1"/>
  <c r="K674" i="1" a="1"/>
  <c r="K674" i="1" s="1"/>
  <c r="H674" i="1"/>
  <c r="I674" i="1" s="1"/>
  <c r="J674" i="1" s="1"/>
  <c r="D674" i="1"/>
  <c r="E674" i="1" s="1"/>
  <c r="L674" i="1" s="1"/>
  <c r="D675" i="1"/>
  <c r="E675" i="1" s="1"/>
  <c r="L675" i="1" s="1"/>
  <c r="K675" i="1" a="1"/>
  <c r="K675" i="1" s="1"/>
  <c r="H675" i="1"/>
  <c r="I675" i="1" s="1"/>
  <c r="J675" i="1" s="1"/>
  <c r="D676" i="1"/>
  <c r="E676" i="1" s="1"/>
  <c r="L676" i="1" s="1"/>
  <c r="H676" i="1"/>
  <c r="I676" i="1" s="1"/>
  <c r="J676" i="1" s="1"/>
  <c r="K676" i="1" a="1"/>
  <c r="K676" i="1" s="1"/>
  <c r="K677" i="1" a="1"/>
  <c r="K677" i="1" s="1"/>
  <c r="H677" i="1"/>
  <c r="I677" i="1" s="1"/>
  <c r="J677" i="1" s="1"/>
  <c r="D677" i="1"/>
  <c r="E677" i="1" s="1"/>
  <c r="L677" i="1" s="1"/>
  <c r="D678" i="1"/>
  <c r="E678" i="1" s="1"/>
  <c r="L678" i="1" s="1"/>
  <c r="K678" i="1" a="1"/>
  <c r="K678" i="1" s="1"/>
  <c r="H678" i="1"/>
  <c r="I678" i="1" s="1"/>
  <c r="J678" i="1" s="1"/>
  <c r="H679" i="1"/>
  <c r="I679" i="1" s="1"/>
  <c r="J679" i="1" s="1"/>
  <c r="K679" i="1" a="1"/>
  <c r="K679" i="1" s="1"/>
  <c r="D679" i="1"/>
  <c r="E679" i="1" s="1"/>
  <c r="L679" i="1" s="1"/>
  <c r="D680" i="1"/>
  <c r="E680" i="1" s="1"/>
  <c r="L680" i="1" s="1"/>
  <c r="K680" i="1" a="1"/>
  <c r="K680" i="1" s="1"/>
  <c r="H680" i="1"/>
  <c r="I680" i="1" s="1"/>
  <c r="J680" i="1" s="1"/>
  <c r="D681" i="1"/>
  <c r="E681" i="1" s="1"/>
  <c r="L681" i="1" s="1"/>
  <c r="H681" i="1"/>
  <c r="I681" i="1" s="1"/>
  <c r="J681" i="1" s="1"/>
  <c r="K681" i="1" a="1"/>
  <c r="K681" i="1" s="1"/>
  <c r="K682" i="1" a="1"/>
  <c r="K682" i="1" s="1"/>
  <c r="H682" i="1"/>
  <c r="I682" i="1" s="1"/>
  <c r="J682" i="1" s="1"/>
  <c r="D682" i="1"/>
  <c r="E682" i="1" s="1"/>
  <c r="L682" i="1" s="1"/>
  <c r="K683" i="1" a="1"/>
  <c r="K683" i="1" s="1"/>
  <c r="H683" i="1"/>
  <c r="I683" i="1" s="1"/>
  <c r="J683" i="1" s="1"/>
  <c r="D683" i="1"/>
  <c r="E683" i="1" s="1"/>
  <c r="L683" i="1" s="1"/>
  <c r="D684" i="1"/>
  <c r="E684" i="1" s="1"/>
  <c r="L684" i="1" s="1"/>
  <c r="H684" i="1"/>
  <c r="I684" i="1" s="1"/>
  <c r="J684" i="1" s="1"/>
  <c r="K684" i="1" a="1"/>
  <c r="K684" i="1" s="1"/>
  <c r="D685" i="1"/>
  <c r="E685" i="1" s="1"/>
  <c r="L685" i="1" s="1"/>
  <c r="K685" i="1" a="1"/>
  <c r="K685" i="1" s="1"/>
  <c r="H685" i="1"/>
  <c r="I685" i="1" s="1"/>
  <c r="J685" i="1" s="1"/>
  <c r="D686" i="1"/>
  <c r="E686" i="1" s="1"/>
  <c r="L686" i="1" s="1"/>
  <c r="K686" i="1" a="1"/>
  <c r="K686" i="1" s="1"/>
  <c r="H686" i="1"/>
  <c r="I686" i="1" s="1"/>
  <c r="J686" i="1" s="1"/>
  <c r="H687" i="1"/>
  <c r="I687" i="1" s="1"/>
  <c r="J687" i="1" s="1"/>
  <c r="K687" i="1" a="1"/>
  <c r="K687" i="1" s="1"/>
  <c r="D687" i="1"/>
  <c r="E687" i="1" s="1"/>
  <c r="L687" i="1" s="1"/>
  <c r="K688" i="1" a="1"/>
  <c r="K688" i="1" s="1"/>
  <c r="H688" i="1"/>
  <c r="I688" i="1" s="1"/>
  <c r="J688" i="1" s="1"/>
  <c r="D688" i="1"/>
  <c r="E688" i="1" s="1"/>
  <c r="L688" i="1" s="1"/>
  <c r="K689" i="1" a="1"/>
  <c r="K689" i="1" s="1"/>
  <c r="H689" i="1"/>
  <c r="I689" i="1" s="1"/>
  <c r="J689" i="1" s="1"/>
  <c r="D689" i="1"/>
  <c r="E689" i="1" s="1"/>
  <c r="L689" i="1" s="1"/>
  <c r="D690" i="1"/>
  <c r="E690" i="1" s="1"/>
  <c r="L690" i="1" s="1"/>
  <c r="H690" i="1"/>
  <c r="I690" i="1" s="1"/>
  <c r="J690" i="1" s="1"/>
  <c r="K690" i="1" a="1"/>
  <c r="K690" i="1" s="1"/>
  <c r="K691" i="1" a="1"/>
  <c r="K691" i="1" s="1"/>
  <c r="H691" i="1"/>
  <c r="I691" i="1" s="1"/>
  <c r="J691" i="1" s="1"/>
  <c r="D691" i="1"/>
  <c r="E691" i="1" s="1"/>
  <c r="L691" i="1" s="1"/>
  <c r="D692" i="1"/>
  <c r="E692" i="1" s="1"/>
  <c r="L692" i="1" s="1"/>
  <c r="K692" i="1" a="1"/>
  <c r="K692" i="1" s="1"/>
  <c r="H692" i="1"/>
  <c r="I692" i="1" s="1"/>
  <c r="J692" i="1" s="1"/>
  <c r="D693" i="1"/>
  <c r="E693" i="1" s="1"/>
  <c r="L693" i="1" s="1"/>
  <c r="H693" i="1"/>
  <c r="I693" i="1" s="1"/>
  <c r="J693" i="1" s="1"/>
  <c r="K693" i="1" a="1"/>
  <c r="K693" i="1" s="1"/>
  <c r="D694" i="1"/>
  <c r="E694" i="1" s="1"/>
  <c r="L694" i="1" s="1"/>
  <c r="K694" i="1" a="1"/>
  <c r="K694" i="1" s="1"/>
  <c r="H694" i="1"/>
  <c r="I694" i="1" s="1"/>
  <c r="J694" i="1" s="1"/>
  <c r="D695" i="1"/>
  <c r="E695" i="1" s="1"/>
  <c r="L695" i="1" s="1"/>
  <c r="K695" i="1" a="1"/>
  <c r="K695" i="1" s="1"/>
  <c r="H695" i="1"/>
  <c r="I695" i="1" s="1"/>
  <c r="J695" i="1" s="1"/>
  <c r="D696" i="1"/>
  <c r="E696" i="1" s="1"/>
  <c r="L696" i="1" s="1"/>
  <c r="K696" i="1" a="1"/>
  <c r="K696" i="1" s="1"/>
  <c r="H696" i="1"/>
  <c r="I696" i="1" s="1"/>
  <c r="J696" i="1" s="1"/>
  <c r="H697" i="1"/>
  <c r="I697" i="1" s="1"/>
  <c r="J697" i="1" s="1"/>
  <c r="K697" i="1" a="1"/>
  <c r="K697" i="1" s="1"/>
  <c r="D697" i="1"/>
  <c r="E697" i="1" s="1"/>
  <c r="L697" i="1" s="1"/>
  <c r="K698" i="1" a="1"/>
  <c r="K698" i="1" s="1"/>
  <c r="H698" i="1"/>
  <c r="I698" i="1" s="1"/>
  <c r="J698" i="1" s="1"/>
  <c r="D698" i="1"/>
  <c r="E698" i="1" s="1"/>
  <c r="L698" i="1" s="1"/>
  <c r="K699" i="1" a="1"/>
  <c r="K699" i="1" s="1"/>
  <c r="H699" i="1"/>
  <c r="I699" i="1" s="1"/>
  <c r="J699" i="1" s="1"/>
  <c r="D699" i="1"/>
  <c r="E699" i="1" s="1"/>
  <c r="L699" i="1" s="1"/>
  <c r="D700" i="1"/>
  <c r="E700" i="1" s="1"/>
  <c r="L700" i="1" s="1"/>
  <c r="H700" i="1"/>
  <c r="I700" i="1" s="1"/>
  <c r="J700" i="1" s="1"/>
  <c r="K700" i="1" a="1"/>
  <c r="K700" i="1" s="1"/>
  <c r="D701" i="1"/>
  <c r="E701" i="1" s="1"/>
  <c r="L701" i="1" s="1"/>
  <c r="K701" i="1" a="1"/>
  <c r="K701" i="1" s="1"/>
  <c r="H701" i="1"/>
  <c r="I701" i="1" s="1"/>
  <c r="J701" i="1" s="1"/>
  <c r="D702" i="1"/>
  <c r="E702" i="1" s="1"/>
  <c r="L702" i="1" s="1"/>
  <c r="K702" i="1" a="1"/>
  <c r="K702" i="1" s="1"/>
  <c r="H702" i="1"/>
  <c r="I702" i="1" s="1"/>
  <c r="J702" i="1" s="1"/>
  <c r="D703" i="1"/>
  <c r="E703" i="1" s="1"/>
  <c r="L703" i="1" s="1"/>
  <c r="H703" i="1"/>
  <c r="I703" i="1" s="1"/>
  <c r="J703" i="1" s="1"/>
  <c r="K703" i="1" a="1"/>
  <c r="K703" i="1" s="1"/>
  <c r="D704" i="1"/>
  <c r="E704" i="1" s="1"/>
  <c r="L704" i="1" s="1"/>
  <c r="K704" i="1" a="1"/>
  <c r="K704" i="1" s="1"/>
  <c r="H704" i="1"/>
  <c r="I704" i="1" s="1"/>
  <c r="J704" i="1" s="1"/>
  <c r="D705" i="1"/>
  <c r="E705" i="1" s="1"/>
  <c r="L705" i="1" s="1"/>
  <c r="K705" i="1" a="1"/>
  <c r="K705" i="1" s="1"/>
  <c r="H705" i="1"/>
  <c r="I705" i="1" s="1"/>
  <c r="J705" i="1" s="1"/>
  <c r="H706" i="1"/>
  <c r="I706" i="1" s="1"/>
  <c r="J706" i="1" s="1"/>
  <c r="K706" i="1" a="1"/>
  <c r="K706" i="1" s="1"/>
  <c r="D706" i="1"/>
  <c r="E706" i="1" s="1"/>
  <c r="L706" i="1" s="1"/>
  <c r="K707" i="1" a="1"/>
  <c r="K707" i="1" s="1"/>
  <c r="H707" i="1"/>
  <c r="I707" i="1" s="1"/>
  <c r="J707" i="1" s="1"/>
  <c r="D707" i="1"/>
  <c r="E707" i="1" s="1"/>
  <c r="L707" i="1" s="1"/>
  <c r="D708" i="1"/>
  <c r="E708" i="1" s="1"/>
  <c r="L708" i="1" s="1"/>
  <c r="K708" i="1" a="1"/>
  <c r="K708" i="1" s="1"/>
  <c r="H708" i="1"/>
  <c r="I708" i="1" s="1"/>
  <c r="J708" i="1" s="1"/>
  <c r="D709" i="1"/>
  <c r="E709" i="1" s="1"/>
  <c r="L709" i="1" s="1"/>
  <c r="H709" i="1"/>
  <c r="I709" i="1" s="1"/>
  <c r="J709" i="1" s="1"/>
  <c r="K709" i="1" a="1"/>
  <c r="K709" i="1" s="1"/>
  <c r="D710" i="1"/>
  <c r="E710" i="1" s="1"/>
  <c r="L710" i="1" s="1"/>
  <c r="K710" i="1" a="1"/>
  <c r="K710" i="1" s="1"/>
  <c r="H710" i="1"/>
  <c r="I710" i="1" s="1"/>
  <c r="J710" i="1" s="1"/>
  <c r="D711" i="1"/>
  <c r="E711" i="1" s="1"/>
  <c r="L711" i="1" s="1"/>
  <c r="K711" i="1" a="1"/>
  <c r="K711" i="1" s="1"/>
  <c r="H711" i="1"/>
  <c r="I711" i="1" s="1"/>
  <c r="J711" i="1" s="1"/>
  <c r="D712" i="1"/>
  <c r="E712" i="1" s="1"/>
  <c r="L712" i="1" s="1"/>
  <c r="H712" i="1"/>
  <c r="I712" i="1" s="1"/>
  <c r="J712" i="1" s="1"/>
  <c r="K712" i="1" a="1"/>
  <c r="K712" i="1" s="1"/>
  <c r="D713" i="1"/>
  <c r="E713" i="1" s="1"/>
  <c r="L713" i="1" s="1"/>
  <c r="K713" i="1" a="1"/>
  <c r="K713" i="1" s="1"/>
  <c r="H713" i="1"/>
  <c r="I713" i="1" s="1"/>
  <c r="J713" i="1" s="1"/>
  <c r="D714" i="1"/>
  <c r="E714" i="1" s="1"/>
  <c r="L714" i="1" s="1"/>
  <c r="K714" i="1" a="1"/>
  <c r="K714" i="1" s="1"/>
  <c r="H714" i="1"/>
  <c r="I714" i="1" s="1"/>
  <c r="J714" i="1" s="1"/>
  <c r="H715" i="1"/>
  <c r="I715" i="1" s="1"/>
  <c r="J715" i="1" s="1"/>
  <c r="K715" i="1" a="1"/>
  <c r="K715" i="1" s="1"/>
  <c r="D715" i="1"/>
  <c r="E715" i="1" s="1"/>
  <c r="L715" i="1" s="1"/>
  <c r="D716" i="1"/>
  <c r="E716" i="1" s="1"/>
  <c r="L716" i="1" s="1"/>
  <c r="K716" i="1" a="1"/>
  <c r="K716" i="1" s="1"/>
  <c r="H716" i="1"/>
  <c r="I716" i="1" s="1"/>
  <c r="J716" i="1" s="1"/>
  <c r="D717" i="1"/>
  <c r="E717" i="1" s="1"/>
  <c r="L717" i="1" s="1"/>
  <c r="K717" i="1" a="1"/>
  <c r="K717" i="1" s="1"/>
  <c r="H717" i="1"/>
  <c r="I717" i="1" s="1"/>
  <c r="J717" i="1" s="1"/>
  <c r="H718" i="1"/>
  <c r="I718" i="1" s="1"/>
  <c r="J718" i="1" s="1"/>
  <c r="K718" i="1" a="1"/>
  <c r="K718" i="1" s="1"/>
  <c r="D718" i="1"/>
  <c r="E718" i="1" s="1"/>
  <c r="L718" i="1" s="1"/>
  <c r="K719" i="1" a="1"/>
  <c r="K719" i="1" s="1"/>
  <c r="H719" i="1"/>
  <c r="I719" i="1" s="1"/>
  <c r="J719" i="1" s="1"/>
  <c r="D719" i="1"/>
  <c r="E719" i="1" s="1"/>
  <c r="L719" i="1" s="1"/>
  <c r="K720" i="1" a="1"/>
  <c r="K720" i="1" s="1"/>
  <c r="H720" i="1"/>
  <c r="I720" i="1" s="1"/>
  <c r="J720" i="1" s="1"/>
  <c r="D720" i="1"/>
  <c r="E720" i="1" s="1"/>
  <c r="L720" i="1" s="1"/>
  <c r="K721" i="1" a="1"/>
  <c r="K721" i="1" s="1"/>
  <c r="H721" i="1"/>
  <c r="I721" i="1" s="1"/>
  <c r="J721" i="1" s="1"/>
  <c r="D721" i="1"/>
  <c r="E721" i="1" s="1"/>
  <c r="L721" i="1" s="1"/>
  <c r="D722" i="1"/>
  <c r="E722" i="1" s="1"/>
  <c r="L722" i="1" s="1"/>
  <c r="H722" i="1"/>
  <c r="I722" i="1" s="1"/>
  <c r="J722" i="1" s="1"/>
  <c r="K722" i="1" a="1"/>
  <c r="K722" i="1" s="1"/>
  <c r="D723" i="1"/>
  <c r="E723" i="1" s="1"/>
  <c r="L723" i="1" s="1"/>
  <c r="H723" i="1"/>
  <c r="I723" i="1" s="1"/>
  <c r="J723" i="1" s="1"/>
  <c r="K723" i="1" a="1"/>
  <c r="K723" i="1" s="1"/>
  <c r="K724" i="1" a="1"/>
  <c r="K724" i="1" s="1"/>
  <c r="H724" i="1"/>
  <c r="I724" i="1" s="1"/>
  <c r="J724" i="1" s="1"/>
  <c r="D724" i="1"/>
  <c r="E724" i="1" s="1"/>
  <c r="L724" i="1" s="1"/>
  <c r="D725" i="1"/>
  <c r="E725" i="1" s="1"/>
  <c r="L725" i="1" s="1"/>
  <c r="K725" i="1" a="1"/>
  <c r="K725" i="1" s="1"/>
  <c r="H725" i="1"/>
  <c r="I725" i="1" s="1"/>
  <c r="J725" i="1" s="1"/>
  <c r="H726" i="1"/>
  <c r="I726" i="1" s="1"/>
  <c r="J726" i="1" s="1"/>
  <c r="K726" i="1" a="1"/>
  <c r="K726" i="1" s="1"/>
  <c r="D726" i="1"/>
  <c r="E726" i="1" s="1"/>
  <c r="L726" i="1" s="1"/>
  <c r="D727" i="1"/>
  <c r="E727" i="1" s="1"/>
  <c r="L727" i="1" s="1"/>
  <c r="K727" i="1" a="1"/>
  <c r="K727" i="1" s="1"/>
  <c r="H727" i="1"/>
  <c r="I727" i="1" s="1"/>
  <c r="J727" i="1" s="1"/>
  <c r="K728" i="1" a="1"/>
  <c r="K728" i="1" s="1"/>
  <c r="H728" i="1"/>
  <c r="I728" i="1" s="1"/>
  <c r="J728" i="1" s="1"/>
  <c r="D728" i="1"/>
  <c r="E728" i="1" s="1"/>
  <c r="L728" i="1" s="1"/>
  <c r="D729" i="1"/>
  <c r="E729" i="1" s="1"/>
  <c r="L729" i="1" s="1"/>
  <c r="H729" i="1"/>
  <c r="I729" i="1" s="1"/>
  <c r="J729" i="1" s="1"/>
  <c r="K729" i="1" a="1"/>
  <c r="K729" i="1" s="1"/>
  <c r="D730" i="1"/>
  <c r="E730" i="1" s="1"/>
  <c r="L730" i="1" s="1"/>
  <c r="K730" i="1" a="1"/>
  <c r="K730" i="1" s="1"/>
  <c r="H730" i="1"/>
  <c r="I730" i="1" s="1"/>
  <c r="J730" i="1" s="1"/>
  <c r="K731" i="1" a="1"/>
  <c r="K731" i="1" s="1"/>
  <c r="H731" i="1"/>
  <c r="I731" i="1" s="1"/>
  <c r="J731" i="1" s="1"/>
  <c r="D731" i="1"/>
  <c r="E731" i="1" s="1"/>
  <c r="L731" i="1" s="1"/>
  <c r="D732" i="1"/>
  <c r="E732" i="1" s="1"/>
  <c r="L732" i="1" s="1"/>
  <c r="H732" i="1"/>
  <c r="I732" i="1" s="1"/>
  <c r="J732" i="1" s="1"/>
  <c r="K732" i="1" a="1"/>
  <c r="K732" i="1" s="1"/>
  <c r="D733" i="1"/>
  <c r="E733" i="1" s="1"/>
  <c r="L733" i="1" s="1"/>
  <c r="K733" i="1" a="1"/>
  <c r="K733" i="1" s="1"/>
  <c r="H733" i="1"/>
  <c r="I733" i="1" s="1"/>
  <c r="J733" i="1" s="1"/>
  <c r="D734" i="1"/>
  <c r="E734" i="1" s="1"/>
  <c r="L734" i="1" s="1"/>
  <c r="H734" i="1"/>
  <c r="I734" i="1" s="1"/>
  <c r="J734" i="1" s="1"/>
  <c r="K734" i="1" a="1"/>
  <c r="K734" i="1" s="1"/>
  <c r="D735" i="1"/>
  <c r="E735" i="1" s="1"/>
  <c r="L735" i="1" s="1"/>
  <c r="K735" i="1" a="1"/>
  <c r="K735" i="1" s="1"/>
  <c r="H735" i="1"/>
  <c r="I735" i="1" s="1"/>
  <c r="J735" i="1" s="1"/>
  <c r="D736" i="1"/>
  <c r="E736" i="1" s="1"/>
  <c r="L736" i="1" s="1"/>
  <c r="K736" i="1" a="1"/>
  <c r="K736" i="1" s="1"/>
  <c r="H736" i="1"/>
  <c r="I736" i="1" s="1"/>
  <c r="J736" i="1" s="1"/>
  <c r="D737" i="1"/>
  <c r="E737" i="1" s="1"/>
  <c r="L737" i="1" s="1"/>
  <c r="K737" i="1" a="1"/>
  <c r="K737" i="1" s="1"/>
  <c r="H737" i="1"/>
  <c r="I737" i="1" s="1"/>
  <c r="J737" i="1" s="1"/>
  <c r="D738" i="1"/>
  <c r="E738" i="1" s="1"/>
  <c r="L738" i="1" s="1"/>
  <c r="H738" i="1"/>
  <c r="I738" i="1" s="1"/>
  <c r="J738" i="1" s="1"/>
  <c r="K738" i="1" a="1"/>
  <c r="K738" i="1" s="1"/>
  <c r="D739" i="1"/>
  <c r="E739" i="1" s="1"/>
  <c r="L739" i="1" s="1"/>
  <c r="K739" i="1" a="1"/>
  <c r="K739" i="1" s="1"/>
  <c r="H739" i="1"/>
  <c r="I739" i="1" s="1"/>
  <c r="J739" i="1" s="1"/>
  <c r="D740" i="1"/>
  <c r="E740" i="1" s="1"/>
  <c r="L740" i="1" s="1"/>
  <c r="K740" i="1" a="1"/>
  <c r="K740" i="1" s="1"/>
  <c r="H740" i="1"/>
  <c r="I740" i="1" s="1"/>
  <c r="J740" i="1" s="1"/>
  <c r="D741" i="1"/>
  <c r="E741" i="1" s="1"/>
  <c r="L741" i="1" s="1"/>
  <c r="H741" i="1"/>
  <c r="I741" i="1" s="1"/>
  <c r="J741" i="1" s="1"/>
  <c r="K741" i="1" a="1"/>
  <c r="K741" i="1" s="1"/>
  <c r="D742" i="1"/>
  <c r="E742" i="1" s="1"/>
  <c r="L742" i="1" s="1"/>
  <c r="K742" i="1" a="1"/>
  <c r="K742" i="1" s="1"/>
  <c r="H742" i="1"/>
  <c r="I742" i="1" s="1"/>
  <c r="J742" i="1" s="1"/>
  <c r="D743" i="1"/>
  <c r="E743" i="1" s="1"/>
  <c r="L743" i="1" s="1"/>
  <c r="K743" i="1" a="1"/>
  <c r="K743" i="1" s="1"/>
  <c r="H743" i="1"/>
  <c r="I743" i="1" s="1"/>
  <c r="J743" i="1" s="1"/>
  <c r="H744" i="1"/>
  <c r="I744" i="1" s="1"/>
  <c r="J744" i="1" s="1"/>
  <c r="K744" i="1" a="1"/>
  <c r="K744" i="1" s="1"/>
  <c r="D744" i="1"/>
  <c r="E744" i="1" s="1"/>
  <c r="L744" i="1" s="1"/>
  <c r="D745" i="1"/>
  <c r="E745" i="1" s="1"/>
  <c r="L745" i="1" s="1"/>
  <c r="K745" i="1" a="1"/>
  <c r="K745" i="1" s="1"/>
  <c r="H745" i="1"/>
  <c r="I745" i="1" s="1"/>
  <c r="J745" i="1" s="1"/>
  <c r="H746" i="1"/>
  <c r="I746" i="1" s="1"/>
  <c r="J746" i="1" s="1"/>
  <c r="K746" i="1" a="1"/>
  <c r="K746" i="1" s="1"/>
  <c r="D746" i="1"/>
  <c r="E746" i="1" s="1"/>
  <c r="L746" i="1" s="1"/>
  <c r="D747" i="1"/>
  <c r="E747" i="1" s="1"/>
  <c r="L747" i="1" s="1"/>
  <c r="K747" i="1" a="1"/>
  <c r="K747" i="1" s="1"/>
  <c r="H747" i="1"/>
  <c r="I747" i="1" s="1"/>
  <c r="J747" i="1" s="1"/>
  <c r="D748" i="1"/>
  <c r="E748" i="1" s="1"/>
  <c r="L748" i="1" s="1"/>
  <c r="K748" i="1" a="1"/>
  <c r="K748" i="1" s="1"/>
  <c r="H748" i="1"/>
  <c r="I748" i="1" s="1"/>
  <c r="J748" i="1" s="1"/>
  <c r="H749" i="1"/>
  <c r="I749" i="1" s="1"/>
  <c r="J749" i="1" s="1"/>
  <c r="K749" i="1" a="1"/>
  <c r="K749" i="1" s="1"/>
  <c r="D749" i="1"/>
  <c r="E749" i="1" s="1"/>
  <c r="L749" i="1" s="1"/>
  <c r="D750" i="1"/>
  <c r="E750" i="1" s="1"/>
  <c r="L750" i="1" s="1"/>
  <c r="K750" i="1" a="1"/>
  <c r="K750" i="1" s="1"/>
  <c r="H750" i="1"/>
  <c r="I750" i="1" s="1"/>
  <c r="J750" i="1" s="1"/>
  <c r="K751" i="1" a="1"/>
  <c r="K751" i="1" s="1"/>
  <c r="H751" i="1"/>
  <c r="I751" i="1" s="1"/>
  <c r="J751" i="1" s="1"/>
  <c r="D751" i="1"/>
  <c r="E751" i="1" s="1"/>
  <c r="L751" i="1" s="1"/>
  <c r="H752" i="1"/>
  <c r="I752" i="1" s="1"/>
  <c r="J752" i="1" s="1"/>
  <c r="K752" i="1" a="1"/>
  <c r="K752" i="1" s="1"/>
  <c r="D752" i="1"/>
  <c r="E752" i="1" s="1"/>
  <c r="L752" i="1" s="1"/>
  <c r="K753" i="1" a="1"/>
  <c r="K753" i="1" s="1"/>
  <c r="H753" i="1"/>
  <c r="I753" i="1" s="1"/>
  <c r="J753" i="1" s="1"/>
  <c r="D753" i="1"/>
  <c r="E753" i="1" s="1"/>
  <c r="L753" i="1" s="1"/>
  <c r="D754" i="1"/>
  <c r="E754" i="1" s="1"/>
  <c r="L754" i="1" s="1"/>
  <c r="H754" i="1"/>
  <c r="I754" i="1" s="1"/>
  <c r="J754" i="1" s="1"/>
  <c r="K754" i="1" a="1"/>
  <c r="K754" i="1" s="1"/>
  <c r="D755" i="1"/>
  <c r="E755" i="1" s="1"/>
  <c r="L755" i="1" s="1"/>
  <c r="H755" i="1"/>
  <c r="I755" i="1" s="1"/>
  <c r="J755" i="1" s="1"/>
  <c r="K755" i="1" a="1"/>
  <c r="K755" i="1" s="1"/>
  <c r="K756" i="1" a="1"/>
  <c r="K756" i="1" s="1"/>
  <c r="H756" i="1"/>
  <c r="I756" i="1" s="1"/>
  <c r="J756" i="1" s="1"/>
  <c r="D756" i="1"/>
  <c r="E756" i="1" s="1"/>
  <c r="L756" i="1" s="1"/>
  <c r="H757" i="1"/>
  <c r="I757" i="1" s="1"/>
  <c r="J757" i="1" s="1"/>
  <c r="K757" i="1" a="1"/>
  <c r="K757" i="1" s="1"/>
  <c r="D757" i="1"/>
  <c r="E757" i="1" s="1"/>
  <c r="L757" i="1" s="1"/>
  <c r="K758" i="1" a="1"/>
  <c r="K758" i="1" s="1"/>
  <c r="H758" i="1"/>
  <c r="I758" i="1" s="1"/>
  <c r="J758" i="1" s="1"/>
  <c r="D758" i="1"/>
  <c r="E758" i="1" s="1"/>
  <c r="L758" i="1" s="1"/>
  <c r="K759" i="1" a="1"/>
  <c r="K759" i="1" s="1"/>
  <c r="H759" i="1"/>
  <c r="I759" i="1" s="1"/>
  <c r="J759" i="1" s="1"/>
  <c r="D759" i="1"/>
  <c r="E759" i="1" s="1"/>
  <c r="L759" i="1" s="1"/>
  <c r="D760" i="1"/>
  <c r="E760" i="1" s="1"/>
  <c r="L760" i="1" s="1"/>
  <c r="H760" i="1"/>
  <c r="I760" i="1" s="1"/>
  <c r="J760" i="1" s="1"/>
  <c r="K760" i="1" a="1"/>
  <c r="K760" i="1" s="1"/>
  <c r="H761" i="1"/>
  <c r="I761" i="1" s="1"/>
  <c r="J761" i="1" s="1"/>
  <c r="K761" i="1" a="1"/>
  <c r="K761" i="1" s="1"/>
  <c r="D761" i="1"/>
  <c r="E761" i="1" s="1"/>
  <c r="L761" i="1" s="1"/>
  <c r="D762" i="1"/>
  <c r="E762" i="1" s="1"/>
  <c r="L762" i="1" s="1"/>
  <c r="H762" i="1"/>
  <c r="I762" i="1" s="1"/>
  <c r="J762" i="1" s="1"/>
  <c r="K762" i="1" a="1"/>
  <c r="K762" i="1" s="1"/>
  <c r="D763" i="1"/>
  <c r="E763" i="1" s="1"/>
  <c r="L763" i="1" s="1"/>
  <c r="K763" i="1" a="1"/>
  <c r="K763" i="1" s="1"/>
  <c r="H763" i="1"/>
  <c r="I763" i="1" s="1"/>
  <c r="J763" i="1" s="1"/>
  <c r="K764" i="1" a="1"/>
  <c r="K764" i="1" s="1"/>
  <c r="H764" i="1"/>
  <c r="I764" i="1" s="1"/>
  <c r="J764" i="1" s="1"/>
  <c r="D764" i="1"/>
  <c r="E764" i="1" s="1"/>
  <c r="L764" i="1" s="1"/>
  <c r="H765" i="1"/>
  <c r="I765" i="1" s="1"/>
  <c r="J765" i="1" s="1"/>
  <c r="K765" i="1" a="1"/>
  <c r="K765" i="1" s="1"/>
  <c r="D765" i="1"/>
  <c r="E765" i="1" s="1"/>
  <c r="L765" i="1" s="1"/>
  <c r="H766" i="1"/>
  <c r="I766" i="1" s="1"/>
  <c r="J766" i="1" s="1"/>
  <c r="K766" i="1" a="1"/>
  <c r="K766" i="1" s="1"/>
  <c r="D766" i="1"/>
  <c r="E766" i="1" s="1"/>
  <c r="L766" i="1" s="1"/>
  <c r="D767" i="1"/>
  <c r="E767" i="1" s="1"/>
  <c r="L767" i="1" s="1"/>
  <c r="H767" i="1"/>
  <c r="I767" i="1" s="1"/>
  <c r="J767" i="1" s="1"/>
  <c r="K767" i="1" a="1"/>
  <c r="K767" i="1" s="1"/>
  <c r="H768" i="1"/>
  <c r="I768" i="1" s="1"/>
  <c r="J768" i="1" s="1"/>
  <c r="K768" i="1" a="1"/>
  <c r="K768" i="1" s="1"/>
  <c r="D768" i="1"/>
  <c r="E768" i="1" s="1"/>
  <c r="L768" i="1" s="1"/>
  <c r="D769" i="1"/>
  <c r="E769" i="1" s="1"/>
  <c r="L769" i="1" s="1"/>
  <c r="K769" i="1" a="1"/>
  <c r="K769" i="1" s="1"/>
  <c r="H769" i="1"/>
  <c r="I769" i="1" s="1"/>
  <c r="J769" i="1" s="1"/>
  <c r="D770" i="1"/>
  <c r="E770" i="1" s="1"/>
  <c r="L770" i="1" s="1"/>
  <c r="H770" i="1"/>
  <c r="I770" i="1" s="1"/>
  <c r="J770" i="1" s="1"/>
  <c r="K770" i="1" a="1"/>
  <c r="K770" i="1" s="1"/>
  <c r="D771" i="1"/>
  <c r="E771" i="1" s="1"/>
  <c r="L771" i="1" s="1"/>
  <c r="H771" i="1"/>
  <c r="I771" i="1" s="1"/>
  <c r="J771" i="1" s="1"/>
  <c r="K771" i="1" a="1"/>
  <c r="K771" i="1" s="1"/>
  <c r="D772" i="1"/>
  <c r="E772" i="1" s="1"/>
  <c r="L772" i="1" s="1"/>
  <c r="K772" i="1" a="1"/>
  <c r="K772" i="1" s="1"/>
  <c r="H772" i="1"/>
  <c r="I772" i="1" s="1"/>
  <c r="J772" i="1" s="1"/>
  <c r="D773" i="1"/>
  <c r="E773" i="1" s="1"/>
  <c r="L773" i="1" s="1"/>
  <c r="K773" i="1" a="1"/>
  <c r="K773" i="1" s="1"/>
  <c r="H773" i="1"/>
  <c r="I773" i="1" s="1"/>
  <c r="J773" i="1" s="1"/>
  <c r="H774" i="1"/>
  <c r="I774" i="1" s="1"/>
  <c r="J774" i="1" s="1"/>
  <c r="K774" i="1" a="1"/>
  <c r="K774" i="1" s="1"/>
  <c r="D774" i="1"/>
  <c r="E774" i="1" s="1"/>
  <c r="L774" i="1" s="1"/>
  <c r="H775" i="1"/>
  <c r="I775" i="1" s="1"/>
  <c r="J775" i="1" s="1"/>
  <c r="K775" i="1" a="1"/>
  <c r="K775" i="1" s="1"/>
  <c r="D775" i="1"/>
  <c r="E775" i="1" s="1"/>
  <c r="L775" i="1" s="1"/>
  <c r="D776" i="1"/>
  <c r="E776" i="1" s="1"/>
  <c r="L776" i="1" s="1"/>
  <c r="K776" i="1" a="1"/>
  <c r="K776" i="1" s="1"/>
  <c r="H776" i="1"/>
  <c r="I776" i="1" s="1"/>
  <c r="J776" i="1" s="1"/>
  <c r="D777" i="1"/>
  <c r="E777" i="1" s="1"/>
  <c r="L777" i="1" s="1"/>
  <c r="H777" i="1"/>
  <c r="I777" i="1" s="1"/>
  <c r="J777" i="1" s="1"/>
  <c r="K777" i="1" a="1"/>
  <c r="K777" i="1" s="1"/>
  <c r="D778" i="1"/>
  <c r="E778" i="1" s="1"/>
  <c r="L778" i="1" s="1"/>
  <c r="H778" i="1"/>
  <c r="I778" i="1" s="1"/>
  <c r="J778" i="1" s="1"/>
  <c r="K778" i="1" a="1"/>
  <c r="K778" i="1" s="1"/>
  <c r="K779" i="1" a="1"/>
  <c r="K779" i="1" s="1"/>
  <c r="H779" i="1"/>
  <c r="I779" i="1" s="1"/>
  <c r="J779" i="1" s="1"/>
  <c r="D779" i="1"/>
  <c r="E779" i="1" s="1"/>
  <c r="L779" i="1" s="1"/>
  <c r="D780" i="1"/>
  <c r="E780" i="1" s="1"/>
  <c r="L780" i="1" s="1"/>
  <c r="H780" i="1"/>
  <c r="I780" i="1" s="1"/>
  <c r="J780" i="1" s="1"/>
  <c r="K780" i="1" a="1"/>
  <c r="K780" i="1" s="1"/>
  <c r="D781" i="1"/>
  <c r="E781" i="1" s="1"/>
  <c r="L781" i="1" s="1"/>
  <c r="K781" i="1" a="1"/>
  <c r="K781" i="1" s="1"/>
  <c r="H781" i="1"/>
  <c r="I781" i="1" s="1"/>
  <c r="J781" i="1" s="1"/>
  <c r="D782" i="1"/>
  <c r="E782" i="1" s="1"/>
  <c r="L782" i="1" s="1"/>
  <c r="K782" i="1" a="1"/>
  <c r="K782" i="1" s="1"/>
  <c r="H782" i="1"/>
  <c r="I782" i="1" s="1"/>
  <c r="J782" i="1" s="1"/>
  <c r="D783" i="1"/>
  <c r="E783" i="1" s="1"/>
  <c r="L783" i="1" s="1"/>
  <c r="H783" i="1"/>
  <c r="I783" i="1" s="1"/>
  <c r="J783" i="1" s="1"/>
  <c r="K783" i="1" a="1"/>
  <c r="K783" i="1" s="1"/>
  <c r="K784" i="1" a="1"/>
  <c r="K784" i="1" s="1"/>
  <c r="H784" i="1"/>
  <c r="I784" i="1" s="1"/>
  <c r="J784" i="1" s="1"/>
  <c r="D784" i="1"/>
  <c r="E784" i="1" s="1"/>
  <c r="L784" i="1" s="1"/>
  <c r="D785" i="1"/>
  <c r="E785" i="1" s="1"/>
  <c r="L785" i="1" s="1"/>
  <c r="H785" i="1"/>
  <c r="I785" i="1" s="1"/>
  <c r="J785" i="1" s="1"/>
  <c r="K785" i="1" a="1"/>
  <c r="K785" i="1" s="1"/>
  <c r="D786" i="1"/>
  <c r="E786" i="1" s="1"/>
  <c r="L786" i="1" s="1"/>
  <c r="H786" i="1"/>
  <c r="I786" i="1" s="1"/>
  <c r="J786" i="1" s="1"/>
  <c r="K786" i="1" a="1"/>
  <c r="K786" i="1" s="1"/>
  <c r="K787" i="1" a="1"/>
  <c r="K787" i="1" s="1"/>
  <c r="H787" i="1"/>
  <c r="I787" i="1" s="1"/>
  <c r="J787" i="1" s="1"/>
  <c r="D787" i="1"/>
  <c r="E787" i="1" s="1"/>
  <c r="L787" i="1" s="1"/>
  <c r="D788" i="1"/>
  <c r="E788" i="1" s="1"/>
  <c r="L788" i="1" s="1"/>
  <c r="H788" i="1"/>
  <c r="I788" i="1" s="1"/>
  <c r="J788" i="1" s="1"/>
  <c r="K788" i="1" a="1"/>
  <c r="K788" i="1" s="1"/>
  <c r="H789" i="1"/>
  <c r="I789" i="1" s="1"/>
  <c r="J789" i="1" s="1"/>
  <c r="K789" i="1" a="1"/>
  <c r="K789" i="1" s="1"/>
  <c r="D789" i="1"/>
  <c r="E789" i="1" s="1"/>
  <c r="L789" i="1" s="1"/>
  <c r="K790" i="1" a="1"/>
  <c r="K790" i="1" s="1"/>
  <c r="H790" i="1"/>
  <c r="I790" i="1" s="1"/>
  <c r="J790" i="1" s="1"/>
  <c r="D790" i="1"/>
  <c r="E790" i="1" s="1"/>
  <c r="L790" i="1" s="1"/>
  <c r="K791" i="1" a="1"/>
  <c r="K791" i="1" s="1"/>
  <c r="H791" i="1"/>
  <c r="I791" i="1" s="1"/>
  <c r="J791" i="1" s="1"/>
  <c r="D791" i="1"/>
  <c r="E791" i="1" s="1"/>
  <c r="L791" i="1" s="1"/>
  <c r="H792" i="1"/>
  <c r="I792" i="1" s="1"/>
  <c r="J792" i="1" s="1"/>
  <c r="K792" i="1" a="1"/>
  <c r="K792" i="1" s="1"/>
  <c r="D792" i="1"/>
  <c r="E792" i="1" s="1"/>
  <c r="L792" i="1" s="1"/>
  <c r="H793" i="1"/>
  <c r="I793" i="1" s="1"/>
  <c r="J793" i="1" s="1"/>
  <c r="K793" i="1" a="1"/>
  <c r="K793" i="1" s="1"/>
  <c r="D793" i="1"/>
  <c r="E793" i="1" s="1"/>
  <c r="L793" i="1" s="1"/>
  <c r="K794" i="1" a="1"/>
  <c r="K794" i="1" s="1"/>
  <c r="H794" i="1"/>
  <c r="I794" i="1" s="1"/>
  <c r="J794" i="1" s="1"/>
  <c r="D794" i="1"/>
  <c r="E794" i="1" s="1"/>
  <c r="L794" i="1" s="1"/>
  <c r="K795" i="1" a="1"/>
  <c r="K795" i="1" s="1"/>
  <c r="H795" i="1"/>
  <c r="I795" i="1" s="1"/>
  <c r="J795" i="1" s="1"/>
  <c r="D795" i="1"/>
  <c r="E795" i="1" s="1"/>
  <c r="L795" i="1" s="1"/>
  <c r="D796" i="1"/>
  <c r="E796" i="1" s="1"/>
  <c r="L796" i="1" s="1"/>
  <c r="H796" i="1"/>
  <c r="I796" i="1" s="1"/>
  <c r="J796" i="1" s="1"/>
  <c r="K796" i="1" a="1"/>
  <c r="K796" i="1" s="1"/>
  <c r="H797" i="1"/>
  <c r="I797" i="1" s="1"/>
  <c r="J797" i="1" s="1"/>
  <c r="K797" i="1" a="1"/>
  <c r="K797" i="1" s="1"/>
  <c r="D797" i="1"/>
  <c r="E797" i="1" s="1"/>
  <c r="L797" i="1" s="1"/>
  <c r="D798" i="1"/>
  <c r="E798" i="1" s="1"/>
  <c r="L798" i="1" s="1"/>
  <c r="K798" i="1" a="1"/>
  <c r="K798" i="1" s="1"/>
  <c r="H798" i="1"/>
  <c r="I798" i="1" s="1"/>
  <c r="J798" i="1" s="1"/>
  <c r="D799" i="1"/>
  <c r="E799" i="1" s="1"/>
  <c r="L799" i="1" s="1"/>
  <c r="K799" i="1" a="1"/>
  <c r="K799" i="1" s="1"/>
  <c r="H799" i="1"/>
  <c r="I799" i="1" s="1"/>
  <c r="J799" i="1" s="1"/>
  <c r="H800" i="1"/>
  <c r="I800" i="1" s="1"/>
  <c r="J800" i="1" s="1"/>
  <c r="K800" i="1" a="1"/>
  <c r="K800" i="1" s="1"/>
  <c r="D800" i="1"/>
  <c r="E800" i="1" s="1"/>
  <c r="L800" i="1" s="1"/>
  <c r="D801" i="1"/>
  <c r="E801" i="1" s="1"/>
  <c r="L801" i="1" s="1"/>
  <c r="H801" i="1"/>
  <c r="I801" i="1" s="1"/>
  <c r="J801" i="1" s="1"/>
  <c r="K801" i="1" a="1"/>
  <c r="K801" i="1" s="1"/>
  <c r="H802" i="1"/>
  <c r="I802" i="1" s="1"/>
  <c r="J802" i="1" s="1"/>
  <c r="K802" i="1" a="1"/>
  <c r="K802" i="1" s="1"/>
  <c r="D802" i="1"/>
  <c r="E802" i="1" s="1"/>
  <c r="L802" i="1" s="1"/>
  <c r="D803" i="1"/>
  <c r="E803" i="1" s="1"/>
  <c r="L803" i="1" s="1"/>
  <c r="H803" i="1"/>
  <c r="I803" i="1" s="1"/>
  <c r="J803" i="1" s="1"/>
  <c r="K803" i="1" a="1"/>
  <c r="K803" i="1" s="1"/>
  <c r="D804" i="1"/>
  <c r="E804" i="1" s="1"/>
  <c r="L804" i="1" s="1"/>
  <c r="K804" i="1" a="1"/>
  <c r="K804" i="1" s="1"/>
  <c r="H804" i="1"/>
  <c r="I804" i="1" s="1"/>
  <c r="J804" i="1" s="1"/>
  <c r="H805" i="1"/>
  <c r="I805" i="1" s="1"/>
  <c r="J805" i="1" s="1"/>
  <c r="K805" i="1" a="1"/>
  <c r="K805" i="1" s="1"/>
  <c r="D805" i="1"/>
  <c r="E805" i="1" s="1"/>
  <c r="L805" i="1" s="1"/>
  <c r="H806" i="1"/>
  <c r="I806" i="1" s="1"/>
  <c r="J806" i="1" s="1"/>
  <c r="K806" i="1" a="1"/>
  <c r="K806" i="1" s="1"/>
  <c r="D806" i="1"/>
  <c r="E806" i="1" s="1"/>
  <c r="L806" i="1" s="1"/>
  <c r="H807" i="1"/>
  <c r="I807" i="1" s="1"/>
  <c r="J807" i="1" s="1"/>
  <c r="K807" i="1" a="1"/>
  <c r="K807" i="1" s="1"/>
  <c r="D807" i="1"/>
  <c r="E807" i="1" s="1"/>
  <c r="L807" i="1" s="1"/>
  <c r="H808" i="1"/>
  <c r="I808" i="1" s="1"/>
  <c r="J808" i="1" s="1"/>
  <c r="K808" i="1" a="1"/>
  <c r="K808" i="1" s="1"/>
  <c r="D808" i="1"/>
  <c r="E808" i="1" s="1"/>
  <c r="L808" i="1" s="1"/>
  <c r="H809" i="1"/>
  <c r="I809" i="1" s="1"/>
  <c r="J809" i="1" s="1"/>
  <c r="K809" i="1" a="1"/>
  <c r="K809" i="1" s="1"/>
  <c r="D809" i="1"/>
  <c r="E809" i="1" s="1"/>
  <c r="L809" i="1" s="1"/>
  <c r="H810" i="1"/>
  <c r="I810" i="1" s="1"/>
  <c r="J810" i="1" s="1"/>
  <c r="K810" i="1" a="1"/>
  <c r="K810" i="1" s="1"/>
  <c r="D810" i="1"/>
  <c r="E810" i="1" s="1"/>
  <c r="L810" i="1" s="1"/>
  <c r="D811" i="1"/>
  <c r="E811" i="1" s="1"/>
  <c r="L811" i="1" s="1"/>
  <c r="H811" i="1"/>
  <c r="I811" i="1" s="1"/>
  <c r="J811" i="1" s="1"/>
  <c r="K811" i="1" a="1"/>
  <c r="K811" i="1" s="1"/>
  <c r="H812" i="1"/>
  <c r="I812" i="1" s="1"/>
  <c r="J812" i="1" s="1"/>
  <c r="K812" i="1" a="1"/>
  <c r="K812" i="1" s="1"/>
  <c r="D812" i="1"/>
  <c r="E812" i="1" s="1"/>
  <c r="L812" i="1" s="1"/>
  <c r="D813" i="1"/>
  <c r="E813" i="1" s="1"/>
  <c r="L813" i="1" s="1"/>
  <c r="H813" i="1"/>
  <c r="I813" i="1" s="1"/>
  <c r="J813" i="1" s="1"/>
  <c r="K813" i="1" a="1"/>
  <c r="K813" i="1" s="1"/>
  <c r="H814" i="1"/>
  <c r="I814" i="1" s="1"/>
  <c r="J814" i="1" s="1"/>
  <c r="K814" i="1" a="1"/>
  <c r="K814" i="1" s="1"/>
  <c r="D814" i="1"/>
  <c r="E814" i="1" s="1"/>
  <c r="L814" i="1" s="1"/>
  <c r="H815" i="1"/>
  <c r="I815" i="1" s="1"/>
  <c r="J815" i="1" s="1"/>
  <c r="K815" i="1" a="1"/>
  <c r="K815" i="1" s="1"/>
  <c r="D815" i="1"/>
  <c r="E815" i="1" s="1"/>
  <c r="L815" i="1" s="1"/>
  <c r="H816" i="1"/>
  <c r="I816" i="1" s="1"/>
  <c r="J816" i="1" s="1"/>
  <c r="K816" i="1" a="1"/>
  <c r="K816" i="1" s="1"/>
  <c r="D816" i="1"/>
  <c r="E816" i="1" s="1"/>
  <c r="L816" i="1" s="1"/>
  <c r="D817" i="1"/>
  <c r="E817" i="1" s="1"/>
  <c r="L817" i="1" s="1"/>
  <c r="H817" i="1"/>
  <c r="I817" i="1" s="1"/>
  <c r="J817" i="1" s="1"/>
  <c r="K817" i="1" a="1"/>
  <c r="K817" i="1" s="1"/>
  <c r="D818" i="1"/>
  <c r="E818" i="1" s="1"/>
  <c r="L818" i="1" s="1"/>
  <c r="H818" i="1"/>
  <c r="I818" i="1" s="1"/>
  <c r="J818" i="1" s="1"/>
  <c r="K818" i="1" a="1"/>
  <c r="K818" i="1" s="1"/>
  <c r="H819" i="1"/>
  <c r="I819" i="1" s="1"/>
  <c r="J819" i="1" s="1"/>
  <c r="K819" i="1" a="1"/>
  <c r="K819" i="1" s="1"/>
  <c r="D819" i="1"/>
  <c r="E819" i="1" s="1"/>
  <c r="L819" i="1" s="1"/>
  <c r="H820" i="1"/>
  <c r="I820" i="1" s="1"/>
  <c r="J820" i="1" s="1"/>
  <c r="K820" i="1" a="1"/>
  <c r="K820" i="1" s="1"/>
  <c r="D820" i="1"/>
  <c r="E820" i="1" s="1"/>
  <c r="L820" i="1" s="1"/>
  <c r="D821" i="1"/>
  <c r="E821" i="1" s="1"/>
  <c r="L821" i="1" s="1"/>
  <c r="H821" i="1"/>
  <c r="I821" i="1" s="1"/>
  <c r="J821" i="1" s="1"/>
  <c r="K821" i="1" a="1"/>
  <c r="K821" i="1" s="1"/>
  <c r="H822" i="1"/>
  <c r="I822" i="1" s="1"/>
  <c r="J822" i="1" s="1"/>
  <c r="K822" i="1" a="1"/>
  <c r="K822" i="1" s="1"/>
  <c r="D822" i="1"/>
  <c r="E822" i="1" s="1"/>
  <c r="L822" i="1" s="1"/>
  <c r="H823" i="1"/>
  <c r="I823" i="1" s="1"/>
  <c r="J823" i="1" s="1"/>
  <c r="K823" i="1" a="1"/>
  <c r="K823" i="1" s="1"/>
  <c r="D823" i="1"/>
  <c r="E823" i="1" s="1"/>
  <c r="L823" i="1" s="1"/>
  <c r="D824" i="1"/>
  <c r="E824" i="1" s="1"/>
  <c r="L824" i="1" s="1"/>
  <c r="H824" i="1"/>
  <c r="I824" i="1" s="1"/>
  <c r="J824" i="1" s="1"/>
  <c r="K824" i="1" a="1"/>
  <c r="K824" i="1" s="1"/>
  <c r="H825" i="1"/>
  <c r="I825" i="1" s="1"/>
  <c r="J825" i="1" s="1"/>
  <c r="K825" i="1" a="1"/>
  <c r="K825" i="1" s="1"/>
  <c r="D825" i="1"/>
  <c r="E825" i="1" s="1"/>
  <c r="L825" i="1" s="1"/>
  <c r="D826" i="1"/>
  <c r="E826" i="1" s="1"/>
  <c r="L826" i="1" s="1"/>
  <c r="H826" i="1"/>
  <c r="I826" i="1" s="1"/>
  <c r="J826" i="1" s="1"/>
  <c r="K826" i="1" a="1"/>
  <c r="K826" i="1" s="1"/>
  <c r="D827" i="1"/>
  <c r="E827" i="1" s="1"/>
  <c r="L827" i="1" s="1"/>
  <c r="H827" i="1"/>
  <c r="I827" i="1" s="1"/>
  <c r="J827" i="1" s="1"/>
  <c r="K827" i="1" a="1"/>
  <c r="K827" i="1" s="1"/>
  <c r="D828" i="1"/>
  <c r="E828" i="1" s="1"/>
  <c r="L828" i="1" s="1"/>
  <c r="H828" i="1"/>
  <c r="I828" i="1" s="1"/>
  <c r="J828" i="1" s="1"/>
  <c r="K828" i="1" a="1"/>
  <c r="K828" i="1" s="1"/>
  <c r="D829" i="1"/>
  <c r="E829" i="1" s="1"/>
  <c r="L829" i="1" s="1"/>
  <c r="H829" i="1"/>
  <c r="I829" i="1" s="1"/>
  <c r="J829" i="1" s="1"/>
  <c r="K829" i="1" a="1"/>
  <c r="K829" i="1" s="1"/>
  <c r="H830" i="1"/>
  <c r="I830" i="1" s="1"/>
  <c r="J830" i="1" s="1"/>
  <c r="K830" i="1" a="1"/>
  <c r="K830" i="1" s="1"/>
  <c r="D830" i="1"/>
  <c r="E830" i="1" s="1"/>
  <c r="L830" i="1" s="1"/>
  <c r="H831" i="1"/>
  <c r="I831" i="1" s="1"/>
  <c r="J831" i="1" s="1"/>
  <c r="K831" i="1" a="1"/>
  <c r="K831" i="1" s="1"/>
  <c r="D831" i="1"/>
  <c r="E831" i="1" s="1"/>
  <c r="L831" i="1" s="1"/>
  <c r="D832" i="1"/>
  <c r="E832" i="1" s="1"/>
  <c r="L832" i="1" s="1"/>
  <c r="H832" i="1"/>
  <c r="I832" i="1" s="1"/>
  <c r="J832" i="1" s="1"/>
  <c r="K832" i="1" a="1"/>
  <c r="K832" i="1" s="1"/>
  <c r="D833" i="1"/>
  <c r="E833" i="1" s="1"/>
  <c r="L833" i="1" s="1"/>
  <c r="H833" i="1"/>
  <c r="I833" i="1" s="1"/>
  <c r="J833" i="1" s="1"/>
  <c r="K833" i="1" a="1"/>
  <c r="K833" i="1" s="1"/>
  <c r="H834" i="1"/>
  <c r="I834" i="1" s="1"/>
  <c r="J834" i="1" s="1"/>
  <c r="K834" i="1" a="1"/>
  <c r="K834" i="1" s="1"/>
  <c r="D834" i="1"/>
  <c r="E834" i="1" s="1"/>
  <c r="L834" i="1" s="1"/>
  <c r="H835" i="1"/>
  <c r="I835" i="1" s="1"/>
  <c r="J835" i="1" s="1"/>
  <c r="K835" i="1" a="1"/>
  <c r="K835" i="1" s="1"/>
  <c r="D835" i="1"/>
  <c r="E835" i="1" s="1"/>
  <c r="L835" i="1" s="1"/>
  <c r="H836" i="1"/>
  <c r="I836" i="1" s="1"/>
  <c r="J836" i="1" s="1"/>
  <c r="K836" i="1" a="1"/>
  <c r="K836" i="1" s="1"/>
  <c r="D836" i="1"/>
  <c r="E836" i="1" s="1"/>
  <c r="L836" i="1" s="1"/>
  <c r="D837" i="1"/>
  <c r="E837" i="1" s="1"/>
  <c r="L837" i="1" s="1"/>
  <c r="H837" i="1"/>
  <c r="I837" i="1" s="1"/>
  <c r="J837" i="1" s="1"/>
  <c r="K837" i="1" a="1"/>
  <c r="K837" i="1" s="1"/>
  <c r="D838" i="1"/>
  <c r="E838" i="1" s="1"/>
  <c r="L838" i="1" s="1"/>
  <c r="H838" i="1"/>
  <c r="I838" i="1" s="1"/>
  <c r="J838" i="1" s="1"/>
  <c r="K838" i="1" a="1"/>
  <c r="K838" i="1" s="1"/>
  <c r="H839" i="1"/>
  <c r="I839" i="1" s="1"/>
  <c r="J839" i="1" s="1"/>
  <c r="K839" i="1" a="1"/>
  <c r="K839" i="1" s="1"/>
  <c r="D839" i="1"/>
  <c r="E839" i="1" s="1"/>
  <c r="L839" i="1" s="1"/>
  <c r="D840" i="1"/>
  <c r="E840" i="1" s="1"/>
  <c r="L840" i="1" s="1"/>
  <c r="H840" i="1"/>
  <c r="I840" i="1" s="1"/>
  <c r="J840" i="1" s="1"/>
  <c r="K840" i="1" a="1"/>
  <c r="K840" i="1" s="1"/>
  <c r="H841" i="1"/>
  <c r="I841" i="1" s="1"/>
  <c r="J841" i="1" s="1"/>
  <c r="K841" i="1" a="1"/>
  <c r="K841" i="1" s="1"/>
  <c r="D841" i="1"/>
  <c r="E841" i="1" s="1"/>
  <c r="L841" i="1" s="1"/>
  <c r="D842" i="1"/>
  <c r="E842" i="1" s="1"/>
  <c r="L842" i="1" s="1"/>
  <c r="H842" i="1"/>
  <c r="I842" i="1" s="1"/>
  <c r="J842" i="1" s="1"/>
  <c r="K842" i="1" a="1"/>
  <c r="K842" i="1" s="1"/>
  <c r="D843" i="1"/>
  <c r="E843" i="1" s="1"/>
  <c r="L843" i="1" s="1"/>
  <c r="H843" i="1"/>
  <c r="I843" i="1" s="1"/>
  <c r="J843" i="1" s="1"/>
  <c r="K843" i="1" a="1"/>
  <c r="K843" i="1" s="1"/>
  <c r="H844" i="1"/>
  <c r="I844" i="1" s="1"/>
  <c r="J844" i="1" s="1"/>
  <c r="K844" i="1" a="1"/>
  <c r="K844" i="1" s="1"/>
  <c r="D844" i="1"/>
  <c r="E844" i="1" s="1"/>
  <c r="L844" i="1" s="1"/>
  <c r="H845" i="1"/>
  <c r="I845" i="1" s="1"/>
  <c r="J845" i="1" s="1"/>
  <c r="K845" i="1" a="1"/>
  <c r="K845" i="1" s="1"/>
  <c r="D845" i="1"/>
  <c r="E845" i="1" s="1"/>
  <c r="L845" i="1" s="1"/>
  <c r="H846" i="1"/>
  <c r="I846" i="1" s="1"/>
  <c r="J846" i="1" s="1"/>
  <c r="K846" i="1" a="1"/>
  <c r="K846" i="1" s="1"/>
  <c r="D846" i="1"/>
  <c r="E846" i="1" s="1"/>
  <c r="L846" i="1" s="1"/>
  <c r="D847" i="1"/>
  <c r="E847" i="1" s="1"/>
  <c r="L847" i="1" s="1"/>
  <c r="H847" i="1"/>
  <c r="I847" i="1" s="1"/>
  <c r="J847" i="1" s="1"/>
  <c r="K847" i="1" a="1"/>
  <c r="K847" i="1" s="1"/>
  <c r="H848" i="1"/>
  <c r="I848" i="1" s="1"/>
  <c r="J848" i="1" s="1"/>
  <c r="K848" i="1" a="1"/>
  <c r="K848" i="1" s="1"/>
  <c r="D848" i="1"/>
  <c r="E848" i="1" s="1"/>
  <c r="L848" i="1" s="1"/>
  <c r="D849" i="1"/>
  <c r="E849" i="1" s="1"/>
  <c r="L849" i="1" s="1"/>
  <c r="H849" i="1"/>
  <c r="I849" i="1" s="1"/>
  <c r="J849" i="1" s="1"/>
  <c r="K849" i="1" a="1"/>
  <c r="K849" i="1" s="1"/>
  <c r="H850" i="1"/>
  <c r="I850" i="1" s="1"/>
  <c r="J850" i="1" s="1"/>
  <c r="K850" i="1" a="1"/>
  <c r="K850" i="1" s="1"/>
  <c r="D850" i="1"/>
  <c r="E850" i="1" s="1"/>
  <c r="L850" i="1" s="1"/>
  <c r="H851" i="1"/>
  <c r="I851" i="1" s="1"/>
  <c r="J851" i="1" s="1"/>
  <c r="K851" i="1" a="1"/>
  <c r="K851" i="1" s="1"/>
  <c r="D851" i="1"/>
  <c r="E851" i="1" s="1"/>
  <c r="L851" i="1" s="1"/>
  <c r="D852" i="1"/>
  <c r="E852" i="1" s="1"/>
  <c r="L852" i="1" s="1"/>
  <c r="H852" i="1"/>
  <c r="I852" i="1" s="1"/>
  <c r="J852" i="1" s="1"/>
  <c r="K852" i="1" a="1"/>
  <c r="K852" i="1" s="1"/>
  <c r="H853" i="1"/>
  <c r="I853" i="1" s="1"/>
  <c r="J853" i="1" s="1"/>
  <c r="K853" i="1" a="1"/>
  <c r="K853" i="1" s="1"/>
  <c r="D853" i="1"/>
  <c r="E853" i="1" s="1"/>
  <c r="L853" i="1" s="1"/>
  <c r="H854" i="1"/>
  <c r="I854" i="1" s="1"/>
  <c r="J854" i="1" s="1"/>
  <c r="K854" i="1" a="1"/>
  <c r="K854" i="1" s="1"/>
  <c r="D854" i="1"/>
  <c r="E854" i="1" s="1"/>
  <c r="L854" i="1" s="1"/>
  <c r="H855" i="1"/>
  <c r="I855" i="1" s="1"/>
  <c r="J855" i="1" s="1"/>
  <c r="K855" i="1" a="1"/>
  <c r="K855" i="1" s="1"/>
  <c r="D855" i="1"/>
  <c r="E855" i="1" s="1"/>
  <c r="L855" i="1" s="1"/>
  <c r="D856" i="1"/>
  <c r="E856" i="1" s="1"/>
  <c r="L856" i="1" s="1"/>
  <c r="H856" i="1"/>
  <c r="I856" i="1" s="1"/>
  <c r="J856" i="1" s="1"/>
  <c r="K856" i="1" a="1"/>
  <c r="K856" i="1" s="1"/>
  <c r="H857" i="1"/>
  <c r="I857" i="1" s="1"/>
  <c r="J857" i="1" s="1"/>
  <c r="K857" i="1" a="1"/>
  <c r="K857" i="1" s="1"/>
  <c r="D857" i="1"/>
  <c r="E857" i="1" s="1"/>
  <c r="L857" i="1" s="1"/>
  <c r="H858" i="1"/>
  <c r="I858" i="1" s="1"/>
  <c r="J858" i="1" s="1"/>
  <c r="K858" i="1" a="1"/>
  <c r="K858" i="1" s="1"/>
  <c r="D858" i="1"/>
  <c r="E858" i="1" s="1"/>
  <c r="L858" i="1" s="1"/>
  <c r="D859" i="1"/>
  <c r="E859" i="1" s="1"/>
  <c r="L859" i="1" s="1"/>
  <c r="H859" i="1"/>
  <c r="I859" i="1" s="1"/>
  <c r="J859" i="1" s="1"/>
  <c r="K859" i="1" a="1"/>
  <c r="K859" i="1" s="1"/>
  <c r="H860" i="1"/>
  <c r="I860" i="1" s="1"/>
  <c r="J860" i="1" s="1"/>
  <c r="K860" i="1" a="1"/>
  <c r="K860" i="1" s="1"/>
  <c r="D860" i="1"/>
  <c r="E860" i="1" s="1"/>
  <c r="L860" i="1" s="1"/>
  <c r="H861" i="1"/>
  <c r="I861" i="1" s="1"/>
  <c r="J861" i="1" s="1"/>
  <c r="K861" i="1" a="1"/>
  <c r="K861" i="1" s="1"/>
  <c r="D861" i="1"/>
  <c r="E861" i="1" s="1"/>
  <c r="L861" i="1" s="1"/>
  <c r="H862" i="1"/>
  <c r="I862" i="1" s="1"/>
  <c r="J862" i="1" s="1"/>
  <c r="K862" i="1" a="1"/>
  <c r="K862" i="1" s="1"/>
  <c r="D862" i="1"/>
  <c r="E862" i="1" s="1"/>
  <c r="L862" i="1" s="1"/>
  <c r="D863" i="1"/>
  <c r="E863" i="1" s="1"/>
  <c r="L863" i="1" s="1"/>
  <c r="H863" i="1"/>
  <c r="I863" i="1" s="1"/>
  <c r="J863" i="1" s="1"/>
  <c r="K863" i="1" a="1"/>
  <c r="K863" i="1" s="1"/>
  <c r="H864" i="1"/>
  <c r="I864" i="1" s="1"/>
  <c r="J864" i="1" s="1"/>
  <c r="K864" i="1" a="1"/>
  <c r="K864" i="1" s="1"/>
  <c r="D864" i="1"/>
  <c r="E864" i="1" s="1"/>
  <c r="L864" i="1" s="1"/>
  <c r="D865" i="1"/>
  <c r="E865" i="1" s="1"/>
  <c r="L865" i="1" s="1"/>
  <c r="H865" i="1"/>
  <c r="I865" i="1" s="1"/>
  <c r="J865" i="1" s="1"/>
  <c r="K865" i="1" a="1"/>
  <c r="K865" i="1" s="1"/>
  <c r="D866" i="1"/>
  <c r="E866" i="1" s="1"/>
  <c r="L866" i="1" s="1"/>
  <c r="H866" i="1"/>
  <c r="I866" i="1" s="1"/>
  <c r="J866" i="1" s="1"/>
  <c r="K866" i="1" a="1"/>
  <c r="K866" i="1" s="1"/>
  <c r="D867" i="1"/>
  <c r="E867" i="1" s="1"/>
  <c r="L867" i="1" s="1"/>
  <c r="H867" i="1"/>
  <c r="I867" i="1" s="1"/>
  <c r="J867" i="1" s="1"/>
  <c r="K867" i="1" a="1"/>
  <c r="K867" i="1" s="1"/>
  <c r="H868" i="1"/>
  <c r="I868" i="1" s="1"/>
  <c r="J868" i="1" s="1"/>
  <c r="K868" i="1" a="1"/>
  <c r="K868" i="1" s="1"/>
  <c r="D868" i="1"/>
  <c r="E868" i="1" s="1"/>
  <c r="L868" i="1" s="1"/>
  <c r="D869" i="1"/>
  <c r="E869" i="1" s="1"/>
  <c r="L869" i="1" s="1"/>
  <c r="H869" i="1"/>
  <c r="I869" i="1" s="1"/>
  <c r="J869" i="1" s="1"/>
  <c r="K869" i="1" a="1"/>
  <c r="K869" i="1" s="1"/>
  <c r="H870" i="1"/>
  <c r="I870" i="1" s="1"/>
  <c r="J870" i="1" s="1"/>
  <c r="K870" i="1" a="1"/>
  <c r="K870" i="1" s="1"/>
  <c r="D870" i="1"/>
  <c r="E870" i="1" s="1"/>
  <c r="L870" i="1" s="1"/>
  <c r="D871" i="1"/>
  <c r="E871" i="1" s="1"/>
  <c r="L871" i="1" s="1"/>
  <c r="H871" i="1"/>
  <c r="I871" i="1" s="1"/>
  <c r="J871" i="1" s="1"/>
  <c r="K871" i="1" a="1"/>
  <c r="K871" i="1" s="1"/>
  <c r="H872" i="1"/>
  <c r="I872" i="1" s="1"/>
  <c r="J872" i="1" s="1"/>
  <c r="K872" i="1" a="1"/>
  <c r="K872" i="1" s="1"/>
  <c r="D872" i="1"/>
  <c r="E872" i="1" s="1"/>
  <c r="L872" i="1" s="1"/>
  <c r="D873" i="1"/>
  <c r="E873" i="1" s="1"/>
  <c r="L873" i="1" s="1"/>
  <c r="H873" i="1"/>
  <c r="I873" i="1" s="1"/>
  <c r="J873" i="1" s="1"/>
  <c r="K873" i="1" a="1"/>
  <c r="K873" i="1" s="1"/>
  <c r="H874" i="1"/>
  <c r="I874" i="1" s="1"/>
  <c r="J874" i="1" s="1"/>
  <c r="K874" i="1" a="1"/>
  <c r="K874" i="1" s="1"/>
  <c r="D874" i="1"/>
  <c r="E874" i="1" s="1"/>
  <c r="L874" i="1" s="1"/>
  <c r="H875" i="1"/>
  <c r="I875" i="1" s="1"/>
  <c r="J875" i="1" s="1"/>
  <c r="K875" i="1" a="1"/>
  <c r="K875" i="1" s="1"/>
  <c r="D875" i="1"/>
  <c r="E875" i="1" s="1"/>
  <c r="L875" i="1" s="1"/>
  <c r="D876" i="1"/>
  <c r="E876" i="1" s="1"/>
  <c r="L876" i="1" s="1"/>
  <c r="H876" i="1"/>
  <c r="I876" i="1" s="1"/>
  <c r="J876" i="1" s="1"/>
  <c r="K876" i="1" a="1"/>
  <c r="K876" i="1" s="1"/>
  <c r="D877" i="1"/>
  <c r="E877" i="1" s="1"/>
  <c r="L877" i="1" s="1"/>
  <c r="H877" i="1"/>
  <c r="I877" i="1" s="1"/>
  <c r="J877" i="1" s="1"/>
  <c r="K877" i="1" a="1"/>
  <c r="K877" i="1" s="1"/>
  <c r="H878" i="1"/>
  <c r="I878" i="1" s="1"/>
  <c r="J878" i="1" s="1"/>
  <c r="K878" i="1" a="1"/>
  <c r="K878" i="1" s="1"/>
  <c r="D878" i="1"/>
  <c r="E878" i="1" s="1"/>
  <c r="L878" i="1" s="1"/>
  <c r="H879" i="1"/>
  <c r="I879" i="1" s="1"/>
  <c r="J879" i="1" s="1"/>
  <c r="K879" i="1" a="1"/>
  <c r="K879" i="1" s="1"/>
  <c r="D879" i="1"/>
  <c r="E879" i="1" s="1"/>
  <c r="L879" i="1" s="1"/>
  <c r="D880" i="1"/>
  <c r="E880" i="1" s="1"/>
  <c r="L880" i="1" s="1"/>
  <c r="H880" i="1"/>
  <c r="I880" i="1" s="1"/>
  <c r="J880" i="1" s="1"/>
  <c r="K880" i="1" a="1"/>
  <c r="K880" i="1" s="1"/>
  <c r="D881" i="1"/>
  <c r="E881" i="1" s="1"/>
  <c r="L881" i="1" s="1"/>
  <c r="H881" i="1"/>
  <c r="I881" i="1" s="1"/>
  <c r="J881" i="1" s="1"/>
  <c r="K881" i="1" a="1"/>
  <c r="K881" i="1" s="1"/>
  <c r="D882" i="1"/>
  <c r="E882" i="1" s="1"/>
  <c r="L882" i="1" s="1"/>
  <c r="H882" i="1"/>
  <c r="I882" i="1" s="1"/>
  <c r="J882" i="1" s="1"/>
  <c r="K882" i="1" a="1"/>
  <c r="K882" i="1" s="1"/>
  <c r="H883" i="1"/>
  <c r="I883" i="1" s="1"/>
  <c r="J883" i="1" s="1"/>
  <c r="K883" i="1" a="1"/>
  <c r="K883" i="1" s="1"/>
  <c r="D883" i="1"/>
  <c r="E883" i="1" s="1"/>
  <c r="L883" i="1" s="1"/>
  <c r="D884" i="1"/>
  <c r="E884" i="1" s="1"/>
  <c r="L884" i="1" s="1"/>
  <c r="H884" i="1"/>
  <c r="I884" i="1" s="1"/>
  <c r="J884" i="1" s="1"/>
  <c r="K884" i="1" a="1"/>
  <c r="K884" i="1" s="1"/>
  <c r="H885" i="1"/>
  <c r="I885" i="1" s="1"/>
  <c r="J885" i="1" s="1"/>
  <c r="K885" i="1" a="1"/>
  <c r="K885" i="1" s="1"/>
  <c r="D885" i="1"/>
  <c r="E885" i="1" s="1"/>
  <c r="L885" i="1" s="1"/>
  <c r="D886" i="1"/>
  <c r="E886" i="1" s="1"/>
  <c r="L886" i="1" s="1"/>
  <c r="H886" i="1"/>
  <c r="I886" i="1" s="1"/>
  <c r="J886" i="1" s="1"/>
  <c r="K886" i="1" a="1"/>
  <c r="K886" i="1" s="1"/>
  <c r="D887" i="1"/>
  <c r="E887" i="1" s="1"/>
  <c r="L887" i="1" s="1"/>
  <c r="H887" i="1"/>
  <c r="I887" i="1" s="1"/>
  <c r="J887" i="1" s="1"/>
  <c r="K887" i="1" a="1"/>
  <c r="K887" i="1" s="1"/>
  <c r="D888" i="1"/>
  <c r="E888" i="1" s="1"/>
  <c r="L888" i="1" s="1"/>
  <c r="H888" i="1"/>
  <c r="I888" i="1" s="1"/>
  <c r="J888" i="1" s="1"/>
  <c r="K888" i="1" a="1"/>
  <c r="K888" i="1" s="1"/>
  <c r="D889" i="1"/>
  <c r="E889" i="1" s="1"/>
  <c r="L889" i="1" s="1"/>
  <c r="H889" i="1"/>
  <c r="I889" i="1" s="1"/>
  <c r="J889" i="1" s="1"/>
  <c r="K889" i="1" a="1"/>
  <c r="K889" i="1" s="1"/>
  <c r="H890" i="1"/>
  <c r="I890" i="1" s="1"/>
  <c r="J890" i="1" s="1"/>
  <c r="K890" i="1" a="1"/>
  <c r="K890" i="1" s="1"/>
  <c r="D890" i="1"/>
  <c r="E890" i="1" s="1"/>
  <c r="L890" i="1" s="1"/>
  <c r="D891" i="1"/>
  <c r="E891" i="1" s="1"/>
  <c r="L891" i="1" s="1"/>
  <c r="H891" i="1"/>
  <c r="I891" i="1" s="1"/>
  <c r="J891" i="1" s="1"/>
  <c r="K891" i="1" a="1"/>
  <c r="K891" i="1" s="1"/>
  <c r="H892" i="1"/>
  <c r="I892" i="1" s="1"/>
  <c r="J892" i="1" s="1"/>
  <c r="K892" i="1" a="1"/>
  <c r="K892" i="1" s="1"/>
  <c r="D892" i="1"/>
  <c r="E892" i="1" s="1"/>
  <c r="L892" i="1" s="1"/>
  <c r="H893" i="1"/>
  <c r="I893" i="1" s="1"/>
  <c r="J893" i="1" s="1"/>
  <c r="K893" i="1" a="1"/>
  <c r="K893" i="1" s="1"/>
  <c r="D893" i="1"/>
  <c r="E893" i="1" s="1"/>
  <c r="L893" i="1" s="1"/>
  <c r="H894" i="1"/>
  <c r="I894" i="1" s="1"/>
  <c r="J894" i="1" s="1"/>
  <c r="K894" i="1" a="1"/>
  <c r="K894" i="1" s="1"/>
  <c r="D894" i="1"/>
  <c r="E894" i="1" s="1"/>
  <c r="L894" i="1" s="1"/>
  <c r="D895" i="1"/>
  <c r="E895" i="1" s="1"/>
  <c r="L895" i="1" s="1"/>
  <c r="H895" i="1"/>
  <c r="I895" i="1" s="1"/>
  <c r="J895" i="1" s="1"/>
  <c r="K895" i="1" a="1"/>
  <c r="K895" i="1" s="1"/>
  <c r="H896" i="1"/>
  <c r="I896" i="1" s="1"/>
  <c r="J896" i="1" s="1"/>
  <c r="K896" i="1" a="1"/>
  <c r="K896" i="1" s="1"/>
  <c r="D896" i="1"/>
  <c r="E896" i="1" s="1"/>
  <c r="L896" i="1" s="1"/>
  <c r="D897" i="1"/>
  <c r="E897" i="1" s="1"/>
  <c r="L897" i="1" s="1"/>
  <c r="H897" i="1"/>
  <c r="I897" i="1" s="1"/>
  <c r="J897" i="1" s="1"/>
  <c r="K897" i="1" a="1"/>
  <c r="K897" i="1" s="1"/>
  <c r="H898" i="1"/>
  <c r="I898" i="1" s="1"/>
  <c r="J898" i="1" s="1"/>
  <c r="K898" i="1" a="1"/>
  <c r="K898" i="1" s="1"/>
  <c r="D898" i="1"/>
  <c r="E898" i="1" s="1"/>
  <c r="L898" i="1" s="1"/>
  <c r="H899" i="1"/>
  <c r="I899" i="1" s="1"/>
  <c r="J899" i="1" s="1"/>
  <c r="K899" i="1" a="1"/>
  <c r="K899" i="1" s="1"/>
  <c r="D899" i="1"/>
  <c r="E899" i="1" s="1"/>
  <c r="L899" i="1" s="1"/>
  <c r="H900" i="1"/>
  <c r="I900" i="1" s="1"/>
  <c r="J900" i="1" s="1"/>
  <c r="K900" i="1" a="1"/>
  <c r="K900" i="1" s="1"/>
  <c r="D900" i="1"/>
  <c r="E900" i="1" s="1"/>
  <c r="L900" i="1" s="1"/>
  <c r="H901" i="1"/>
  <c r="I901" i="1" s="1"/>
  <c r="J901" i="1" s="1"/>
  <c r="K901" i="1" a="1"/>
  <c r="K901" i="1" s="1"/>
  <c r="D901" i="1"/>
  <c r="E901" i="1" s="1"/>
  <c r="L901" i="1" s="1"/>
  <c r="H902" i="1"/>
  <c r="I902" i="1" s="1"/>
  <c r="J902" i="1" s="1"/>
  <c r="K902" i="1" a="1"/>
  <c r="K902" i="1" s="1"/>
  <c r="D902" i="1"/>
  <c r="E902" i="1" s="1"/>
  <c r="L902" i="1" s="1"/>
  <c r="H903" i="1"/>
  <c r="I903" i="1" s="1"/>
  <c r="J903" i="1" s="1"/>
  <c r="K903" i="1" a="1"/>
  <c r="K903" i="1" s="1"/>
  <c r="D903" i="1"/>
  <c r="E903" i="1" s="1"/>
  <c r="L903" i="1" s="1"/>
  <c r="D904" i="1"/>
  <c r="E904" i="1" s="1"/>
  <c r="L904" i="1" s="1"/>
  <c r="H904" i="1"/>
  <c r="I904" i="1" s="1"/>
  <c r="J904" i="1" s="1"/>
  <c r="K904" i="1" a="1"/>
  <c r="K904" i="1" s="1"/>
  <c r="H905" i="1"/>
  <c r="I905" i="1" s="1"/>
  <c r="J905" i="1" s="1"/>
  <c r="K905" i="1" a="1"/>
  <c r="K905" i="1" s="1"/>
  <c r="D905" i="1"/>
  <c r="E905" i="1" s="1"/>
  <c r="L905" i="1" s="1"/>
  <c r="H906" i="1"/>
  <c r="I906" i="1" s="1"/>
  <c r="J906" i="1" s="1"/>
  <c r="K906" i="1" a="1"/>
  <c r="K906" i="1" s="1"/>
  <c r="D906" i="1"/>
  <c r="E906" i="1" s="1"/>
  <c r="L906" i="1" s="1"/>
  <c r="H907" i="1"/>
  <c r="I907" i="1" s="1"/>
  <c r="J907" i="1" s="1"/>
  <c r="K907" i="1" a="1"/>
  <c r="K907" i="1" s="1"/>
  <c r="D907" i="1"/>
  <c r="E907" i="1" s="1"/>
  <c r="L907" i="1" s="1"/>
  <c r="D908" i="1"/>
  <c r="E908" i="1" s="1"/>
  <c r="L908" i="1" s="1"/>
  <c r="H908" i="1"/>
  <c r="I908" i="1" s="1"/>
  <c r="J908" i="1" s="1"/>
  <c r="K908" i="1" a="1"/>
  <c r="K908" i="1" s="1"/>
  <c r="D909" i="1"/>
  <c r="E909" i="1" s="1"/>
  <c r="L909" i="1" s="1"/>
  <c r="H909" i="1"/>
  <c r="I909" i="1" s="1"/>
  <c r="J909" i="1" s="1"/>
  <c r="K909" i="1" a="1"/>
  <c r="K909" i="1" s="1"/>
  <c r="H910" i="1"/>
  <c r="I910" i="1" s="1"/>
  <c r="J910" i="1" s="1"/>
  <c r="K910" i="1" a="1"/>
  <c r="K910" i="1" s="1"/>
  <c r="D910" i="1"/>
  <c r="E910" i="1" s="1"/>
  <c r="L910" i="1" s="1"/>
  <c r="D911" i="1"/>
  <c r="E911" i="1" s="1"/>
  <c r="L911" i="1" s="1"/>
  <c r="H911" i="1"/>
  <c r="I911" i="1" s="1"/>
  <c r="J911" i="1" s="1"/>
  <c r="K911" i="1" a="1"/>
  <c r="K911" i="1" s="1"/>
  <c r="H912" i="1"/>
  <c r="I912" i="1" s="1"/>
  <c r="J912" i="1" s="1"/>
  <c r="K912" i="1" a="1"/>
  <c r="K912" i="1" s="1"/>
  <c r="D912" i="1"/>
  <c r="E912" i="1" s="1"/>
  <c r="L912" i="1" s="1"/>
  <c r="H913" i="1"/>
  <c r="I913" i="1" s="1"/>
  <c r="J913" i="1" s="1"/>
  <c r="K913" i="1" a="1"/>
  <c r="K913" i="1" s="1"/>
  <c r="D913" i="1"/>
  <c r="E913" i="1" s="1"/>
  <c r="L913" i="1" s="1"/>
  <c r="D914" i="1"/>
  <c r="E914" i="1" s="1"/>
  <c r="L914" i="1" s="1"/>
  <c r="H914" i="1"/>
  <c r="I914" i="1" s="1"/>
  <c r="J914" i="1" s="1"/>
  <c r="K914" i="1" a="1"/>
  <c r="K914" i="1" s="1"/>
  <c r="D915" i="1"/>
  <c r="E915" i="1" s="1"/>
  <c r="L915" i="1" s="1"/>
  <c r="H915" i="1"/>
  <c r="I915" i="1" s="1"/>
  <c r="J915" i="1" s="1"/>
  <c r="K915" i="1" a="1"/>
  <c r="K915" i="1" s="1"/>
  <c r="H916" i="1"/>
  <c r="I916" i="1" s="1"/>
  <c r="J916" i="1" s="1"/>
  <c r="K916" i="1" a="1"/>
  <c r="K916" i="1" s="1"/>
  <c r="D916" i="1"/>
  <c r="E916" i="1" s="1"/>
  <c r="L916" i="1" s="1"/>
  <c r="H917" i="1"/>
  <c r="I917" i="1" s="1"/>
  <c r="J917" i="1" s="1"/>
  <c r="K917" i="1" a="1"/>
  <c r="K917" i="1" s="1"/>
  <c r="D917" i="1"/>
  <c r="E917" i="1" s="1"/>
  <c r="L917" i="1" s="1"/>
  <c r="H918" i="1"/>
  <c r="I918" i="1" s="1"/>
  <c r="J918" i="1" s="1"/>
  <c r="K918" i="1" a="1"/>
  <c r="K918" i="1" s="1"/>
  <c r="D918" i="1"/>
  <c r="E918" i="1" s="1"/>
  <c r="L918" i="1" s="1"/>
  <c r="H919" i="1"/>
  <c r="I919" i="1" s="1"/>
  <c r="J919" i="1" s="1"/>
  <c r="K919" i="1" a="1"/>
  <c r="K919" i="1" s="1"/>
  <c r="D919" i="1"/>
  <c r="E919" i="1" s="1"/>
  <c r="L919" i="1" s="1"/>
  <c r="H920" i="1"/>
  <c r="I920" i="1" s="1"/>
  <c r="J920" i="1" s="1"/>
  <c r="K920" i="1" a="1"/>
  <c r="K920" i="1" s="1"/>
  <c r="D920" i="1"/>
  <c r="E920" i="1" s="1"/>
  <c r="L920" i="1" s="1"/>
  <c r="D921" i="1"/>
  <c r="E921" i="1" s="1"/>
  <c r="L921" i="1" s="1"/>
  <c r="H921" i="1"/>
  <c r="I921" i="1" s="1"/>
  <c r="J921" i="1" s="1"/>
  <c r="K921" i="1" a="1"/>
  <c r="K921" i="1" s="1"/>
  <c r="H922" i="1"/>
  <c r="I922" i="1" s="1"/>
  <c r="J922" i="1" s="1"/>
  <c r="K922" i="1" a="1"/>
  <c r="K922" i="1" s="1"/>
  <c r="D922" i="1"/>
  <c r="E922" i="1" s="1"/>
  <c r="L922" i="1" s="1"/>
  <c r="H923" i="1"/>
  <c r="I923" i="1" s="1"/>
  <c r="J923" i="1" s="1"/>
  <c r="K923" i="1" a="1"/>
  <c r="K923" i="1" s="1"/>
  <c r="D923" i="1"/>
  <c r="E923" i="1" s="1"/>
  <c r="L923" i="1" s="1"/>
  <c r="H924" i="1"/>
  <c r="I924" i="1" s="1"/>
  <c r="J924" i="1" s="1"/>
  <c r="K924" i="1" a="1"/>
  <c r="K924" i="1" s="1"/>
  <c r="D924" i="1"/>
  <c r="E924" i="1" s="1"/>
  <c r="L924" i="1" s="1"/>
  <c r="H925" i="1"/>
  <c r="I925" i="1" s="1"/>
  <c r="J925" i="1" s="1"/>
  <c r="K925" i="1" a="1"/>
  <c r="K925" i="1" s="1"/>
  <c r="D925" i="1"/>
  <c r="E925" i="1" s="1"/>
  <c r="L925" i="1" s="1"/>
  <c r="H926" i="1"/>
  <c r="I926" i="1" s="1"/>
  <c r="J926" i="1" s="1"/>
  <c r="K926" i="1" a="1"/>
  <c r="K926" i="1" s="1"/>
  <c r="D926" i="1"/>
  <c r="E926" i="1" s="1"/>
  <c r="L926" i="1" s="1"/>
  <c r="D927" i="1"/>
  <c r="E927" i="1" s="1"/>
  <c r="L927" i="1" s="1"/>
  <c r="H927" i="1"/>
  <c r="I927" i="1" s="1"/>
  <c r="J927" i="1" s="1"/>
  <c r="K927" i="1" a="1"/>
  <c r="K927" i="1" s="1"/>
  <c r="D928" i="1"/>
  <c r="E928" i="1" s="1"/>
  <c r="L928" i="1" s="1"/>
  <c r="H928" i="1"/>
  <c r="I928" i="1" s="1"/>
  <c r="J928" i="1" s="1"/>
  <c r="K928" i="1" a="1"/>
  <c r="K928" i="1" s="1"/>
  <c r="H929" i="1"/>
  <c r="I929" i="1" s="1"/>
  <c r="J929" i="1" s="1"/>
  <c r="K929" i="1" a="1"/>
  <c r="K929" i="1" s="1"/>
  <c r="D929" i="1"/>
  <c r="E929" i="1" s="1"/>
  <c r="L929" i="1" s="1"/>
  <c r="D930" i="1"/>
  <c r="E930" i="1" s="1"/>
  <c r="L930" i="1" s="1"/>
  <c r="H930" i="1"/>
  <c r="I930" i="1" s="1"/>
  <c r="J930" i="1" s="1"/>
  <c r="K930" i="1" a="1"/>
  <c r="K930" i="1" s="1"/>
  <c r="D931" i="1"/>
  <c r="E931" i="1" s="1"/>
  <c r="L931" i="1" s="1"/>
  <c r="H931" i="1"/>
  <c r="I931" i="1" s="1"/>
  <c r="J931" i="1" s="1"/>
  <c r="K931" i="1" a="1"/>
  <c r="K931" i="1" s="1"/>
  <c r="D932" i="1"/>
  <c r="E932" i="1" s="1"/>
  <c r="L932" i="1" s="1"/>
  <c r="H932" i="1"/>
  <c r="I932" i="1" s="1"/>
  <c r="J932" i="1" s="1"/>
  <c r="K932" i="1" a="1"/>
  <c r="K932" i="1" s="1"/>
  <c r="D933" i="1"/>
  <c r="E933" i="1" s="1"/>
  <c r="L933" i="1" s="1"/>
  <c r="H933" i="1"/>
  <c r="I933" i="1" s="1"/>
  <c r="J933" i="1" s="1"/>
  <c r="K933" i="1" a="1"/>
  <c r="K933" i="1" s="1"/>
  <c r="H934" i="1"/>
  <c r="I934" i="1" s="1"/>
  <c r="J934" i="1" s="1"/>
  <c r="K934" i="1" a="1"/>
  <c r="K934" i="1" s="1"/>
  <c r="D934" i="1"/>
  <c r="E934" i="1" s="1"/>
  <c r="L934" i="1" s="1"/>
  <c r="H935" i="1"/>
  <c r="I935" i="1" s="1"/>
  <c r="J935" i="1" s="1"/>
  <c r="K935" i="1" a="1"/>
  <c r="K935" i="1" s="1"/>
  <c r="D935" i="1"/>
  <c r="E935" i="1" s="1"/>
  <c r="L935" i="1" s="1"/>
  <c r="H936" i="1"/>
  <c r="I936" i="1" s="1"/>
  <c r="J936" i="1" s="1"/>
  <c r="K936" i="1" a="1"/>
  <c r="K936" i="1" s="1"/>
  <c r="D936" i="1"/>
  <c r="E936" i="1" s="1"/>
  <c r="L936" i="1" s="1"/>
  <c r="H937" i="1"/>
  <c r="I937" i="1" s="1"/>
  <c r="J937" i="1" s="1"/>
  <c r="K937" i="1" a="1"/>
  <c r="K937" i="1" s="1"/>
  <c r="D937" i="1"/>
  <c r="E937" i="1" s="1"/>
  <c r="L937" i="1" s="1"/>
  <c r="D938" i="1"/>
  <c r="E938" i="1" s="1"/>
  <c r="L938" i="1" s="1"/>
  <c r="H938" i="1"/>
  <c r="I938" i="1" s="1"/>
  <c r="J938" i="1" s="1"/>
  <c r="K938" i="1" a="1"/>
  <c r="K938" i="1" s="1"/>
  <c r="H939" i="1"/>
  <c r="I939" i="1" s="1"/>
  <c r="J939" i="1" s="1"/>
  <c r="K939" i="1" a="1"/>
  <c r="K939" i="1" s="1"/>
  <c r="D939" i="1"/>
  <c r="E939" i="1" s="1"/>
  <c r="L939" i="1" s="1"/>
  <c r="D940" i="1"/>
  <c r="E940" i="1" s="1"/>
  <c r="L940" i="1" s="1"/>
  <c r="H940" i="1"/>
  <c r="I940" i="1" s="1"/>
  <c r="J940" i="1" s="1"/>
  <c r="K940" i="1" a="1"/>
  <c r="K940" i="1" s="1"/>
  <c r="D941" i="1"/>
  <c r="E941" i="1" s="1"/>
  <c r="L941" i="1" s="1"/>
  <c r="H941" i="1"/>
  <c r="I941" i="1" s="1"/>
  <c r="J941" i="1" s="1"/>
  <c r="K941" i="1" a="1"/>
  <c r="K941" i="1" s="1"/>
  <c r="H942" i="1"/>
  <c r="I942" i="1" s="1"/>
  <c r="J942" i="1" s="1"/>
  <c r="K942" i="1" a="1"/>
  <c r="K942" i="1" s="1"/>
  <c r="D942" i="1"/>
  <c r="E942" i="1" s="1"/>
  <c r="L942" i="1" s="1"/>
  <c r="H943" i="1"/>
  <c r="I943" i="1" s="1"/>
  <c r="J943" i="1" s="1"/>
  <c r="K943" i="1" a="1"/>
  <c r="K943" i="1" s="1"/>
  <c r="D943" i="1"/>
  <c r="E943" i="1" s="1"/>
  <c r="L943" i="1" s="1"/>
  <c r="H944" i="1"/>
  <c r="I944" i="1" s="1"/>
  <c r="J944" i="1" s="1"/>
  <c r="K944" i="1" a="1"/>
  <c r="K944" i="1" s="1"/>
  <c r="D944" i="1"/>
  <c r="E944" i="1" s="1"/>
  <c r="L944" i="1" s="1"/>
  <c r="H945" i="1"/>
  <c r="I945" i="1" s="1"/>
  <c r="J945" i="1" s="1"/>
  <c r="K945" i="1" a="1"/>
  <c r="K945" i="1" s="1"/>
  <c r="D945" i="1"/>
  <c r="E945" i="1" s="1"/>
  <c r="L945" i="1" s="1"/>
  <c r="H946" i="1"/>
  <c r="I946" i="1" s="1"/>
  <c r="J946" i="1" s="1"/>
  <c r="K946" i="1" a="1"/>
  <c r="K946" i="1" s="1"/>
  <c r="D946" i="1"/>
  <c r="E946" i="1" s="1"/>
  <c r="L946" i="1" s="1"/>
  <c r="H947" i="1"/>
  <c r="I947" i="1" s="1"/>
  <c r="J947" i="1" s="1"/>
  <c r="K947" i="1" a="1"/>
  <c r="K947" i="1" s="1"/>
  <c r="D947" i="1"/>
  <c r="E947" i="1" s="1"/>
  <c r="L947" i="1" s="1"/>
  <c r="H948" i="1"/>
  <c r="I948" i="1" s="1"/>
  <c r="J948" i="1" s="1"/>
  <c r="K948" i="1" a="1"/>
  <c r="K948" i="1" s="1"/>
  <c r="D948" i="1"/>
  <c r="E948" i="1" s="1"/>
  <c r="L948" i="1" s="1"/>
  <c r="H949" i="1"/>
  <c r="I949" i="1" s="1"/>
  <c r="J949" i="1" s="1"/>
  <c r="K949" i="1" a="1"/>
  <c r="K949" i="1" s="1"/>
  <c r="D949" i="1"/>
  <c r="E949" i="1" s="1"/>
  <c r="L949" i="1" s="1"/>
  <c r="H950" i="1"/>
  <c r="I950" i="1" s="1"/>
  <c r="J950" i="1" s="1"/>
  <c r="K950" i="1" a="1"/>
  <c r="K950" i="1" s="1"/>
  <c r="D950" i="1"/>
  <c r="E950" i="1" s="1"/>
  <c r="L950" i="1" s="1"/>
  <c r="H951" i="1"/>
  <c r="I951" i="1" s="1"/>
  <c r="J951" i="1" s="1"/>
  <c r="K951" i="1" a="1"/>
  <c r="K951" i="1" s="1"/>
  <c r="D951" i="1"/>
  <c r="E951" i="1" s="1"/>
  <c r="L951" i="1" s="1"/>
  <c r="H952" i="1"/>
  <c r="I952" i="1" s="1"/>
  <c r="J952" i="1" s="1"/>
  <c r="K952" i="1" a="1"/>
  <c r="K952" i="1" s="1"/>
  <c r="D952" i="1"/>
  <c r="E952" i="1" s="1"/>
  <c r="L952" i="1" s="1"/>
  <c r="H953" i="1"/>
  <c r="I953" i="1" s="1"/>
  <c r="J953" i="1" s="1"/>
  <c r="K953" i="1" a="1"/>
  <c r="K953" i="1" s="1"/>
  <c r="D953" i="1"/>
  <c r="E953" i="1" s="1"/>
  <c r="L953" i="1" s="1"/>
  <c r="H954" i="1"/>
  <c r="I954" i="1" s="1"/>
  <c r="J954" i="1" s="1"/>
  <c r="K954" i="1" a="1"/>
  <c r="K954" i="1" s="1"/>
  <c r="D954" i="1"/>
  <c r="E954" i="1" s="1"/>
  <c r="L954" i="1" s="1"/>
  <c r="D955" i="1"/>
  <c r="E955" i="1" s="1"/>
  <c r="L955" i="1" s="1"/>
  <c r="H955" i="1"/>
  <c r="I955" i="1" s="1"/>
  <c r="J955" i="1" s="1"/>
  <c r="K955" i="1" a="1"/>
  <c r="K955" i="1" s="1"/>
  <c r="D956" i="1"/>
  <c r="E956" i="1" s="1"/>
  <c r="L956" i="1" s="1"/>
  <c r="H956" i="1"/>
  <c r="I956" i="1" s="1"/>
  <c r="J956" i="1" s="1"/>
  <c r="K956" i="1" a="1"/>
  <c r="K956" i="1" s="1"/>
  <c r="D957" i="1"/>
  <c r="E957" i="1" s="1"/>
  <c r="L957" i="1" s="1"/>
  <c r="H957" i="1"/>
  <c r="I957" i="1" s="1"/>
  <c r="J957" i="1" s="1"/>
  <c r="K957" i="1" a="1"/>
  <c r="K957" i="1" s="1"/>
  <c r="D958" i="1"/>
  <c r="E958" i="1" s="1"/>
  <c r="L958" i="1" s="1"/>
  <c r="H958" i="1"/>
  <c r="I958" i="1" s="1"/>
  <c r="J958" i="1" s="1"/>
  <c r="K958" i="1" a="1"/>
  <c r="K958" i="1" s="1"/>
  <c r="D959" i="1"/>
  <c r="E959" i="1" s="1"/>
  <c r="L959" i="1" s="1"/>
  <c r="H959" i="1"/>
  <c r="I959" i="1" s="1"/>
  <c r="J959" i="1" s="1"/>
  <c r="K959" i="1" a="1"/>
  <c r="K959" i="1" s="1"/>
  <c r="H960" i="1"/>
  <c r="I960" i="1" s="1"/>
  <c r="J960" i="1" s="1"/>
  <c r="K960" i="1" a="1"/>
  <c r="K960" i="1" s="1"/>
  <c r="D960" i="1"/>
  <c r="E960" i="1" s="1"/>
  <c r="L960" i="1" s="1"/>
  <c r="D961" i="1"/>
  <c r="E961" i="1" s="1"/>
  <c r="L961" i="1" s="1"/>
  <c r="H961" i="1"/>
  <c r="I961" i="1" s="1"/>
  <c r="J961" i="1" s="1"/>
  <c r="K961" i="1" a="1"/>
  <c r="K961" i="1" s="1"/>
  <c r="H962" i="1"/>
  <c r="I962" i="1" s="1"/>
  <c r="J962" i="1" s="1"/>
  <c r="K962" i="1" a="1"/>
  <c r="K962" i="1" s="1"/>
  <c r="D962" i="1"/>
  <c r="E962" i="1" s="1"/>
  <c r="L962" i="1" s="1"/>
  <c r="D963" i="1"/>
  <c r="E963" i="1" s="1"/>
  <c r="L963" i="1" s="1"/>
  <c r="H963" i="1"/>
  <c r="I963" i="1" s="1"/>
  <c r="J963" i="1" s="1"/>
  <c r="K963" i="1" a="1"/>
  <c r="K963" i="1" s="1"/>
  <c r="D964" i="1"/>
  <c r="E964" i="1" s="1"/>
  <c r="L964" i="1" s="1"/>
  <c r="H964" i="1"/>
  <c r="I964" i="1" s="1"/>
  <c r="J964" i="1" s="1"/>
  <c r="K964" i="1" a="1"/>
  <c r="K964" i="1" s="1"/>
  <c r="D965" i="1"/>
  <c r="E965" i="1" s="1"/>
  <c r="L965" i="1" s="1"/>
  <c r="H965" i="1"/>
  <c r="I965" i="1" s="1"/>
  <c r="J965" i="1" s="1"/>
  <c r="K965" i="1" a="1"/>
  <c r="K965" i="1" s="1"/>
  <c r="D966" i="1"/>
  <c r="E966" i="1" s="1"/>
  <c r="L966" i="1" s="1"/>
  <c r="H966" i="1"/>
  <c r="I966" i="1" s="1"/>
  <c r="J966" i="1" s="1"/>
  <c r="K966" i="1" a="1"/>
  <c r="K966" i="1" s="1"/>
  <c r="D967" i="1"/>
  <c r="E967" i="1" s="1"/>
  <c r="L967" i="1" s="1"/>
  <c r="H967" i="1"/>
  <c r="I967" i="1" s="1"/>
  <c r="J967" i="1" s="1"/>
  <c r="K967" i="1" a="1"/>
  <c r="K967" i="1" s="1"/>
  <c r="D968" i="1"/>
  <c r="E968" i="1" s="1"/>
  <c r="L968" i="1" s="1"/>
  <c r="H968" i="1"/>
  <c r="I968" i="1" s="1"/>
  <c r="J968" i="1" s="1"/>
  <c r="K968" i="1" a="1"/>
  <c r="K968" i="1" s="1"/>
  <c r="D969" i="1"/>
  <c r="E969" i="1" s="1"/>
  <c r="L969" i="1" s="1"/>
  <c r="H969" i="1"/>
  <c r="I969" i="1" s="1"/>
  <c r="J969" i="1" s="1"/>
  <c r="K969" i="1" a="1"/>
  <c r="K969" i="1" s="1"/>
  <c r="H970" i="1"/>
  <c r="I970" i="1" s="1"/>
  <c r="J970" i="1" s="1"/>
  <c r="K970" i="1" a="1"/>
  <c r="K970" i="1" s="1"/>
  <c r="D970" i="1"/>
  <c r="E970" i="1" s="1"/>
  <c r="L970" i="1" s="1"/>
  <c r="H971" i="1"/>
  <c r="I971" i="1" s="1"/>
  <c r="J971" i="1" s="1"/>
  <c r="K971" i="1" a="1"/>
  <c r="K971" i="1" s="1"/>
  <c r="D971" i="1"/>
  <c r="E971" i="1" s="1"/>
  <c r="L971" i="1" s="1"/>
  <c r="H972" i="1"/>
  <c r="I972" i="1" s="1"/>
  <c r="J972" i="1" s="1"/>
  <c r="K972" i="1" a="1"/>
  <c r="K972" i="1" s="1"/>
  <c r="D972" i="1"/>
  <c r="E972" i="1" s="1"/>
  <c r="L972" i="1" s="1"/>
  <c r="H973" i="1"/>
  <c r="I973" i="1" s="1"/>
  <c r="J973" i="1" s="1"/>
  <c r="K973" i="1" a="1"/>
  <c r="K973" i="1" s="1"/>
  <c r="D973" i="1"/>
  <c r="E973" i="1" s="1"/>
  <c r="L973" i="1" s="1"/>
  <c r="H974" i="1"/>
  <c r="I974" i="1" s="1"/>
  <c r="J974" i="1" s="1"/>
  <c r="K974" i="1" a="1"/>
  <c r="K974" i="1" s="1"/>
  <c r="D974" i="1"/>
  <c r="E974" i="1" s="1"/>
  <c r="L974" i="1" s="1"/>
  <c r="H975" i="1"/>
  <c r="I975" i="1" s="1"/>
  <c r="J975" i="1" s="1"/>
  <c r="K975" i="1" a="1"/>
  <c r="K975" i="1" s="1"/>
  <c r="D975" i="1"/>
  <c r="E975" i="1" s="1"/>
  <c r="L975" i="1" s="1"/>
  <c r="H976" i="1"/>
  <c r="I976" i="1" s="1"/>
  <c r="J976" i="1" s="1"/>
  <c r="K976" i="1" a="1"/>
  <c r="K976" i="1" s="1"/>
  <c r="D976" i="1"/>
  <c r="E976" i="1" s="1"/>
  <c r="L976" i="1" s="1"/>
  <c r="H977" i="1"/>
  <c r="I977" i="1" s="1"/>
  <c r="J977" i="1" s="1"/>
  <c r="K977" i="1" a="1"/>
  <c r="K977" i="1" s="1"/>
  <c r="D977" i="1"/>
  <c r="E977" i="1" s="1"/>
  <c r="L977" i="1" s="1"/>
  <c r="H978" i="1"/>
  <c r="I978" i="1" s="1"/>
  <c r="J978" i="1" s="1"/>
  <c r="K978" i="1" a="1"/>
  <c r="K978" i="1" s="1"/>
  <c r="D978" i="1"/>
  <c r="E978" i="1" s="1"/>
  <c r="L978" i="1" s="1"/>
  <c r="H979" i="1"/>
  <c r="I979" i="1" s="1"/>
  <c r="J979" i="1" s="1"/>
  <c r="K979" i="1" a="1"/>
  <c r="K979" i="1" s="1"/>
  <c r="D979" i="1"/>
  <c r="E979" i="1" s="1"/>
  <c r="L979" i="1" s="1"/>
  <c r="H980" i="1"/>
  <c r="I980" i="1" s="1"/>
  <c r="J980" i="1" s="1"/>
  <c r="K980" i="1" a="1"/>
  <c r="K980" i="1" s="1"/>
  <c r="D980" i="1"/>
  <c r="E980" i="1" s="1"/>
  <c r="L980" i="1" s="1"/>
  <c r="H981" i="1"/>
  <c r="I981" i="1" s="1"/>
  <c r="J981" i="1" s="1"/>
  <c r="K981" i="1" a="1"/>
  <c r="K981" i="1" s="1"/>
  <c r="D981" i="1"/>
  <c r="E981" i="1" s="1"/>
  <c r="L981" i="1" s="1"/>
  <c r="H982" i="1"/>
  <c r="I982" i="1" s="1"/>
  <c r="J982" i="1" s="1"/>
  <c r="K982" i="1" a="1"/>
  <c r="K982" i="1" s="1"/>
  <c r="D982" i="1"/>
  <c r="E982" i="1" s="1"/>
  <c r="L982" i="1" s="1"/>
  <c r="H983" i="1"/>
  <c r="I983" i="1" s="1"/>
  <c r="J983" i="1" s="1"/>
  <c r="K983" i="1" a="1"/>
  <c r="K983" i="1" s="1"/>
  <c r="D983" i="1"/>
  <c r="E983" i="1" s="1"/>
  <c r="L983" i="1" s="1"/>
  <c r="H984" i="1"/>
  <c r="I984" i="1" s="1"/>
  <c r="J984" i="1" s="1"/>
  <c r="K984" i="1" a="1"/>
  <c r="K984" i="1" s="1"/>
  <c r="D984" i="1"/>
  <c r="E984" i="1" s="1"/>
  <c r="L984" i="1" s="1"/>
  <c r="H985" i="1"/>
  <c r="I985" i="1" s="1"/>
  <c r="J985" i="1" s="1"/>
  <c r="K985" i="1" a="1"/>
  <c r="K985" i="1" s="1"/>
  <c r="D985" i="1"/>
  <c r="E985" i="1" s="1"/>
  <c r="L985" i="1" s="1"/>
  <c r="H986" i="1"/>
  <c r="I986" i="1" s="1"/>
  <c r="J986" i="1" s="1"/>
  <c r="K986" i="1" a="1"/>
  <c r="K986" i="1" s="1"/>
  <c r="D986" i="1"/>
  <c r="E986" i="1" s="1"/>
  <c r="L986" i="1" s="1"/>
  <c r="H987" i="1"/>
  <c r="I987" i="1" s="1"/>
  <c r="J987" i="1" s="1"/>
  <c r="K987" i="1" a="1"/>
  <c r="K987" i="1" s="1"/>
  <c r="D987" i="1"/>
  <c r="E987" i="1" s="1"/>
  <c r="L987" i="1" s="1"/>
  <c r="H988" i="1"/>
  <c r="I988" i="1" s="1"/>
  <c r="J988" i="1" s="1"/>
  <c r="K988" i="1" a="1"/>
  <c r="K988" i="1" s="1"/>
  <c r="D988" i="1"/>
  <c r="E988" i="1" s="1"/>
  <c r="L988" i="1" s="1"/>
  <c r="D989" i="1"/>
  <c r="E989" i="1" s="1"/>
  <c r="L989" i="1" s="1"/>
  <c r="H989" i="1"/>
  <c r="I989" i="1" s="1"/>
  <c r="J989" i="1" s="1"/>
  <c r="K989" i="1" a="1"/>
  <c r="K989" i="1" s="1"/>
  <c r="D990" i="1"/>
  <c r="E990" i="1" s="1"/>
  <c r="L990" i="1" s="1"/>
  <c r="H990" i="1"/>
  <c r="I990" i="1" s="1"/>
  <c r="J990" i="1" s="1"/>
  <c r="K990" i="1" a="1"/>
  <c r="K990" i="1" s="1"/>
  <c r="H991" i="1"/>
  <c r="I991" i="1" s="1"/>
  <c r="J991" i="1" s="1"/>
  <c r="K991" i="1" a="1"/>
  <c r="K991" i="1" s="1"/>
  <c r="D991" i="1"/>
  <c r="E991" i="1" s="1"/>
  <c r="L991" i="1" s="1"/>
  <c r="H992" i="1"/>
  <c r="I992" i="1" s="1"/>
  <c r="J992" i="1" s="1"/>
  <c r="K992" i="1" a="1"/>
  <c r="K992" i="1" s="1"/>
  <c r="D992" i="1"/>
  <c r="E992" i="1" s="1"/>
  <c r="L992" i="1" s="1"/>
  <c r="H993" i="1"/>
  <c r="I993" i="1" s="1"/>
  <c r="J993" i="1" s="1"/>
  <c r="K993" i="1" a="1"/>
  <c r="K993" i="1" s="1"/>
  <c r="D993" i="1"/>
  <c r="E993" i="1" s="1"/>
  <c r="L993" i="1" s="1"/>
  <c r="H994" i="1"/>
  <c r="I994" i="1" s="1"/>
  <c r="J994" i="1" s="1"/>
  <c r="K994" i="1" a="1"/>
  <c r="K994" i="1" s="1"/>
  <c r="D994" i="1"/>
  <c r="E994" i="1" s="1"/>
  <c r="L994" i="1" s="1"/>
  <c r="H995" i="1"/>
  <c r="I995" i="1" s="1"/>
  <c r="J995" i="1" s="1"/>
  <c r="K995" i="1" a="1"/>
  <c r="K995" i="1" s="1"/>
  <c r="D995" i="1"/>
  <c r="E995" i="1" s="1"/>
  <c r="L995" i="1" s="1"/>
  <c r="H996" i="1"/>
  <c r="I996" i="1" s="1"/>
  <c r="J996" i="1" s="1"/>
  <c r="K996" i="1" a="1"/>
  <c r="K996" i="1" s="1"/>
  <c r="D996" i="1"/>
  <c r="E996" i="1" s="1"/>
  <c r="L996" i="1" s="1"/>
  <c r="H997" i="1"/>
  <c r="I997" i="1" s="1"/>
  <c r="J997" i="1" s="1"/>
  <c r="K997" i="1" a="1"/>
  <c r="K997" i="1" s="1"/>
  <c r="D997" i="1"/>
  <c r="E997" i="1" s="1"/>
  <c r="L997" i="1" s="1"/>
  <c r="H998" i="1"/>
  <c r="I998" i="1" s="1"/>
  <c r="J998" i="1" s="1"/>
  <c r="K998" i="1" a="1"/>
  <c r="K998" i="1" s="1"/>
  <c r="D998" i="1"/>
  <c r="E998" i="1" s="1"/>
  <c r="L998" i="1" s="1"/>
  <c r="H999" i="1"/>
  <c r="I999" i="1" s="1"/>
  <c r="J999" i="1" s="1"/>
  <c r="K999" i="1" a="1"/>
  <c r="K999" i="1" s="1"/>
  <c r="D999" i="1"/>
  <c r="E999" i="1" s="1"/>
  <c r="L999" i="1" s="1"/>
  <c r="H1000" i="1"/>
  <c r="I1000" i="1" s="1"/>
  <c r="J1000" i="1" s="1"/>
  <c r="K1000" i="1" a="1"/>
  <c r="K1000" i="1" s="1"/>
  <c r="D1000" i="1"/>
  <c r="E1000" i="1" s="1"/>
  <c r="L1000" i="1" s="1"/>
  <c r="H1001" i="1"/>
  <c r="I1001" i="1" s="1"/>
  <c r="J1001" i="1" s="1"/>
  <c r="K1001" i="1" a="1"/>
  <c r="K1001" i="1" s="1"/>
  <c r="D1001" i="1"/>
  <c r="E1001" i="1" s="1"/>
  <c r="L1001" i="1" s="1"/>
  <c r="H1002" i="1"/>
  <c r="I1002" i="1" s="1"/>
  <c r="J1002" i="1" s="1"/>
  <c r="K1002" i="1" a="1"/>
  <c r="K1002" i="1" s="1"/>
  <c r="D1002" i="1"/>
  <c r="E1002" i="1" s="1"/>
  <c r="L1002" i="1" s="1"/>
  <c r="H1003" i="1"/>
  <c r="I1003" i="1" s="1"/>
  <c r="J1003" i="1" s="1"/>
  <c r="K1003" i="1" a="1"/>
  <c r="K1003" i="1" s="1"/>
  <c r="D1003" i="1"/>
  <c r="E1003" i="1" s="1"/>
  <c r="L1003" i="1" s="1"/>
  <c r="H1004" i="1"/>
  <c r="I1004" i="1" s="1"/>
  <c r="J1004" i="1" s="1"/>
  <c r="K1004" i="1" a="1"/>
  <c r="K1004" i="1" s="1"/>
  <c r="D1004" i="1"/>
  <c r="E1004" i="1" s="1"/>
  <c r="L1004" i="1" s="1"/>
  <c r="H1005" i="1"/>
  <c r="I1005" i="1" s="1"/>
  <c r="J1005" i="1" s="1"/>
  <c r="K1005" i="1" a="1"/>
  <c r="K1005" i="1" s="1"/>
  <c r="D1005" i="1"/>
  <c r="E1005" i="1" s="1"/>
  <c r="L1005" i="1" s="1"/>
  <c r="H16" i="1"/>
  <c r="I16" i="1" s="1"/>
  <c r="J16" i="1" s="1"/>
  <c r="K16" i="1" a="1"/>
  <c r="K16" i="1" s="1"/>
  <c r="D16" i="1"/>
  <c r="E16" i="1" s="1"/>
  <c r="L16" i="1" s="1"/>
  <c r="G10" i="4"/>
  <c r="I11" i="2" s="1"/>
  <c r="S9" i="1" l="1"/>
  <c r="S10" i="1"/>
  <c r="S8" i="1"/>
  <c r="S7" i="1"/>
  <c r="Q30" i="1"/>
  <c r="Q28" i="1"/>
  <c r="Q29" i="1"/>
  <c r="Q27" i="1"/>
  <c r="Q26" i="1"/>
  <c r="I16" i="2" s="1"/>
  <c r="Q25" i="1"/>
  <c r="Q22" i="1"/>
  <c r="Q21" i="1"/>
  <c r="Q20" i="1"/>
  <c r="Q19" i="1"/>
  <c r="Q18" i="1"/>
  <c r="I15" i="2" s="1"/>
  <c r="Q17" i="1"/>
  <c r="C15" i="2" s="1"/>
  <c r="C16" i="2" l="1"/>
  <c r="F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Max Arnoldi</author>
  </authors>
  <commentList>
    <comment ref="B6" authorId="0" shapeId="0" xr:uid="{41845F2D-FA8D-4B37-B53A-BBF56F6CCF55}">
      <text>
        <r>
          <rPr>
            <b/>
            <sz val="9"/>
            <color indexed="81"/>
            <rFont val="Tahoma"/>
            <family val="2"/>
          </rPr>
          <t>Conservative PK/PD extrapolation: +29.3m observed at 23% exposure. Applying saturation correction (levosimendan receptor occupancy plateaus ~40–60% above EC50): 29.3 × (1/0.23) × 0.35 saturation discount ≈ 44m; further discounted to 20m for Phase 2→23 population shift and n=44 small-sample noise. At 20m central effect with σ=60, n=115: SE=7.9m, t≈1.9, p≈0.05 — significance is a real gate.</t>
        </r>
      </text>
    </comment>
    <comment ref="B7" authorId="0" shapeId="0" xr:uid="{D8838489-5F01-4B1F-9E77-8850A50E4937}">
      <text>
        <r>
          <rPr>
            <b/>
            <sz val="9"/>
            <color indexed="81"/>
            <rFont val="Tahoma"/>
            <family val="2"/>
          </rPr>
          <t>Max Arnoldi:</t>
        </r>
        <r>
          <rPr>
            <sz val="9"/>
            <color indexed="81"/>
            <rFont val="Tahoma"/>
            <family val="2"/>
          </rPr>
          <t xml:space="preserve">
Patient-level SD for Δ6MWD (m). Phase 2 backed-out SD ≈ 55–65m from p=0.033 with n=44. Using 60m. Wider than typical NYHA III HF trials (~45m) due to PAH/advanced HF heterogeneity.</t>
        </r>
      </text>
    </comment>
    <comment ref="N7" authorId="0" shapeId="0" xr:uid="{FE521430-CF7A-4B2E-90E1-7F8466B6546C}">
      <text>
        <r>
          <rPr>
            <b/>
            <sz val="9"/>
            <color indexed="81"/>
            <rFont val="Tahoma"/>
            <family val="2"/>
          </rPr>
          <t>Bayesian prior mean μP = 25m. Slightly more optimistic than conservative frequentist (20m) — reflects that the mechanistic explanation (PK/PD trough timing) is strong, so the prior leans toward the upper end of the plausible range.</t>
        </r>
      </text>
    </comment>
    <comment ref="B8" authorId="0" shapeId="0" xr:uid="{2A9AA626-8F79-4859-8162-49EC9FD98EA9}">
      <text>
        <r>
          <rPr>
            <b/>
            <sz val="9"/>
            <color indexed="81"/>
            <rFont val="Tahoma"/>
            <family val="2"/>
          </rPr>
          <t>Max Arnoldi:</t>
        </r>
        <r>
          <rPr>
            <sz val="9"/>
            <color indexed="81"/>
            <rFont val="Tahoma"/>
            <family val="2"/>
          </rPr>
          <t xml:space="preserve">
Assumed placebo mean Δ6MWD (m). Small positive drift (~5m) is standard in blinded HF/PAH trials from Hawthorne effect and regression to mean. Phase 2 placebo arm showed +3–8m range.</t>
        </r>
      </text>
    </comment>
    <comment ref="N8" authorId="0" shapeId="0" xr:uid="{6A3C0326-D68F-446C-B13C-268E70AF523E}">
      <text>
        <r>
          <rPr>
            <b/>
            <sz val="9"/>
            <color indexed="81"/>
            <rFont val="Tahoma"/>
            <family val="2"/>
          </rPr>
          <t>Max Arnoldi:</t>
        </r>
        <r>
          <rPr>
            <sz val="9"/>
            <color indexed="81"/>
            <rFont val="Tahoma"/>
            <family val="2"/>
          </rPr>
          <t xml:space="preserve">
Prior SD σₚ = 18m. Reflects substantial uncertainty in the PK/PD extrapolation from trough to peak — concentration-response curve shape, patient heterogeneity in OR-1896 exposure, and whether Phase 2 responders are representative of Phase 3 population.</t>
        </r>
      </text>
    </comment>
    <comment ref="N9" authorId="0" shapeId="0" xr:uid="{A5EAD1A5-984D-4CBF-B712-951BA8AE18FF}">
      <text>
        <r>
          <rPr>
            <b/>
            <sz val="9"/>
            <color indexed="81"/>
            <rFont val="Tahoma"/>
            <family val="2"/>
          </rPr>
          <t>Max Arnoldi:</t>
        </r>
        <r>
          <rPr>
            <sz val="9"/>
            <color indexed="81"/>
            <rFont val="Tahoma"/>
            <family val="2"/>
          </rPr>
          <t xml:space="preserve">
Mechanistic confidence M = 0.7. High confidence: PK/PD root cause (trough assessment at 23% exposure) is well-characterised with clear t½ data. The OR-1896 80h half-life, weekly dosing, and 168h post-dose assessment timing fully explain the primary endpoint miss. Score: 0.7 (not 1.0 because PK/PD correction assumes linear extrapolation which may not hold at full exposure).</t>
        </r>
      </text>
    </comment>
    <comment ref="N10" authorId="0" shapeId="0" xr:uid="{482E002F-46B9-4C6C-850B-1B2E152CB856}">
      <text>
        <r>
          <rPr>
            <b/>
            <sz val="9"/>
            <color indexed="81"/>
            <rFont val="Tahoma"/>
            <family val="2"/>
          </rPr>
          <t>Max Arnoldi:</t>
        </r>
        <r>
          <rPr>
            <sz val="9"/>
            <color indexed="81"/>
            <rFont val="Tahoma"/>
            <family val="2"/>
          </rPr>
          <t xml:space="preserve">
Prior weight base w₀ = 0.55. Moderate-high weight given strong mechanistic basis, Phase 2 responder rate (84%), and significant secondary endpoints. Would be higher (0.7+) if a PK-corrected bridging study existed.</t>
        </r>
      </text>
    </comment>
    <comment ref="B11" authorId="0" shapeId="0" xr:uid="{E39B7C20-CC08-479E-AE92-344468BBAE13}">
      <text>
        <r>
          <rPr>
            <b/>
            <sz val="9"/>
            <color indexed="81"/>
            <rFont val="Tahoma"/>
            <family val="2"/>
          </rPr>
          <t>Minimum clinically important difference (MCID) threshold for Δ6MWD. AHA/ACC guidelines: MCID for 6MWD in HF/PAH = 20–30m. Using 25m as the midpoint. Trial must show BOTH p&lt;0.05 AND net Δ≥25m vs placebo to count as success.</t>
        </r>
      </text>
    </comment>
    <comment ref="B12" authorId="0" shapeId="0" xr:uid="{76836D87-6056-4BAC-BB35-EE0555E8A6B7}">
      <text>
        <r>
          <rPr>
            <b/>
            <sz val="9"/>
            <color indexed="81"/>
            <rFont val="Tahoma"/>
            <family val="2"/>
          </rPr>
          <t>Max Arnoldi:</t>
        </r>
        <r>
          <rPr>
            <sz val="9"/>
            <color indexed="81"/>
            <rFont val="Tahoma"/>
            <family val="2"/>
          </rPr>
          <t xml:space="preserve">
SD of the true treatment effect (m). Reflects uncertainty in whether PK/PD extrapolation from Phase 2 trough (23% exposure) to Phase 3 peak fully translates. Each simulation row draws a 'true effect in this world' from N(45m, 20m²), ranging from ~5m (correction fails) to ~85m (full translation). This is the primary driver of PoS uncertainty.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<sst xmlns="http://schemas.openxmlformats.org/spreadsheetml/2006/main" count="255" uniqueCount="170">
  <si>
    <t>μₚ</t>
  </si>
  <si>
    <t>Phase 2 SD</t>
  </si>
  <si>
    <t>σₚ</t>
  </si>
  <si>
    <t>M</t>
  </si>
  <si>
    <t>Blowout</t>
  </si>
  <si>
    <t>w₀</t>
  </si>
  <si>
    <t>Stock Move</t>
  </si>
  <si>
    <t>Fail</t>
  </si>
  <si>
    <t>Marginal</t>
  </si>
  <si>
    <t>Solid</t>
  </si>
  <si>
    <t>Value</t>
  </si>
  <si>
    <t>Success (≥25m)</t>
  </si>
  <si>
    <t>Sim #</t>
  </si>
  <si>
    <t>Year</t>
  </si>
  <si>
    <t>Phase</t>
  </si>
  <si>
    <t>Share %</t>
  </si>
  <si>
    <t>Revenue ($M)</t>
  </si>
  <si>
    <t>COGS ($M)</t>
  </si>
  <si>
    <t>R&amp;D ($M)</t>
  </si>
  <si>
    <t>OPEX ($M)</t>
  </si>
  <si>
    <t>EBIT ($M)</t>
  </si>
  <si>
    <t>BEG. NOL ($M)</t>
  </si>
  <si>
    <t>TAX ($M)</t>
  </si>
  <si>
    <t>UNADJ. FCF ($M)</t>
  </si>
  <si>
    <t>POS %</t>
  </si>
  <si>
    <t>RISK-ADJ FCF</t>
  </si>
  <si>
    <t>RNPV (CUM)</t>
  </si>
  <si>
    <t>DEV</t>
  </si>
  <si>
    <t>NA</t>
  </si>
  <si>
    <t>BRAND</t>
  </si>
  <si>
    <t>GENERIC</t>
  </si>
  <si>
    <t>Risk-Adj FCF ($M)</t>
  </si>
  <si>
    <t>Cumulative RNPV ($M)</t>
  </si>
  <si>
    <t>TENX — DCF Valuation Model</t>
  </si>
  <si>
    <t>KEY ASSUMPTIONS</t>
  </si>
  <si>
    <t>Discount Rate (WACC)</t>
  </si>
  <si>
    <t>Probability of Success</t>
  </si>
  <si>
    <t>Market Size ($M)</t>
  </si>
  <si>
    <t>Tax Rate</t>
  </si>
  <si>
    <t>Launch Year</t>
  </si>
  <si>
    <t>Patent Expiry</t>
  </si>
  <si>
    <t>TENX</t>
  </si>
  <si>
    <t>DCF</t>
  </si>
  <si>
    <t>SUMMARY</t>
  </si>
  <si>
    <t>RNPV</t>
  </si>
  <si>
    <t>$320M</t>
  </si>
  <si>
    <t>Risk-Adj. Net Present Value</t>
  </si>
  <si>
    <t>Peak Revenue</t>
  </si>
  <si>
    <t>$742M</t>
  </si>
  <si>
    <t>(2040, BRAND phase)</t>
  </si>
  <si>
    <t>Peak Risk-Adj FCF</t>
  </si>
  <si>
    <t>$182M</t>
  </si>
  <si>
    <t>(2040, post-PoS adj.)</t>
  </si>
  <si>
    <t>Breakeven</t>
  </si>
  <si>
    <t>(RNPV turns positive)</t>
  </si>
  <si>
    <t>PHASES</t>
  </si>
  <si>
    <t>■ DEV</t>
  </si>
  <si>
    <t>2026–2028</t>
  </si>
  <si>
    <t>■ BRAND</t>
  </si>
  <si>
    <t>2029–2040</t>
  </si>
  <si>
    <t>■ GENERIC</t>
  </si>
  <si>
    <t>2041–2045</t>
  </si>
  <si>
    <t>TENX — Monte Carlo Simulation</t>
  </si>
  <si>
    <t>SIMULATION PARAMETERS</t>
  </si>
  <si>
    <t>Simulations (n)</t>
  </si>
  <si>
    <t>Patients (Treatment Arm)</t>
  </si>
  <si>
    <t>Expected Mean Δ6MWD (m)</t>
  </si>
  <si>
    <t>Std Dev (m)</t>
  </si>
  <si>
    <t>Success Threshold (m)</t>
  </si>
  <si>
    <t>SIMULATION RESULTS</t>
  </si>
  <si>
    <t>Avg Mean Δ6MWD (m)</t>
  </si>
  <si>
    <t>95% CI Low (2.5th pct)</t>
  </si>
  <si>
    <t>95% CI High (97.5th pct)</t>
  </si>
  <si>
    <t>Success Threshold</t>
  </si>
  <si>
    <t>Simulations Run</t>
  </si>
  <si>
    <t>Mean Δ6MWD (m)</t>
  </si>
  <si>
    <t>Δ6MWD Range (m)</t>
  </si>
  <si>
    <t>Frequency</t>
  </si>
  <si>
    <t>-75 to -50</t>
  </si>
  <si>
    <t>-50 to -25</t>
  </si>
  <si>
    <t>-25 to 0</t>
  </si>
  <si>
    <t>0 to 25</t>
  </si>
  <si>
    <t>25 to 50</t>
  </si>
  <si>
    <t>50 to 75</t>
  </si>
  <si>
    <t>75 to 100</t>
  </si>
  <si>
    <t>100 to 125</t>
  </si>
  <si>
    <t>-100 to -75</t>
  </si>
  <si>
    <t>-75 to -25</t>
  </si>
  <si>
    <t>-25 to 25</t>
  </si>
  <si>
    <t>25 to 75</t>
  </si>
  <si>
    <t>75 to 125</t>
  </si>
  <si>
    <t>125 to 175</t>
  </si>
  <si>
    <t>Placebo Mean (m)</t>
  </si>
  <si>
    <t>Sample Size (per arm)</t>
  </si>
  <si>
    <t>OUTCOME KEY</t>
  </si>
  <si>
    <t>Outcome</t>
  </si>
  <si>
    <t>SCENARIO 2: BAYESIAN-UPDATED POSTERIOR</t>
  </si>
  <si>
    <t>BAYESIAN INPUTS</t>
  </si>
  <si>
    <t>Phase 2 Mean Δ6MWD</t>
  </si>
  <si>
    <t>Mechanistic Confidence</t>
  </si>
  <si>
    <t>Prior Weight Base</t>
  </si>
  <si>
    <t>Effective Prior Weight (w = w₀×M)</t>
  </si>
  <si>
    <t>w</t>
  </si>
  <si>
    <t>Count</t>
  </si>
  <si>
    <t>Significance Threshold</t>
  </si>
  <si>
    <t>Patient-Level SD σ (m)</t>
  </si>
  <si>
    <t>SE of mean difference =</t>
  </si>
  <si>
    <t>SCENARIO 1: TWO-ARM TRIAL (PHASE 2 PRIORS)</t>
  </si>
  <si>
    <t>Trt Mean Δ16MWD</t>
  </si>
  <si>
    <t>Pbo Mean Δ16MWD</t>
  </si>
  <si>
    <t>Observed Δ (Trt−Pbo)</t>
  </si>
  <si>
    <t>t-stat</t>
  </si>
  <si>
    <t>p-value</t>
  </si>
  <si>
    <t>Posterior Δ16MWD</t>
  </si>
  <si>
    <t>Obs Δ (Posterior)</t>
  </si>
  <si>
    <t>t-stat (Post)</t>
  </si>
  <si>
    <t>p-value (Post)</t>
  </si>
  <si>
    <t>Avg Posterior Δ</t>
  </si>
  <si>
    <t>SCENARIO 2: BAYESIAN</t>
  </si>
  <si>
    <t>SCENARIO 1 (t-test)</t>
  </si>
  <si>
    <t>SIMULATION OUTPUT</t>
  </si>
  <si>
    <t>Prob of Success</t>
  </si>
  <si>
    <t>Exp Stock Move</t>
  </si>
  <si>
    <t>Mean Post. Delta (m)</t>
  </si>
  <si>
    <t>S2 Success</t>
  </si>
  <si>
    <t>S2 Outcome</t>
  </si>
  <si>
    <t>S1 Success</t>
  </si>
  <si>
    <t>S1 Outcome</t>
  </si>
  <si>
    <t>Effect Uncertainty σ (m)</t>
  </si>
  <si>
    <t>SIMULATION PARAMETERS  (Mean: 20m)</t>
  </si>
  <si>
    <t>Main</t>
  </si>
  <si>
    <t>MARKET SNAPSHOT</t>
  </si>
  <si>
    <t>Stock Price</t>
  </si>
  <si>
    <t>Shares Outstanding (M)</t>
  </si>
  <si>
    <t>Market Cap ($M)</t>
  </si>
  <si>
    <t>Cash ($M)</t>
  </si>
  <si>
    <t>Debt ($M)</t>
  </si>
  <si>
    <t>Enterprise Value ($M)</t>
  </si>
  <si>
    <t>Source: Q1 2026</t>
  </si>
  <si>
    <t>DCF VALUATION (RISK-ADJUSTED)</t>
  </si>
  <si>
    <t>Risk-Adj. NPV (RNPV)</t>
  </si>
  <si>
    <t>Peak FCF</t>
  </si>
  <si>
    <t>Breakeven Year</t>
  </si>
  <si>
    <t>WACC</t>
  </si>
  <si>
    <t>TRIAL SIMULATION RESULTS</t>
  </si>
  <si>
    <t>6MWD (Normal, n=1000)</t>
  </si>
  <si>
    <t xml:space="preserve">  Avg Mean Δ6MWD (m)</t>
  </si>
  <si>
    <t xml:space="preserve">  95% CI Low (m)</t>
  </si>
  <si>
    <t xml:space="preserve">  95% CI High (m)</t>
  </si>
  <si>
    <t xml:space="preserve">  Probability of Success</t>
  </si>
  <si>
    <t>6MWD (With Phase 2 Info)</t>
  </si>
  <si>
    <t>MONTE CARLO — TWO-SCENARIO ANALYSIS</t>
  </si>
  <si>
    <t>Scenario</t>
  </si>
  <si>
    <t>PoS</t>
  </si>
  <si>
    <t>Description</t>
  </si>
  <si>
    <t>Key Parameter</t>
  </si>
  <si>
    <t>S1: Two-Arm Trial (Phase 2 Priors)</t>
  </si>
  <si>
    <t>Standard two-arm trial using Phase 2 priors as treatment mean distribution</t>
  </si>
  <si>
    <t>S2: Bayesian-Updated Posterior</t>
  </si>
  <si>
    <t>Bayesian posterior blends Phase 2 data with mechanistic prior for updated PoS</t>
  </si>
  <si>
    <t>Exp. Stock Move (S1)</t>
  </si>
  <si>
    <t>Exp. Stock Move (S2)</t>
  </si>
  <si>
    <t>Probability of Success (Monte Carlo)</t>
  </si>
  <si>
    <t>See: DCF sheet / Monte Carlo Sheet</t>
  </si>
  <si>
    <t>Risk-Adjusted NPV Analysis</t>
  </si>
  <si>
    <t>Base Case  |  σ=50m, Mean=35m, n=115  |  PoS ~56%</t>
  </si>
  <si>
    <t>Bull Case  |  σ=25m (Phase 2 tightened), Mean=35m, n=115  |  PoS ~63%</t>
  </si>
  <si>
    <t>TNX-103 LEVEL - Risk-Adjusted Valuation &amp; Simulation Analysis</t>
  </si>
  <si>
    <t>TENAX THERAPEUTICS — CLINICAL TRIAL ANALYSIS</t>
  </si>
  <si>
    <t>Conservative Case  |  σ=60m, Mean=30m, dual gate (p&lt;0.05 AND Δ≥25m)  |  S1 PoS ~58% / S2 ~51%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</si>
</sst>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#,##0.00\ &quot;€&quot;;[Red]\-#,##0.00\ &quot;€&quot;"/>
    <numFmt numFmtId="43" formatCode="_-* #,##0.00_-;\-* #,##0.00_-;_-* &quot;-&quot;??_-;_-@_-"/>
    <numFmt numFmtId="164" formatCode="0.0"/>
    <numFmt numFmtId="165" formatCode="_-[$$-409]* #,##0.00_ ;_-[$$-409]* \-#,##0.00\ ;_-[$$-409]* &quot;-&quot;??_ ;_-@_ "/>
    <numFmt numFmtId="166" formatCode="0.0%"/>
    <numFmt numFmtId="167" formatCode="0.00\x"/>
    <numFmt numFmtId="168" formatCode="0.0\x"/>
    <numFmt numFmtId="169" formatCode="#,##0.000"/>
    <numFmt numFmtId="170" formatCode="#,##0.0"/>
    <numFmt numFmtId="171" formatCode="#,##0.0;\(#,##0.0\);\-"/>
  </numFmts>
  <fonts count="5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sz val="10"/>
      <color rgb="FF9DC3E6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10"/>
      <color rgb="FF595959"/>
      <name val="Aptos Narrow"/>
      <family val="2"/>
      <scheme val="minor"/>
    </font>
    <font>
      <b/>
      <sz val="10"/>
      <color rgb="FF1F4E79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rgb="FFC55A11"/>
      <name val="Aptos Narrow"/>
      <family val="2"/>
      <scheme val="minor"/>
    </font>
    <font>
      <b/>
      <sz val="10"/>
      <color rgb="FFC55A1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0"/>
      <color rgb="FF00CC00"/>
      <name val="Aptos Narrow"/>
      <family val="2"/>
      <scheme val="minor"/>
    </font>
    <font>
      <sz val="10"/>
      <color rgb="FF2E75B6"/>
      <name val="Aptos Narrow"/>
      <family val="2"/>
      <scheme val="minor"/>
    </font>
    <font>
      <b/>
      <sz val="10"/>
      <color rgb="FF2E75B6"/>
      <name val="Aptos Narrow"/>
      <family val="2"/>
      <scheme val="minor"/>
    </font>
    <font>
      <b/>
      <sz val="10"/>
      <color rgb="FFFF9900"/>
      <name val="Aptos Narrow"/>
      <family val="2"/>
      <scheme val="minor"/>
    </font>
    <font>
      <sz val="10"/>
      <color rgb="FF538135"/>
      <name val="Aptos Narrow"/>
      <family val="2"/>
      <scheme val="minor"/>
    </font>
    <font>
      <b/>
      <sz val="10"/>
      <color rgb="FF538135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b/>
      <sz val="11"/>
      <color rgb="FF9DC3E6"/>
      <name val="Aptos Narrow"/>
      <family val="2"/>
      <scheme val="minor"/>
    </font>
    <font>
      <b/>
      <sz val="22"/>
      <color rgb="FF00B050"/>
      <name val="Aptos Narrow"/>
      <family val="2"/>
      <scheme val="minor"/>
    </font>
    <font>
      <sz val="8"/>
      <color rgb="FF808080"/>
      <name val="Aptos Narrow"/>
      <family val="2"/>
      <scheme val="minor"/>
    </font>
    <font>
      <b/>
      <sz val="16"/>
      <color rgb="FF2E75B6"/>
      <name val="Aptos Narrow"/>
      <family val="2"/>
      <scheme val="minor"/>
    </font>
    <font>
      <b/>
      <sz val="16"/>
      <color rgb="FFC55A11"/>
      <name val="Aptos Narrow"/>
      <family val="2"/>
      <scheme val="minor"/>
    </font>
    <font>
      <sz val="9"/>
      <color rgb="FFC55A11"/>
      <name val="Aptos Narrow"/>
      <family val="2"/>
      <scheme val="minor"/>
    </font>
    <font>
      <b/>
      <sz val="9"/>
      <color rgb="FFC55A11"/>
      <name val="Aptos Narrow"/>
      <family val="2"/>
      <scheme val="minor"/>
    </font>
    <font>
      <sz val="9"/>
      <color rgb="FF2E75B6"/>
      <name val="Aptos Narrow"/>
      <family val="2"/>
      <scheme val="minor"/>
    </font>
    <font>
      <b/>
      <sz val="9"/>
      <color rgb="FF2E75B6"/>
      <name val="Aptos Narrow"/>
      <family val="2"/>
      <scheme val="minor"/>
    </font>
    <font>
      <sz val="9"/>
      <color rgb="FF538135"/>
      <name val="Aptos Narrow"/>
      <family val="2"/>
      <scheme val="minor"/>
    </font>
    <font>
      <b/>
      <sz val="9"/>
      <color rgb="FF538135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595959"/>
      <name val="Aptos Narrow"/>
      <family val="2"/>
      <scheme val="minor"/>
    </font>
    <font>
      <b/>
      <sz val="9"/>
      <color rgb="FF1F4E79"/>
      <name val="Aptos Narrow"/>
      <family val="2"/>
      <scheme val="minor"/>
    </font>
    <font>
      <b/>
      <sz val="10"/>
      <color rgb="FF375623"/>
      <name val="Aptos Narrow"/>
      <family val="2"/>
      <scheme val="minor"/>
    </font>
    <font>
      <b/>
      <sz val="12"/>
      <color rgb="FF375623"/>
      <name val="Aptos Narrow"/>
      <family val="2"/>
      <scheme val="minor"/>
    </font>
    <font>
      <sz val="9"/>
      <color rgb="FF00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9"/>
      <color rgb="FF0000FF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color rgb="FFFFFFFF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sz val="10"/>
      <color rgb="FFA8C4E0"/>
      <name val="Aptos Narrow"/>
      <family val="2"/>
      <scheme val="minor"/>
    </font>
    <font>
      <b/>
      <sz val="10"/>
      <color rgb="FFA8C4E0"/>
      <name val="Aptos Narrow"/>
      <family val="2"/>
      <scheme val="minor"/>
    </font>
    <font>
      <sz val="10"/>
      <color rgb="FF333333"/>
      <name val="Aptos Narrow"/>
      <family val="2"/>
      <scheme val="minor"/>
    </font>
    <font>
      <b/>
      <sz val="10"/>
      <color rgb="FF333333"/>
      <name val="Aptos Narrow"/>
      <family val="2"/>
      <scheme val="minor"/>
    </font>
    <font>
      <sz val="10"/>
      <color rgb="FF0000FF"/>
      <name val="Aptos Narrow"/>
      <family val="2"/>
      <scheme val="minor"/>
    </font>
    <font>
      <b/>
      <sz val="10"/>
      <color rgb="FF0000FF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i/>
      <sz val="8"/>
      <color rgb="FF888888"/>
      <name val="Aptos Narrow"/>
      <family val="2"/>
      <scheme val="minor"/>
    </font>
    <font>
      <sz val="10"/>
      <color rgb="FF008000"/>
      <name val="Aptos Narrow"/>
      <family val="2"/>
      <scheme val="minor"/>
    </font>
    <font>
      <sz val="9"/>
      <color rgb="FF555555"/>
      <name val="Aptos Narrow"/>
      <family val="2"/>
      <scheme val="minor"/>
    </font>
    <font>
      <b/>
      <sz val="9"/>
      <color rgb="FF555555"/>
      <name val="Aptos Narrow"/>
      <family val="2"/>
      <scheme val="minor"/>
    </font>
    <font>
      <i/>
      <sz val="9"/>
      <color rgb="FF1A3F6F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0D2B4E"/>
        <bgColor indexed="64"/>
      </patternFill>
    </fill>
    <fill>
      <patternFill patternType="solid">
        <fgColor rgb="FF1A3F6F"/>
        <bgColor indexed="64"/>
      </patternFill>
    </fill>
    <fill>
      <patternFill patternType="solid">
        <fgColor rgb="FFE8EDF5"/>
        <bgColor indexed="64"/>
      </patternFill>
    </fill>
    <fill>
      <patternFill patternType="solid">
        <fgColor rgb="FFF5F7FB"/>
        <bgColor indexed="64"/>
      </patternFill>
    </fill>
    <fill>
      <patternFill patternType="solid">
        <fgColor rgb="FFF9F9F9"/>
        <bgColor indexed="64"/>
      </patternFill>
    </fill>
  </fills>
  <borders count="9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rgb="FF1F4E79"/>
      </top>
      <bottom/>
      <diagonal/>
    </border>
    <border>
      <left/>
      <right/>
      <top/>
      <bottom style="medium">
        <color rgb="FF1F4E79"/>
      </bottom>
      <diagonal/>
    </border>
    <border>
      <left style="medium">
        <color rgb="FF1F4E79"/>
      </left>
      <right/>
      <top style="medium">
        <color rgb="FF1F4E79"/>
      </top>
      <bottom/>
      <diagonal/>
    </border>
    <border>
      <left style="medium">
        <color rgb="FF1F4E79"/>
      </left>
      <right/>
      <top/>
      <bottom/>
      <diagonal/>
    </border>
    <border>
      <left style="medium">
        <color rgb="FF1F4E79"/>
      </left>
      <right/>
      <top/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/>
      <diagonal/>
    </border>
    <border>
      <left/>
      <right style="medium">
        <color rgb="FF1F4E79"/>
      </right>
      <top/>
      <bottom/>
      <diagonal/>
    </border>
    <border>
      <left/>
      <right style="medium">
        <color rgb="FF1F4E79"/>
      </right>
      <top/>
      <bottom style="medium">
        <color rgb="FF1F4E79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 style="medium">
        <color rgb="FF1F4E79"/>
      </left>
      <right style="thin">
        <color rgb="FFBDD7EE"/>
      </right>
      <top style="medium">
        <color rgb="FF1F4E79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medium">
        <color rgb="FF1F4E79"/>
      </top>
      <bottom style="thin">
        <color rgb="FFBDD7EE"/>
      </bottom>
      <diagonal/>
    </border>
    <border>
      <left style="thin">
        <color rgb="FFBDD7EE"/>
      </left>
      <right style="medium">
        <color rgb="FF1F4E79"/>
      </right>
      <top style="medium">
        <color rgb="FF1F4E79"/>
      </top>
      <bottom style="thin">
        <color rgb="FFBDD7EE"/>
      </bottom>
      <diagonal/>
    </border>
    <border>
      <left style="medium">
        <color rgb="FF1F4E79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medium">
        <color rgb="FF1F4E79"/>
      </right>
      <top style="thin">
        <color rgb="FFBDD7EE"/>
      </top>
      <bottom style="thin">
        <color rgb="FFBDD7EE"/>
      </bottom>
      <diagonal/>
    </border>
    <border>
      <left style="medium">
        <color rgb="FF1F4E79"/>
      </left>
      <right style="thin">
        <color rgb="FFBDD7EE"/>
      </right>
      <top style="thin">
        <color rgb="FFBDD7EE"/>
      </top>
      <bottom style="medium">
        <color rgb="FF1F4E79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medium">
        <color rgb="FF1F4E79"/>
      </bottom>
      <diagonal/>
    </border>
    <border>
      <left style="thin">
        <color rgb="FFBDD7EE"/>
      </left>
      <right style="medium">
        <color rgb="FF1F4E79"/>
      </right>
      <top style="thin">
        <color rgb="FFBDD7EE"/>
      </top>
      <bottom style="medium">
        <color rgb="FF1F4E79"/>
      </bottom>
      <diagonal/>
    </border>
    <border>
      <left style="medium">
        <color rgb="FF1F4E79"/>
      </left>
      <right style="thin">
        <color rgb="FFBDD7EE"/>
      </right>
      <top style="thin">
        <color rgb="FFBDD7EE"/>
      </top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/>
      <diagonal/>
    </border>
    <border>
      <left style="thin">
        <color rgb="FFBDD7EE"/>
      </left>
      <right style="medium">
        <color rgb="FF1F4E79"/>
      </right>
      <top style="thin">
        <color rgb="FFBDD7EE"/>
      </top>
      <bottom/>
      <diagonal/>
    </border>
    <border>
      <left style="medium">
        <color rgb="FF1F4E79"/>
      </left>
      <right style="thin">
        <color rgb="FFBDD7EE"/>
      </right>
      <top/>
      <bottom style="thin">
        <color rgb="FFBDD7EE"/>
      </bottom>
      <diagonal/>
    </border>
    <border>
      <left style="thin">
        <color rgb="FFBDD7EE"/>
      </left>
      <right style="thin">
        <color rgb="FFBDD7EE"/>
      </right>
      <top/>
      <bottom style="thin">
        <color rgb="FFBDD7EE"/>
      </bottom>
      <diagonal/>
    </border>
    <border>
      <left style="thin">
        <color rgb="FFBDD7EE"/>
      </left>
      <right style="medium">
        <color rgb="FF1F4E79"/>
      </right>
      <top/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medium">
        <color rgb="FF2E75B6"/>
      </bottom>
      <diagonal/>
    </border>
    <border>
      <left style="thin">
        <color rgb="FFBDD7EE"/>
      </left>
      <right style="medium">
        <color rgb="FF1F4E79"/>
      </right>
      <top style="thin">
        <color rgb="FFBDD7EE"/>
      </top>
      <bottom style="medium">
        <color rgb="FF2E75B6"/>
      </bottom>
      <diagonal/>
    </border>
    <border>
      <left style="medium">
        <color rgb="FF1F4E79"/>
      </left>
      <right style="thin">
        <color rgb="FFBDD7EE"/>
      </right>
      <top style="thin">
        <color rgb="FFBDD7EE"/>
      </top>
      <bottom style="medium">
        <color rgb="FF538135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medium">
        <color rgb="FF538135"/>
      </bottom>
      <diagonal/>
    </border>
    <border>
      <left style="thin">
        <color rgb="FFBDD7EE"/>
      </left>
      <right style="medium">
        <color rgb="FF1F4E79"/>
      </right>
      <top style="thin">
        <color rgb="FFBDD7EE"/>
      </top>
      <bottom style="medium">
        <color rgb="FF538135"/>
      </bottom>
      <diagonal/>
    </border>
    <border>
      <left style="thin">
        <color rgb="FFBDD7EE"/>
      </left>
      <right/>
      <top style="thin">
        <color rgb="FFBDD7EE"/>
      </top>
      <bottom/>
      <diagonal/>
    </border>
    <border>
      <left style="thin">
        <color rgb="FFBDD7EE"/>
      </left>
      <right/>
      <top/>
      <bottom/>
      <diagonal/>
    </border>
    <border>
      <left style="thin">
        <color rgb="FFBDD7EE"/>
      </left>
      <right/>
      <top/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/>
      <diagonal/>
    </border>
    <border>
      <left/>
      <right style="thin">
        <color rgb="FFBDD7EE"/>
      </right>
      <top/>
      <bottom/>
      <diagonal/>
    </border>
    <border>
      <left/>
      <right style="thin">
        <color rgb="FFBDD7EE"/>
      </right>
      <top/>
      <bottom style="thin">
        <color rgb="FFBDD7EE"/>
      </bottom>
      <diagonal/>
    </border>
    <border>
      <left/>
      <right style="thin">
        <color rgb="FFBDD7EE"/>
      </right>
      <top style="medium">
        <color rgb="FF1F4E79"/>
      </top>
      <bottom style="thin">
        <color rgb="FFBDD7EE"/>
      </bottom>
      <diagonal/>
    </border>
    <border>
      <left/>
      <right style="medium">
        <color rgb="FFBDD7EE"/>
      </right>
      <top style="thin">
        <color rgb="FFBDD7EE"/>
      </top>
      <bottom/>
      <diagonal/>
    </border>
    <border>
      <left/>
      <right style="medium">
        <color rgb="FFBDD7EE"/>
      </right>
      <top/>
      <bottom/>
      <diagonal/>
    </border>
    <border>
      <left/>
      <right style="medium">
        <color rgb="FFBDD7EE"/>
      </right>
      <top/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medium">
        <color rgb="FF2E75B6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medium">
        <color rgb="FF2E75B6"/>
      </left>
      <right/>
      <top style="medium">
        <color rgb="FF2E75B6"/>
      </top>
      <bottom style="thin">
        <color rgb="FFBDD7EE"/>
      </bottom>
      <diagonal/>
    </border>
    <border>
      <left/>
      <right style="medium">
        <color rgb="FF2E75B6"/>
      </right>
      <top style="medium">
        <color rgb="FF2E75B6"/>
      </top>
      <bottom style="thin">
        <color rgb="FFBDD7EE"/>
      </bottom>
      <diagonal/>
    </border>
    <border>
      <left style="medium">
        <color rgb="FF2E75B6"/>
      </left>
      <right/>
      <top style="thin">
        <color rgb="FFBDD7EE"/>
      </top>
      <bottom style="thin">
        <color rgb="FFBDD7EE"/>
      </bottom>
      <diagonal/>
    </border>
    <border>
      <left/>
      <right style="medium">
        <color rgb="FF2E75B6"/>
      </right>
      <top style="thin">
        <color rgb="FFBDD7EE"/>
      </top>
      <bottom style="thin">
        <color rgb="FFBDD7EE"/>
      </bottom>
      <diagonal/>
    </border>
    <border>
      <left style="medium">
        <color rgb="FF2E75B6"/>
      </left>
      <right/>
      <top style="thin">
        <color rgb="FFBDD7EE"/>
      </top>
      <bottom style="medium">
        <color rgb="FF2E75B6"/>
      </bottom>
      <diagonal/>
    </border>
    <border>
      <left/>
      <right style="medium">
        <color rgb="FF2E75B6"/>
      </right>
      <top style="thin">
        <color rgb="FFBDD7EE"/>
      </top>
      <bottom style="medium">
        <color rgb="FF2E75B6"/>
      </bottom>
      <diagonal/>
    </border>
    <border>
      <left/>
      <right/>
      <top/>
      <bottom style="thin">
        <color rgb="FFFFFFFF"/>
      </bottom>
      <diagonal/>
    </border>
    <border>
      <left/>
      <right/>
      <top style="medium">
        <color rgb="FF1F4E79"/>
      </top>
      <bottom style="thin">
        <color rgb="FFFFFFFF"/>
      </bottom>
      <diagonal/>
    </border>
    <border>
      <left style="medium">
        <color rgb="FF1F4E79"/>
      </left>
      <right/>
      <top style="medium">
        <color rgb="FF1F4E79"/>
      </top>
      <bottom style="thin">
        <color rgb="FFFFFFFF"/>
      </bottom>
      <diagonal/>
    </border>
    <border>
      <left/>
      <right style="medium">
        <color rgb="FF1F4E79"/>
      </right>
      <top style="medium">
        <color rgb="FF1F4E79"/>
      </top>
      <bottom style="thin">
        <color rgb="FFFFFFFF"/>
      </bottom>
      <diagonal/>
    </border>
    <border>
      <left style="medium">
        <color rgb="FF1F4E79"/>
      </left>
      <right/>
      <top/>
      <bottom style="thin">
        <color rgb="FFFFFFFF"/>
      </bottom>
      <diagonal/>
    </border>
    <border>
      <left/>
      <right/>
      <top style="medium">
        <color rgb="FF2E75B6"/>
      </top>
      <bottom style="thin">
        <color rgb="FFBDD7EE"/>
      </bottom>
      <diagonal/>
    </border>
    <border>
      <left/>
      <right/>
      <top style="thin">
        <color rgb="FFBDD7EE"/>
      </top>
      <bottom style="medium">
        <color rgb="FF2E75B6"/>
      </bottom>
      <diagonal/>
    </border>
    <border>
      <left style="medium">
        <color rgb="FF1F4E79"/>
      </left>
      <right style="medium">
        <color rgb="FF1F4E79"/>
      </right>
      <top/>
      <bottom style="thin">
        <color rgb="FFFFFFFF"/>
      </bottom>
      <diagonal/>
    </border>
    <border>
      <left style="medium">
        <color rgb="FF1F4E79"/>
      </left>
      <right style="medium">
        <color rgb="FF1F4E79"/>
      </right>
      <top/>
      <bottom/>
      <diagonal/>
    </border>
    <border>
      <left style="medium">
        <color rgb="FF1F4E79"/>
      </left>
      <right/>
      <top/>
      <bottom style="medium">
        <color rgb="FF2E75B6"/>
      </bottom>
      <diagonal/>
    </border>
    <border>
      <left/>
      <right style="medium">
        <color rgb="FF1F4E79"/>
      </right>
      <top/>
      <bottom style="medium">
        <color rgb="FF2E75B6"/>
      </bottom>
      <diagonal/>
    </border>
    <border>
      <left style="medium">
        <color rgb="FF1F4E79"/>
      </left>
      <right/>
      <top style="medium">
        <color rgb="FF2E75B6"/>
      </top>
      <bottom style="thin">
        <color rgb="FF70AD47"/>
      </bottom>
      <diagonal/>
    </border>
    <border>
      <left/>
      <right style="medium">
        <color rgb="FF1F4E79"/>
      </right>
      <top style="medium">
        <color rgb="FF2E75B6"/>
      </top>
      <bottom style="thin">
        <color rgb="FF70AD47"/>
      </bottom>
      <diagonal/>
    </border>
    <border>
      <left style="medium">
        <color rgb="FF1F4E79"/>
      </left>
      <right/>
      <top style="medium">
        <color rgb="FF1F4E79"/>
      </top>
      <bottom style="thin">
        <color rgb="FF70AD47"/>
      </bottom>
      <diagonal/>
    </border>
    <border>
      <left/>
      <right style="medium">
        <color rgb="FF1F4E79"/>
      </right>
      <top style="medium">
        <color rgb="FF1F4E79"/>
      </top>
      <bottom style="thin">
        <color rgb="FF70AD47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medium">
        <color rgb="FF1F4E79"/>
      </left>
      <right/>
      <top/>
      <bottom style="thin">
        <color rgb="FFD9D9D9"/>
      </bottom>
      <diagonal/>
    </border>
    <border>
      <left style="medium">
        <color rgb="FF1F4E79"/>
      </left>
      <right/>
      <top style="thin">
        <color rgb="FFD9D9D9"/>
      </top>
      <bottom style="thin">
        <color rgb="FFD9D9D9"/>
      </bottom>
      <diagonal/>
    </border>
    <border>
      <left style="medium">
        <color rgb="FF1F4E79"/>
      </left>
      <right/>
      <top style="thin">
        <color rgb="FFD9D9D9"/>
      </top>
      <bottom/>
      <diagonal/>
    </border>
    <border>
      <left/>
      <right style="medium">
        <color rgb="FF375623"/>
      </right>
      <top/>
      <bottom/>
      <diagonal/>
    </border>
    <border>
      <left/>
      <right style="medium">
        <color rgb="FF375623"/>
      </right>
      <top/>
      <bottom style="thin">
        <color rgb="FFD9D9D9"/>
      </bottom>
      <diagonal/>
    </border>
    <border>
      <left/>
      <right style="medium">
        <color rgb="FF375623"/>
      </right>
      <top style="thin">
        <color rgb="FFD9D9D9"/>
      </top>
      <bottom style="thin">
        <color rgb="FFD9D9D9"/>
      </bottom>
      <diagonal/>
    </border>
    <border>
      <left/>
      <right style="medium">
        <color rgb="FF375623"/>
      </right>
      <top style="thin">
        <color rgb="FFD9D9D9"/>
      </top>
      <bottom/>
      <diagonal/>
    </border>
    <border>
      <left/>
      <right style="medium">
        <color rgb="FF70AD47"/>
      </right>
      <top/>
      <bottom/>
      <diagonal/>
    </border>
    <border>
      <left/>
      <right style="medium">
        <color rgb="FF70AD47"/>
      </right>
      <top/>
      <bottom style="thin">
        <color rgb="FFD9D9D9"/>
      </bottom>
      <diagonal/>
    </border>
    <border>
      <left/>
      <right style="medium">
        <color rgb="FF70AD47"/>
      </right>
      <top style="thin">
        <color rgb="FFD9D9D9"/>
      </top>
      <bottom style="thin">
        <color rgb="FFD9D9D9"/>
      </bottom>
      <diagonal/>
    </border>
    <border>
      <left/>
      <right style="medium">
        <color rgb="FF70AD47"/>
      </right>
      <top style="thin">
        <color rgb="FFD9D9D9"/>
      </top>
      <bottom/>
      <diagonal/>
    </border>
    <border>
      <left style="medium">
        <color rgb="FF2E75B6"/>
      </left>
      <right/>
      <top style="thin">
        <color rgb="FFBDD7EE"/>
      </top>
      <bottom/>
      <diagonal/>
    </border>
    <border>
      <left/>
      <right style="medium">
        <color rgb="FF2E75B6"/>
      </right>
      <top style="thin">
        <color rgb="FFBDD7EE"/>
      </top>
      <bottom/>
      <diagonal/>
    </border>
    <border>
      <left/>
      <right/>
      <top style="thin">
        <color rgb="FF1A3F6F"/>
      </top>
      <bottom/>
      <diagonal/>
    </border>
    <border>
      <left/>
      <right/>
      <top/>
      <bottom style="thin">
        <color rgb="FF1A3F6F"/>
      </bottom>
      <diagonal/>
    </border>
    <border>
      <left style="thin">
        <color rgb="FF1A3F6F"/>
      </left>
      <right/>
      <top style="thin">
        <color rgb="FF1A3F6F"/>
      </top>
      <bottom/>
      <diagonal/>
    </border>
    <border>
      <left style="thin">
        <color rgb="FF1A3F6F"/>
      </left>
      <right/>
      <top/>
      <bottom/>
      <diagonal/>
    </border>
    <border>
      <left style="thin">
        <color rgb="FF1A3F6F"/>
      </left>
      <right/>
      <top/>
      <bottom style="thin">
        <color rgb="FF1A3F6F"/>
      </bottom>
      <diagonal/>
    </border>
    <border>
      <left/>
      <right style="thin">
        <color rgb="FF1A3F6F"/>
      </right>
      <top style="thin">
        <color rgb="FF1A3F6F"/>
      </top>
      <bottom/>
      <diagonal/>
    </border>
    <border>
      <left/>
      <right style="thin">
        <color rgb="FF1A3F6F"/>
      </right>
      <top/>
      <bottom/>
      <diagonal/>
    </border>
    <border>
      <left/>
      <right style="thin">
        <color rgb="FF1A3F6F"/>
      </right>
      <top/>
      <bottom style="thin">
        <color rgb="FF1A3F6F"/>
      </bottom>
      <diagonal/>
    </border>
    <border>
      <left style="thin">
        <color rgb="FF1A3F6F"/>
      </left>
      <right/>
      <top/>
      <bottom style="thin">
        <color rgb="FFCCCCCC"/>
      </bottom>
      <diagonal/>
    </border>
    <border>
      <left/>
      <right style="thin">
        <color rgb="FF1A3F6F"/>
      </right>
      <top/>
      <bottom style="thin">
        <color rgb="FFCCCCCC"/>
      </bottom>
      <diagonal/>
    </border>
    <border>
      <left style="thin">
        <color rgb="FF1A3F6F"/>
      </left>
      <right/>
      <top style="thin">
        <color rgb="FFCCCCCC"/>
      </top>
      <bottom/>
      <diagonal/>
    </border>
    <border>
      <left/>
      <right style="thin">
        <color rgb="FF1A3F6F"/>
      </right>
      <top style="thin">
        <color rgb="FFCCCCCC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5">
    <xf numFmtId="0" fontId="0" fillId="0" borderId="0" xfId="0"/>
    <xf numFmtId="0" fontId="0" fillId="0" borderId="1" xfId="0" applyBorder="1"/>
    <xf numFmtId="8" fontId="0" fillId="0" borderId="0" xfId="0" applyNumberFormat="1"/>
    <xf numFmtId="2" fontId="0" fillId="0" borderId="0" xfId="0" applyNumberFormat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" fontId="0" fillId="3" borderId="0" xfId="0" applyNumberFormat="1" applyFill="1"/>
    <xf numFmtId="1" fontId="0" fillId="4" borderId="0" xfId="0" applyNumberFormat="1" applyFill="1"/>
    <xf numFmtId="1" fontId="0" fillId="5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0" fontId="5" fillId="6" borderId="0" xfId="0" applyFont="1" applyFill="1"/>
    <xf numFmtId="0" fontId="0" fillId="6" borderId="0" xfId="0" applyFill="1"/>
    <xf numFmtId="0" fontId="6" fillId="7" borderId="0" xfId="0" applyFont="1" applyFill="1"/>
    <xf numFmtId="9" fontId="7" fillId="7" borderId="0" xfId="0" applyNumberFormat="1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9" fillId="8" borderId="14" xfId="0" applyFont="1" applyFill="1" applyBorder="1" applyAlignment="1">
      <alignment horizontal="center"/>
    </xf>
    <xf numFmtId="0" fontId="10" fillId="8" borderId="15" xfId="0" applyFont="1" applyFill="1" applyBorder="1" applyAlignment="1">
      <alignment horizontal="center"/>
    </xf>
    <xf numFmtId="43" fontId="11" fillId="8" borderId="15" xfId="2" applyFont="1" applyFill="1" applyBorder="1"/>
    <xf numFmtId="43" fontId="12" fillId="8" borderId="15" xfId="2" applyFont="1" applyFill="1" applyBorder="1"/>
    <xf numFmtId="43" fontId="13" fillId="8" borderId="15" xfId="2" applyFont="1" applyFill="1" applyBorder="1"/>
    <xf numFmtId="43" fontId="12" fillId="8" borderId="16" xfId="2" applyFont="1" applyFill="1" applyBorder="1"/>
    <xf numFmtId="0" fontId="10" fillId="8" borderId="21" xfId="0" applyFont="1" applyFill="1" applyBorder="1" applyAlignment="1">
      <alignment horizontal="center"/>
    </xf>
    <xf numFmtId="43" fontId="11" fillId="8" borderId="21" xfId="2" applyFont="1" applyFill="1" applyBorder="1"/>
    <xf numFmtId="43" fontId="12" fillId="8" borderId="21" xfId="2" applyFont="1" applyFill="1" applyBorder="1"/>
    <xf numFmtId="43" fontId="13" fillId="8" borderId="21" xfId="2" applyFont="1" applyFill="1" applyBorder="1"/>
    <xf numFmtId="43" fontId="12" fillId="8" borderId="22" xfId="2" applyFont="1" applyFill="1" applyBorder="1"/>
    <xf numFmtId="0" fontId="10" fillId="8" borderId="26" xfId="0" applyFont="1" applyFill="1" applyBorder="1" applyAlignment="1">
      <alignment horizontal="center"/>
    </xf>
    <xf numFmtId="43" fontId="11" fillId="8" borderId="26" xfId="2" applyFont="1" applyFill="1" applyBorder="1"/>
    <xf numFmtId="43" fontId="12" fillId="8" borderId="26" xfId="2" applyFont="1" applyFill="1" applyBorder="1"/>
    <xf numFmtId="43" fontId="13" fillId="8" borderId="26" xfId="2" applyFont="1" applyFill="1" applyBorder="1"/>
    <xf numFmtId="43" fontId="12" fillId="8" borderId="27" xfId="2" applyFont="1" applyFill="1" applyBorder="1"/>
    <xf numFmtId="0" fontId="15" fillId="9" borderId="24" xfId="0" applyFont="1" applyFill="1" applyBorder="1" applyAlignment="1">
      <alignment horizontal="center"/>
    </xf>
    <xf numFmtId="9" fontId="11" fillId="9" borderId="24" xfId="1" applyFont="1" applyFill="1" applyBorder="1"/>
    <xf numFmtId="43" fontId="11" fillId="9" borderId="24" xfId="2" applyFont="1" applyFill="1" applyBorder="1"/>
    <xf numFmtId="43" fontId="16" fillId="9" borderId="24" xfId="2" applyFont="1" applyFill="1" applyBorder="1"/>
    <xf numFmtId="43" fontId="13" fillId="9" borderId="24" xfId="2" applyFont="1" applyFill="1" applyBorder="1"/>
    <xf numFmtId="43" fontId="12" fillId="9" borderId="24" xfId="2" applyFont="1" applyFill="1" applyBorder="1"/>
    <xf numFmtId="43" fontId="12" fillId="9" borderId="25" xfId="2" applyFont="1" applyFill="1" applyBorder="1"/>
    <xf numFmtId="0" fontId="14" fillId="9" borderId="14" xfId="0" applyFont="1" applyFill="1" applyBorder="1" applyAlignment="1">
      <alignment horizontal="center"/>
    </xf>
    <xf numFmtId="0" fontId="15" fillId="9" borderId="15" xfId="0" applyFont="1" applyFill="1" applyBorder="1" applyAlignment="1">
      <alignment horizontal="center"/>
    </xf>
    <xf numFmtId="9" fontId="11" fillId="9" borderId="15" xfId="1" applyFont="1" applyFill="1" applyBorder="1"/>
    <xf numFmtId="43" fontId="11" fillId="9" borderId="15" xfId="2" applyFont="1" applyFill="1" applyBorder="1"/>
    <xf numFmtId="43" fontId="16" fillId="9" borderId="15" xfId="2" applyFont="1" applyFill="1" applyBorder="1"/>
    <xf numFmtId="43" fontId="13" fillId="9" borderId="15" xfId="2" applyFont="1" applyFill="1" applyBorder="1"/>
    <xf numFmtId="43" fontId="12" fillId="9" borderId="15" xfId="2" applyFont="1" applyFill="1" applyBorder="1"/>
    <xf numFmtId="43" fontId="12" fillId="9" borderId="16" xfId="2" applyFont="1" applyFill="1" applyBorder="1"/>
    <xf numFmtId="43" fontId="13" fillId="9" borderId="16" xfId="2" applyFont="1" applyFill="1" applyBorder="1"/>
    <xf numFmtId="0" fontId="14" fillId="9" borderId="20" xfId="0" applyFont="1" applyFill="1" applyBorder="1" applyAlignment="1">
      <alignment horizontal="center"/>
    </xf>
    <xf numFmtId="0" fontId="15" fillId="9" borderId="21" xfId="0" applyFont="1" applyFill="1" applyBorder="1" applyAlignment="1">
      <alignment horizontal="center"/>
    </xf>
    <xf numFmtId="9" fontId="11" fillId="9" borderId="21" xfId="1" applyFont="1" applyFill="1" applyBorder="1"/>
    <xf numFmtId="43" fontId="11" fillId="9" borderId="21" xfId="2" applyFont="1" applyFill="1" applyBorder="1"/>
    <xf numFmtId="43" fontId="16" fillId="9" borderId="21" xfId="2" applyFont="1" applyFill="1" applyBorder="1"/>
    <xf numFmtId="43" fontId="13" fillId="9" borderId="21" xfId="2" applyFont="1" applyFill="1" applyBorder="1"/>
    <xf numFmtId="43" fontId="12" fillId="9" borderId="21" xfId="2" applyFont="1" applyFill="1" applyBorder="1"/>
    <xf numFmtId="43" fontId="13" fillId="9" borderId="22" xfId="2" applyFont="1" applyFill="1" applyBorder="1"/>
    <xf numFmtId="0" fontId="14" fillId="9" borderId="28" xfId="0" applyFont="1" applyFill="1" applyBorder="1" applyAlignment="1">
      <alignment horizontal="center"/>
    </xf>
    <xf numFmtId="0" fontId="15" fillId="9" borderId="29" xfId="0" applyFont="1" applyFill="1" applyBorder="1" applyAlignment="1">
      <alignment horizontal="center"/>
    </xf>
    <xf numFmtId="9" fontId="11" fillId="9" borderId="29" xfId="1" applyFont="1" applyFill="1" applyBorder="1"/>
    <xf numFmtId="43" fontId="11" fillId="9" borderId="29" xfId="2" applyFont="1" applyFill="1" applyBorder="1"/>
    <xf numFmtId="43" fontId="16" fillId="9" borderId="29" xfId="2" applyFont="1" applyFill="1" applyBorder="1"/>
    <xf numFmtId="43" fontId="13" fillId="9" borderId="29" xfId="2" applyFont="1" applyFill="1" applyBorder="1"/>
    <xf numFmtId="43" fontId="12" fillId="9" borderId="29" xfId="2" applyFont="1" applyFill="1" applyBorder="1"/>
    <xf numFmtId="43" fontId="13" fillId="9" borderId="30" xfId="2" applyFont="1" applyFill="1" applyBorder="1"/>
    <xf numFmtId="0" fontId="17" fillId="5" borderId="23" xfId="0" applyFont="1" applyFill="1" applyBorder="1" applyAlignment="1">
      <alignment horizontal="center"/>
    </xf>
    <xf numFmtId="0" fontId="18" fillId="5" borderId="24" xfId="0" applyFont="1" applyFill="1" applyBorder="1" applyAlignment="1">
      <alignment horizontal="center"/>
    </xf>
    <xf numFmtId="9" fontId="16" fillId="5" borderId="24" xfId="1" applyFont="1" applyFill="1" applyBorder="1"/>
    <xf numFmtId="43" fontId="16" fillId="5" borderId="24" xfId="2" applyFont="1" applyFill="1" applyBorder="1"/>
    <xf numFmtId="43" fontId="13" fillId="5" borderId="24" xfId="2" applyFont="1" applyFill="1" applyBorder="1"/>
    <xf numFmtId="43" fontId="12" fillId="5" borderId="24" xfId="2" applyFont="1" applyFill="1" applyBorder="1"/>
    <xf numFmtId="43" fontId="11" fillId="5" borderId="24" xfId="2" applyFont="1" applyFill="1" applyBorder="1"/>
    <xf numFmtId="43" fontId="13" fillId="5" borderId="25" xfId="2" applyFont="1" applyFill="1" applyBorder="1"/>
    <xf numFmtId="0" fontId="17" fillId="5" borderId="14" xfId="0" applyFont="1" applyFill="1" applyBorder="1" applyAlignment="1">
      <alignment horizontal="center"/>
    </xf>
    <xf numFmtId="0" fontId="18" fillId="5" borderId="15" xfId="0" applyFont="1" applyFill="1" applyBorder="1" applyAlignment="1">
      <alignment horizontal="center"/>
    </xf>
    <xf numFmtId="9" fontId="16" fillId="5" borderId="15" xfId="1" applyFont="1" applyFill="1" applyBorder="1"/>
    <xf numFmtId="43" fontId="16" fillId="5" borderId="15" xfId="2" applyFont="1" applyFill="1" applyBorder="1"/>
    <xf numFmtId="43" fontId="13" fillId="5" borderId="15" xfId="2" applyFont="1" applyFill="1" applyBorder="1"/>
    <xf numFmtId="43" fontId="12" fillId="5" borderId="15" xfId="2" applyFont="1" applyFill="1" applyBorder="1"/>
    <xf numFmtId="43" fontId="11" fillId="5" borderId="15" xfId="2" applyFont="1" applyFill="1" applyBorder="1"/>
    <xf numFmtId="43" fontId="13" fillId="5" borderId="16" xfId="2" applyFont="1" applyFill="1" applyBorder="1"/>
    <xf numFmtId="0" fontId="17" fillId="5" borderId="17" xfId="0" applyFont="1" applyFill="1" applyBorder="1" applyAlignment="1">
      <alignment horizontal="center"/>
    </xf>
    <xf numFmtId="0" fontId="18" fillId="5" borderId="18" xfId="0" applyFont="1" applyFill="1" applyBorder="1" applyAlignment="1">
      <alignment horizontal="center"/>
    </xf>
    <xf numFmtId="9" fontId="16" fillId="5" borderId="18" xfId="1" applyFont="1" applyFill="1" applyBorder="1"/>
    <xf numFmtId="43" fontId="16" fillId="5" borderId="18" xfId="2" applyFont="1" applyFill="1" applyBorder="1"/>
    <xf numFmtId="43" fontId="13" fillId="5" borderId="18" xfId="2" applyFont="1" applyFill="1" applyBorder="1"/>
    <xf numFmtId="43" fontId="12" fillId="5" borderId="18" xfId="2" applyFont="1" applyFill="1" applyBorder="1"/>
    <xf numFmtId="43" fontId="11" fillId="5" borderId="18" xfId="2" applyFont="1" applyFill="1" applyBorder="1"/>
    <xf numFmtId="43" fontId="13" fillId="5" borderId="19" xfId="2" applyFont="1" applyFill="1" applyBorder="1"/>
    <xf numFmtId="0" fontId="26" fillId="8" borderId="0" xfId="0" applyFont="1" applyFill="1" applyAlignment="1">
      <alignment horizontal="left"/>
    </xf>
    <xf numFmtId="0" fontId="25" fillId="8" borderId="0" xfId="0" applyFont="1" applyFill="1" applyAlignment="1">
      <alignment horizontal="center"/>
    </xf>
    <xf numFmtId="0" fontId="28" fillId="9" borderId="0" xfId="0" applyFont="1" applyFill="1" applyAlignment="1">
      <alignment horizontal="left"/>
    </xf>
    <xf numFmtId="0" fontId="27" fillId="9" borderId="0" xfId="0" applyFont="1" applyFill="1" applyAlignment="1">
      <alignment horizontal="center"/>
    </xf>
    <xf numFmtId="0" fontId="30" fillId="5" borderId="0" xfId="0" applyFont="1" applyFill="1" applyAlignment="1">
      <alignment horizontal="left"/>
    </xf>
    <xf numFmtId="0" fontId="29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8" fillId="2" borderId="37" xfId="0" applyFont="1" applyFill="1" applyBorder="1" applyAlignment="1">
      <alignment horizontal="center"/>
    </xf>
    <xf numFmtId="0" fontId="9" fillId="8" borderId="34" xfId="0" applyFont="1" applyFill="1" applyBorder="1" applyAlignment="1">
      <alignment horizontal="center"/>
    </xf>
    <xf numFmtId="0" fontId="9" fillId="8" borderId="41" xfId="0" applyFont="1" applyFill="1" applyBorder="1" applyAlignment="1">
      <alignment horizontal="center"/>
    </xf>
    <xf numFmtId="0" fontId="14" fillId="9" borderId="36" xfId="0" applyFont="1" applyFill="1" applyBorder="1" applyAlignment="1">
      <alignment horizontal="center"/>
    </xf>
    <xf numFmtId="0" fontId="14" fillId="9" borderId="42" xfId="0" applyFont="1" applyFill="1" applyBorder="1" applyAlignment="1">
      <alignment horizontal="center"/>
    </xf>
    <xf numFmtId="165" fontId="7" fillId="7" borderId="0" xfId="0" applyNumberFormat="1" applyFont="1" applyFill="1" applyAlignment="1">
      <alignment horizontal="center"/>
    </xf>
    <xf numFmtId="0" fontId="32" fillId="7" borderId="0" xfId="0" applyFont="1" applyFill="1"/>
    <xf numFmtId="0" fontId="5" fillId="6" borderId="44" xfId="0" applyFont="1" applyFill="1" applyBorder="1" applyAlignment="1">
      <alignment horizontal="center"/>
    </xf>
    <xf numFmtId="0" fontId="32" fillId="7" borderId="45" xfId="0" applyFont="1" applyFill="1" applyBorder="1"/>
    <xf numFmtId="0" fontId="33" fillId="7" borderId="46" xfId="0" applyFont="1" applyFill="1" applyBorder="1" applyAlignment="1">
      <alignment horizontal="center"/>
    </xf>
    <xf numFmtId="0" fontId="32" fillId="7" borderId="47" xfId="0" applyFont="1" applyFill="1" applyBorder="1"/>
    <xf numFmtId="0" fontId="33" fillId="7" borderId="48" xfId="0" applyFont="1" applyFill="1" applyBorder="1" applyAlignment="1">
      <alignment horizontal="center"/>
    </xf>
    <xf numFmtId="0" fontId="32" fillId="7" borderId="14" xfId="0" applyFont="1" applyFill="1" applyBorder="1"/>
    <xf numFmtId="164" fontId="7" fillId="10" borderId="16" xfId="0" applyNumberFormat="1" applyFont="1" applyFill="1" applyBorder="1" applyAlignment="1">
      <alignment horizontal="center"/>
    </xf>
    <xf numFmtId="0" fontId="32" fillId="5" borderId="14" xfId="0" applyFont="1" applyFill="1" applyBorder="1"/>
    <xf numFmtId="166" fontId="35" fillId="5" borderId="16" xfId="0" applyNumberFormat="1" applyFont="1" applyFill="1" applyBorder="1" applyAlignment="1">
      <alignment horizontal="center"/>
    </xf>
    <xf numFmtId="3" fontId="7" fillId="10" borderId="16" xfId="0" applyNumberFormat="1" applyFont="1" applyFill="1" applyBorder="1" applyAlignment="1">
      <alignment horizontal="center"/>
    </xf>
    <xf numFmtId="0" fontId="32" fillId="7" borderId="17" xfId="0" applyFont="1" applyFill="1" applyBorder="1"/>
    <xf numFmtId="3" fontId="7" fillId="10" borderId="19" xfId="0" applyNumberFormat="1" applyFont="1" applyFill="1" applyBorder="1" applyAlignment="1">
      <alignment horizontal="center"/>
    </xf>
    <xf numFmtId="0" fontId="8" fillId="2" borderId="49" xfId="0" applyFont="1" applyFill="1" applyBorder="1" applyAlignment="1">
      <alignment horizontal="center"/>
    </xf>
    <xf numFmtId="164" fontId="36" fillId="0" borderId="0" xfId="0" applyNumberFormat="1" applyFont="1" applyAlignment="1">
      <alignment horizontal="center"/>
    </xf>
    <xf numFmtId="0" fontId="8" fillId="2" borderId="50" xfId="0" applyFont="1" applyFill="1" applyBorder="1" applyAlignment="1">
      <alignment horizontal="center"/>
    </xf>
    <xf numFmtId="164" fontId="36" fillId="0" borderId="3" xfId="0" applyNumberFormat="1" applyFont="1" applyBorder="1" applyAlignment="1">
      <alignment horizontal="center"/>
    </xf>
    <xf numFmtId="0" fontId="8" fillId="2" borderId="51" xfId="0" applyFont="1" applyFill="1" applyBorder="1" applyAlignment="1">
      <alignment horizontal="center"/>
    </xf>
    <xf numFmtId="0" fontId="36" fillId="0" borderId="5" xfId="0" applyFont="1" applyBorder="1" applyAlignment="1">
      <alignment horizontal="center"/>
    </xf>
    <xf numFmtId="0" fontId="36" fillId="0" borderId="6" xfId="0" applyFont="1" applyBorder="1" applyAlignment="1">
      <alignment horizontal="center"/>
    </xf>
    <xf numFmtId="0" fontId="8" fillId="2" borderId="52" xfId="0" applyFont="1" applyFill="1" applyBorder="1" applyAlignment="1">
      <alignment horizontal="center"/>
    </xf>
    <xf numFmtId="1" fontId="36" fillId="0" borderId="8" xfId="0" applyNumberFormat="1" applyFont="1" applyBorder="1" applyAlignment="1">
      <alignment horizontal="center"/>
    </xf>
    <xf numFmtId="1" fontId="36" fillId="0" borderId="9" xfId="0" applyNumberFormat="1" applyFont="1" applyBorder="1" applyAlignment="1">
      <alignment horizontal="center"/>
    </xf>
    <xf numFmtId="0" fontId="5" fillId="2" borderId="49" xfId="0" applyFont="1" applyFill="1" applyBorder="1" applyAlignment="1">
      <alignment horizontal="center"/>
    </xf>
    <xf numFmtId="0" fontId="31" fillId="5" borderId="0" xfId="0" applyFont="1" applyFill="1" applyAlignment="1">
      <alignment horizontal="center"/>
    </xf>
    <xf numFmtId="0" fontId="31" fillId="8" borderId="0" xfId="0" applyFont="1" applyFill="1" applyAlignment="1">
      <alignment horizontal="center"/>
    </xf>
    <xf numFmtId="0" fontId="32" fillId="3" borderId="45" xfId="0" applyFont="1" applyFill="1" applyBorder="1"/>
    <xf numFmtId="0" fontId="32" fillId="12" borderId="45" xfId="0" applyFont="1" applyFill="1" applyBorder="1"/>
    <xf numFmtId="0" fontId="32" fillId="13" borderId="45" xfId="0" applyFont="1" applyFill="1" applyBorder="1"/>
    <xf numFmtId="0" fontId="32" fillId="14" borderId="47" xfId="0" applyFont="1" applyFill="1" applyBorder="1"/>
    <xf numFmtId="164" fontId="31" fillId="0" borderId="0" xfId="0" applyNumberFormat="1" applyFont="1" applyAlignment="1">
      <alignment horizontal="center"/>
    </xf>
    <xf numFmtId="164" fontId="31" fillId="0" borderId="5" xfId="0" applyNumberFormat="1" applyFont="1" applyBorder="1" applyAlignment="1">
      <alignment horizontal="center"/>
    </xf>
    <xf numFmtId="0" fontId="0" fillId="0" borderId="45" xfId="0" applyBorder="1"/>
    <xf numFmtId="0" fontId="32" fillId="7" borderId="10" xfId="0" applyFont="1" applyFill="1" applyBorder="1"/>
    <xf numFmtId="0" fontId="32" fillId="7" borderId="10" xfId="0" applyFont="1" applyFill="1" applyBorder="1" applyAlignment="1">
      <alignment horizontal="center"/>
    </xf>
    <xf numFmtId="0" fontId="32" fillId="7" borderId="10" xfId="0" applyFont="1" applyFill="1" applyBorder="1" applyAlignment="1">
      <alignment horizontal="center" vertical="center" wrapText="1"/>
    </xf>
    <xf numFmtId="0" fontId="0" fillId="0" borderId="47" xfId="0" applyBorder="1"/>
    <xf numFmtId="0" fontId="32" fillId="7" borderId="55" xfId="0" applyFont="1" applyFill="1" applyBorder="1"/>
    <xf numFmtId="0" fontId="32" fillId="7" borderId="55" xfId="0" applyFont="1" applyFill="1" applyBorder="1" applyAlignment="1">
      <alignment horizontal="center"/>
    </xf>
    <xf numFmtId="9" fontId="33" fillId="7" borderId="48" xfId="0" applyNumberFormat="1" applyFont="1" applyFill="1" applyBorder="1" applyAlignment="1">
      <alignment horizontal="center"/>
    </xf>
    <xf numFmtId="0" fontId="5" fillId="6" borderId="43" xfId="0" applyFont="1" applyFill="1" applyBorder="1" applyAlignment="1">
      <alignment horizontal="left"/>
    </xf>
    <xf numFmtId="0" fontId="5" fillId="6" borderId="54" xfId="0" applyFont="1" applyFill="1" applyBorder="1" applyAlignment="1">
      <alignment horizontal="center"/>
    </xf>
    <xf numFmtId="0" fontId="5" fillId="6" borderId="53" xfId="0" applyFont="1" applyFill="1" applyBorder="1" applyAlignment="1">
      <alignment horizontal="center"/>
    </xf>
    <xf numFmtId="0" fontId="5" fillId="6" borderId="49" xfId="0" applyFont="1" applyFill="1" applyBorder="1" applyAlignment="1">
      <alignment horizontal="center"/>
    </xf>
    <xf numFmtId="0" fontId="5" fillId="6" borderId="56" xfId="0" applyFont="1" applyFill="1" applyBorder="1" applyAlignment="1">
      <alignment horizontal="center"/>
    </xf>
    <xf numFmtId="2" fontId="31" fillId="0" borderId="0" xfId="0" applyNumberFormat="1" applyFont="1" applyAlignment="1">
      <alignment horizontal="center"/>
    </xf>
    <xf numFmtId="168" fontId="37" fillId="3" borderId="46" xfId="0" applyNumberFormat="1" applyFont="1" applyFill="1" applyBorder="1" applyAlignment="1">
      <alignment horizontal="center"/>
    </xf>
    <xf numFmtId="168" fontId="37" fillId="12" borderId="46" xfId="0" applyNumberFormat="1" applyFont="1" applyFill="1" applyBorder="1" applyAlignment="1">
      <alignment horizontal="center"/>
    </xf>
    <xf numFmtId="168" fontId="37" fillId="13" borderId="46" xfId="0" applyNumberFormat="1" applyFont="1" applyFill="1" applyBorder="1" applyAlignment="1">
      <alignment horizontal="center"/>
    </xf>
    <xf numFmtId="168" fontId="37" fillId="14" borderId="48" xfId="0" applyNumberFormat="1" applyFont="1" applyFill="1" applyBorder="1" applyAlignment="1">
      <alignment horizontal="center"/>
    </xf>
    <xf numFmtId="49" fontId="37" fillId="7" borderId="46" xfId="0" applyNumberFormat="1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67" fontId="33" fillId="7" borderId="8" xfId="0" applyNumberFormat="1" applyFont="1" applyFill="1" applyBorder="1" applyAlignment="1">
      <alignment horizontal="center"/>
    </xf>
    <xf numFmtId="166" fontId="33" fillId="10" borderId="8" xfId="0" applyNumberFormat="1" applyFont="1" applyFill="1" applyBorder="1" applyAlignment="1">
      <alignment horizontal="center"/>
    </xf>
    <xf numFmtId="164" fontId="33" fillId="7" borderId="9" xfId="0" applyNumberFormat="1" applyFont="1" applyFill="1" applyBorder="1" applyAlignment="1">
      <alignment horizontal="center"/>
    </xf>
    <xf numFmtId="166" fontId="34" fillId="5" borderId="61" xfId="0" applyNumberFormat="1" applyFont="1" applyFill="1" applyBorder="1" applyAlignment="1">
      <alignment horizontal="center"/>
    </xf>
    <xf numFmtId="166" fontId="33" fillId="10" borderId="59" xfId="0" applyNumberFormat="1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166" fontId="34" fillId="5" borderId="63" xfId="0" applyNumberFormat="1" applyFont="1" applyFill="1" applyBorder="1" applyAlignment="1">
      <alignment horizontal="center"/>
    </xf>
    <xf numFmtId="166" fontId="33" fillId="10" borderId="9" xfId="0" applyNumberFormat="1" applyFont="1" applyFill="1" applyBorder="1" applyAlignment="1">
      <alignment horizontal="center"/>
    </xf>
    <xf numFmtId="0" fontId="0" fillId="2" borderId="7" xfId="0" applyFill="1" applyBorder="1"/>
    <xf numFmtId="0" fontId="0" fillId="6" borderId="8" xfId="0" applyFill="1" applyBorder="1"/>
    <xf numFmtId="0" fontId="34" fillId="5" borderId="60" xfId="0" applyFont="1" applyFill="1" applyBorder="1"/>
    <xf numFmtId="0" fontId="33" fillId="7" borderId="5" xfId="0" applyFont="1" applyFill="1" applyBorder="1"/>
    <xf numFmtId="0" fontId="33" fillId="10" borderId="5" xfId="0" applyFont="1" applyFill="1" applyBorder="1"/>
    <xf numFmtId="0" fontId="33" fillId="10" borderId="58" xfId="0" applyFont="1" applyFill="1" applyBorder="1"/>
    <xf numFmtId="0" fontId="0" fillId="10" borderId="5" xfId="0" applyFill="1" applyBorder="1"/>
    <xf numFmtId="0" fontId="0" fillId="10" borderId="8" xfId="0" applyFill="1" applyBorder="1"/>
    <xf numFmtId="0" fontId="0" fillId="2" borderId="8" xfId="0" applyFill="1" applyBorder="1"/>
    <xf numFmtId="0" fontId="34" fillId="5" borderId="62" xfId="0" applyFont="1" applyFill="1" applyBorder="1"/>
    <xf numFmtId="0" fontId="33" fillId="10" borderId="6" xfId="0" applyFont="1" applyFill="1" applyBorder="1"/>
    <xf numFmtId="0" fontId="0" fillId="2" borderId="9" xfId="0" applyFill="1" applyBorder="1"/>
    <xf numFmtId="0" fontId="33" fillId="7" borderId="6" xfId="0" applyFont="1" applyFill="1" applyBorder="1"/>
    <xf numFmtId="0" fontId="5" fillId="2" borderId="2" xfId="0" applyFont="1" applyFill="1" applyBorder="1"/>
    <xf numFmtId="0" fontId="5" fillId="2" borderId="7" xfId="0" applyFont="1" applyFill="1" applyBorder="1"/>
    <xf numFmtId="0" fontId="36" fillId="10" borderId="71" xfId="0" applyFont="1" applyFill="1" applyBorder="1" applyAlignment="1">
      <alignment horizontal="center" vertical="center"/>
    </xf>
    <xf numFmtId="0" fontId="36" fillId="10" borderId="72" xfId="0" applyFont="1" applyFill="1" applyBorder="1" applyAlignment="1">
      <alignment horizontal="center" vertical="center"/>
    </xf>
    <xf numFmtId="0" fontId="36" fillId="10" borderId="73" xfId="0" applyFont="1" applyFill="1" applyBorder="1" applyAlignment="1">
      <alignment horizontal="center" vertical="center"/>
    </xf>
    <xf numFmtId="0" fontId="36" fillId="10" borderId="75" xfId="0" applyFont="1" applyFill="1" applyBorder="1" applyAlignment="1">
      <alignment horizontal="center" vertical="center"/>
    </xf>
    <xf numFmtId="0" fontId="36" fillId="10" borderId="76" xfId="0" applyFont="1" applyFill="1" applyBorder="1" applyAlignment="1">
      <alignment horizontal="center" vertical="center"/>
    </xf>
    <xf numFmtId="0" fontId="36" fillId="10" borderId="77" xfId="0" applyFont="1" applyFill="1" applyBorder="1" applyAlignment="1">
      <alignment horizontal="center" vertical="center"/>
    </xf>
    <xf numFmtId="1" fontId="36" fillId="10" borderId="67" xfId="0" applyNumberFormat="1" applyFont="1" applyFill="1" applyBorder="1" applyAlignment="1">
      <alignment horizontal="center" vertical="center"/>
    </xf>
    <xf numFmtId="1" fontId="36" fillId="10" borderId="68" xfId="0" applyNumberFormat="1" applyFont="1" applyFill="1" applyBorder="1" applyAlignment="1">
      <alignment horizontal="center" vertical="center"/>
    </xf>
    <xf numFmtId="1" fontId="36" fillId="10" borderId="69" xfId="0" applyNumberFormat="1" applyFont="1" applyFill="1" applyBorder="1" applyAlignment="1">
      <alignment horizontal="center" vertical="center"/>
    </xf>
    <xf numFmtId="1" fontId="36" fillId="10" borderId="64" xfId="0" applyNumberFormat="1" applyFont="1" applyFill="1" applyBorder="1" applyAlignment="1">
      <alignment horizontal="center" vertical="center"/>
    </xf>
    <xf numFmtId="1" fontId="36" fillId="10" borderId="65" xfId="0" applyNumberFormat="1" applyFont="1" applyFill="1" applyBorder="1" applyAlignment="1">
      <alignment horizontal="center" vertical="center"/>
    </xf>
    <xf numFmtId="1" fontId="36" fillId="10" borderId="66" xfId="0" applyNumberFormat="1" applyFont="1" applyFill="1" applyBorder="1" applyAlignment="1">
      <alignment horizontal="center" vertical="center"/>
    </xf>
    <xf numFmtId="0" fontId="5" fillId="6" borderId="70" xfId="0" applyFont="1" applyFill="1" applyBorder="1" applyAlignment="1">
      <alignment horizontal="center"/>
    </xf>
    <xf numFmtId="0" fontId="5" fillId="2" borderId="74" xfId="0" applyFont="1" applyFill="1" applyBorder="1" applyAlignment="1">
      <alignment horizontal="center"/>
    </xf>
    <xf numFmtId="2" fontId="31" fillId="0" borderId="57" xfId="0" applyNumberFormat="1" applyFont="1" applyBorder="1" applyAlignment="1">
      <alignment horizontal="center"/>
    </xf>
    <xf numFmtId="0" fontId="39" fillId="6" borderId="44" xfId="0" applyFont="1" applyFill="1" applyBorder="1" applyAlignment="1">
      <alignment horizontal="center"/>
    </xf>
    <xf numFmtId="164" fontId="39" fillId="7" borderId="46" xfId="0" applyNumberFormat="1" applyFont="1" applyFill="1" applyBorder="1" applyAlignment="1">
      <alignment horizontal="center"/>
    </xf>
    <xf numFmtId="164" fontId="39" fillId="7" borderId="48" xfId="0" applyNumberFormat="1" applyFont="1" applyFill="1" applyBorder="1" applyAlignment="1">
      <alignment horizontal="center"/>
    </xf>
    <xf numFmtId="3" fontId="39" fillId="7" borderId="46" xfId="0" applyNumberFormat="1" applyFont="1" applyFill="1" applyBorder="1" applyAlignment="1">
      <alignment horizontal="center"/>
    </xf>
    <xf numFmtId="9" fontId="39" fillId="7" borderId="46" xfId="0" applyNumberFormat="1" applyFont="1" applyFill="1" applyBorder="1" applyAlignment="1">
      <alignment horizontal="center"/>
    </xf>
    <xf numFmtId="0" fontId="5" fillId="2" borderId="43" xfId="0" applyFont="1" applyFill="1" applyBorder="1" applyAlignment="1">
      <alignment horizontal="left"/>
    </xf>
    <xf numFmtId="0" fontId="32" fillId="7" borderId="78" xfId="0" applyFont="1" applyFill="1" applyBorder="1"/>
    <xf numFmtId="164" fontId="39" fillId="7" borderId="79" xfId="0" applyNumberFormat="1" applyFont="1" applyFill="1" applyBorder="1" applyAlignment="1">
      <alignment horizontal="center"/>
    </xf>
    <xf numFmtId="0" fontId="0" fillId="15" borderId="0" xfId="0" applyFill="1"/>
    <xf numFmtId="0" fontId="0" fillId="16" borderId="0" xfId="0" applyFill="1"/>
    <xf numFmtId="0" fontId="47" fillId="0" borderId="83" xfId="0" applyFont="1" applyBorder="1"/>
    <xf numFmtId="0" fontId="46" fillId="0" borderId="83" xfId="0" applyFont="1" applyBorder="1"/>
    <xf numFmtId="0" fontId="51" fillId="0" borderId="84" xfId="0" applyFont="1" applyBorder="1"/>
    <xf numFmtId="169" fontId="48" fillId="0" borderId="86" xfId="0" applyNumberFormat="1" applyFont="1" applyBorder="1"/>
    <xf numFmtId="0" fontId="0" fillId="0" borderId="87" xfId="0" applyBorder="1"/>
    <xf numFmtId="0" fontId="46" fillId="0" borderId="88" xfId="0" applyFont="1" applyBorder="1"/>
    <xf numFmtId="0" fontId="47" fillId="0" borderId="82" xfId="0" applyFont="1" applyBorder="1"/>
    <xf numFmtId="0" fontId="38" fillId="0" borderId="86" xfId="0" applyFont="1" applyBorder="1"/>
    <xf numFmtId="9" fontId="52" fillId="0" borderId="86" xfId="0" applyNumberFormat="1" applyFont="1" applyBorder="1"/>
    <xf numFmtId="0" fontId="47" fillId="0" borderId="88" xfId="0" applyFont="1" applyBorder="1"/>
    <xf numFmtId="0" fontId="50" fillId="0" borderId="89" xfId="0" applyFont="1" applyBorder="1"/>
    <xf numFmtId="0" fontId="54" fillId="0" borderId="83" xfId="0" applyFont="1" applyBorder="1"/>
    <xf numFmtId="0" fontId="54" fillId="0" borderId="90" xfId="0" applyFont="1" applyBorder="1"/>
    <xf numFmtId="0" fontId="46" fillId="18" borderId="83" xfId="0" applyFont="1" applyFill="1" applyBorder="1"/>
    <xf numFmtId="166" fontId="50" fillId="18" borderId="0" xfId="0" applyNumberFormat="1" applyFont="1" applyFill="1" applyAlignment="1">
      <alignment horizontal="center"/>
    </xf>
    <xf numFmtId="0" fontId="46" fillId="18" borderId="0" xfId="0" applyFont="1" applyFill="1"/>
    <xf numFmtId="168" fontId="52" fillId="18" borderId="86" xfId="0" applyNumberFormat="1" applyFont="1" applyFill="1" applyBorder="1"/>
    <xf numFmtId="0" fontId="46" fillId="10" borderId="84" xfId="0" applyFont="1" applyFill="1" applyBorder="1"/>
    <xf numFmtId="166" fontId="50" fillId="10" borderId="81" xfId="0" applyNumberFormat="1" applyFont="1" applyFill="1" applyBorder="1" applyAlignment="1">
      <alignment horizontal="center"/>
    </xf>
    <xf numFmtId="0" fontId="46" fillId="10" borderId="81" xfId="0" applyFont="1" applyFill="1" applyBorder="1"/>
    <xf numFmtId="168" fontId="52" fillId="10" borderId="87" xfId="0" applyNumberFormat="1" applyFont="1" applyFill="1" applyBorder="1"/>
    <xf numFmtId="0" fontId="47" fillId="17" borderId="84" xfId="0" applyFont="1" applyFill="1" applyBorder="1"/>
    <xf numFmtId="0" fontId="47" fillId="17" borderId="81" xfId="0" applyFont="1" applyFill="1" applyBorder="1" applyAlignment="1">
      <alignment horizontal="center"/>
    </xf>
    <xf numFmtId="0" fontId="0" fillId="17" borderId="81" xfId="0" applyFill="1" applyBorder="1"/>
    <xf numFmtId="0" fontId="47" fillId="17" borderId="81" xfId="0" applyFont="1" applyFill="1" applyBorder="1"/>
    <xf numFmtId="0" fontId="47" fillId="17" borderId="87" xfId="0" applyFont="1" applyFill="1" applyBorder="1" applyAlignment="1">
      <alignment horizontal="center"/>
    </xf>
    <xf numFmtId="0" fontId="55" fillId="0" borderId="0" xfId="0" applyFont="1"/>
    <xf numFmtId="0" fontId="0" fillId="19" borderId="0" xfId="0" applyFill="1"/>
    <xf numFmtId="0" fontId="0" fillId="19" borderId="81" xfId="0" applyFill="1" applyBorder="1"/>
    <xf numFmtId="170" fontId="38" fillId="0" borderId="89" xfId="0" applyNumberFormat="1" applyFont="1" applyBorder="1"/>
    <xf numFmtId="170" fontId="48" fillId="0" borderId="86" xfId="0" applyNumberFormat="1" applyFont="1" applyBorder="1"/>
    <xf numFmtId="171" fontId="48" fillId="0" borderId="86" xfId="0" applyNumberFormat="1" applyFont="1" applyBorder="1"/>
    <xf numFmtId="170" fontId="50" fillId="0" borderId="85" xfId="0" applyNumberFormat="1" applyFont="1" applyBorder="1"/>
    <xf numFmtId="0" fontId="53" fillId="0" borderId="86" xfId="0" applyFont="1" applyBorder="1" applyAlignment="1">
      <alignment horizontal="right"/>
    </xf>
    <xf numFmtId="164" fontId="52" fillId="0" borderId="86" xfId="0" applyNumberFormat="1" applyFont="1" applyBorder="1" applyAlignment="1">
      <alignment horizontal="right"/>
    </xf>
    <xf numFmtId="166" fontId="52" fillId="0" borderId="86" xfId="0" applyNumberFormat="1" applyFont="1" applyBorder="1" applyAlignment="1">
      <alignment horizontal="right"/>
    </xf>
    <xf numFmtId="0" fontId="53" fillId="0" borderId="91" xfId="0" applyFont="1" applyBorder="1" applyAlignment="1">
      <alignment horizontal="right"/>
    </xf>
    <xf numFmtId="164" fontId="39" fillId="7" borderId="0" xfId="0" applyNumberFormat="1" applyFont="1" applyFill="1" applyAlignment="1">
      <alignment horizontal="center"/>
    </xf>
    <xf numFmtId="165" fontId="49" fillId="0" borderId="86" xfId="0" applyNumberFormat="1" applyFont="1" applyBorder="1"/>
    <xf numFmtId="0" fontId="5" fillId="2" borderId="0" xfId="0" applyFont="1" applyFill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6" borderId="31" xfId="0" applyFont="1" applyFill="1" applyBorder="1" applyAlignment="1">
      <alignment horizontal="center"/>
    </xf>
    <xf numFmtId="0" fontId="5" fillId="6" borderId="38" xfId="0" applyFont="1" applyFill="1" applyBorder="1" applyAlignment="1">
      <alignment horizontal="center"/>
    </xf>
    <xf numFmtId="0" fontId="23" fillId="9" borderId="32" xfId="0" applyFont="1" applyFill="1" applyBorder="1" applyAlignment="1">
      <alignment horizontal="center"/>
    </xf>
    <xf numFmtId="0" fontId="23" fillId="9" borderId="39" xfId="0" applyFont="1" applyFill="1" applyBorder="1" applyAlignment="1">
      <alignment horizontal="center"/>
    </xf>
    <xf numFmtId="0" fontId="22" fillId="9" borderId="33" xfId="0" applyFont="1" applyFill="1" applyBorder="1" applyAlignment="1">
      <alignment horizontal="center"/>
    </xf>
    <xf numFmtId="0" fontId="22" fillId="9" borderId="40" xfId="0" applyFont="1" applyFill="1" applyBorder="1" applyAlignment="1">
      <alignment horizontal="center"/>
    </xf>
    <xf numFmtId="0" fontId="5" fillId="11" borderId="31" xfId="0" applyFont="1" applyFill="1" applyBorder="1" applyAlignment="1">
      <alignment horizontal="center"/>
    </xf>
    <xf numFmtId="0" fontId="5" fillId="11" borderId="38" xfId="0" applyFont="1" applyFill="1" applyBorder="1" applyAlignment="1">
      <alignment horizontal="center"/>
    </xf>
    <xf numFmtId="0" fontId="24" fillId="8" borderId="32" xfId="0" applyFont="1" applyFill="1" applyBorder="1" applyAlignment="1">
      <alignment horizontal="center"/>
    </xf>
    <xf numFmtId="0" fontId="24" fillId="8" borderId="39" xfId="0" applyFont="1" applyFill="1" applyBorder="1" applyAlignment="1">
      <alignment horizontal="center"/>
    </xf>
    <xf numFmtId="0" fontId="22" fillId="8" borderId="33" xfId="0" applyFont="1" applyFill="1" applyBorder="1" applyAlignment="1">
      <alignment horizontal="center"/>
    </xf>
    <xf numFmtId="0" fontId="22" fillId="8" borderId="40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/>
    </xf>
    <xf numFmtId="0" fontId="21" fillId="10" borderId="32" xfId="0" applyFont="1" applyFill="1" applyBorder="1" applyAlignment="1">
      <alignment horizontal="center"/>
    </xf>
    <xf numFmtId="0" fontId="21" fillId="10" borderId="35" xfId="0" applyFont="1" applyFill="1" applyBorder="1" applyAlignment="1">
      <alignment horizontal="center"/>
    </xf>
    <xf numFmtId="0" fontId="22" fillId="10" borderId="33" xfId="0" applyFont="1" applyFill="1" applyBorder="1" applyAlignment="1">
      <alignment horizontal="center"/>
    </xf>
    <xf numFmtId="0" fontId="22" fillId="10" borderId="36" xfId="0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19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0" fillId="0" borderId="0" xfId="0"/>
    <xf numFmtId="0" fontId="8" fillId="16" borderId="82" xfId="0" applyFont="1" applyFill="1" applyBorder="1"/>
    <xf numFmtId="0" fontId="8" fillId="16" borderId="80" xfId="0" applyFont="1" applyFill="1" applyBorder="1"/>
    <xf numFmtId="0" fontId="8" fillId="19" borderId="80" xfId="0" applyFont="1" applyFill="1" applyBorder="1"/>
    <xf numFmtId="0" fontId="8" fillId="16" borderId="85" xfId="0" applyFont="1" applyFill="1" applyBorder="1" applyAlignment="1">
      <alignment horizontal="right"/>
    </xf>
    <xf numFmtId="0" fontId="53" fillId="18" borderId="80" xfId="0" applyFont="1" applyFill="1" applyBorder="1"/>
    <xf numFmtId="0" fontId="53" fillId="19" borderId="80" xfId="0" applyFont="1" applyFill="1" applyBorder="1"/>
    <xf numFmtId="0" fontId="53" fillId="10" borderId="81" xfId="0" applyFont="1" applyFill="1" applyBorder="1"/>
    <xf numFmtId="0" fontId="53" fillId="19" borderId="81" xfId="0" applyFont="1" applyFill="1" applyBorder="1"/>
    <xf numFmtId="0" fontId="42" fillId="15" borderId="0" xfId="0" applyFont="1" applyFill="1" applyAlignment="1">
      <alignment horizontal="left"/>
    </xf>
    <xf numFmtId="0" fontId="43" fillId="15" borderId="0" xfId="0" applyFont="1" applyFill="1" applyAlignment="1">
      <alignment horizontal="left"/>
    </xf>
    <xf numFmtId="0" fontId="45" fillId="16" borderId="0" xfId="0" applyFont="1" applyFill="1"/>
    <xf numFmtId="0" fontId="44" fillId="16" borderId="0" xfId="0" applyFont="1" applyFill="1"/>
    <xf numFmtId="0" fontId="8" fillId="16" borderId="82" xfId="0" applyFont="1" applyFill="1" applyBorder="1" applyAlignment="1">
      <alignment horizontal="left"/>
    </xf>
    <xf numFmtId="0" fontId="8" fillId="16" borderId="85" xfId="0" applyFont="1" applyFill="1" applyBorder="1" applyAlignment="1">
      <alignment horizontal="left"/>
    </xf>
    <xf numFmtId="0" fontId="8" fillId="16" borderId="85" xfId="0" applyFont="1" applyFill="1" applyBorder="1"/>
    <xf numFmtId="0" fontId="5" fillId="6" borderId="5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3" fillId="2" borderId="0" xfId="0" applyFont="1" applyFill="1"/>
    <xf numFmtId="0" fontId="5" fillId="6" borderId="43" xfId="0" applyFont="1" applyFill="1" applyBorder="1" applyAlignment="1">
      <alignment horizontal="center"/>
    </xf>
    <xf numFmtId="0" fontId="5" fillId="6" borderId="44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3">
    <dxf>
      <fill>
        <patternFill patternType="solid">
          <fgColor indexed="64"/>
          <bgColor rgb="FFEAF3FB"/>
        </patternFill>
      </fill>
    </dxf>
    <dxf>
      <fill>
        <patternFill patternType="solid">
          <fgColor indexed="64"/>
          <bgColor rgb="FFEAF3FB"/>
        </patternFill>
      </fill>
    </dxf>
    <dxf>
      <fill>
        <patternFill patternType="solid">
          <fgColor indexed="64"/>
          <bgColor rgb="FFEAF3FB"/>
        </patternFill>
      </fill>
    </dxf>
  </dxfs>
  <tableStyles count="0" defaultTableStyle="TableStyleMedium2" defaultPivotStyle="PivotStyleLight16"/>
  <colors>
    <mruColors>
      <color rgb="FF00CC00"/>
      <color rgb="FF00FF00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Simulated </a:t>
            </a:r>
            <a:r>
              <a:rPr lang="el-GR"/>
              <a:t>Δ6</a:t>
            </a:r>
            <a:r>
              <a:rPr lang="en-US"/>
              <a:t>MWD Distribution (n=1,000)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'Base Case (Normal)'!$E$15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'Base Case (Normal)'!$D$16:$D$21</c:f>
              <c:strCache>
                <c:ptCount val="6"/>
                <c:pt idx="0">
                  <c:v>-100 to -75</c:v>
                </c:pt>
                <c:pt idx="1">
                  <c:v>-75 to -25</c:v>
                </c:pt>
                <c:pt idx="2">
                  <c:v>-25 to 25</c:v>
                </c:pt>
                <c:pt idx="3">
                  <c:v>25 to 75</c:v>
                </c:pt>
                <c:pt idx="4">
                  <c:v>75 to 125</c:v>
                </c:pt>
                <c:pt idx="5">
                  <c:v>125 to 175</c:v>
                </c:pt>
              </c:strCache>
            </c:strRef>
          </c:cat>
          <c:val>
            <c:numRef>
              <c:f>'Base Case (Normal)'!$E$16:$E$21</c:f>
              <c:numCache>
                <c:formatCode>General</c:formatCode>
                <c:ptCount val="6"/>
                <c:pt idx="0">
                  <c:v>9</c:v>
                </c:pt>
                <c:pt idx="1">
                  <c:v>97</c:v>
                </c:pt>
                <c:pt idx="2">
                  <c:v>273</c:v>
                </c:pt>
                <c:pt idx="3">
                  <c:v>380</c:v>
                </c:pt>
                <c:pt idx="4">
                  <c:v>205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0A-4486-8589-360EE5744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4446032"/>
        <c:axId val="954446512"/>
      </c:barChart>
      <c:catAx>
        <c:axId val="954446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Δ6</a:t>
                </a:r>
                <a:r>
                  <a:rPr lang="en-US"/>
                  <a:t>MWD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446512"/>
        <c:crosses val="autoZero"/>
        <c:auto val="1"/>
        <c:lblAlgn val="ctr"/>
        <c:lblOffset val="100"/>
        <c:noMultiLvlLbl val="0"/>
      </c:catAx>
      <c:valAx>
        <c:axId val="95444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446032"/>
        <c:crosses val="autoZero"/>
        <c:crossBetween val="between"/>
      </c:valAx>
      <c:spPr>
        <a:solidFill>
          <a:srgbClr val="FAFAFA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BDD7EE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Simulated </a:t>
            </a:r>
            <a:r>
              <a:rPr lang="el-GR"/>
              <a:t>Δ6</a:t>
            </a:r>
            <a:r>
              <a:rPr lang="en-US"/>
              <a:t>MWD Distribution (n=1,000)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'Bull Case (Phase 2 Prior)'!$E$15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'Bull Case (Phase 2 Prior)'!$D$16:$D$23</c:f>
              <c:strCache>
                <c:ptCount val="8"/>
                <c:pt idx="0">
                  <c:v>-75 to -50</c:v>
                </c:pt>
                <c:pt idx="1">
                  <c:v>-50 to -25</c:v>
                </c:pt>
                <c:pt idx="2">
                  <c:v>-25 to 0</c:v>
                </c:pt>
                <c:pt idx="3">
                  <c:v>0 to 25</c:v>
                </c:pt>
                <c:pt idx="4">
                  <c:v>25 to 50</c:v>
                </c:pt>
                <c:pt idx="5">
                  <c:v>50 to 75</c:v>
                </c:pt>
                <c:pt idx="6">
                  <c:v>75 to 100</c:v>
                </c:pt>
                <c:pt idx="7">
                  <c:v>100 to 125</c:v>
                </c:pt>
              </c:strCache>
            </c:strRef>
          </c:cat>
          <c:val>
            <c:numRef>
              <c:f>'Bull Case (Phase 2 Prior)'!$E$16:$E$23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64</c:v>
                </c:pt>
                <c:pt idx="3">
                  <c:v>260</c:v>
                </c:pt>
                <c:pt idx="4">
                  <c:v>381</c:v>
                </c:pt>
                <c:pt idx="5">
                  <c:v>232</c:v>
                </c:pt>
                <c:pt idx="6">
                  <c:v>50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3-4228-B3F8-D4C6C2B44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9571744"/>
        <c:axId val="1009564064"/>
      </c:barChart>
      <c:catAx>
        <c:axId val="1009571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Δ6</a:t>
                </a:r>
                <a:r>
                  <a:rPr lang="en-US"/>
                  <a:t>MWD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564064"/>
        <c:crosses val="autoZero"/>
        <c:auto val="1"/>
        <c:lblAlgn val="ctr"/>
        <c:lblOffset val="100"/>
        <c:noMultiLvlLbl val="0"/>
      </c:catAx>
      <c:valAx>
        <c:axId val="100956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571744"/>
        <c:crosses val="autoZero"/>
        <c:crossBetween val="between"/>
      </c:valAx>
      <c:spPr>
        <a:solidFill>
          <a:srgbClr val="FAFAFA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BDD7EE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TENX — Risk-Adjusted Cash Flow &amp; Cumulative RNPV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DCF!$T$7</c:f>
              <c:strCache>
                <c:ptCount val="1"/>
                <c:pt idx="0">
                  <c:v>Risk-Adj FCF ($M)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multiLvlStrRef>
              <c:f>DCF!$R$8:$S$27</c:f>
              <c:multiLvlStrCache>
                <c:ptCount val="20"/>
                <c:lvl>
                  <c:pt idx="0">
                    <c:v>DEV</c:v>
                  </c:pt>
                  <c:pt idx="1">
                    <c:v>DEV</c:v>
                  </c:pt>
                  <c:pt idx="2">
                    <c:v>DEV</c:v>
                  </c:pt>
                  <c:pt idx="3">
                    <c:v>BRAND</c:v>
                  </c:pt>
                  <c:pt idx="4">
                    <c:v>BRAND</c:v>
                  </c:pt>
                  <c:pt idx="5">
                    <c:v>BRAND</c:v>
                  </c:pt>
                  <c:pt idx="6">
                    <c:v>BRAND</c:v>
                  </c:pt>
                  <c:pt idx="7">
                    <c:v>BRAND</c:v>
                  </c:pt>
                  <c:pt idx="8">
                    <c:v>BRAND</c:v>
                  </c:pt>
                  <c:pt idx="9">
                    <c:v>BRAND</c:v>
                  </c:pt>
                  <c:pt idx="10">
                    <c:v>BRAND</c:v>
                  </c:pt>
                  <c:pt idx="11">
                    <c:v>BRAND</c:v>
                  </c:pt>
                  <c:pt idx="12">
                    <c:v>BRAND</c:v>
                  </c:pt>
                  <c:pt idx="13">
                    <c:v>BRAND</c:v>
                  </c:pt>
                  <c:pt idx="14">
                    <c:v>BRAND</c:v>
                  </c:pt>
                  <c:pt idx="15">
                    <c:v>GENERIC</c:v>
                  </c:pt>
                  <c:pt idx="16">
                    <c:v>GENERIC</c:v>
                  </c:pt>
                  <c:pt idx="17">
                    <c:v>GENERIC</c:v>
                  </c:pt>
                  <c:pt idx="18">
                    <c:v>GENERIC</c:v>
                  </c:pt>
                  <c:pt idx="19">
                    <c:v>GENERIC</c:v>
                  </c:pt>
                </c:lvl>
                <c:lvl>
                  <c:pt idx="0">
                    <c:v>2026</c:v>
                  </c:pt>
                  <c:pt idx="1">
                    <c:v>2027</c:v>
                  </c:pt>
                  <c:pt idx="2">
                    <c:v>2028</c:v>
                  </c:pt>
                  <c:pt idx="3">
                    <c:v>2029</c:v>
                  </c:pt>
                  <c:pt idx="4">
                    <c:v>2030</c:v>
                  </c:pt>
                  <c:pt idx="5">
                    <c:v>2031</c:v>
                  </c:pt>
                  <c:pt idx="6">
                    <c:v>2032</c:v>
                  </c:pt>
                  <c:pt idx="7">
                    <c:v>2033</c:v>
                  </c:pt>
                  <c:pt idx="8">
                    <c:v>2034</c:v>
                  </c:pt>
                  <c:pt idx="9">
                    <c:v>2035</c:v>
                  </c:pt>
                  <c:pt idx="10">
                    <c:v>2036</c:v>
                  </c:pt>
                  <c:pt idx="11">
                    <c:v>2037</c:v>
                  </c:pt>
                  <c:pt idx="12">
                    <c:v>2038</c:v>
                  </c:pt>
                  <c:pt idx="13">
                    <c:v>2039</c:v>
                  </c:pt>
                  <c:pt idx="14">
                    <c:v>2040</c:v>
                  </c:pt>
                  <c:pt idx="15">
                    <c:v>2041</c:v>
                  </c:pt>
                  <c:pt idx="16">
                    <c:v>2042</c:v>
                  </c:pt>
                  <c:pt idx="17">
                    <c:v>2043</c:v>
                  </c:pt>
                  <c:pt idx="18">
                    <c:v>2044</c:v>
                  </c:pt>
                  <c:pt idx="19">
                    <c:v>2045</c:v>
                  </c:pt>
                </c:lvl>
              </c:multiLvlStrCache>
            </c:multiLvlStrRef>
          </c:cat>
          <c:val>
            <c:numRef>
              <c:f>DCF!$T$8:$T$27</c:f>
              <c:numCache>
                <c:formatCode>0.0</c:formatCode>
                <c:ptCount val="20"/>
                <c:pt idx="0">
                  <c:v>-40</c:v>
                </c:pt>
                <c:pt idx="1">
                  <c:v>-40</c:v>
                </c:pt>
                <c:pt idx="2">
                  <c:v>-40</c:v>
                </c:pt>
                <c:pt idx="3">
                  <c:v>9.98</c:v>
                </c:pt>
                <c:pt idx="4">
                  <c:v>25.5</c:v>
                </c:pt>
                <c:pt idx="5">
                  <c:v>41.97</c:v>
                </c:pt>
                <c:pt idx="6">
                  <c:v>53.9</c:v>
                </c:pt>
                <c:pt idx="7">
                  <c:v>106.97</c:v>
                </c:pt>
                <c:pt idx="8">
                  <c:v>133.15</c:v>
                </c:pt>
                <c:pt idx="9">
                  <c:v>160.57</c:v>
                </c:pt>
                <c:pt idx="10">
                  <c:v>164.56</c:v>
                </c:pt>
                <c:pt idx="11">
                  <c:v>168.67</c:v>
                </c:pt>
                <c:pt idx="12">
                  <c:v>172.93</c:v>
                </c:pt>
                <c:pt idx="13">
                  <c:v>177.24</c:v>
                </c:pt>
                <c:pt idx="14">
                  <c:v>181.7</c:v>
                </c:pt>
                <c:pt idx="15">
                  <c:v>134.66</c:v>
                </c:pt>
                <c:pt idx="16">
                  <c:v>93.5</c:v>
                </c:pt>
                <c:pt idx="17">
                  <c:v>59.21</c:v>
                </c:pt>
                <c:pt idx="18">
                  <c:v>32.07</c:v>
                </c:pt>
                <c:pt idx="19">
                  <c:v>12.88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7A-4404-A814-06E94F051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0022112"/>
        <c:axId val="1020025952"/>
      </c:barChart>
      <c:lineChart>
        <c:grouping val="standard"/>
        <c:varyColors val="0"/>
        <c:ser>
          <c:idx val="1"/>
          <c:order val="1"/>
          <c:tx>
            <c:strRef>
              <c:f>DCF!$U$7</c:f>
              <c:strCache>
                <c:ptCount val="1"/>
                <c:pt idx="0">
                  <c:v>Cumulative RNPV ($M)</c:v>
                </c:pt>
              </c:strCache>
            </c:strRef>
          </c:tx>
          <c:spPr>
            <a:ln w="28575" cap="rnd">
              <a:solidFill>
                <a:srgbClr val="C55A11"/>
              </a:solidFill>
              <a:prstDash val="solid"/>
              <a:round/>
            </a:ln>
            <a:effectLst/>
          </c:spPr>
          <c:marker>
            <c:symbol val="none"/>
          </c:marker>
          <c:cat>
            <c:multiLvlStrRef>
              <c:f>DCF!$R$8:$S$27</c:f>
              <c:multiLvlStrCache>
                <c:ptCount val="20"/>
                <c:lvl>
                  <c:pt idx="0">
                    <c:v>DEV</c:v>
                  </c:pt>
                  <c:pt idx="1">
                    <c:v>DEV</c:v>
                  </c:pt>
                  <c:pt idx="2">
                    <c:v>DEV</c:v>
                  </c:pt>
                  <c:pt idx="3">
                    <c:v>BRAND</c:v>
                  </c:pt>
                  <c:pt idx="4">
                    <c:v>BRAND</c:v>
                  </c:pt>
                  <c:pt idx="5">
                    <c:v>BRAND</c:v>
                  </c:pt>
                  <c:pt idx="6">
                    <c:v>BRAND</c:v>
                  </c:pt>
                  <c:pt idx="7">
                    <c:v>BRAND</c:v>
                  </c:pt>
                  <c:pt idx="8">
                    <c:v>BRAND</c:v>
                  </c:pt>
                  <c:pt idx="9">
                    <c:v>BRAND</c:v>
                  </c:pt>
                  <c:pt idx="10">
                    <c:v>BRAND</c:v>
                  </c:pt>
                  <c:pt idx="11">
                    <c:v>BRAND</c:v>
                  </c:pt>
                  <c:pt idx="12">
                    <c:v>BRAND</c:v>
                  </c:pt>
                  <c:pt idx="13">
                    <c:v>BRAND</c:v>
                  </c:pt>
                  <c:pt idx="14">
                    <c:v>BRAND</c:v>
                  </c:pt>
                  <c:pt idx="15">
                    <c:v>GENERIC</c:v>
                  </c:pt>
                  <c:pt idx="16">
                    <c:v>GENERIC</c:v>
                  </c:pt>
                  <c:pt idx="17">
                    <c:v>GENERIC</c:v>
                  </c:pt>
                  <c:pt idx="18">
                    <c:v>GENERIC</c:v>
                  </c:pt>
                  <c:pt idx="19">
                    <c:v>GENERIC</c:v>
                  </c:pt>
                </c:lvl>
                <c:lvl>
                  <c:pt idx="0">
                    <c:v>2026</c:v>
                  </c:pt>
                  <c:pt idx="1">
                    <c:v>2027</c:v>
                  </c:pt>
                  <c:pt idx="2">
                    <c:v>2028</c:v>
                  </c:pt>
                  <c:pt idx="3">
                    <c:v>2029</c:v>
                  </c:pt>
                  <c:pt idx="4">
                    <c:v>2030</c:v>
                  </c:pt>
                  <c:pt idx="5">
                    <c:v>2031</c:v>
                  </c:pt>
                  <c:pt idx="6">
                    <c:v>2032</c:v>
                  </c:pt>
                  <c:pt idx="7">
                    <c:v>2033</c:v>
                  </c:pt>
                  <c:pt idx="8">
                    <c:v>2034</c:v>
                  </c:pt>
                  <c:pt idx="9">
                    <c:v>2035</c:v>
                  </c:pt>
                  <c:pt idx="10">
                    <c:v>2036</c:v>
                  </c:pt>
                  <c:pt idx="11">
                    <c:v>2037</c:v>
                  </c:pt>
                  <c:pt idx="12">
                    <c:v>2038</c:v>
                  </c:pt>
                  <c:pt idx="13">
                    <c:v>2039</c:v>
                  </c:pt>
                  <c:pt idx="14">
                    <c:v>2040</c:v>
                  </c:pt>
                  <c:pt idx="15">
                    <c:v>2041</c:v>
                  </c:pt>
                  <c:pt idx="16">
                    <c:v>2042</c:v>
                  </c:pt>
                  <c:pt idx="17">
                    <c:v>2043</c:v>
                  </c:pt>
                  <c:pt idx="18">
                    <c:v>2044</c:v>
                  </c:pt>
                  <c:pt idx="19">
                    <c:v>2045</c:v>
                  </c:pt>
                </c:lvl>
              </c:multiLvlStrCache>
            </c:multiLvlStrRef>
          </c:cat>
          <c:val>
            <c:numRef>
              <c:f>DCF!$U$8:$U$27</c:f>
              <c:numCache>
                <c:formatCode>0.0</c:formatCode>
                <c:ptCount val="20"/>
                <c:pt idx="0">
                  <c:v>-35.4</c:v>
                </c:pt>
                <c:pt idx="1">
                  <c:v>-66.7</c:v>
                </c:pt>
                <c:pt idx="2">
                  <c:v>-94.4</c:v>
                </c:pt>
                <c:pt idx="3">
                  <c:v>-88.3</c:v>
                </c:pt>
                <c:pt idx="4">
                  <c:v>-74.400000000000006</c:v>
                </c:pt>
                <c:pt idx="5">
                  <c:v>-54.1</c:v>
                </c:pt>
                <c:pt idx="6">
                  <c:v>-31.3</c:v>
                </c:pt>
                <c:pt idx="7">
                  <c:v>9</c:v>
                </c:pt>
                <c:pt idx="8">
                  <c:v>53.3</c:v>
                </c:pt>
                <c:pt idx="9">
                  <c:v>100.6</c:v>
                </c:pt>
                <c:pt idx="10">
                  <c:v>143.5</c:v>
                </c:pt>
                <c:pt idx="11">
                  <c:v>182.4</c:v>
                </c:pt>
                <c:pt idx="12">
                  <c:v>217.7</c:v>
                </c:pt>
                <c:pt idx="13">
                  <c:v>249.8</c:v>
                </c:pt>
                <c:pt idx="14">
                  <c:v>278.8</c:v>
                </c:pt>
                <c:pt idx="15">
                  <c:v>297.8</c:v>
                </c:pt>
                <c:pt idx="16">
                  <c:v>309.60000000000002</c:v>
                </c:pt>
                <c:pt idx="17">
                  <c:v>316.10000000000002</c:v>
                </c:pt>
                <c:pt idx="18">
                  <c:v>319.3</c:v>
                </c:pt>
                <c:pt idx="19">
                  <c:v>320.39999999999998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7A-4404-A814-06E94F051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0022112"/>
        <c:axId val="1020025952"/>
      </c:lineChart>
      <c:catAx>
        <c:axId val="1020022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025952"/>
        <c:crosses val="autoZero"/>
        <c:auto val="1"/>
        <c:lblAlgn val="ctr"/>
        <c:lblOffset val="100"/>
        <c:noMultiLvlLbl val="0"/>
      </c:catAx>
      <c:valAx>
        <c:axId val="102002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022112"/>
        <c:crosses val="autoZero"/>
        <c:crossBetween val="between"/>
      </c:valAx>
      <c:spPr>
        <a:solidFill>
          <a:srgbClr val="F8FB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BDD7EE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15</xdr:row>
      <xdr:rowOff>57150</xdr:rowOff>
    </xdr:from>
    <xdr:to>
      <xdr:col>7</xdr:col>
      <xdr:colOff>0</xdr:colOff>
      <xdr:row>25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A1BF5C-C12F-6F3D-6781-F296394BE8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15</xdr:row>
      <xdr:rowOff>19049</xdr:rowOff>
    </xdr:from>
    <xdr:to>
      <xdr:col>9</xdr:col>
      <xdr:colOff>9524</xdr:colOff>
      <xdr:row>28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7808E0-25BF-A9A1-8402-1A0FF453B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27</xdr:row>
      <xdr:rowOff>123825</xdr:rowOff>
    </xdr:from>
    <xdr:to>
      <xdr:col>15</xdr:col>
      <xdr:colOff>568325</xdr:colOff>
      <xdr:row>44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BEEAF3-F2B8-D5DE-A329-BEE43A1AD4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D6E353D-8B37-4043-93EA-1D44117C384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0051840-ab1a-4ac0-a143-a3b8d5f62193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8D2B-0DBC-440C-972D-C2AFEE948C8F}">
  <dimension ref="B1:I18"/>
  <sheetViews>
    <sheetView tabSelected="1" zoomScaleNormal="100" workbookViewId="0">
      <selection activeCell="C24" sqref="C24"/>
    </sheetView>
  </sheetViews>
  <sheetFormatPr defaultRowHeight="15" x14ac:dyDescent="0.25"/>
  <cols>
    <col min="1" max="1" width="2.28515625" customWidth="1"/>
    <col min="2" max="2" width="30.42578125" customWidth="1"/>
    <col min="3" max="3" width="21" customWidth="1"/>
    <col min="4" max="4" width="3.42578125" customWidth="1"/>
    <col min="5" max="5" width="30.42578125" customWidth="1"/>
    <col min="6" max="6" width="21" customWidth="1"/>
    <col min="7" max="7" width="3.42578125" customWidth="1"/>
    <col min="8" max="8" width="30.42578125" customWidth="1"/>
    <col min="9" max="9" width="15.28515625" customWidth="1"/>
    <col min="10" max="12" width="3.42578125" customWidth="1"/>
  </cols>
  <sheetData>
    <row r="1" spans="2:9" ht="38.1" customHeight="1" x14ac:dyDescent="0.4">
      <c r="B1" s="281" t="s">
        <v>41</v>
      </c>
      <c r="C1" s="281"/>
      <c r="D1" s="206"/>
      <c r="E1" s="282" t="s">
        <v>168</v>
      </c>
      <c r="F1" s="282"/>
      <c r="G1" s="282"/>
      <c r="H1" s="282"/>
      <c r="I1" s="282"/>
    </row>
    <row r="2" spans="2:9" ht="21.95" customHeight="1" x14ac:dyDescent="0.25">
      <c r="B2" s="283" t="s">
        <v>130</v>
      </c>
      <c r="C2" s="283"/>
      <c r="D2" s="207"/>
      <c r="E2" s="284" t="s">
        <v>167</v>
      </c>
      <c r="F2" s="284"/>
      <c r="G2" s="284"/>
      <c r="H2" s="284"/>
      <c r="I2" s="284"/>
    </row>
    <row r="3" spans="2:9" ht="8.1" customHeight="1" x14ac:dyDescent="0.25"/>
    <row r="4" spans="2:9" ht="20.100000000000001" customHeight="1" x14ac:dyDescent="0.25">
      <c r="B4" s="285" t="s">
        <v>131</v>
      </c>
      <c r="C4" s="286"/>
      <c r="D4" s="235"/>
      <c r="E4" s="273" t="s">
        <v>139</v>
      </c>
      <c r="F4" s="287"/>
      <c r="G4" s="235"/>
      <c r="H4" s="273" t="s">
        <v>144</v>
      </c>
      <c r="I4" s="287"/>
    </row>
    <row r="5" spans="2:9" ht="18" customHeight="1" x14ac:dyDescent="0.25">
      <c r="B5" s="208" t="s">
        <v>132</v>
      </c>
      <c r="C5" s="246">
        <v>12.25</v>
      </c>
      <c r="D5" s="235"/>
      <c r="E5" s="217" t="s">
        <v>140</v>
      </c>
      <c r="F5" s="218" t="s">
        <v>45</v>
      </c>
      <c r="G5" s="235"/>
      <c r="H5" s="219" t="s">
        <v>145</v>
      </c>
      <c r="I5" s="241"/>
    </row>
    <row r="6" spans="2:9" ht="18" customHeight="1" x14ac:dyDescent="0.25">
      <c r="B6" s="209" t="s">
        <v>133</v>
      </c>
      <c r="C6" s="211">
        <v>45.226328000000002</v>
      </c>
      <c r="D6" s="235"/>
      <c r="E6" s="209" t="s">
        <v>47</v>
      </c>
      <c r="F6" s="215" t="s">
        <v>48</v>
      </c>
      <c r="G6" s="235"/>
      <c r="H6" s="209" t="s">
        <v>146</v>
      </c>
      <c r="I6" s="242">
        <f ca="1">'Base Case (Normal)'!G7</f>
        <v>39.097525363246888</v>
      </c>
    </row>
    <row r="7" spans="2:9" ht="18" customHeight="1" x14ac:dyDescent="0.25">
      <c r="B7" s="213" t="s">
        <v>134</v>
      </c>
      <c r="C7" s="237">
        <f>C5*C6</f>
        <v>554.02251799999999</v>
      </c>
      <c r="D7" s="235"/>
      <c r="E7" s="209" t="s">
        <v>141</v>
      </c>
      <c r="F7" s="215" t="s">
        <v>51</v>
      </c>
      <c r="G7" s="235"/>
      <c r="H7" s="209" t="s">
        <v>147</v>
      </c>
      <c r="I7" s="242">
        <f ca="1">'Base Case (Normal)'!G8</f>
        <v>-59.440545894460286</v>
      </c>
    </row>
    <row r="8" spans="2:9" ht="18" customHeight="1" x14ac:dyDescent="0.25">
      <c r="B8" s="209" t="s">
        <v>135</v>
      </c>
      <c r="C8" s="238">
        <v>118.755</v>
      </c>
      <c r="D8" s="235"/>
      <c r="E8" s="209" t="s">
        <v>142</v>
      </c>
      <c r="F8" s="215">
        <v>2033</v>
      </c>
      <c r="G8" s="235"/>
      <c r="H8" s="209" t="s">
        <v>148</v>
      </c>
      <c r="I8" s="242">
        <f ca="1">'Base Case (Normal)'!G9</f>
        <v>132.02071103924925</v>
      </c>
    </row>
    <row r="9" spans="2:9" ht="18" customHeight="1" x14ac:dyDescent="0.25">
      <c r="B9" s="209" t="s">
        <v>136</v>
      </c>
      <c r="C9" s="239">
        <v>0</v>
      </c>
      <c r="D9" s="235"/>
      <c r="E9" s="209" t="s">
        <v>143</v>
      </c>
      <c r="F9" s="216">
        <f>DCF!E5</f>
        <v>0.12</v>
      </c>
      <c r="G9" s="235"/>
      <c r="H9" s="209" t="s">
        <v>149</v>
      </c>
      <c r="I9" s="243">
        <f ca="1">'Base Case (Normal)'!G10</f>
        <v>0.621</v>
      </c>
    </row>
    <row r="10" spans="2:9" ht="18" customHeight="1" x14ac:dyDescent="0.25">
      <c r="B10" s="214" t="s">
        <v>137</v>
      </c>
      <c r="C10" s="240">
        <f>C7-C8+C9</f>
        <v>435.267518</v>
      </c>
      <c r="D10" s="235"/>
      <c r="E10" s="209" t="s">
        <v>162</v>
      </c>
      <c r="F10" s="216">
        <f ca="1">+'Conservative Case (Monte Carlo)'!Q25</f>
        <v>0.51717171717171717</v>
      </c>
      <c r="G10" s="235"/>
      <c r="H10" s="220" t="s">
        <v>150</v>
      </c>
      <c r="I10" s="244"/>
    </row>
    <row r="11" spans="2:9" ht="18" customHeight="1" x14ac:dyDescent="0.25">
      <c r="B11" s="210" t="s">
        <v>138</v>
      </c>
      <c r="C11" s="212"/>
      <c r="D11" s="235"/>
      <c r="E11" s="210" t="s">
        <v>163</v>
      </c>
      <c r="F11" s="212"/>
      <c r="G11" s="235"/>
      <c r="H11" s="209" t="s">
        <v>149</v>
      </c>
      <c r="I11" s="243">
        <f ca="1">'Bull Case (Phase 2 Prior)'!G10</f>
        <v>0.66600000000000004</v>
      </c>
    </row>
    <row r="12" spans="2:9" ht="21" customHeight="1" x14ac:dyDescent="0.25">
      <c r="D12" s="235"/>
      <c r="G12" s="235"/>
      <c r="H12" s="209" t="s">
        <v>147</v>
      </c>
      <c r="I12" s="242">
        <f ca="1">'Bull Case (Phase 2 Prior)'!G8</f>
        <v>-14.620281533637137</v>
      </c>
    </row>
    <row r="13" spans="2:9" ht="20.100000000000001" customHeight="1" x14ac:dyDescent="0.25">
      <c r="B13" s="273" t="s">
        <v>151</v>
      </c>
      <c r="C13" s="274"/>
      <c r="D13" s="275"/>
      <c r="E13" s="274"/>
      <c r="F13" s="274"/>
      <c r="G13" s="275"/>
      <c r="H13" s="274"/>
      <c r="I13" s="276"/>
    </row>
    <row r="14" spans="2:9" ht="18" customHeight="1" x14ac:dyDescent="0.25">
      <c r="B14" s="229" t="s">
        <v>152</v>
      </c>
      <c r="C14" s="230" t="s">
        <v>153</v>
      </c>
      <c r="D14" s="236"/>
      <c r="E14" s="232" t="s">
        <v>154</v>
      </c>
      <c r="F14" s="231"/>
      <c r="G14" s="236"/>
      <c r="H14" s="232" t="s">
        <v>155</v>
      </c>
      <c r="I14" s="233" t="s">
        <v>10</v>
      </c>
    </row>
    <row r="15" spans="2:9" ht="18" customHeight="1" x14ac:dyDescent="0.25">
      <c r="B15" s="221" t="s">
        <v>156</v>
      </c>
      <c r="C15" s="222">
        <f ca="1">'Conservative Case (Monte Carlo)'!Q17</f>
        <v>0.53737373737373739</v>
      </c>
      <c r="D15" s="235"/>
      <c r="E15" s="277" t="s">
        <v>157</v>
      </c>
      <c r="F15" s="277"/>
      <c r="G15" s="278"/>
      <c r="H15" s="223" t="s">
        <v>160</v>
      </c>
      <c r="I15" s="224">
        <f ca="1">'Conservative Case (Monte Carlo)'!Q18</f>
        <v>4.2078999999999995</v>
      </c>
    </row>
    <row r="16" spans="2:9" ht="18" customHeight="1" x14ac:dyDescent="0.25">
      <c r="B16" s="225" t="s">
        <v>158</v>
      </c>
      <c r="C16" s="226">
        <f ca="1">'Conservative Case (Monte Carlo)'!Q25</f>
        <v>0.51717171717171717</v>
      </c>
      <c r="D16" s="236"/>
      <c r="E16" s="279" t="s">
        <v>159</v>
      </c>
      <c r="F16" s="279"/>
      <c r="G16" s="280"/>
      <c r="H16" s="227" t="s">
        <v>161</v>
      </c>
      <c r="I16" s="228">
        <f ca="1">'Conservative Case (Monte Carlo)'!Q26</f>
        <v>3.6254</v>
      </c>
    </row>
    <row r="17" spans="2:8" ht="9.9499999999999993" customHeight="1" x14ac:dyDescent="0.25">
      <c r="D17" s="235"/>
      <c r="G17" s="235"/>
    </row>
    <row r="18" spans="2:8" x14ac:dyDescent="0.25">
      <c r="B18" s="234"/>
      <c r="D18" s="235"/>
      <c r="E18" s="234"/>
      <c r="G18" s="235"/>
      <c r="H18" s="234"/>
    </row>
  </sheetData>
  <mergeCells count="10">
    <mergeCell ref="B13:I13"/>
    <mergeCell ref="E15:G15"/>
    <mergeCell ref="E16:G16"/>
    <mergeCell ref="B1:C1"/>
    <mergeCell ref="E1:I1"/>
    <mergeCell ref="B2:C2"/>
    <mergeCell ref="E2:I2"/>
    <mergeCell ref="B4:C4"/>
    <mergeCell ref="E4:F4"/>
    <mergeCell ref="H4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BE20E-CF47-4D21-AA33-9831BD541055}">
  <dimension ref="A1:S1006"/>
  <sheetViews>
    <sheetView zoomScaleNormal="100" workbookViewId="0">
      <selection activeCell="H8" sqref="H8"/>
    </sheetView>
  </sheetViews>
  <sheetFormatPr defaultRowHeight="15" x14ac:dyDescent="0.25"/>
  <cols>
    <col min="1" max="1" width="29.85546875" bestFit="1" customWidth="1"/>
    <col min="2" max="2" width="13.7109375" customWidth="1"/>
    <col min="3" max="3" width="15.28515625" customWidth="1"/>
    <col min="4" max="4" width="13.7109375" customWidth="1"/>
    <col min="5" max="6" width="15.28515625" customWidth="1"/>
    <col min="7" max="9" width="13.7109375" customWidth="1"/>
    <col min="10" max="10" width="9" bestFit="1" customWidth="1"/>
    <col min="11" max="11" width="15.28515625" customWidth="1"/>
    <col min="12" max="12" width="24.7109375" customWidth="1"/>
    <col min="13" max="13" width="15.28515625" customWidth="1"/>
    <col min="14" max="14" width="11.42578125" customWidth="1"/>
    <col min="15" max="15" width="3.42578125" customWidth="1"/>
    <col min="16" max="16" width="17.85546875" bestFit="1" customWidth="1"/>
    <col min="17" max="17" width="5.85546875" bestFit="1" customWidth="1"/>
    <col min="18" max="19" width="9.140625" hidden="1" customWidth="1"/>
  </cols>
  <sheetData>
    <row r="1" spans="1:19" ht="32.1" customHeight="1" x14ac:dyDescent="0.35">
      <c r="A1" s="290" t="s">
        <v>62</v>
      </c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</row>
    <row r="2" spans="1:19" ht="18" customHeight="1" x14ac:dyDescent="0.25">
      <c r="A2" s="284" t="s">
        <v>169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</row>
    <row r="3" spans="1:19" ht="8.1" customHeight="1" x14ac:dyDescent="0.25"/>
    <row r="4" spans="1:19" ht="6" customHeight="1" x14ac:dyDescent="0.25"/>
    <row r="5" spans="1:19" ht="6" customHeight="1" thickBot="1" x14ac:dyDescent="0.3"/>
    <row r="6" spans="1:19" ht="18" customHeight="1" x14ac:dyDescent="0.25">
      <c r="A6" s="203" t="s">
        <v>129</v>
      </c>
      <c r="B6" s="198">
        <v>30</v>
      </c>
      <c r="D6" s="291" t="s">
        <v>94</v>
      </c>
      <c r="E6" s="292"/>
      <c r="K6" s="147" t="s">
        <v>97</v>
      </c>
      <c r="L6" s="148"/>
      <c r="M6" s="148"/>
      <c r="N6" s="108"/>
      <c r="R6" t="s">
        <v>95</v>
      </c>
      <c r="S6" t="s">
        <v>103</v>
      </c>
    </row>
    <row r="7" spans="1:19" ht="18" customHeight="1" x14ac:dyDescent="0.25">
      <c r="A7" s="109" t="s">
        <v>105</v>
      </c>
      <c r="B7" s="199">
        <v>60</v>
      </c>
      <c r="D7" s="109" t="s">
        <v>95</v>
      </c>
      <c r="E7" s="157" t="s">
        <v>6</v>
      </c>
      <c r="K7" s="139"/>
      <c r="L7" s="140" t="s">
        <v>98</v>
      </c>
      <c r="M7" s="141" t="s">
        <v>0</v>
      </c>
      <c r="N7" s="199">
        <v>25</v>
      </c>
      <c r="R7" t="s">
        <v>7</v>
      </c>
      <c r="S7">
        <f ca="1">COUNTIF(K16:K1005,R7)</f>
        <v>478</v>
      </c>
    </row>
    <row r="8" spans="1:19" ht="18" customHeight="1" x14ac:dyDescent="0.25">
      <c r="A8" s="109" t="s">
        <v>92</v>
      </c>
      <c r="B8" s="199">
        <v>5</v>
      </c>
      <c r="D8" s="133" t="s">
        <v>7</v>
      </c>
      <c r="E8" s="153">
        <v>-0.95</v>
      </c>
      <c r="K8" s="139"/>
      <c r="L8" s="140" t="s">
        <v>1</v>
      </c>
      <c r="M8" s="142" t="s">
        <v>2</v>
      </c>
      <c r="N8" s="199">
        <v>18</v>
      </c>
      <c r="R8" t="s">
        <v>8</v>
      </c>
      <c r="S8">
        <f ca="1">COUNTIF(K16:K1005,R8)</f>
        <v>91</v>
      </c>
    </row>
    <row r="9" spans="1:19" ht="18" customHeight="1" x14ac:dyDescent="0.25">
      <c r="A9" s="109" t="s">
        <v>93</v>
      </c>
      <c r="B9" s="201">
        <v>115</v>
      </c>
      <c r="D9" s="134" t="s">
        <v>8</v>
      </c>
      <c r="E9" s="154">
        <v>3</v>
      </c>
      <c r="K9" s="139"/>
      <c r="L9" s="140" t="s">
        <v>99</v>
      </c>
      <c r="M9" s="142" t="s">
        <v>3</v>
      </c>
      <c r="N9" s="202">
        <v>0.7</v>
      </c>
      <c r="R9" t="s">
        <v>9</v>
      </c>
      <c r="S9">
        <f ca="1">COUNTIF(K16:K1005,R9)</f>
        <v>182</v>
      </c>
    </row>
    <row r="10" spans="1:19" ht="18" customHeight="1" x14ac:dyDescent="0.25">
      <c r="A10" s="109" t="s">
        <v>104</v>
      </c>
      <c r="B10" s="202">
        <v>0.05</v>
      </c>
      <c r="D10" s="135" t="s">
        <v>9</v>
      </c>
      <c r="E10" s="155">
        <v>5</v>
      </c>
      <c r="K10" s="139"/>
      <c r="L10" s="140" t="s">
        <v>100</v>
      </c>
      <c r="M10" s="141" t="s">
        <v>5</v>
      </c>
      <c r="N10" s="202">
        <v>0.55000000000000004</v>
      </c>
      <c r="R10" t="s">
        <v>4</v>
      </c>
      <c r="S10">
        <f ca="1">COUNTIF(K16:K1005,R10)</f>
        <v>239</v>
      </c>
    </row>
    <row r="11" spans="1:19" ht="18" customHeight="1" thickBot="1" x14ac:dyDescent="0.3">
      <c r="A11" s="204" t="s">
        <v>68</v>
      </c>
      <c r="B11" s="205">
        <v>20</v>
      </c>
      <c r="D11" s="136" t="s">
        <v>4</v>
      </c>
      <c r="E11" s="156">
        <v>12.5</v>
      </c>
      <c r="K11" s="143"/>
      <c r="L11" s="144" t="s">
        <v>101</v>
      </c>
      <c r="M11" s="145" t="s">
        <v>102</v>
      </c>
      <c r="N11" s="146">
        <f>N9*N10</f>
        <v>0.38500000000000001</v>
      </c>
    </row>
    <row r="12" spans="1:19" ht="15.75" thickBot="1" x14ac:dyDescent="0.3">
      <c r="A12" s="111" t="s">
        <v>128</v>
      </c>
      <c r="B12" s="200">
        <v>20</v>
      </c>
      <c r="L12" t="s">
        <v>106</v>
      </c>
      <c r="M12" s="3">
        <f>$B$7*SQRT(2/$B$9)</f>
        <v>7.9125656807494433</v>
      </c>
    </row>
    <row r="13" spans="1:19" ht="15.75" thickBot="1" x14ac:dyDescent="0.3">
      <c r="A13" s="107"/>
      <c r="B13" s="245"/>
      <c r="M13" s="3"/>
    </row>
    <row r="14" spans="1:19" ht="18" customHeight="1" thickBot="1" x14ac:dyDescent="0.3">
      <c r="A14" s="288" t="s">
        <v>107</v>
      </c>
      <c r="B14" s="271"/>
      <c r="C14" s="271"/>
      <c r="D14" s="271"/>
      <c r="E14" s="289"/>
      <c r="F14" s="181" t="s">
        <v>96</v>
      </c>
      <c r="G14" s="181"/>
      <c r="H14" s="181"/>
      <c r="I14" s="182"/>
      <c r="J14" s="182"/>
      <c r="K14" s="182"/>
      <c r="L14" s="100"/>
      <c r="M14" s="195"/>
    </row>
    <row r="15" spans="1:19" ht="21.95" customHeight="1" x14ac:dyDescent="0.25">
      <c r="A15" s="149" t="s">
        <v>108</v>
      </c>
      <c r="B15" s="150" t="s">
        <v>109</v>
      </c>
      <c r="C15" s="150" t="s">
        <v>110</v>
      </c>
      <c r="D15" s="150" t="s">
        <v>111</v>
      </c>
      <c r="E15" s="151" t="s">
        <v>112</v>
      </c>
      <c r="F15" s="130" t="s">
        <v>113</v>
      </c>
      <c r="G15" s="130" t="s">
        <v>114</v>
      </c>
      <c r="H15" s="130" t="s">
        <v>115</v>
      </c>
      <c r="I15" s="130" t="s">
        <v>116</v>
      </c>
      <c r="J15" s="159" t="s">
        <v>124</v>
      </c>
      <c r="K15" s="196" t="s">
        <v>125</v>
      </c>
      <c r="L15" s="100" t="s">
        <v>126</v>
      </c>
      <c r="M15" s="195" t="s">
        <v>127</v>
      </c>
      <c r="P15" s="19" t="s">
        <v>120</v>
      </c>
      <c r="Q15" s="168"/>
    </row>
    <row r="16" spans="1:19" ht="15.75" thickBot="1" x14ac:dyDescent="0.3">
      <c r="A16" s="138">
        <f ca="1">NORMINV(RAND(), MAX(0, NORMINV(RAND(), $B$6, $B$12)), $B$7/SQRT($B$9))</f>
        <v>27.532441747995662</v>
      </c>
      <c r="B16" s="137">
        <f ca="1">NORMINV(RAND(), $B$8, $B$7/SQRT($B$9))</f>
        <v>-2.4436015362169092</v>
      </c>
      <c r="C16" s="137">
        <f ca="1">A16-B16</f>
        <v>29.976043284212572</v>
      </c>
      <c r="D16" s="152">
        <f ca="1">C16/($B$7*SQRT(2/$B$9))</f>
        <v>3.7884100421613653</v>
      </c>
      <c r="E16" s="197">
        <f ca="1">_xlfn.T.DIST.RT(D16, 2*$B$9-2)</f>
        <v>9.7011158435614234E-5</v>
      </c>
      <c r="F16" s="137">
        <f ca="1">NORMINV(RAND(), MAX(0, NORMINV(RAND(), $N$7, $N$8)), $B$7/SQRT($B$9))</f>
        <v>4.0243806380950513</v>
      </c>
      <c r="G16" s="137">
        <f ca="1">F16-B16</f>
        <v>6.4679821743119605</v>
      </c>
      <c r="H16" s="152">
        <f ca="1">G16/($B$7*SQRT(2/$B$9))</f>
        <v>0.81743172003588871</v>
      </c>
      <c r="I16" s="152">
        <f ca="1">_xlfn.T.DIST.RT(H16, 2*$B$9-2)</f>
        <v>0.20726756313793449</v>
      </c>
      <c r="J16" s="189">
        <f ca="1">IF(AND(I16&lt;$B$10, G16&gt;=$B$11), 1, 0)</f>
        <v>0</v>
      </c>
      <c r="K16" s="186" t="str" cm="1">
        <f t="array" aca="1" ref="K16" ca="1">_xlfn.IFS(G16&lt;$B$11,"Fail",G16&lt;25,"Marginal",G16&lt;35,"Solid",TRUE,"Blowout")</f>
        <v>Fail</v>
      </c>
      <c r="L16" s="192">
        <f t="shared" ref="L16:L79" ca="1" si="0">IF(AND(E16&lt;$B$10,C16&gt;=$B$11),1,0)</f>
        <v>1</v>
      </c>
      <c r="M16" s="183" t="str" cm="1">
        <f t="array" aca="1" ref="M16" ca="1">_xlfn.IFS(C16&lt;$B$11,"Fail",C16&lt;25,"Marginal",C16&lt;35,"Solid",TRUE,"Blowout")</f>
        <v>Solid</v>
      </c>
      <c r="P16" s="158" t="s">
        <v>119</v>
      </c>
      <c r="Q16" s="169"/>
    </row>
    <row r="17" spans="1:17" x14ac:dyDescent="0.25">
      <c r="A17" s="138">
        <f t="shared" ref="A17:A80" ca="1" si="1">NORMINV(RAND(), MAX(0, NORMINV(RAND(), $B$6, $B$12)), $B$7/SQRT($B$9))</f>
        <v>50.875364164676071</v>
      </c>
      <c r="B17" s="137">
        <f t="shared" ref="B17:B80" ca="1" si="2">NORMINV(RAND(), $B$8, $B$7/SQRT($B$9))</f>
        <v>8.5889767007741753</v>
      </c>
      <c r="C17" s="137">
        <f t="shared" ref="C17:C80" ca="1" si="3">A17-B17</f>
        <v>42.286387463901896</v>
      </c>
      <c r="D17" s="152">
        <f t="shared" ref="D17:D80" ca="1" si="4">C17/($B$7*SQRT(2/$B$9))</f>
        <v>5.3442068186278506</v>
      </c>
      <c r="E17" s="197">
        <f t="shared" ref="E17:E80" ca="1" si="5">_xlfn.T.DIST.RT(D17, 2*$B$9-2)</f>
        <v>1.0993828522243829E-7</v>
      </c>
      <c r="F17" s="137">
        <f t="shared" ref="F17:F80" ca="1" si="6">NORMINV(RAND(), MAX(0, NORMINV(RAND(), $N$7, $N$8)), $B$7/SQRT($B$9))</f>
        <v>22.107229910517503</v>
      </c>
      <c r="G17" s="137">
        <f t="shared" ref="G17:G80" ca="1" si="7">F17-B17</f>
        <v>13.518253209743328</v>
      </c>
      <c r="H17" s="152">
        <f t="shared" ref="H17:H80" ca="1" si="8">G17/($B$7*SQRT(2/$B$9))</f>
        <v>1.7084538385105625</v>
      </c>
      <c r="I17" s="152">
        <f t="shared" ref="I17:I80" ca="1" si="9">_xlfn.T.DIST.RT(H17, 2*$B$9-2)</f>
        <v>4.4456542593946359E-2</v>
      </c>
      <c r="J17" s="190">
        <f t="shared" ref="J17:J80" ca="1" si="10">IF(AND(I17&lt;$B$10, G17&gt;=$B$11), 1, 0)</f>
        <v>0</v>
      </c>
      <c r="K17" s="187" t="str" cm="1">
        <f t="array" aca="1" ref="K17" ca="1">_xlfn.IFS(G17&lt;$B$11,"Fail",G17&lt;25,"Marginal",G17&lt;35,"Solid",TRUE,"Blowout")</f>
        <v>Fail</v>
      </c>
      <c r="L17" s="193">
        <f t="shared" ca="1" si="0"/>
        <v>1</v>
      </c>
      <c r="M17" s="184" t="str" cm="1">
        <f t="array" aca="1" ref="M17" ca="1">_xlfn.IFS(C17&lt;$B$11,"Fail",C17&lt;25,"Marginal",C17&lt;35,"Solid",TRUE,"Blowout")</f>
        <v>Blowout</v>
      </c>
      <c r="P17" s="170" t="s">
        <v>121</v>
      </c>
      <c r="Q17" s="163">
        <f ca="1">AVERAGE(L16:L1005)</f>
        <v>0.53737373737373739</v>
      </c>
    </row>
    <row r="18" spans="1:17" ht="18" customHeight="1" x14ac:dyDescent="0.25">
      <c r="A18" s="138">
        <f t="shared" ca="1" si="1"/>
        <v>30.238794816240016</v>
      </c>
      <c r="B18" s="137">
        <f t="shared" ca="1" si="2"/>
        <v>10.508493530583458</v>
      </c>
      <c r="C18" s="137">
        <f t="shared" ca="1" si="3"/>
        <v>19.730301285656559</v>
      </c>
      <c r="D18" s="152">
        <f t="shared" ca="1" si="4"/>
        <v>2.4935402853790647</v>
      </c>
      <c r="E18" s="197">
        <f t="shared" ca="1" si="5"/>
        <v>6.6790171768659557E-3</v>
      </c>
      <c r="F18" s="137">
        <f t="shared" ca="1" si="6"/>
        <v>4.4546677229103127</v>
      </c>
      <c r="G18" s="137">
        <f t="shared" ca="1" si="7"/>
        <v>-6.053825807673145</v>
      </c>
      <c r="H18" s="152">
        <f t="shared" ca="1" si="8"/>
        <v>-0.76509011765950397</v>
      </c>
      <c r="I18" s="152">
        <f t="shared" ca="1" si="9"/>
        <v>0.77749545546423016</v>
      </c>
      <c r="J18" s="190">
        <f t="shared" ca="1" si="10"/>
        <v>0</v>
      </c>
      <c r="K18" s="187" t="str" cm="1">
        <f t="array" aca="1" ref="K18" ca="1">_xlfn.IFS(G18&lt;$B$11,"Fail",G18&lt;25,"Marginal",G18&lt;35,"Solid",TRUE,"Blowout")</f>
        <v>Fail</v>
      </c>
      <c r="L18" s="193">
        <f t="shared" ca="1" si="0"/>
        <v>0</v>
      </c>
      <c r="M18" s="184" t="str" cm="1">
        <f t="array" aca="1" ref="M18" ca="1">_xlfn.IFS(C18&lt;$B$11,"Fail",C18&lt;25,"Marginal",C18&lt;35,"Solid",TRUE,"Blowout")</f>
        <v>Fail</v>
      </c>
      <c r="P18" s="171" t="s">
        <v>122</v>
      </c>
      <c r="Q18" s="160">
        <f ca="1">COUNTIF(M16:M1005,"Fail")/1000*-0.95+COUNTIF(M16:M1005,"Marginal")/1000*2+COUNTIF(M16:M1005,"Solid")/1000*5+COUNTIF(M16:M1005,"Blowout")/1000*12.5</f>
        <v>4.2078999999999995</v>
      </c>
    </row>
    <row r="19" spans="1:17" ht="18" customHeight="1" x14ac:dyDescent="0.25">
      <c r="A19" s="138">
        <f t="shared" ca="1" si="1"/>
        <v>-0.63445563969783114</v>
      </c>
      <c r="B19" s="137">
        <f t="shared" ca="1" si="2"/>
        <v>-2.0057026795526927</v>
      </c>
      <c r="C19" s="137">
        <f t="shared" ca="1" si="3"/>
        <v>1.3712470398548615</v>
      </c>
      <c r="D19" s="152">
        <f t="shared" ca="1" si="4"/>
        <v>0.17329992510406347</v>
      </c>
      <c r="E19" s="197">
        <f t="shared" ca="1" si="5"/>
        <v>0.43128471866090734</v>
      </c>
      <c r="F19" s="137">
        <f t="shared" ca="1" si="6"/>
        <v>17.86546884572245</v>
      </c>
      <c r="G19" s="137">
        <f t="shared" ca="1" si="7"/>
        <v>19.871171525275145</v>
      </c>
      <c r="H19" s="152">
        <f t="shared" ca="1" si="8"/>
        <v>2.5113436433924217</v>
      </c>
      <c r="I19" s="152">
        <f t="shared" ca="1" si="9"/>
        <v>6.3601590190717778E-3</v>
      </c>
      <c r="J19" s="190">
        <f t="shared" ca="1" si="10"/>
        <v>0</v>
      </c>
      <c r="K19" s="187" t="str" cm="1">
        <f t="array" aca="1" ref="K19" ca="1">_xlfn.IFS(G19&lt;$B$11,"Fail",G19&lt;25,"Marginal",G19&lt;35,"Solid",TRUE,"Blowout")</f>
        <v>Fail</v>
      </c>
      <c r="L19" s="193">
        <f t="shared" ca="1" si="0"/>
        <v>0</v>
      </c>
      <c r="M19" s="184" t="str" cm="1">
        <f t="array" aca="1" ref="M19" ca="1">_xlfn.IFS(C19&lt;$B$11,"Fail",C19&lt;25,"Marginal",C19&lt;35,"Solid",TRUE,"Blowout")</f>
        <v>Fail</v>
      </c>
      <c r="P19" s="172" t="s">
        <v>7</v>
      </c>
      <c r="Q19" s="161">
        <f ca="1">COUNTIF(M16:M1005,"Fail")/1000</f>
        <v>0.45800000000000002</v>
      </c>
    </row>
    <row r="20" spans="1:17" ht="18" customHeight="1" x14ac:dyDescent="0.25">
      <c r="A20" s="138">
        <f t="shared" ca="1" si="1"/>
        <v>39.171648250132563</v>
      </c>
      <c r="B20" s="137">
        <f t="shared" ca="1" si="2"/>
        <v>-2.2648274542278397</v>
      </c>
      <c r="C20" s="137">
        <f t="shared" ca="1" si="3"/>
        <v>41.436475704360404</v>
      </c>
      <c r="D20" s="152">
        <f t="shared" ca="1" si="4"/>
        <v>5.2367939017772205</v>
      </c>
      <c r="E20" s="197">
        <f t="shared" ca="1" si="5"/>
        <v>1.8547074558991454E-7</v>
      </c>
      <c r="F20" s="137">
        <f t="shared" ca="1" si="6"/>
        <v>42.213229412443205</v>
      </c>
      <c r="G20" s="137">
        <f t="shared" ca="1" si="7"/>
        <v>44.478056866671047</v>
      </c>
      <c r="H20" s="152">
        <f t="shared" ca="1" si="8"/>
        <v>5.621192753556806</v>
      </c>
      <c r="I20" s="152">
        <f t="shared" ca="1" si="9"/>
        <v>2.756413386173691E-8</v>
      </c>
      <c r="J20" s="190">
        <f t="shared" ca="1" si="10"/>
        <v>1</v>
      </c>
      <c r="K20" s="187" t="str" cm="1">
        <f t="array" aca="1" ref="K20" ca="1">_xlfn.IFS(G20&lt;$B$11,"Fail",G20&lt;25,"Marginal",G20&lt;35,"Solid",TRUE,"Blowout")</f>
        <v>Blowout</v>
      </c>
      <c r="L20" s="193">
        <f t="shared" ca="1" si="0"/>
        <v>1</v>
      </c>
      <c r="M20" s="184" t="str" cm="1">
        <f t="array" aca="1" ref="M20" ca="1">_xlfn.IFS(C20&lt;$B$11,"Fail",C20&lt;25,"Marginal",C20&lt;35,"Solid",TRUE,"Blowout")</f>
        <v>Blowout</v>
      </c>
      <c r="P20" s="172" t="s">
        <v>8</v>
      </c>
      <c r="Q20" s="161">
        <f ca="1">COUNTIF(M16:M1005,"Marginal")/1000</f>
        <v>7.9000000000000001E-2</v>
      </c>
    </row>
    <row r="21" spans="1:17" ht="18" customHeight="1" x14ac:dyDescent="0.25">
      <c r="A21" s="138">
        <f t="shared" ca="1" si="1"/>
        <v>33.431063070019491</v>
      </c>
      <c r="B21" s="137">
        <f t="shared" ca="1" si="2"/>
        <v>5.9808569112496546</v>
      </c>
      <c r="C21" s="137">
        <f t="shared" ca="1" si="3"/>
        <v>27.450206158769838</v>
      </c>
      <c r="D21" s="152">
        <f t="shared" ca="1" si="4"/>
        <v>3.4691915702581411</v>
      </c>
      <c r="E21" s="197">
        <f t="shared" ca="1" si="5"/>
        <v>3.1202848204394518E-4</v>
      </c>
      <c r="F21" s="137">
        <f t="shared" ca="1" si="6"/>
        <v>10.144417472158857</v>
      </c>
      <c r="G21" s="137">
        <f t="shared" ca="1" si="7"/>
        <v>4.1635605609092021</v>
      </c>
      <c r="H21" s="152">
        <f t="shared" ca="1" si="8"/>
        <v>0.52619601895233148</v>
      </c>
      <c r="I21" s="152">
        <f t="shared" ca="1" si="9"/>
        <v>0.29963174264439107</v>
      </c>
      <c r="J21" s="190">
        <f t="shared" ca="1" si="10"/>
        <v>0</v>
      </c>
      <c r="K21" s="187" t="str" cm="1">
        <f t="array" aca="1" ref="K21" ca="1">_xlfn.IFS(G21&lt;$B$11,"Fail",G21&lt;25,"Marginal",G21&lt;35,"Solid",TRUE,"Blowout")</f>
        <v>Fail</v>
      </c>
      <c r="L21" s="193">
        <f t="shared" ca="1" si="0"/>
        <v>1</v>
      </c>
      <c r="M21" s="184" t="str" cm="1">
        <f t="array" aca="1" ref="M21" ca="1">_xlfn.IFS(C21&lt;$B$11,"Fail",C21&lt;25,"Marginal",C21&lt;35,"Solid",TRUE,"Blowout")</f>
        <v>Solid</v>
      </c>
      <c r="P21" s="172" t="s">
        <v>9</v>
      </c>
      <c r="Q21" s="161">
        <f ca="1">COUNTIF(M16:M1005,"Solid")/1000</f>
        <v>0.157</v>
      </c>
    </row>
    <row r="22" spans="1:17" ht="18" customHeight="1" thickBot="1" x14ac:dyDescent="0.3">
      <c r="A22" s="138">
        <f t="shared" ca="1" si="1"/>
        <v>7.5162054488190417</v>
      </c>
      <c r="B22" s="137">
        <f t="shared" ca="1" si="2"/>
        <v>-11.954369573181097</v>
      </c>
      <c r="C22" s="137">
        <f t="shared" ca="1" si="3"/>
        <v>19.470575022000141</v>
      </c>
      <c r="D22" s="152">
        <f t="shared" ca="1" si="4"/>
        <v>2.4607157535981394</v>
      </c>
      <c r="E22" s="197">
        <f t="shared" ca="1" si="5"/>
        <v>7.3043710041899986E-3</v>
      </c>
      <c r="F22" s="137">
        <f t="shared" ca="1" si="6"/>
        <v>43.47986772735144</v>
      </c>
      <c r="G22" s="137">
        <f t="shared" ca="1" si="7"/>
        <v>55.434237300532537</v>
      </c>
      <c r="H22" s="152">
        <f t="shared" ca="1" si="8"/>
        <v>7.0058486130989124</v>
      </c>
      <c r="I22" s="152">
        <f t="shared" ca="1" si="9"/>
        <v>1.3682925799424913E-11</v>
      </c>
      <c r="J22" s="190">
        <f t="shared" ca="1" si="10"/>
        <v>1</v>
      </c>
      <c r="K22" s="187" t="str" cm="1">
        <f t="array" aca="1" ref="K22" ca="1">_xlfn.IFS(G22&lt;$B$11,"Fail",G22&lt;25,"Marginal",G22&lt;35,"Solid",TRUE,"Blowout")</f>
        <v>Blowout</v>
      </c>
      <c r="L22" s="193">
        <f t="shared" ca="1" si="0"/>
        <v>0</v>
      </c>
      <c r="M22" s="184" t="str" cm="1">
        <f t="array" aca="1" ref="M22" ca="1">_xlfn.IFS(C22&lt;$B$11,"Fail",C22&lt;25,"Marginal",C22&lt;35,"Solid",TRUE,"Blowout")</f>
        <v>Fail</v>
      </c>
      <c r="P22" s="173" t="s">
        <v>4</v>
      </c>
      <c r="Q22" s="164">
        <f ca="1">COUNTIF(M16:M1005,"Blowout")/1000</f>
        <v>0.29599999999999999</v>
      </c>
    </row>
    <row r="23" spans="1:17" ht="18" customHeight="1" x14ac:dyDescent="0.25">
      <c r="A23" s="138">
        <f t="shared" ca="1" si="1"/>
        <v>47.775396115634869</v>
      </c>
      <c r="B23" s="137">
        <f t="shared" ca="1" si="2"/>
        <v>8.485233415671237</v>
      </c>
      <c r="C23" s="137">
        <f t="shared" ca="1" si="3"/>
        <v>39.290162699963631</v>
      </c>
      <c r="D23" s="152">
        <f t="shared" ca="1" si="4"/>
        <v>4.9655401655057405</v>
      </c>
      <c r="E23" s="197">
        <f t="shared" ca="1" si="5"/>
        <v>6.7120469975092502E-7</v>
      </c>
      <c r="F23" s="137">
        <f t="shared" ca="1" si="6"/>
        <v>17.049478987215238</v>
      </c>
      <c r="G23" s="137">
        <f t="shared" ca="1" si="7"/>
        <v>8.5642455715440011</v>
      </c>
      <c r="H23" s="152">
        <f t="shared" ca="1" si="8"/>
        <v>1.0823601240214709</v>
      </c>
      <c r="I23" s="152">
        <f t="shared" ca="1" si="9"/>
        <v>0.14011795865656634</v>
      </c>
      <c r="J23" s="190">
        <f t="shared" ca="1" si="10"/>
        <v>0</v>
      </c>
      <c r="K23" s="187" t="str" cm="1">
        <f t="array" aca="1" ref="K23" ca="1">_xlfn.IFS(G23&lt;$B$11,"Fail",G23&lt;25,"Marginal",G23&lt;35,"Solid",TRUE,"Blowout")</f>
        <v>Fail</v>
      </c>
      <c r="L23" s="193">
        <f t="shared" ca="1" si="0"/>
        <v>1</v>
      </c>
      <c r="M23" s="184" t="str" cm="1">
        <f t="array" aca="1" ref="M23" ca="1">_xlfn.IFS(C23&lt;$B$11,"Fail",C23&lt;25,"Marginal",C23&lt;35,"Solid",TRUE,"Blowout")</f>
        <v>Blowout</v>
      </c>
      <c r="P23" s="174"/>
      <c r="Q23" s="175"/>
    </row>
    <row r="24" spans="1:17" ht="18" customHeight="1" thickBot="1" x14ac:dyDescent="0.3">
      <c r="A24" s="138">
        <f t="shared" ca="1" si="1"/>
        <v>34.616218464776281</v>
      </c>
      <c r="B24" s="137">
        <f t="shared" ca="1" si="2"/>
        <v>8.3709902978600361</v>
      </c>
      <c r="C24" s="137">
        <f t="shared" ca="1" si="3"/>
        <v>26.245228166916245</v>
      </c>
      <c r="D24" s="152">
        <f t="shared" ca="1" si="4"/>
        <v>3.3169049365073215</v>
      </c>
      <c r="E24" s="197">
        <f t="shared" ca="1" si="5"/>
        <v>5.2957055570310326E-4</v>
      </c>
      <c r="F24" s="137">
        <f t="shared" ca="1" si="6"/>
        <v>24.582884122728419</v>
      </c>
      <c r="G24" s="137">
        <f t="shared" ca="1" si="7"/>
        <v>16.211893824868383</v>
      </c>
      <c r="H24" s="152">
        <f t="shared" ca="1" si="8"/>
        <v>2.0488795264360906</v>
      </c>
      <c r="I24" s="152">
        <f t="shared" ca="1" si="9"/>
        <v>2.0809503126614469E-2</v>
      </c>
      <c r="J24" s="190">
        <f t="shared" ca="1" si="10"/>
        <v>0</v>
      </c>
      <c r="K24" s="187" t="str" cm="1">
        <f t="array" aca="1" ref="K24" ca="1">_xlfn.IFS(G24&lt;$B$11,"Fail",G24&lt;25,"Marginal",G24&lt;35,"Solid",TRUE,"Blowout")</f>
        <v>Fail</v>
      </c>
      <c r="L24" s="193">
        <f t="shared" ca="1" si="0"/>
        <v>1</v>
      </c>
      <c r="M24" s="184" t="str" cm="1">
        <f t="array" aca="1" ref="M24" ca="1">_xlfn.IFS(C24&lt;$B$11,"Fail",C24&lt;25,"Marginal",C24&lt;35,"Solid",TRUE,"Blowout")</f>
        <v>Solid</v>
      </c>
      <c r="P24" s="159" t="s">
        <v>118</v>
      </c>
      <c r="Q24" s="176"/>
    </row>
    <row r="25" spans="1:17" ht="18" customHeight="1" x14ac:dyDescent="0.25">
      <c r="A25" s="138">
        <f t="shared" ca="1" si="1"/>
        <v>40.329006261729305</v>
      </c>
      <c r="B25" s="137">
        <f t="shared" ca="1" si="2"/>
        <v>6.3710183884111506</v>
      </c>
      <c r="C25" s="137">
        <f t="shared" ca="1" si="3"/>
        <v>33.957987873318153</v>
      </c>
      <c r="D25" s="152">
        <f t="shared" ca="1" si="4"/>
        <v>4.2916532062330761</v>
      </c>
      <c r="E25" s="197">
        <f t="shared" ca="1" si="5"/>
        <v>1.3112125103776052E-5</v>
      </c>
      <c r="F25" s="137">
        <f t="shared" ca="1" si="6"/>
        <v>17.221050800590206</v>
      </c>
      <c r="G25" s="137">
        <f t="shared" ca="1" si="7"/>
        <v>10.850032412179054</v>
      </c>
      <c r="H25" s="152">
        <f t="shared" ca="1" si="8"/>
        <v>1.3712407390912662</v>
      </c>
      <c r="I25" s="152">
        <f t="shared" ca="1" si="9"/>
        <v>8.5824007324836318E-2</v>
      </c>
      <c r="J25" s="190">
        <f t="shared" ca="1" si="10"/>
        <v>0</v>
      </c>
      <c r="K25" s="187" t="str" cm="1">
        <f t="array" aca="1" ref="K25" ca="1">_xlfn.IFS(G25&lt;$B$11,"Fail",G25&lt;25,"Marginal",G25&lt;35,"Solid",TRUE,"Blowout")</f>
        <v>Fail</v>
      </c>
      <c r="L25" s="193">
        <f t="shared" ca="1" si="0"/>
        <v>1</v>
      </c>
      <c r="M25" s="184" t="str" cm="1">
        <f t="array" aca="1" ref="M25" ca="1">_xlfn.IFS(C25&lt;$B$11,"Fail",C25&lt;25,"Marginal",C25&lt;35,"Solid",TRUE,"Blowout")</f>
        <v>Solid</v>
      </c>
      <c r="P25" s="177" t="s">
        <v>121</v>
      </c>
      <c r="Q25" s="166">
        <f ca="1">AVERAGE(J16:J1005)</f>
        <v>0.51717171717171717</v>
      </c>
    </row>
    <row r="26" spans="1:17" ht="18" customHeight="1" x14ac:dyDescent="0.25">
      <c r="A26" s="138">
        <f t="shared" ca="1" si="1"/>
        <v>10.725795130635609</v>
      </c>
      <c r="B26" s="137">
        <f t="shared" ca="1" si="2"/>
        <v>10.62871905271891</v>
      </c>
      <c r="C26" s="137">
        <f t="shared" ca="1" si="3"/>
        <v>9.7076077916698367E-2</v>
      </c>
      <c r="D26" s="152">
        <f t="shared" ca="1" si="4"/>
        <v>1.2268596790656118E-2</v>
      </c>
      <c r="E26" s="197">
        <f t="shared" ca="1" si="5"/>
        <v>0.49511102498028592</v>
      </c>
      <c r="F26" s="137">
        <f t="shared" ca="1" si="6"/>
        <v>44.111552809648451</v>
      </c>
      <c r="G26" s="137">
        <f t="shared" ca="1" si="7"/>
        <v>33.482833756929537</v>
      </c>
      <c r="H26" s="152">
        <f t="shared" ca="1" si="8"/>
        <v>4.2316026315446891</v>
      </c>
      <c r="I26" s="152">
        <f t="shared" ca="1" si="9"/>
        <v>1.681692725059577E-5</v>
      </c>
      <c r="J26" s="190">
        <f t="shared" ca="1" si="10"/>
        <v>1</v>
      </c>
      <c r="K26" s="187" t="str" cm="1">
        <f t="array" aca="1" ref="K26" ca="1">_xlfn.IFS(G26&lt;$B$11,"Fail",G26&lt;25,"Marginal",G26&lt;35,"Solid",TRUE,"Blowout")</f>
        <v>Solid</v>
      </c>
      <c r="L26" s="193">
        <f t="shared" ca="1" si="0"/>
        <v>0</v>
      </c>
      <c r="M26" s="184" t="str" cm="1">
        <f t="array" aca="1" ref="M26" ca="1">_xlfn.IFS(C26&lt;$B$11,"Fail",C26&lt;25,"Marginal",C26&lt;35,"Solid",TRUE,"Blowout")</f>
        <v>Fail</v>
      </c>
      <c r="P26" s="171" t="s">
        <v>122</v>
      </c>
      <c r="Q26" s="160">
        <f ca="1">COUNTIF(K16:K1005,"Fail")/1000*-0.95+COUNTIF(K16:K1005,"Marginal")/1000*2+COUNTIF(K16:K1005,"Solid")/1000*5+COUNTIF(K16:K1005,"Blowout")/1000*12.5</f>
        <v>3.6254</v>
      </c>
    </row>
    <row r="27" spans="1:17" ht="18" customHeight="1" x14ac:dyDescent="0.25">
      <c r="A27" s="138">
        <f t="shared" ca="1" si="1"/>
        <v>13.770158999767162</v>
      </c>
      <c r="B27" s="137">
        <f t="shared" ca="1" si="2"/>
        <v>11.447430142051724</v>
      </c>
      <c r="C27" s="137">
        <f t="shared" ca="1" si="3"/>
        <v>2.3227288577154379</v>
      </c>
      <c r="D27" s="152">
        <f t="shared" ca="1" si="4"/>
        <v>0.29354939363933841</v>
      </c>
      <c r="E27" s="197">
        <f t="shared" ca="1" si="5"/>
        <v>0.38468463950852694</v>
      </c>
      <c r="F27" s="137">
        <f t="shared" ca="1" si="6"/>
        <v>2.4025091353857864</v>
      </c>
      <c r="G27" s="137">
        <f t="shared" ca="1" si="7"/>
        <v>-9.0449210066659376</v>
      </c>
      <c r="H27" s="152">
        <f t="shared" ca="1" si="8"/>
        <v>-1.1431084899138864</v>
      </c>
      <c r="I27" s="152">
        <f t="shared" ca="1" si="9"/>
        <v>0.87290379561744236</v>
      </c>
      <c r="J27" s="190">
        <f t="shared" ca="1" si="10"/>
        <v>0</v>
      </c>
      <c r="K27" s="187" t="str" cm="1">
        <f t="array" aca="1" ref="K27" ca="1">_xlfn.IFS(G27&lt;$B$11,"Fail",G27&lt;25,"Marginal",G27&lt;35,"Solid",TRUE,"Blowout")</f>
        <v>Fail</v>
      </c>
      <c r="L27" s="193">
        <f t="shared" ca="1" si="0"/>
        <v>0</v>
      </c>
      <c r="M27" s="184" t="str" cm="1">
        <f t="array" aca="1" ref="M27" ca="1">_xlfn.IFS(C27&lt;$B$11,"Fail",C27&lt;25,"Marginal",C27&lt;35,"Solid",TRUE,"Blowout")</f>
        <v>Fail</v>
      </c>
      <c r="P27" s="172" t="s">
        <v>7</v>
      </c>
      <c r="Q27" s="161">
        <f ca="1">COUNTIF(K16:K1005,"Fail")/1000</f>
        <v>0.47799999999999998</v>
      </c>
    </row>
    <row r="28" spans="1:17" ht="18" customHeight="1" x14ac:dyDescent="0.25">
      <c r="A28" s="138">
        <f t="shared" ca="1" si="1"/>
        <v>26.704619636029189</v>
      </c>
      <c r="B28" s="137">
        <f t="shared" ca="1" si="2"/>
        <v>11.133137482252952</v>
      </c>
      <c r="C28" s="137">
        <f t="shared" ca="1" si="3"/>
        <v>15.571482153776238</v>
      </c>
      <c r="D28" s="152">
        <f t="shared" ca="1" si="4"/>
        <v>1.9679434941892799</v>
      </c>
      <c r="E28" s="197">
        <f t="shared" ca="1" si="5"/>
        <v>2.5143292468767339E-2</v>
      </c>
      <c r="F28" s="137">
        <f t="shared" ca="1" si="6"/>
        <v>13.689664315398801</v>
      </c>
      <c r="G28" s="137">
        <f t="shared" ca="1" si="7"/>
        <v>2.5565268331458491</v>
      </c>
      <c r="H28" s="152">
        <f t="shared" ca="1" si="8"/>
        <v>0.32309707575200891</v>
      </c>
      <c r="I28" s="152">
        <f t="shared" ca="1" si="9"/>
        <v>0.37345892433608407</v>
      </c>
      <c r="J28" s="190">
        <f t="shared" ca="1" si="10"/>
        <v>0</v>
      </c>
      <c r="K28" s="187" t="str" cm="1">
        <f t="array" aca="1" ref="K28" ca="1">_xlfn.IFS(G28&lt;$B$11,"Fail",G28&lt;25,"Marginal",G28&lt;35,"Solid",TRUE,"Blowout")</f>
        <v>Fail</v>
      </c>
      <c r="L28" s="193">
        <f t="shared" ca="1" si="0"/>
        <v>0</v>
      </c>
      <c r="M28" s="184" t="str" cm="1">
        <f t="array" aca="1" ref="M28" ca="1">_xlfn.IFS(C28&lt;$B$11,"Fail",C28&lt;25,"Marginal",C28&lt;35,"Solid",TRUE,"Blowout")</f>
        <v>Fail</v>
      </c>
      <c r="P28" s="172" t="s">
        <v>8</v>
      </c>
      <c r="Q28" s="161">
        <f ca="1">COUNTIF(K16:K1005,"Marginal")/1000</f>
        <v>9.0999999999999998E-2</v>
      </c>
    </row>
    <row r="29" spans="1:17" ht="18" customHeight="1" x14ac:dyDescent="0.25">
      <c r="A29" s="138">
        <f t="shared" ca="1" si="1"/>
        <v>26.861149470449391</v>
      </c>
      <c r="B29" s="137">
        <f t="shared" ca="1" si="2"/>
        <v>7.0990586683169159</v>
      </c>
      <c r="C29" s="137">
        <f t="shared" ca="1" si="3"/>
        <v>19.762090802132477</v>
      </c>
      <c r="D29" s="152">
        <f t="shared" ca="1" si="4"/>
        <v>2.4975578844434563</v>
      </c>
      <c r="E29" s="197">
        <f t="shared" ca="1" si="5"/>
        <v>6.6058446599277631E-3</v>
      </c>
      <c r="F29" s="137">
        <f t="shared" ca="1" si="6"/>
        <v>22.266312117249544</v>
      </c>
      <c r="G29" s="137">
        <f t="shared" ca="1" si="7"/>
        <v>15.167253448932629</v>
      </c>
      <c r="H29" s="152">
        <f t="shared" ca="1" si="8"/>
        <v>1.9168565621936238</v>
      </c>
      <c r="I29" s="152">
        <f t="shared" ca="1" si="9"/>
        <v>2.8253108075275365E-2</v>
      </c>
      <c r="J29" s="190">
        <f t="shared" ca="1" si="10"/>
        <v>0</v>
      </c>
      <c r="K29" s="187" t="str" cm="1">
        <f t="array" aca="1" ref="K29" ca="1">_xlfn.IFS(G29&lt;$B$11,"Fail",G29&lt;25,"Marginal",G29&lt;35,"Solid",TRUE,"Blowout")</f>
        <v>Fail</v>
      </c>
      <c r="L29" s="193">
        <f t="shared" ca="1" si="0"/>
        <v>0</v>
      </c>
      <c r="M29" s="184" t="str" cm="1">
        <f t="array" aca="1" ref="M29" ca="1">_xlfn.IFS(C29&lt;$B$11,"Fail",C29&lt;25,"Marginal",C29&lt;35,"Solid",TRUE,"Blowout")</f>
        <v>Fail</v>
      </c>
      <c r="P29" s="172" t="s">
        <v>9</v>
      </c>
      <c r="Q29" s="161">
        <f ca="1">COUNTIF(K16:K1005,"Solid")/1000</f>
        <v>0.182</v>
      </c>
    </row>
    <row r="30" spans="1:17" ht="18" customHeight="1" thickBot="1" x14ac:dyDescent="0.3">
      <c r="A30" s="138">
        <f t="shared" ca="1" si="1"/>
        <v>20.934870332834365</v>
      </c>
      <c r="B30" s="137">
        <f t="shared" ca="1" si="2"/>
        <v>14.557186634641369</v>
      </c>
      <c r="C30" s="137">
        <f t="shared" ca="1" si="3"/>
        <v>6.3776836981929961</v>
      </c>
      <c r="D30" s="152">
        <f t="shared" ca="1" si="4"/>
        <v>0.80601968508259259</v>
      </c>
      <c r="E30" s="197">
        <f t="shared" ca="1" si="5"/>
        <v>0.21053568218527735</v>
      </c>
      <c r="F30" s="137">
        <f t="shared" ca="1" si="6"/>
        <v>29.928075518483958</v>
      </c>
      <c r="G30" s="137">
        <f t="shared" ca="1" si="7"/>
        <v>15.370888883842589</v>
      </c>
      <c r="H30" s="152">
        <f t="shared" ca="1" si="8"/>
        <v>1.9425922645089155</v>
      </c>
      <c r="I30" s="152">
        <f t="shared" ca="1" si="9"/>
        <v>2.664840118852118E-2</v>
      </c>
      <c r="J30" s="190">
        <f t="shared" ca="1" si="10"/>
        <v>0</v>
      </c>
      <c r="K30" s="187" t="str" cm="1">
        <f t="array" aca="1" ref="K30" ca="1">_xlfn.IFS(G30&lt;$B$11,"Fail",G30&lt;25,"Marginal",G30&lt;35,"Solid",TRUE,"Blowout")</f>
        <v>Fail</v>
      </c>
      <c r="L30" s="193">
        <f t="shared" ca="1" si="0"/>
        <v>0</v>
      </c>
      <c r="M30" s="184" t="str" cm="1">
        <f t="array" aca="1" ref="M30" ca="1">_xlfn.IFS(C30&lt;$B$11,"Fail",C30&lt;25,"Marginal",C30&lt;35,"Solid",TRUE,"Blowout")</f>
        <v>Fail</v>
      </c>
      <c r="P30" s="178" t="s">
        <v>4</v>
      </c>
      <c r="Q30" s="167">
        <f ca="1">COUNTIF(K16:K1005,"Blowout")/1000</f>
        <v>0.23899999999999999</v>
      </c>
    </row>
    <row r="31" spans="1:17" ht="18" customHeight="1" x14ac:dyDescent="0.25">
      <c r="A31" s="138">
        <f t="shared" ca="1" si="1"/>
        <v>8.2200463655859721</v>
      </c>
      <c r="B31" s="137">
        <f t="shared" ca="1" si="2"/>
        <v>1.9734183208968248</v>
      </c>
      <c r="C31" s="137">
        <f t="shared" ca="1" si="3"/>
        <v>6.2466280446891478</v>
      </c>
      <c r="D31" s="152">
        <f t="shared" ca="1" si="4"/>
        <v>0.78945670680328495</v>
      </c>
      <c r="E31" s="197">
        <f t="shared" ca="1" si="5"/>
        <v>0.21533266604666196</v>
      </c>
      <c r="F31" s="137">
        <f t="shared" ca="1" si="6"/>
        <v>6.4529904425045048</v>
      </c>
      <c r="G31" s="137">
        <f t="shared" ca="1" si="7"/>
        <v>4.4795721216076796</v>
      </c>
      <c r="H31" s="152">
        <f t="shared" ca="1" si="8"/>
        <v>0.56613395734661309</v>
      </c>
      <c r="I31" s="152">
        <f t="shared" ca="1" si="9"/>
        <v>0.28592975646232976</v>
      </c>
      <c r="J31" s="190">
        <f t="shared" ca="1" si="10"/>
        <v>0</v>
      </c>
      <c r="K31" s="187" t="str" cm="1">
        <f t="array" aca="1" ref="K31" ca="1">_xlfn.IFS(G31&lt;$B$11,"Fail",G31&lt;25,"Marginal",G31&lt;35,"Solid",TRUE,"Blowout")</f>
        <v>Fail</v>
      </c>
      <c r="L31" s="193">
        <f t="shared" ca="1" si="0"/>
        <v>0</v>
      </c>
      <c r="M31" s="184" t="str" cm="1">
        <f t="array" aca="1" ref="M31" ca="1">_xlfn.IFS(C31&lt;$B$11,"Fail",C31&lt;25,"Marginal",C31&lt;35,"Solid",TRUE,"Blowout")</f>
        <v>Fail</v>
      </c>
      <c r="P31" s="174"/>
      <c r="Q31" s="175"/>
    </row>
    <row r="32" spans="1:17" ht="18" customHeight="1" thickBot="1" x14ac:dyDescent="0.3">
      <c r="A32" s="138">
        <f t="shared" ca="1" si="1"/>
        <v>11.747795673090605</v>
      </c>
      <c r="B32" s="137">
        <f t="shared" ca="1" si="2"/>
        <v>1.8675236730789759</v>
      </c>
      <c r="C32" s="137">
        <f t="shared" ca="1" si="3"/>
        <v>9.8802720000116295</v>
      </c>
      <c r="D32" s="152">
        <f t="shared" ca="1" si="4"/>
        <v>1.2486811988239717</v>
      </c>
      <c r="E32" s="197">
        <f t="shared" ca="1" si="5"/>
        <v>0.10653115133679461</v>
      </c>
      <c r="F32" s="137">
        <f t="shared" ca="1" si="6"/>
        <v>21.065703018639105</v>
      </c>
      <c r="G32" s="137">
        <f t="shared" ca="1" si="7"/>
        <v>19.198179345560128</v>
      </c>
      <c r="H32" s="152">
        <f t="shared" ca="1" si="8"/>
        <v>2.4262900454990928</v>
      </c>
      <c r="I32" s="152">
        <f t="shared" ca="1" si="9"/>
        <v>8.0155342125784561E-3</v>
      </c>
      <c r="J32" s="190">
        <f t="shared" ca="1" si="10"/>
        <v>0</v>
      </c>
      <c r="K32" s="187" t="str" cm="1">
        <f t="array" aca="1" ref="K32" ca="1">_xlfn.IFS(G32&lt;$B$11,"Fail",G32&lt;25,"Marginal",G32&lt;35,"Solid",TRUE,"Blowout")</f>
        <v>Fail</v>
      </c>
      <c r="L32" s="193">
        <f t="shared" ca="1" si="0"/>
        <v>0</v>
      </c>
      <c r="M32" s="184" t="str" cm="1">
        <f t="array" aca="1" ref="M32" ca="1">_xlfn.IFS(C32&lt;$B$11,"Fail",C32&lt;25,"Marginal",C32&lt;35,"Solid",TRUE,"Blowout")</f>
        <v>Fail</v>
      </c>
      <c r="P32" s="165" t="s">
        <v>117</v>
      </c>
      <c r="Q32" s="179"/>
    </row>
    <row r="33" spans="1:17" ht="18" customHeight="1" thickBot="1" x14ac:dyDescent="0.3">
      <c r="A33" s="138">
        <f t="shared" ca="1" si="1"/>
        <v>6.4401076932557819</v>
      </c>
      <c r="B33" s="137">
        <f t="shared" ca="1" si="2"/>
        <v>9.2836346810080741</v>
      </c>
      <c r="C33" s="137">
        <f t="shared" ca="1" si="3"/>
        <v>-2.8435269877522922</v>
      </c>
      <c r="D33" s="152">
        <f t="shared" ca="1" si="4"/>
        <v>-0.35936851616541221</v>
      </c>
      <c r="E33" s="197">
        <f t="shared" ca="1" si="5"/>
        <v>0.64017398632007105</v>
      </c>
      <c r="F33" s="137">
        <f t="shared" ca="1" si="6"/>
        <v>43.74195261445611</v>
      </c>
      <c r="G33" s="137">
        <f t="shared" ca="1" si="7"/>
        <v>34.458317933448036</v>
      </c>
      <c r="H33" s="152">
        <f t="shared" ca="1" si="8"/>
        <v>4.3548855483477382</v>
      </c>
      <c r="I33" s="152">
        <f t="shared" ca="1" si="9"/>
        <v>1.0060465181818606E-5</v>
      </c>
      <c r="J33" s="190">
        <f t="shared" ca="1" si="10"/>
        <v>1</v>
      </c>
      <c r="K33" s="187" t="str" cm="1">
        <f t="array" aca="1" ref="K33" ca="1">_xlfn.IFS(G33&lt;$B$11,"Fail",G33&lt;25,"Marginal",G33&lt;35,"Solid",TRUE,"Blowout")</f>
        <v>Solid</v>
      </c>
      <c r="L33" s="193">
        <f t="shared" ca="1" si="0"/>
        <v>0</v>
      </c>
      <c r="M33" s="184" t="str" cm="1">
        <f t="array" aca="1" ref="M33" ca="1">_xlfn.IFS(C33&lt;$B$11,"Fail",C33&lt;25,"Marginal",C33&lt;35,"Solid",TRUE,"Blowout")</f>
        <v>Fail</v>
      </c>
      <c r="P33" s="180" t="s">
        <v>123</v>
      </c>
      <c r="Q33" s="162">
        <f ca="1">AVERAGE(G16:G1005)</f>
        <v>21.322449105402093</v>
      </c>
    </row>
    <row r="34" spans="1:17" ht="18" customHeight="1" x14ac:dyDescent="0.25">
      <c r="A34" s="138">
        <f t="shared" ca="1" si="1"/>
        <v>26.865209492386004</v>
      </c>
      <c r="B34" s="137">
        <f t="shared" ca="1" si="2"/>
        <v>0.28807676322213727</v>
      </c>
      <c r="C34" s="137">
        <f t="shared" ca="1" si="3"/>
        <v>26.577132729163868</v>
      </c>
      <c r="D34" s="152">
        <f t="shared" ca="1" si="4"/>
        <v>3.3588514524212578</v>
      </c>
      <c r="E34" s="197">
        <f t="shared" ca="1" si="5"/>
        <v>4.586144067310954E-4</v>
      </c>
      <c r="F34" s="137">
        <f t="shared" ca="1" si="6"/>
        <v>19.428342864825687</v>
      </c>
      <c r="G34" s="137">
        <f t="shared" ca="1" si="7"/>
        <v>19.140266101603551</v>
      </c>
      <c r="H34" s="152">
        <f t="shared" ca="1" si="8"/>
        <v>2.4189708969076982</v>
      </c>
      <c r="I34" s="152">
        <f t="shared" ca="1" si="9"/>
        <v>8.1744035640303175E-3</v>
      </c>
      <c r="J34" s="190">
        <f t="shared" ca="1" si="10"/>
        <v>0</v>
      </c>
      <c r="K34" s="187" t="str" cm="1">
        <f t="array" aca="1" ref="K34" ca="1">_xlfn.IFS(G34&lt;$B$11,"Fail",G34&lt;25,"Marginal",G34&lt;35,"Solid",TRUE,"Blowout")</f>
        <v>Fail</v>
      </c>
      <c r="L34" s="193">
        <f t="shared" ca="1" si="0"/>
        <v>1</v>
      </c>
      <c r="M34" s="184" t="str" cm="1">
        <f t="array" aca="1" ref="M34" ca="1">_xlfn.IFS(C34&lt;$B$11,"Fail",C34&lt;25,"Marginal",C34&lt;35,"Solid",TRUE,"Blowout")</f>
        <v>Solid</v>
      </c>
    </row>
    <row r="35" spans="1:17" ht="18" customHeight="1" x14ac:dyDescent="0.25">
      <c r="A35" s="138">
        <f t="shared" ca="1" si="1"/>
        <v>29.304400661348023</v>
      </c>
      <c r="B35" s="137">
        <f t="shared" ca="1" si="2"/>
        <v>1.8905318953754739</v>
      </c>
      <c r="C35" s="137">
        <f t="shared" ca="1" si="3"/>
        <v>27.413868765972548</v>
      </c>
      <c r="D35" s="152">
        <f t="shared" ca="1" si="4"/>
        <v>3.4645992048657508</v>
      </c>
      <c r="E35" s="197">
        <f t="shared" ca="1" si="5"/>
        <v>3.1713135877848989E-4</v>
      </c>
      <c r="F35" s="137">
        <f t="shared" ca="1" si="6"/>
        <v>23.32214750721786</v>
      </c>
      <c r="G35" s="137">
        <f t="shared" ca="1" si="7"/>
        <v>21.431615611842386</v>
      </c>
      <c r="H35" s="152">
        <f t="shared" ca="1" si="8"/>
        <v>2.7085545291565247</v>
      </c>
      <c r="I35" s="152">
        <f t="shared" ca="1" si="9"/>
        <v>3.635166942885256E-3</v>
      </c>
      <c r="J35" s="190">
        <f t="shared" ca="1" si="10"/>
        <v>1</v>
      </c>
      <c r="K35" s="187" t="str" cm="1">
        <f t="array" aca="1" ref="K35" ca="1">_xlfn.IFS(G35&lt;$B$11,"Fail",G35&lt;25,"Marginal",G35&lt;35,"Solid",TRUE,"Blowout")</f>
        <v>Marginal</v>
      </c>
      <c r="L35" s="193">
        <f t="shared" ca="1" si="0"/>
        <v>1</v>
      </c>
      <c r="M35" s="184" t="str" cm="1">
        <f t="array" aca="1" ref="M35" ca="1">_xlfn.IFS(C35&lt;$B$11,"Fail",C35&lt;25,"Marginal",C35&lt;35,"Solid",TRUE,"Blowout")</f>
        <v>Solid</v>
      </c>
    </row>
    <row r="36" spans="1:17" ht="18" customHeight="1" x14ac:dyDescent="0.25">
      <c r="A36" s="138">
        <f t="shared" ca="1" si="1"/>
        <v>45.660708768830204</v>
      </c>
      <c r="B36" s="137">
        <f t="shared" ca="1" si="2"/>
        <v>1.0583735250719157</v>
      </c>
      <c r="C36" s="137">
        <f t="shared" ca="1" si="3"/>
        <v>44.60233524375829</v>
      </c>
      <c r="D36" s="152">
        <f t="shared" ca="1" si="4"/>
        <v>5.6368992111208298</v>
      </c>
      <c r="E36" s="197">
        <f t="shared" ca="1" si="5"/>
        <v>2.5446888215061397E-8</v>
      </c>
      <c r="F36" s="137">
        <f t="shared" ca="1" si="6"/>
        <v>-2.0437203447164296</v>
      </c>
      <c r="G36" s="137">
        <f t="shared" ca="1" si="7"/>
        <v>-3.1020938697883453</v>
      </c>
      <c r="H36" s="152">
        <f t="shared" ca="1" si="8"/>
        <v>-0.39204652383934824</v>
      </c>
      <c r="I36" s="152">
        <f t="shared" ca="1" si="9"/>
        <v>0.65230497608604765</v>
      </c>
      <c r="J36" s="190">
        <f t="shared" ca="1" si="10"/>
        <v>0</v>
      </c>
      <c r="K36" s="187" t="str" cm="1">
        <f t="array" aca="1" ref="K36" ca="1">_xlfn.IFS(G36&lt;$B$11,"Fail",G36&lt;25,"Marginal",G36&lt;35,"Solid",TRUE,"Blowout")</f>
        <v>Fail</v>
      </c>
      <c r="L36" s="193">
        <f t="shared" ca="1" si="0"/>
        <v>1</v>
      </c>
      <c r="M36" s="184" t="str" cm="1">
        <f t="array" aca="1" ref="M36" ca="1">_xlfn.IFS(C36&lt;$B$11,"Fail",C36&lt;25,"Marginal",C36&lt;35,"Solid",TRUE,"Blowout")</f>
        <v>Blowout</v>
      </c>
    </row>
    <row r="37" spans="1:17" x14ac:dyDescent="0.25">
      <c r="A37" s="138">
        <f t="shared" ca="1" si="1"/>
        <v>11.121440652915076</v>
      </c>
      <c r="B37" s="137">
        <f t="shared" ca="1" si="2"/>
        <v>3.6847718026861367</v>
      </c>
      <c r="C37" s="137">
        <f t="shared" ca="1" si="3"/>
        <v>7.4366688502289398</v>
      </c>
      <c r="D37" s="152">
        <f t="shared" ca="1" si="4"/>
        <v>0.93985556016573513</v>
      </c>
      <c r="E37" s="197">
        <f t="shared" ca="1" si="5"/>
        <v>0.17414314510335704</v>
      </c>
      <c r="F37" s="137">
        <f t="shared" ca="1" si="6"/>
        <v>30.88521047464668</v>
      </c>
      <c r="G37" s="137">
        <f t="shared" ca="1" si="7"/>
        <v>27.200438671960544</v>
      </c>
      <c r="H37" s="152">
        <f t="shared" ca="1" si="8"/>
        <v>3.4376256412173301</v>
      </c>
      <c r="I37" s="152">
        <f t="shared" ca="1" si="9"/>
        <v>3.4871563123082963E-4</v>
      </c>
      <c r="J37" s="190">
        <f t="shared" ca="1" si="10"/>
        <v>1</v>
      </c>
      <c r="K37" s="187" t="str" cm="1">
        <f t="array" aca="1" ref="K37" ca="1">_xlfn.IFS(G37&lt;$B$11,"Fail",G37&lt;25,"Marginal",G37&lt;35,"Solid",TRUE,"Blowout")</f>
        <v>Solid</v>
      </c>
      <c r="L37" s="193">
        <f t="shared" ca="1" si="0"/>
        <v>0</v>
      </c>
      <c r="M37" s="184" t="str" cm="1">
        <f t="array" aca="1" ref="M37" ca="1">_xlfn.IFS(C37&lt;$B$11,"Fail",C37&lt;25,"Marginal",C37&lt;35,"Solid",TRUE,"Blowout")</f>
        <v>Fail</v>
      </c>
    </row>
    <row r="38" spans="1:17" x14ac:dyDescent="0.25">
      <c r="A38" s="138">
        <f t="shared" ca="1" si="1"/>
        <v>21.23741655842095</v>
      </c>
      <c r="B38" s="137">
        <f t="shared" ca="1" si="2"/>
        <v>3.9335047605861755</v>
      </c>
      <c r="C38" s="137">
        <f t="shared" ca="1" si="3"/>
        <v>17.303911797834775</v>
      </c>
      <c r="D38" s="152">
        <f t="shared" ca="1" si="4"/>
        <v>2.1868901309639206</v>
      </c>
      <c r="E38" s="197">
        <f t="shared" ca="1" si="5"/>
        <v>1.4883738534112354E-2</v>
      </c>
      <c r="F38" s="137">
        <f t="shared" ca="1" si="6"/>
        <v>39.105521296081449</v>
      </c>
      <c r="G38" s="137">
        <f t="shared" ca="1" si="7"/>
        <v>35.172016535495274</v>
      </c>
      <c r="H38" s="152">
        <f t="shared" ca="1" si="8"/>
        <v>4.4450836750797036</v>
      </c>
      <c r="I38" s="152">
        <f t="shared" ca="1" si="9"/>
        <v>6.859370172120225E-6</v>
      </c>
      <c r="J38" s="190">
        <f t="shared" ca="1" si="10"/>
        <v>1</v>
      </c>
      <c r="K38" s="187" t="str" cm="1">
        <f t="array" aca="1" ref="K38" ca="1">_xlfn.IFS(G38&lt;$B$11,"Fail",G38&lt;25,"Marginal",G38&lt;35,"Solid",TRUE,"Blowout")</f>
        <v>Blowout</v>
      </c>
      <c r="L38" s="193">
        <f t="shared" ca="1" si="0"/>
        <v>0</v>
      </c>
      <c r="M38" s="184" t="str" cm="1">
        <f t="array" aca="1" ref="M38" ca="1">_xlfn.IFS(C38&lt;$B$11,"Fail",C38&lt;25,"Marginal",C38&lt;35,"Solid",TRUE,"Blowout")</f>
        <v>Fail</v>
      </c>
    </row>
    <row r="39" spans="1:17" x14ac:dyDescent="0.25">
      <c r="A39" s="138">
        <f t="shared" ca="1" si="1"/>
        <v>15.635192432090879</v>
      </c>
      <c r="B39" s="137">
        <f t="shared" ca="1" si="2"/>
        <v>15.08697567922534</v>
      </c>
      <c r="C39" s="137">
        <f t="shared" ca="1" si="3"/>
        <v>0.54821675286553884</v>
      </c>
      <c r="D39" s="152">
        <f t="shared" ca="1" si="4"/>
        <v>6.9284322555362876E-2</v>
      </c>
      <c r="E39" s="197">
        <f t="shared" ca="1" si="5"/>
        <v>0.47241201545522876</v>
      </c>
      <c r="F39" s="137">
        <f t="shared" ca="1" si="6"/>
        <v>-2.4848425163737886</v>
      </c>
      <c r="G39" s="137">
        <f t="shared" ca="1" si="7"/>
        <v>-17.571818195599128</v>
      </c>
      <c r="H39" s="152">
        <f t="shared" ca="1" si="8"/>
        <v>-2.2207484783791145</v>
      </c>
      <c r="I39" s="152">
        <f t="shared" ca="1" si="9"/>
        <v>0.98632416267335654</v>
      </c>
      <c r="J39" s="190">
        <f t="shared" ca="1" si="10"/>
        <v>0</v>
      </c>
      <c r="K39" s="187" t="str" cm="1">
        <f t="array" aca="1" ref="K39" ca="1">_xlfn.IFS(G39&lt;$B$11,"Fail",G39&lt;25,"Marginal",G39&lt;35,"Solid",TRUE,"Blowout")</f>
        <v>Fail</v>
      </c>
      <c r="L39" s="193">
        <f t="shared" ca="1" si="0"/>
        <v>0</v>
      </c>
      <c r="M39" s="184" t="str" cm="1">
        <f t="array" aca="1" ref="M39" ca="1">_xlfn.IFS(C39&lt;$B$11,"Fail",C39&lt;25,"Marginal",C39&lt;35,"Solid",TRUE,"Blowout")</f>
        <v>Fail</v>
      </c>
    </row>
    <row r="40" spans="1:17" x14ac:dyDescent="0.25">
      <c r="A40" s="138">
        <f t="shared" ca="1" si="1"/>
        <v>12.643878139644018</v>
      </c>
      <c r="B40" s="137">
        <f t="shared" ca="1" si="2"/>
        <v>2.5530194952342105</v>
      </c>
      <c r="C40" s="137">
        <f t="shared" ca="1" si="3"/>
        <v>10.090858644409808</v>
      </c>
      <c r="D40" s="152">
        <f t="shared" ca="1" si="4"/>
        <v>1.275295403734841</v>
      </c>
      <c r="E40" s="197">
        <f t="shared" ca="1" si="5"/>
        <v>0.10175130493897083</v>
      </c>
      <c r="F40" s="137">
        <f t="shared" ca="1" si="6"/>
        <v>31.154854216064884</v>
      </c>
      <c r="G40" s="137">
        <f t="shared" ca="1" si="7"/>
        <v>28.601834720830674</v>
      </c>
      <c r="H40" s="152">
        <f t="shared" ca="1" si="8"/>
        <v>3.6147358359901327</v>
      </c>
      <c r="I40" s="152">
        <f t="shared" ca="1" si="9"/>
        <v>1.8499911379595379E-4</v>
      </c>
      <c r="J40" s="190">
        <f t="shared" ca="1" si="10"/>
        <v>1</v>
      </c>
      <c r="K40" s="187" t="str" cm="1">
        <f t="array" aca="1" ref="K40" ca="1">_xlfn.IFS(G40&lt;$B$11,"Fail",G40&lt;25,"Marginal",G40&lt;35,"Solid",TRUE,"Blowout")</f>
        <v>Solid</v>
      </c>
      <c r="L40" s="193">
        <f t="shared" ca="1" si="0"/>
        <v>0</v>
      </c>
      <c r="M40" s="184" t="str" cm="1">
        <f t="array" aca="1" ref="M40" ca="1">_xlfn.IFS(C40&lt;$B$11,"Fail",C40&lt;25,"Marginal",C40&lt;35,"Solid",TRUE,"Blowout")</f>
        <v>Fail</v>
      </c>
    </row>
    <row r="41" spans="1:17" x14ac:dyDescent="0.25">
      <c r="A41" s="138">
        <f t="shared" ca="1" si="1"/>
        <v>18.452450282458788</v>
      </c>
      <c r="B41" s="137">
        <f t="shared" ca="1" si="2"/>
        <v>0.78247822531786593</v>
      </c>
      <c r="C41" s="137">
        <f t="shared" ca="1" si="3"/>
        <v>17.669972057140921</v>
      </c>
      <c r="D41" s="152">
        <f t="shared" ca="1" si="4"/>
        <v>2.2331532868195159</v>
      </c>
      <c r="E41" s="197">
        <f t="shared" ca="1" si="5"/>
        <v>1.3255104478621344E-2</v>
      </c>
      <c r="F41" s="137">
        <f t="shared" ca="1" si="6"/>
        <v>37.945570849167567</v>
      </c>
      <c r="G41" s="137">
        <f t="shared" ca="1" si="7"/>
        <v>37.1630926238497</v>
      </c>
      <c r="H41" s="152">
        <f t="shared" ca="1" si="8"/>
        <v>4.6967183747067205</v>
      </c>
      <c r="I41" s="152">
        <f t="shared" ca="1" si="9"/>
        <v>2.2839056675368395E-6</v>
      </c>
      <c r="J41" s="190">
        <f t="shared" ca="1" si="10"/>
        <v>1</v>
      </c>
      <c r="K41" s="187" t="str" cm="1">
        <f t="array" aca="1" ref="K41" ca="1">_xlfn.IFS(G41&lt;$B$11,"Fail",G41&lt;25,"Marginal",G41&lt;35,"Solid",TRUE,"Blowout")</f>
        <v>Blowout</v>
      </c>
      <c r="L41" s="193">
        <f t="shared" ca="1" si="0"/>
        <v>0</v>
      </c>
      <c r="M41" s="184" t="str" cm="1">
        <f t="array" aca="1" ref="M41" ca="1">_xlfn.IFS(C41&lt;$B$11,"Fail",C41&lt;25,"Marginal",C41&lt;35,"Solid",TRUE,"Blowout")</f>
        <v>Fail</v>
      </c>
    </row>
    <row r="42" spans="1:17" x14ac:dyDescent="0.25">
      <c r="A42" s="138">
        <f t="shared" ca="1" si="1"/>
        <v>47.442738710018766</v>
      </c>
      <c r="B42" s="137">
        <f t="shared" ca="1" si="2"/>
        <v>5.4206547489903869</v>
      </c>
      <c r="C42" s="137">
        <f t="shared" ca="1" si="3"/>
        <v>42.022083961028379</v>
      </c>
      <c r="D42" s="152">
        <f t="shared" ca="1" si="4"/>
        <v>5.3108038095992436</v>
      </c>
      <c r="E42" s="197">
        <f t="shared" ca="1" si="5"/>
        <v>1.2946006806782519E-7</v>
      </c>
      <c r="F42" s="137">
        <f t="shared" ca="1" si="6"/>
        <v>26.945017470480316</v>
      </c>
      <c r="G42" s="137">
        <f t="shared" ca="1" si="7"/>
        <v>21.524362721489929</v>
      </c>
      <c r="H42" s="152">
        <f t="shared" ca="1" si="8"/>
        <v>2.7202760254940768</v>
      </c>
      <c r="I42" s="152">
        <f t="shared" ca="1" si="9"/>
        <v>3.5127385626511601E-3</v>
      </c>
      <c r="J42" s="190">
        <f t="shared" ca="1" si="10"/>
        <v>1</v>
      </c>
      <c r="K42" s="187" t="str" cm="1">
        <f t="array" aca="1" ref="K42" ca="1">_xlfn.IFS(G42&lt;$B$11,"Fail",G42&lt;25,"Marginal",G42&lt;35,"Solid",TRUE,"Blowout")</f>
        <v>Marginal</v>
      </c>
      <c r="L42" s="193">
        <f t="shared" ca="1" si="0"/>
        <v>1</v>
      </c>
      <c r="M42" s="184" t="str" cm="1">
        <f t="array" aca="1" ref="M42" ca="1">_xlfn.IFS(C42&lt;$B$11,"Fail",C42&lt;25,"Marginal",C42&lt;35,"Solid",TRUE,"Blowout")</f>
        <v>Blowout</v>
      </c>
    </row>
    <row r="43" spans="1:17" x14ac:dyDescent="0.25">
      <c r="A43" s="138">
        <f t="shared" ca="1" si="1"/>
        <v>38.50516207917579</v>
      </c>
      <c r="B43" s="137">
        <f t="shared" ca="1" si="2"/>
        <v>-3.7093177159003901</v>
      </c>
      <c r="C43" s="137">
        <f t="shared" ca="1" si="3"/>
        <v>42.21447979507618</v>
      </c>
      <c r="D43" s="152">
        <f t="shared" ca="1" si="4"/>
        <v>5.3351190370248922</v>
      </c>
      <c r="E43" s="197">
        <f t="shared" ca="1" si="5"/>
        <v>1.1494594106219492E-7</v>
      </c>
      <c r="F43" s="137">
        <f t="shared" ca="1" si="6"/>
        <v>38.2864821768609</v>
      </c>
      <c r="G43" s="137">
        <f t="shared" ca="1" si="7"/>
        <v>41.995799892761291</v>
      </c>
      <c r="H43" s="152">
        <f t="shared" ca="1" si="8"/>
        <v>5.3074819960020392</v>
      </c>
      <c r="I43" s="152">
        <f t="shared" ca="1" si="9"/>
        <v>1.315763191897897E-7</v>
      </c>
      <c r="J43" s="190">
        <f t="shared" ca="1" si="10"/>
        <v>1</v>
      </c>
      <c r="K43" s="187" t="str" cm="1">
        <f t="array" aca="1" ref="K43" ca="1">_xlfn.IFS(G43&lt;$B$11,"Fail",G43&lt;25,"Marginal",G43&lt;35,"Solid",TRUE,"Blowout")</f>
        <v>Blowout</v>
      </c>
      <c r="L43" s="193">
        <f t="shared" ca="1" si="0"/>
        <v>1</v>
      </c>
      <c r="M43" s="184" t="str" cm="1">
        <f t="array" aca="1" ref="M43" ca="1">_xlfn.IFS(C43&lt;$B$11,"Fail",C43&lt;25,"Marginal",C43&lt;35,"Solid",TRUE,"Blowout")</f>
        <v>Blowout</v>
      </c>
    </row>
    <row r="44" spans="1:17" x14ac:dyDescent="0.25">
      <c r="A44" s="138">
        <f t="shared" ca="1" si="1"/>
        <v>27.041054686002123</v>
      </c>
      <c r="B44" s="137">
        <f t="shared" ca="1" si="2"/>
        <v>0.92874896666244933</v>
      </c>
      <c r="C44" s="137">
        <f t="shared" ca="1" si="3"/>
        <v>26.112305719339673</v>
      </c>
      <c r="D44" s="152">
        <f t="shared" ca="1" si="4"/>
        <v>3.3001060304457948</v>
      </c>
      <c r="E44" s="197">
        <f t="shared" ca="1" si="5"/>
        <v>5.607548042520764E-4</v>
      </c>
      <c r="F44" s="137">
        <f t="shared" ca="1" si="6"/>
        <v>21.807597714896772</v>
      </c>
      <c r="G44" s="137">
        <f t="shared" ca="1" si="7"/>
        <v>20.878848748234322</v>
      </c>
      <c r="H44" s="152">
        <f t="shared" ca="1" si="8"/>
        <v>2.6386951578842086</v>
      </c>
      <c r="I44" s="152">
        <f t="shared" ca="1" si="9"/>
        <v>4.4481500417827297E-3</v>
      </c>
      <c r="J44" s="190">
        <f t="shared" ca="1" si="10"/>
        <v>1</v>
      </c>
      <c r="K44" s="187" t="str" cm="1">
        <f t="array" aca="1" ref="K44" ca="1">_xlfn.IFS(G44&lt;$B$11,"Fail",G44&lt;25,"Marginal",G44&lt;35,"Solid",TRUE,"Blowout")</f>
        <v>Marginal</v>
      </c>
      <c r="L44" s="193">
        <f t="shared" ca="1" si="0"/>
        <v>1</v>
      </c>
      <c r="M44" s="184" t="str" cm="1">
        <f t="array" aca="1" ref="M44" ca="1">_xlfn.IFS(C44&lt;$B$11,"Fail",C44&lt;25,"Marginal",C44&lt;35,"Solid",TRUE,"Blowout")</f>
        <v>Solid</v>
      </c>
    </row>
    <row r="45" spans="1:17" x14ac:dyDescent="0.25">
      <c r="A45" s="138">
        <f t="shared" ca="1" si="1"/>
        <v>58.068181376666303</v>
      </c>
      <c r="B45" s="137">
        <f t="shared" ca="1" si="2"/>
        <v>6.6100830450435692</v>
      </c>
      <c r="C45" s="137">
        <f t="shared" ca="1" si="3"/>
        <v>51.458098331622736</v>
      </c>
      <c r="D45" s="152">
        <f t="shared" ca="1" si="4"/>
        <v>6.5033391706075356</v>
      </c>
      <c r="E45" s="197">
        <f t="shared" ca="1" si="5"/>
        <v>2.4543099785990282E-10</v>
      </c>
      <c r="F45" s="137">
        <f t="shared" ca="1" si="6"/>
        <v>20.152463700786061</v>
      </c>
      <c r="G45" s="137">
        <f t="shared" ca="1" si="7"/>
        <v>13.542380655742491</v>
      </c>
      <c r="H45" s="152">
        <f t="shared" ca="1" si="8"/>
        <v>1.711503095473808</v>
      </c>
      <c r="I45" s="152">
        <f t="shared" ca="1" si="9"/>
        <v>4.4174084633906485E-2</v>
      </c>
      <c r="J45" s="190">
        <f t="shared" ca="1" si="10"/>
        <v>0</v>
      </c>
      <c r="K45" s="187" t="str" cm="1">
        <f t="array" aca="1" ref="K45" ca="1">_xlfn.IFS(G45&lt;$B$11,"Fail",G45&lt;25,"Marginal",G45&lt;35,"Solid",TRUE,"Blowout")</f>
        <v>Fail</v>
      </c>
      <c r="L45" s="193">
        <f t="shared" ca="1" si="0"/>
        <v>1</v>
      </c>
      <c r="M45" s="184" t="str" cm="1">
        <f t="array" aca="1" ref="M45" ca="1">_xlfn.IFS(C45&lt;$B$11,"Fail",C45&lt;25,"Marginal",C45&lt;35,"Solid",TRUE,"Blowout")</f>
        <v>Blowout</v>
      </c>
    </row>
    <row r="46" spans="1:17" x14ac:dyDescent="0.25">
      <c r="A46" s="138">
        <f t="shared" ca="1" si="1"/>
        <v>41.385958250716243</v>
      </c>
      <c r="B46" s="137">
        <f t="shared" ca="1" si="2"/>
        <v>2.3869940740588915</v>
      </c>
      <c r="C46" s="137">
        <f t="shared" ca="1" si="3"/>
        <v>38.998964176657353</v>
      </c>
      <c r="D46" s="152">
        <f t="shared" ca="1" si="4"/>
        <v>4.9287381299770194</v>
      </c>
      <c r="E46" s="197">
        <f t="shared" ca="1" si="5"/>
        <v>7.9608009473845549E-7</v>
      </c>
      <c r="F46" s="137">
        <f t="shared" ca="1" si="6"/>
        <v>29.912769488811623</v>
      </c>
      <c r="G46" s="137">
        <f t="shared" ca="1" si="7"/>
        <v>27.525775414752733</v>
      </c>
      <c r="H46" s="152">
        <f t="shared" ca="1" si="8"/>
        <v>3.4787421078501066</v>
      </c>
      <c r="I46" s="152">
        <f t="shared" ca="1" si="9"/>
        <v>3.0166151640048709E-4</v>
      </c>
      <c r="J46" s="190">
        <f t="shared" ca="1" si="10"/>
        <v>1</v>
      </c>
      <c r="K46" s="187" t="str" cm="1">
        <f t="array" aca="1" ref="K46" ca="1">_xlfn.IFS(G46&lt;$B$11,"Fail",G46&lt;25,"Marginal",G46&lt;35,"Solid",TRUE,"Blowout")</f>
        <v>Solid</v>
      </c>
      <c r="L46" s="193">
        <f t="shared" ca="1" si="0"/>
        <v>1</v>
      </c>
      <c r="M46" s="184" t="str" cm="1">
        <f t="array" aca="1" ref="M46" ca="1">_xlfn.IFS(C46&lt;$B$11,"Fail",C46&lt;25,"Marginal",C46&lt;35,"Solid",TRUE,"Blowout")</f>
        <v>Blowout</v>
      </c>
    </row>
    <row r="47" spans="1:17" x14ac:dyDescent="0.25">
      <c r="A47" s="138">
        <f t="shared" ca="1" si="1"/>
        <v>12.562306556227766</v>
      </c>
      <c r="B47" s="137">
        <f t="shared" ca="1" si="2"/>
        <v>3.3567114909689169</v>
      </c>
      <c r="C47" s="137">
        <f t="shared" ca="1" si="3"/>
        <v>9.2055950652588479</v>
      </c>
      <c r="D47" s="152">
        <f t="shared" ca="1" si="4"/>
        <v>1.1634146794705575</v>
      </c>
      <c r="E47" s="197">
        <f t="shared" ca="1" si="5"/>
        <v>0.1229387028583835</v>
      </c>
      <c r="F47" s="137">
        <f t="shared" ca="1" si="6"/>
        <v>25.498791583192848</v>
      </c>
      <c r="G47" s="137">
        <f t="shared" ca="1" si="7"/>
        <v>22.142080092223932</v>
      </c>
      <c r="H47" s="152">
        <f t="shared" ca="1" si="8"/>
        <v>2.7983439235257928</v>
      </c>
      <c r="I47" s="152">
        <f t="shared" ca="1" si="9"/>
        <v>2.7880393701732232E-3</v>
      </c>
      <c r="J47" s="190">
        <f t="shared" ca="1" si="10"/>
        <v>1</v>
      </c>
      <c r="K47" s="187" t="str" cm="1">
        <f t="array" aca="1" ref="K47" ca="1">_xlfn.IFS(G47&lt;$B$11,"Fail",G47&lt;25,"Marginal",G47&lt;35,"Solid",TRUE,"Blowout")</f>
        <v>Marginal</v>
      </c>
      <c r="L47" s="193">
        <f t="shared" ca="1" si="0"/>
        <v>0</v>
      </c>
      <c r="M47" s="184" t="str" cm="1">
        <f t="array" aca="1" ref="M47" ca="1">_xlfn.IFS(C47&lt;$B$11,"Fail",C47&lt;25,"Marginal",C47&lt;35,"Solid",TRUE,"Blowout")</f>
        <v>Fail</v>
      </c>
    </row>
    <row r="48" spans="1:17" x14ac:dyDescent="0.25">
      <c r="A48" s="138">
        <f t="shared" ca="1" si="1"/>
        <v>3.2284507678472969</v>
      </c>
      <c r="B48" s="137">
        <f t="shared" ca="1" si="2"/>
        <v>8.0369819669235429</v>
      </c>
      <c r="C48" s="137">
        <f t="shared" ca="1" si="3"/>
        <v>-4.8085311990762456</v>
      </c>
      <c r="D48" s="152">
        <f t="shared" ca="1" si="4"/>
        <v>-0.6077082191905171</v>
      </c>
      <c r="E48" s="197">
        <f t="shared" ca="1" si="5"/>
        <v>0.7280070896859272</v>
      </c>
      <c r="F48" s="137">
        <f t="shared" ca="1" si="6"/>
        <v>9.4943685305178747</v>
      </c>
      <c r="G48" s="137">
        <f t="shared" ca="1" si="7"/>
        <v>1.4573865635943317</v>
      </c>
      <c r="H48" s="152">
        <f t="shared" ca="1" si="8"/>
        <v>0.18418634642616888</v>
      </c>
      <c r="I48" s="152">
        <f t="shared" ca="1" si="9"/>
        <v>0.42701549094186636</v>
      </c>
      <c r="J48" s="190">
        <f t="shared" ca="1" si="10"/>
        <v>0</v>
      </c>
      <c r="K48" s="187" t="str" cm="1">
        <f t="array" aca="1" ref="K48" ca="1">_xlfn.IFS(G48&lt;$B$11,"Fail",G48&lt;25,"Marginal",G48&lt;35,"Solid",TRUE,"Blowout")</f>
        <v>Fail</v>
      </c>
      <c r="L48" s="193">
        <f t="shared" ca="1" si="0"/>
        <v>0</v>
      </c>
      <c r="M48" s="184" t="str" cm="1">
        <f t="array" aca="1" ref="M48" ca="1">_xlfn.IFS(C48&lt;$B$11,"Fail",C48&lt;25,"Marginal",C48&lt;35,"Solid",TRUE,"Blowout")</f>
        <v>Fail</v>
      </c>
    </row>
    <row r="49" spans="1:13" x14ac:dyDescent="0.25">
      <c r="A49" s="138">
        <f t="shared" ca="1" si="1"/>
        <v>59.768591663030563</v>
      </c>
      <c r="B49" s="137">
        <f t="shared" ca="1" si="2"/>
        <v>-3.7929989520959566</v>
      </c>
      <c r="C49" s="137">
        <f t="shared" ca="1" si="3"/>
        <v>63.561590615126519</v>
      </c>
      <c r="D49" s="152">
        <f t="shared" ca="1" si="4"/>
        <v>8.0329937443383397</v>
      </c>
      <c r="E49" s="197">
        <f t="shared" ca="1" si="5"/>
        <v>2.5383713177200376E-14</v>
      </c>
      <c r="F49" s="137">
        <f t="shared" ca="1" si="6"/>
        <v>33.619125550743547</v>
      </c>
      <c r="G49" s="137">
        <f t="shared" ca="1" si="7"/>
        <v>37.412124502839504</v>
      </c>
      <c r="H49" s="152">
        <f t="shared" ca="1" si="8"/>
        <v>4.7281913367063506</v>
      </c>
      <c r="I49" s="152">
        <f t="shared" ca="1" si="9"/>
        <v>1.9840599791845532E-6</v>
      </c>
      <c r="J49" s="190">
        <f t="shared" ca="1" si="10"/>
        <v>1</v>
      </c>
      <c r="K49" s="187" t="str" cm="1">
        <f t="array" aca="1" ref="K49" ca="1">_xlfn.IFS(G49&lt;$B$11,"Fail",G49&lt;25,"Marginal",G49&lt;35,"Solid",TRUE,"Blowout")</f>
        <v>Blowout</v>
      </c>
      <c r="L49" s="193">
        <f t="shared" ca="1" si="0"/>
        <v>1</v>
      </c>
      <c r="M49" s="184" t="str" cm="1">
        <f t="array" aca="1" ref="M49" ca="1">_xlfn.IFS(C49&lt;$B$11,"Fail",C49&lt;25,"Marginal",C49&lt;35,"Solid",TRUE,"Blowout")</f>
        <v>Blowout</v>
      </c>
    </row>
    <row r="50" spans="1:13" x14ac:dyDescent="0.25">
      <c r="A50" s="138">
        <f t="shared" ca="1" si="1"/>
        <v>63.08687436054386</v>
      </c>
      <c r="B50" s="137">
        <f t="shared" ca="1" si="2"/>
        <v>11.460877882867127</v>
      </c>
      <c r="C50" s="137">
        <f t="shared" ca="1" si="3"/>
        <v>51.625996477676736</v>
      </c>
      <c r="D50" s="152">
        <f t="shared" ca="1" si="4"/>
        <v>6.5245583494211132</v>
      </c>
      <c r="E50" s="197">
        <f t="shared" ca="1" si="5"/>
        <v>2.1786446787969948E-10</v>
      </c>
      <c r="F50" s="137">
        <f t="shared" ca="1" si="6"/>
        <v>23.138973893885904</v>
      </c>
      <c r="G50" s="137">
        <f t="shared" ca="1" si="7"/>
        <v>11.678096011018777</v>
      </c>
      <c r="H50" s="152">
        <f t="shared" ca="1" si="8"/>
        <v>1.475892457920511</v>
      </c>
      <c r="I50" s="152">
        <f t="shared" ca="1" si="9"/>
        <v>7.0676229375328664E-2</v>
      </c>
      <c r="J50" s="190">
        <f t="shared" ca="1" si="10"/>
        <v>0</v>
      </c>
      <c r="K50" s="187" t="str" cm="1">
        <f t="array" aca="1" ref="K50" ca="1">_xlfn.IFS(G50&lt;$B$11,"Fail",G50&lt;25,"Marginal",G50&lt;35,"Solid",TRUE,"Blowout")</f>
        <v>Fail</v>
      </c>
      <c r="L50" s="193">
        <f t="shared" ca="1" si="0"/>
        <v>1</v>
      </c>
      <c r="M50" s="184" t="str" cm="1">
        <f t="array" aca="1" ref="M50" ca="1">_xlfn.IFS(C50&lt;$B$11,"Fail",C50&lt;25,"Marginal",C50&lt;35,"Solid",TRUE,"Blowout")</f>
        <v>Blowout</v>
      </c>
    </row>
    <row r="51" spans="1:13" x14ac:dyDescent="0.25">
      <c r="A51" s="138">
        <f t="shared" ca="1" si="1"/>
        <v>41.218120362364708</v>
      </c>
      <c r="B51" s="137">
        <f t="shared" ca="1" si="2"/>
        <v>4.2403023458218732</v>
      </c>
      <c r="C51" s="137">
        <f t="shared" ca="1" si="3"/>
        <v>36.977818016542834</v>
      </c>
      <c r="D51" s="152">
        <f t="shared" ca="1" si="4"/>
        <v>4.6733031368708282</v>
      </c>
      <c r="E51" s="197">
        <f t="shared" ca="1" si="5"/>
        <v>2.5348614357685312E-6</v>
      </c>
      <c r="F51" s="137">
        <f t="shared" ca="1" si="6"/>
        <v>25.08254282599567</v>
      </c>
      <c r="G51" s="137">
        <f t="shared" ca="1" si="7"/>
        <v>20.842240480173796</v>
      </c>
      <c r="H51" s="152">
        <f t="shared" ca="1" si="8"/>
        <v>2.6340685589354513</v>
      </c>
      <c r="I51" s="152">
        <f t="shared" ca="1" si="9"/>
        <v>4.5073663272611648E-3</v>
      </c>
      <c r="J51" s="190">
        <f t="shared" ca="1" si="10"/>
        <v>1</v>
      </c>
      <c r="K51" s="187" t="str" cm="1">
        <f t="array" aca="1" ref="K51" ca="1">_xlfn.IFS(G51&lt;$B$11,"Fail",G51&lt;25,"Marginal",G51&lt;35,"Solid",TRUE,"Blowout")</f>
        <v>Marginal</v>
      </c>
      <c r="L51" s="193">
        <f t="shared" ca="1" si="0"/>
        <v>1</v>
      </c>
      <c r="M51" s="184" t="str" cm="1">
        <f t="array" aca="1" ref="M51" ca="1">_xlfn.IFS(C51&lt;$B$11,"Fail",C51&lt;25,"Marginal",C51&lt;35,"Solid",TRUE,"Blowout")</f>
        <v>Blowout</v>
      </c>
    </row>
    <row r="52" spans="1:13" x14ac:dyDescent="0.25">
      <c r="A52" s="138">
        <f t="shared" ca="1" si="1"/>
        <v>20.515077723070746</v>
      </c>
      <c r="B52" s="137">
        <f t="shared" ca="1" si="2"/>
        <v>0.32481454655185704</v>
      </c>
      <c r="C52" s="137">
        <f t="shared" ca="1" si="3"/>
        <v>20.19026317651889</v>
      </c>
      <c r="D52" s="152">
        <f t="shared" ca="1" si="4"/>
        <v>2.5516708475027228</v>
      </c>
      <c r="E52" s="197">
        <f t="shared" ca="1" si="5"/>
        <v>5.6875396395095791E-3</v>
      </c>
      <c r="F52" s="137">
        <f t="shared" ca="1" si="6"/>
        <v>36.265961297483784</v>
      </c>
      <c r="G52" s="137">
        <f t="shared" ca="1" si="7"/>
        <v>35.941146750931928</v>
      </c>
      <c r="H52" s="152">
        <f t="shared" ca="1" si="8"/>
        <v>4.5422873188115815</v>
      </c>
      <c r="I52" s="152">
        <f t="shared" ca="1" si="9"/>
        <v>4.5096513860736214E-6</v>
      </c>
      <c r="J52" s="190">
        <f t="shared" ca="1" si="10"/>
        <v>1</v>
      </c>
      <c r="K52" s="187" t="str" cm="1">
        <f t="array" aca="1" ref="K52" ca="1">_xlfn.IFS(G52&lt;$B$11,"Fail",G52&lt;25,"Marginal",G52&lt;35,"Solid",TRUE,"Blowout")</f>
        <v>Blowout</v>
      </c>
      <c r="L52" s="193">
        <f t="shared" ca="1" si="0"/>
        <v>1</v>
      </c>
      <c r="M52" s="184" t="str" cm="1">
        <f t="array" aca="1" ref="M52" ca="1">_xlfn.IFS(C52&lt;$B$11,"Fail",C52&lt;25,"Marginal",C52&lt;35,"Solid",TRUE,"Blowout")</f>
        <v>Marginal</v>
      </c>
    </row>
    <row r="53" spans="1:13" x14ac:dyDescent="0.25">
      <c r="A53" s="138">
        <f t="shared" ca="1" si="1"/>
        <v>35.906480153944237</v>
      </c>
      <c r="B53" s="137">
        <f t="shared" ca="1" si="2"/>
        <v>2.0225715136027267</v>
      </c>
      <c r="C53" s="137">
        <f t="shared" ca="1" si="3"/>
        <v>33.88390864034151</v>
      </c>
      <c r="D53" s="152">
        <f t="shared" ca="1" si="4"/>
        <v>4.2822909796221973</v>
      </c>
      <c r="E53" s="197">
        <f t="shared" ca="1" si="5"/>
        <v>1.3633236147231808E-5</v>
      </c>
      <c r="F53" s="137">
        <f t="shared" ca="1" si="6"/>
        <v>23.255927225272206</v>
      </c>
      <c r="G53" s="137">
        <f t="shared" ca="1" si="7"/>
        <v>21.233355711669478</v>
      </c>
      <c r="H53" s="152">
        <f t="shared" ca="1" si="8"/>
        <v>2.6834981936805038</v>
      </c>
      <c r="I53" s="152">
        <f t="shared" ca="1" si="9"/>
        <v>3.9098891409716646E-3</v>
      </c>
      <c r="J53" s="190">
        <f t="shared" ca="1" si="10"/>
        <v>1</v>
      </c>
      <c r="K53" s="187" t="str" cm="1">
        <f t="array" aca="1" ref="K53" ca="1">_xlfn.IFS(G53&lt;$B$11,"Fail",G53&lt;25,"Marginal",G53&lt;35,"Solid",TRUE,"Blowout")</f>
        <v>Marginal</v>
      </c>
      <c r="L53" s="193">
        <f t="shared" ca="1" si="0"/>
        <v>1</v>
      </c>
      <c r="M53" s="184" t="str" cm="1">
        <f t="array" aca="1" ref="M53" ca="1">_xlfn.IFS(C53&lt;$B$11,"Fail",C53&lt;25,"Marginal",C53&lt;35,"Solid",TRUE,"Blowout")</f>
        <v>Solid</v>
      </c>
    </row>
    <row r="54" spans="1:13" x14ac:dyDescent="0.25">
      <c r="A54" s="138">
        <f t="shared" ca="1" si="1"/>
        <v>3.2597703339100521</v>
      </c>
      <c r="B54" s="137">
        <f t="shared" ca="1" si="2"/>
        <v>2.0344656091144357</v>
      </c>
      <c r="C54" s="137">
        <f t="shared" ca="1" si="3"/>
        <v>1.2253047247956164</v>
      </c>
      <c r="D54" s="152">
        <f t="shared" ca="1" si="4"/>
        <v>0.15485555181888372</v>
      </c>
      <c r="E54" s="197">
        <f t="shared" ca="1" si="5"/>
        <v>0.43853609646463126</v>
      </c>
      <c r="F54" s="137">
        <f t="shared" ca="1" si="6"/>
        <v>12.10766813992495</v>
      </c>
      <c r="G54" s="137">
        <f t="shared" ca="1" si="7"/>
        <v>10.073202530810514</v>
      </c>
      <c r="H54" s="152">
        <f t="shared" ca="1" si="8"/>
        <v>1.2730640018973498</v>
      </c>
      <c r="I54" s="152">
        <f t="shared" ca="1" si="9"/>
        <v>0.10214592058131268</v>
      </c>
      <c r="J54" s="190">
        <f t="shared" ca="1" si="10"/>
        <v>0</v>
      </c>
      <c r="K54" s="187" t="str" cm="1">
        <f t="array" aca="1" ref="K54" ca="1">_xlfn.IFS(G54&lt;$B$11,"Fail",G54&lt;25,"Marginal",G54&lt;35,"Solid",TRUE,"Blowout")</f>
        <v>Fail</v>
      </c>
      <c r="L54" s="193">
        <f t="shared" ca="1" si="0"/>
        <v>0</v>
      </c>
      <c r="M54" s="184" t="str" cm="1">
        <f t="array" aca="1" ref="M54" ca="1">_xlfn.IFS(C54&lt;$B$11,"Fail",C54&lt;25,"Marginal",C54&lt;35,"Solid",TRUE,"Blowout")</f>
        <v>Fail</v>
      </c>
    </row>
    <row r="55" spans="1:13" x14ac:dyDescent="0.25">
      <c r="A55" s="138">
        <f t="shared" ca="1" si="1"/>
        <v>-1.4915683776375843</v>
      </c>
      <c r="B55" s="137">
        <f t="shared" ca="1" si="2"/>
        <v>10.752603057557819</v>
      </c>
      <c r="C55" s="137">
        <f t="shared" ca="1" si="3"/>
        <v>-12.244171435195403</v>
      </c>
      <c r="D55" s="152">
        <f t="shared" ca="1" si="4"/>
        <v>-1.5474337818116777</v>
      </c>
      <c r="E55" s="197">
        <f t="shared" ca="1" si="5"/>
        <v>0.93842721494885062</v>
      </c>
      <c r="F55" s="137">
        <f t="shared" ca="1" si="6"/>
        <v>40.527663255096421</v>
      </c>
      <c r="G55" s="137">
        <f t="shared" ca="1" si="7"/>
        <v>29.7750601975386</v>
      </c>
      <c r="H55" s="152">
        <f t="shared" ca="1" si="8"/>
        <v>3.7630095469512033</v>
      </c>
      <c r="I55" s="152">
        <f t="shared" ca="1" si="9"/>
        <v>1.0677280601987343E-4</v>
      </c>
      <c r="J55" s="190">
        <f t="shared" ca="1" si="10"/>
        <v>1</v>
      </c>
      <c r="K55" s="187" t="str" cm="1">
        <f t="array" aca="1" ref="K55" ca="1">_xlfn.IFS(G55&lt;$B$11,"Fail",G55&lt;25,"Marginal",G55&lt;35,"Solid",TRUE,"Blowout")</f>
        <v>Solid</v>
      </c>
      <c r="L55" s="193">
        <f t="shared" ca="1" si="0"/>
        <v>0</v>
      </c>
      <c r="M55" s="184" t="str" cm="1">
        <f t="array" aca="1" ref="M55" ca="1">_xlfn.IFS(C55&lt;$B$11,"Fail",C55&lt;25,"Marginal",C55&lt;35,"Solid",TRUE,"Blowout")</f>
        <v>Fail</v>
      </c>
    </row>
    <row r="56" spans="1:13" x14ac:dyDescent="0.25">
      <c r="A56" s="138">
        <f t="shared" ca="1" si="1"/>
        <v>27.013732457039506</v>
      </c>
      <c r="B56" s="137">
        <f t="shared" ca="1" si="2"/>
        <v>6.0099418513702556</v>
      </c>
      <c r="C56" s="137">
        <f t="shared" ca="1" si="3"/>
        <v>21.003790605669252</v>
      </c>
      <c r="D56" s="152">
        <f t="shared" ca="1" si="4"/>
        <v>2.654485466928834</v>
      </c>
      <c r="E56" s="197">
        <f t="shared" ca="1" si="5"/>
        <v>4.2512795827381747E-3</v>
      </c>
      <c r="F56" s="137">
        <f t="shared" ca="1" si="6"/>
        <v>6.2602363954139557</v>
      </c>
      <c r="G56" s="137">
        <f t="shared" ca="1" si="7"/>
        <v>0.25029454404370011</v>
      </c>
      <c r="H56" s="152">
        <f t="shared" ca="1" si="8"/>
        <v>3.163253919681755E-2</v>
      </c>
      <c r="I56" s="152">
        <f t="shared" ca="1" si="9"/>
        <v>0.48739638343548558</v>
      </c>
      <c r="J56" s="190">
        <f t="shared" ca="1" si="10"/>
        <v>0</v>
      </c>
      <c r="K56" s="187" t="str" cm="1">
        <f t="array" aca="1" ref="K56" ca="1">_xlfn.IFS(G56&lt;$B$11,"Fail",G56&lt;25,"Marginal",G56&lt;35,"Solid",TRUE,"Blowout")</f>
        <v>Fail</v>
      </c>
      <c r="L56" s="193">
        <f t="shared" ca="1" si="0"/>
        <v>1</v>
      </c>
      <c r="M56" s="184" t="str" cm="1">
        <f t="array" aca="1" ref="M56" ca="1">_xlfn.IFS(C56&lt;$B$11,"Fail",C56&lt;25,"Marginal",C56&lt;35,"Solid",TRUE,"Blowout")</f>
        <v>Marginal</v>
      </c>
    </row>
    <row r="57" spans="1:13" x14ac:dyDescent="0.25">
      <c r="A57" s="138">
        <f t="shared" ca="1" si="1"/>
        <v>-7.7862658145251951</v>
      </c>
      <c r="B57" s="137">
        <f t="shared" ca="1" si="2"/>
        <v>4.1432961330254736</v>
      </c>
      <c r="C57" s="137">
        <f t="shared" ca="1" si="3"/>
        <v>-11.929561947550669</v>
      </c>
      <c r="D57" s="152">
        <f t="shared" ca="1" si="4"/>
        <v>-1.5076730391728961</v>
      </c>
      <c r="E57" s="197">
        <f t="shared" ca="1" si="5"/>
        <v>0.93348871442665637</v>
      </c>
      <c r="F57" s="137">
        <f t="shared" ca="1" si="6"/>
        <v>4.317869411197977</v>
      </c>
      <c r="G57" s="137">
        <f t="shared" ca="1" si="7"/>
        <v>0.17457327817250334</v>
      </c>
      <c r="H57" s="152">
        <f t="shared" ca="1" si="8"/>
        <v>2.2062790404030939E-2</v>
      </c>
      <c r="I57" s="152">
        <f t="shared" ca="1" si="9"/>
        <v>0.4912085822003725</v>
      </c>
      <c r="J57" s="190">
        <f t="shared" ca="1" si="10"/>
        <v>0</v>
      </c>
      <c r="K57" s="187" t="str" cm="1">
        <f t="array" aca="1" ref="K57" ca="1">_xlfn.IFS(G57&lt;$B$11,"Fail",G57&lt;25,"Marginal",G57&lt;35,"Solid",TRUE,"Blowout")</f>
        <v>Fail</v>
      </c>
      <c r="L57" s="193">
        <f t="shared" ca="1" si="0"/>
        <v>0</v>
      </c>
      <c r="M57" s="184" t="str" cm="1">
        <f t="array" aca="1" ref="M57" ca="1">_xlfn.IFS(C57&lt;$B$11,"Fail",C57&lt;25,"Marginal",C57&lt;35,"Solid",TRUE,"Blowout")</f>
        <v>Fail</v>
      </c>
    </row>
    <row r="58" spans="1:13" x14ac:dyDescent="0.25">
      <c r="A58" s="138">
        <f t="shared" ca="1" si="1"/>
        <v>24.153938645432468</v>
      </c>
      <c r="B58" s="137">
        <f t="shared" ca="1" si="2"/>
        <v>9.5022770545016133</v>
      </c>
      <c r="C58" s="137">
        <f t="shared" ca="1" si="3"/>
        <v>14.651661590930855</v>
      </c>
      <c r="D58" s="152">
        <f t="shared" ca="1" si="4"/>
        <v>1.8516954148737144</v>
      </c>
      <c r="E58" s="197">
        <f t="shared" ca="1" si="5"/>
        <v>3.2681246925434795E-2</v>
      </c>
      <c r="F58" s="137">
        <f t="shared" ca="1" si="6"/>
        <v>11.72239812125658</v>
      </c>
      <c r="G58" s="137">
        <f t="shared" ca="1" si="7"/>
        <v>2.2201210667549667</v>
      </c>
      <c r="H58" s="152">
        <f t="shared" ca="1" si="8"/>
        <v>0.28058169199862953</v>
      </c>
      <c r="I58" s="152">
        <f t="shared" ca="1" si="9"/>
        <v>0.38964284438863178</v>
      </c>
      <c r="J58" s="190">
        <f t="shared" ca="1" si="10"/>
        <v>0</v>
      </c>
      <c r="K58" s="187" t="str" cm="1">
        <f t="array" aca="1" ref="K58" ca="1">_xlfn.IFS(G58&lt;$B$11,"Fail",G58&lt;25,"Marginal",G58&lt;35,"Solid",TRUE,"Blowout")</f>
        <v>Fail</v>
      </c>
      <c r="L58" s="193">
        <f t="shared" ca="1" si="0"/>
        <v>0</v>
      </c>
      <c r="M58" s="184" t="str" cm="1">
        <f t="array" aca="1" ref="M58" ca="1">_xlfn.IFS(C58&lt;$B$11,"Fail",C58&lt;25,"Marginal",C58&lt;35,"Solid",TRUE,"Blowout")</f>
        <v>Fail</v>
      </c>
    </row>
    <row r="59" spans="1:13" x14ac:dyDescent="0.25">
      <c r="A59" s="138">
        <f t="shared" ca="1" si="1"/>
        <v>52.679304180801978</v>
      </c>
      <c r="B59" s="137">
        <f t="shared" ca="1" si="2"/>
        <v>5.2950878752676314</v>
      </c>
      <c r="C59" s="137">
        <f t="shared" ca="1" si="3"/>
        <v>47.384216305534345</v>
      </c>
      <c r="D59" s="152">
        <f t="shared" ca="1" si="4"/>
        <v>5.9884768376477249</v>
      </c>
      <c r="E59" s="197">
        <f t="shared" ca="1" si="5"/>
        <v>4.0850807253120071E-9</v>
      </c>
      <c r="F59" s="137">
        <f t="shared" ca="1" si="6"/>
        <v>63.624370000803104</v>
      </c>
      <c r="G59" s="137">
        <f t="shared" ca="1" si="7"/>
        <v>58.329282125535471</v>
      </c>
      <c r="H59" s="152">
        <f t="shared" ca="1" si="8"/>
        <v>7.3717280183146334</v>
      </c>
      <c r="I59" s="152">
        <f t="shared" ca="1" si="9"/>
        <v>1.5409685774341484E-12</v>
      </c>
      <c r="J59" s="190">
        <f t="shared" ca="1" si="10"/>
        <v>1</v>
      </c>
      <c r="K59" s="187" t="str" cm="1">
        <f t="array" aca="1" ref="K59" ca="1">_xlfn.IFS(G59&lt;$B$11,"Fail",G59&lt;25,"Marginal",G59&lt;35,"Solid",TRUE,"Blowout")</f>
        <v>Blowout</v>
      </c>
      <c r="L59" s="193">
        <f t="shared" ca="1" si="0"/>
        <v>1</v>
      </c>
      <c r="M59" s="184" t="str" cm="1">
        <f t="array" aca="1" ref="M59" ca="1">_xlfn.IFS(C59&lt;$B$11,"Fail",C59&lt;25,"Marginal",C59&lt;35,"Solid",TRUE,"Blowout")</f>
        <v>Blowout</v>
      </c>
    </row>
    <row r="60" spans="1:13" x14ac:dyDescent="0.25">
      <c r="A60" s="138">
        <f t="shared" ca="1" si="1"/>
        <v>15.393694500964211</v>
      </c>
      <c r="B60" s="137">
        <f t="shared" ca="1" si="2"/>
        <v>5.796521518204103</v>
      </c>
      <c r="C60" s="137">
        <f t="shared" ca="1" si="3"/>
        <v>9.5971729827601067</v>
      </c>
      <c r="D60" s="152">
        <f t="shared" ca="1" si="4"/>
        <v>1.2129027890547766</v>
      </c>
      <c r="E60" s="197">
        <f t="shared" ca="1" si="5"/>
        <v>0.11321107870694259</v>
      </c>
      <c r="F60" s="137">
        <f t="shared" ca="1" si="6"/>
        <v>6.1279693619382023</v>
      </c>
      <c r="G60" s="137">
        <f t="shared" ca="1" si="7"/>
        <v>0.3314478437340993</v>
      </c>
      <c r="H60" s="152">
        <f t="shared" ca="1" si="8"/>
        <v>4.1888795253918955E-2</v>
      </c>
      <c r="I60" s="152">
        <f t="shared" ca="1" si="9"/>
        <v>0.48331200395583396</v>
      </c>
      <c r="J60" s="190">
        <f t="shared" ca="1" si="10"/>
        <v>0</v>
      </c>
      <c r="K60" s="187" t="str" cm="1">
        <f t="array" aca="1" ref="K60" ca="1">_xlfn.IFS(G60&lt;$B$11,"Fail",G60&lt;25,"Marginal",G60&lt;35,"Solid",TRUE,"Blowout")</f>
        <v>Fail</v>
      </c>
      <c r="L60" s="193">
        <f t="shared" ca="1" si="0"/>
        <v>0</v>
      </c>
      <c r="M60" s="184" t="str" cm="1">
        <f t="array" aca="1" ref="M60" ca="1">_xlfn.IFS(C60&lt;$B$11,"Fail",C60&lt;25,"Marginal",C60&lt;35,"Solid",TRUE,"Blowout")</f>
        <v>Fail</v>
      </c>
    </row>
    <row r="61" spans="1:13" x14ac:dyDescent="0.25">
      <c r="A61" s="138">
        <f t="shared" ca="1" si="1"/>
        <v>42.283428291388979</v>
      </c>
      <c r="B61" s="137">
        <f t="shared" ca="1" si="2"/>
        <v>0.14202780694677575</v>
      </c>
      <c r="C61" s="137">
        <f t="shared" ca="1" si="3"/>
        <v>42.141400484442201</v>
      </c>
      <c r="D61" s="152">
        <f t="shared" ca="1" si="4"/>
        <v>5.3258831818569821</v>
      </c>
      <c r="E61" s="197">
        <f t="shared" ca="1" si="5"/>
        <v>1.2026224038284486E-7</v>
      </c>
      <c r="F61" s="137">
        <f t="shared" ca="1" si="6"/>
        <v>9.9956946780154645</v>
      </c>
      <c r="G61" s="137">
        <f t="shared" ca="1" si="7"/>
        <v>9.8536668710686897</v>
      </c>
      <c r="H61" s="152">
        <f t="shared" ca="1" si="8"/>
        <v>1.2453188091748508</v>
      </c>
      <c r="I61" s="152">
        <f t="shared" ca="1" si="9"/>
        <v>0.10714645062288936</v>
      </c>
      <c r="J61" s="190">
        <f t="shared" ca="1" si="10"/>
        <v>0</v>
      </c>
      <c r="K61" s="187" t="str" cm="1">
        <f t="array" aca="1" ref="K61" ca="1">_xlfn.IFS(G61&lt;$B$11,"Fail",G61&lt;25,"Marginal",G61&lt;35,"Solid",TRUE,"Blowout")</f>
        <v>Fail</v>
      </c>
      <c r="L61" s="193">
        <f t="shared" ca="1" si="0"/>
        <v>1</v>
      </c>
      <c r="M61" s="184" t="str" cm="1">
        <f t="array" aca="1" ref="M61" ca="1">_xlfn.IFS(C61&lt;$B$11,"Fail",C61&lt;25,"Marginal",C61&lt;35,"Solid",TRUE,"Blowout")</f>
        <v>Blowout</v>
      </c>
    </row>
    <row r="62" spans="1:13" x14ac:dyDescent="0.25">
      <c r="A62" s="138">
        <f t="shared" ca="1" si="1"/>
        <v>19.20106950861657</v>
      </c>
      <c r="B62" s="137">
        <f t="shared" ca="1" si="2"/>
        <v>8.6447036240676418</v>
      </c>
      <c r="C62" s="137">
        <f t="shared" ca="1" si="3"/>
        <v>10.556365884548928</v>
      </c>
      <c r="D62" s="152">
        <f t="shared" ca="1" si="4"/>
        <v>1.3341267940728265</v>
      </c>
      <c r="E62" s="197">
        <f t="shared" ca="1" si="5"/>
        <v>9.1746657248309244E-2</v>
      </c>
      <c r="F62" s="137">
        <f t="shared" ca="1" si="6"/>
        <v>17.377727264599159</v>
      </c>
      <c r="G62" s="137">
        <f t="shared" ca="1" si="7"/>
        <v>8.7330236405315169</v>
      </c>
      <c r="H62" s="152">
        <f t="shared" ca="1" si="8"/>
        <v>1.1036905086018021</v>
      </c>
      <c r="I62" s="152">
        <f t="shared" ca="1" si="9"/>
        <v>0.13544545189508067</v>
      </c>
      <c r="J62" s="190">
        <f t="shared" ca="1" si="10"/>
        <v>0</v>
      </c>
      <c r="K62" s="187" t="str" cm="1">
        <f t="array" aca="1" ref="K62" ca="1">_xlfn.IFS(G62&lt;$B$11,"Fail",G62&lt;25,"Marginal",G62&lt;35,"Solid",TRUE,"Blowout")</f>
        <v>Fail</v>
      </c>
      <c r="L62" s="193">
        <f t="shared" ca="1" si="0"/>
        <v>0</v>
      </c>
      <c r="M62" s="184" t="str" cm="1">
        <f t="array" aca="1" ref="M62" ca="1">_xlfn.IFS(C62&lt;$B$11,"Fail",C62&lt;25,"Marginal",C62&lt;35,"Solid",TRUE,"Blowout")</f>
        <v>Fail</v>
      </c>
    </row>
    <row r="63" spans="1:13" x14ac:dyDescent="0.25">
      <c r="A63" s="138">
        <f t="shared" ca="1" si="1"/>
        <v>-5.310376353766368</v>
      </c>
      <c r="B63" s="137">
        <f t="shared" ca="1" si="2"/>
        <v>2.9598044103315049</v>
      </c>
      <c r="C63" s="137">
        <f t="shared" ca="1" si="3"/>
        <v>-8.2701807640978728</v>
      </c>
      <c r="D63" s="152">
        <f t="shared" ca="1" si="4"/>
        <v>-1.0451958438990876</v>
      </c>
      <c r="E63" s="197">
        <f t="shared" ca="1" si="5"/>
        <v>0.8514803471019492</v>
      </c>
      <c r="F63" s="137">
        <f t="shared" ca="1" si="6"/>
        <v>2.700938833119924</v>
      </c>
      <c r="G63" s="137">
        <f t="shared" ca="1" si="7"/>
        <v>-0.25886557721158088</v>
      </c>
      <c r="H63" s="152">
        <f t="shared" ca="1" si="8"/>
        <v>-3.2715757145798788E-2</v>
      </c>
      <c r="I63" s="152">
        <f t="shared" ca="1" si="9"/>
        <v>0.51303506005682131</v>
      </c>
      <c r="J63" s="190">
        <f t="shared" ca="1" si="10"/>
        <v>0</v>
      </c>
      <c r="K63" s="187" t="str" cm="1">
        <f t="array" aca="1" ref="K63" ca="1">_xlfn.IFS(G63&lt;$B$11,"Fail",G63&lt;25,"Marginal",G63&lt;35,"Solid",TRUE,"Blowout")</f>
        <v>Fail</v>
      </c>
      <c r="L63" s="193">
        <f t="shared" ca="1" si="0"/>
        <v>0</v>
      </c>
      <c r="M63" s="184" t="str" cm="1">
        <f t="array" aca="1" ref="M63" ca="1">_xlfn.IFS(C63&lt;$B$11,"Fail",C63&lt;25,"Marginal",C63&lt;35,"Solid",TRUE,"Blowout")</f>
        <v>Fail</v>
      </c>
    </row>
    <row r="64" spans="1:13" x14ac:dyDescent="0.25">
      <c r="A64" s="138">
        <f t="shared" ca="1" si="1"/>
        <v>52.577193560761906</v>
      </c>
      <c r="B64" s="137">
        <f t="shared" ca="1" si="2"/>
        <v>10.894307977954167</v>
      </c>
      <c r="C64" s="137">
        <f t="shared" ca="1" si="3"/>
        <v>41.682885582807742</v>
      </c>
      <c r="D64" s="152">
        <f t="shared" ca="1" si="4"/>
        <v>5.2679354920513877</v>
      </c>
      <c r="E64" s="197">
        <f t="shared" ca="1" si="5"/>
        <v>1.595027965084873E-7</v>
      </c>
      <c r="F64" s="137">
        <f t="shared" ca="1" si="6"/>
        <v>45.217387637531786</v>
      </c>
      <c r="G64" s="137">
        <f t="shared" ca="1" si="7"/>
        <v>34.323079659577616</v>
      </c>
      <c r="H64" s="152">
        <f t="shared" ca="1" si="8"/>
        <v>4.3377939652472728</v>
      </c>
      <c r="I64" s="152">
        <f t="shared" ca="1" si="9"/>
        <v>1.0810449838257672E-5</v>
      </c>
      <c r="J64" s="190">
        <f t="shared" ca="1" si="10"/>
        <v>1</v>
      </c>
      <c r="K64" s="187" t="str" cm="1">
        <f t="array" aca="1" ref="K64" ca="1">_xlfn.IFS(G64&lt;$B$11,"Fail",G64&lt;25,"Marginal",G64&lt;35,"Solid",TRUE,"Blowout")</f>
        <v>Solid</v>
      </c>
      <c r="L64" s="193">
        <f t="shared" ca="1" si="0"/>
        <v>1</v>
      </c>
      <c r="M64" s="184" t="str" cm="1">
        <f t="array" aca="1" ref="M64" ca="1">_xlfn.IFS(C64&lt;$B$11,"Fail",C64&lt;25,"Marginal",C64&lt;35,"Solid",TRUE,"Blowout")</f>
        <v>Blowout</v>
      </c>
    </row>
    <row r="65" spans="1:13" x14ac:dyDescent="0.25">
      <c r="A65" s="138">
        <f t="shared" ca="1" si="1"/>
        <v>31.801056136902051</v>
      </c>
      <c r="B65" s="137">
        <f t="shared" ca="1" si="2"/>
        <v>10.058346185275941</v>
      </c>
      <c r="C65" s="137">
        <f t="shared" ca="1" si="3"/>
        <v>21.742709951626111</v>
      </c>
      <c r="D65" s="152">
        <f t="shared" ca="1" si="4"/>
        <v>2.747871022988682</v>
      </c>
      <c r="E65" s="197">
        <f t="shared" ca="1" si="5"/>
        <v>3.2391011613473811E-3</v>
      </c>
      <c r="F65" s="137">
        <f t="shared" ca="1" si="6"/>
        <v>10.134503948046536</v>
      </c>
      <c r="G65" s="137">
        <f t="shared" ca="1" si="7"/>
        <v>7.6157762770595383E-2</v>
      </c>
      <c r="H65" s="152">
        <f t="shared" ca="1" si="8"/>
        <v>9.6249138197841855E-3</v>
      </c>
      <c r="I65" s="152">
        <f t="shared" ca="1" si="9"/>
        <v>0.49616448238135091</v>
      </c>
      <c r="J65" s="190">
        <f t="shared" ca="1" si="10"/>
        <v>0</v>
      </c>
      <c r="K65" s="187" t="str" cm="1">
        <f t="array" aca="1" ref="K65" ca="1">_xlfn.IFS(G65&lt;$B$11,"Fail",G65&lt;25,"Marginal",G65&lt;35,"Solid",TRUE,"Blowout")</f>
        <v>Fail</v>
      </c>
      <c r="L65" s="193">
        <f t="shared" ca="1" si="0"/>
        <v>1</v>
      </c>
      <c r="M65" s="184" t="str" cm="1">
        <f t="array" aca="1" ref="M65" ca="1">_xlfn.IFS(C65&lt;$B$11,"Fail",C65&lt;25,"Marginal",C65&lt;35,"Solid",TRUE,"Blowout")</f>
        <v>Marginal</v>
      </c>
    </row>
    <row r="66" spans="1:13" x14ac:dyDescent="0.25">
      <c r="A66" s="138">
        <f t="shared" ca="1" si="1"/>
        <v>11.719515992364887</v>
      </c>
      <c r="B66" s="137">
        <f t="shared" ca="1" si="2"/>
        <v>1.949867669257082</v>
      </c>
      <c r="C66" s="137">
        <f t="shared" ca="1" si="3"/>
        <v>9.7696483231078055</v>
      </c>
      <c r="D66" s="152">
        <f t="shared" ca="1" si="4"/>
        <v>1.2347004394385599</v>
      </c>
      <c r="E66" s="197">
        <f t="shared" ca="1" si="5"/>
        <v>0.10910648353759907</v>
      </c>
      <c r="F66" s="137">
        <f t="shared" ca="1" si="6"/>
        <v>73.470509003055327</v>
      </c>
      <c r="G66" s="137">
        <f t="shared" ca="1" si="7"/>
        <v>71.520641333798238</v>
      </c>
      <c r="H66" s="152">
        <f t="shared" ca="1" si="8"/>
        <v>9.0388685818812835</v>
      </c>
      <c r="I66" s="152">
        <f t="shared" ca="1" si="9"/>
        <v>3.4897637232394214E-17</v>
      </c>
      <c r="J66" s="190">
        <f t="shared" ca="1" si="10"/>
        <v>1</v>
      </c>
      <c r="K66" s="187" t="str" cm="1">
        <f t="array" aca="1" ref="K66" ca="1">_xlfn.IFS(G66&lt;$B$11,"Fail",G66&lt;25,"Marginal",G66&lt;35,"Solid",TRUE,"Blowout")</f>
        <v>Blowout</v>
      </c>
      <c r="L66" s="193">
        <f t="shared" ca="1" si="0"/>
        <v>0</v>
      </c>
      <c r="M66" s="184" t="str" cm="1">
        <f t="array" aca="1" ref="M66" ca="1">_xlfn.IFS(C66&lt;$B$11,"Fail",C66&lt;25,"Marginal",C66&lt;35,"Solid",TRUE,"Blowout")</f>
        <v>Fail</v>
      </c>
    </row>
    <row r="67" spans="1:13" x14ac:dyDescent="0.25">
      <c r="A67" s="138">
        <f t="shared" ca="1" si="1"/>
        <v>-11.463396792510842</v>
      </c>
      <c r="B67" s="137">
        <f t="shared" ca="1" si="2"/>
        <v>11.006847416683595</v>
      </c>
      <c r="C67" s="137">
        <f t="shared" ca="1" si="3"/>
        <v>-22.470244209194437</v>
      </c>
      <c r="D67" s="152">
        <f t="shared" ca="1" si="4"/>
        <v>-2.8398177172623678</v>
      </c>
      <c r="E67" s="197">
        <f t="shared" ca="1" si="5"/>
        <v>0.99753903845624192</v>
      </c>
      <c r="F67" s="137">
        <f t="shared" ca="1" si="6"/>
        <v>3.4292755817345091</v>
      </c>
      <c r="G67" s="137">
        <f t="shared" ca="1" si="7"/>
        <v>-7.5775718349490857</v>
      </c>
      <c r="H67" s="152">
        <f t="shared" ca="1" si="8"/>
        <v>-0.95766305654620132</v>
      </c>
      <c r="I67" s="152">
        <f t="shared" ca="1" si="9"/>
        <v>0.8303764714922548</v>
      </c>
      <c r="J67" s="190">
        <f t="shared" ca="1" si="10"/>
        <v>0</v>
      </c>
      <c r="K67" s="187" t="str" cm="1">
        <f t="array" aca="1" ref="K67" ca="1">_xlfn.IFS(G67&lt;$B$11,"Fail",G67&lt;25,"Marginal",G67&lt;35,"Solid",TRUE,"Blowout")</f>
        <v>Fail</v>
      </c>
      <c r="L67" s="193">
        <f t="shared" ca="1" si="0"/>
        <v>0</v>
      </c>
      <c r="M67" s="184" t="str" cm="1">
        <f t="array" aca="1" ref="M67" ca="1">_xlfn.IFS(C67&lt;$B$11,"Fail",C67&lt;25,"Marginal",C67&lt;35,"Solid",TRUE,"Blowout")</f>
        <v>Fail</v>
      </c>
    </row>
    <row r="68" spans="1:13" x14ac:dyDescent="0.25">
      <c r="A68" s="138">
        <f t="shared" ca="1" si="1"/>
        <v>14.057152630326261</v>
      </c>
      <c r="B68" s="137">
        <f t="shared" ca="1" si="2"/>
        <v>5.5144328884718012</v>
      </c>
      <c r="C68" s="137">
        <f t="shared" ca="1" si="3"/>
        <v>8.5427197418544587</v>
      </c>
      <c r="D68" s="152">
        <f t="shared" ca="1" si="4"/>
        <v>1.0796396625987097</v>
      </c>
      <c r="E68" s="197">
        <f t="shared" ca="1" si="5"/>
        <v>0.14072171912644743</v>
      </c>
      <c r="F68" s="137">
        <f t="shared" ca="1" si="6"/>
        <v>25.575204044273491</v>
      </c>
      <c r="G68" s="137">
        <f t="shared" ca="1" si="7"/>
        <v>20.060771155801689</v>
      </c>
      <c r="H68" s="152">
        <f t="shared" ca="1" si="8"/>
        <v>2.5353054831011046</v>
      </c>
      <c r="I68" s="152">
        <f t="shared" ca="1" si="9"/>
        <v>5.9524339746875893E-3</v>
      </c>
      <c r="J68" s="190">
        <f t="shared" ca="1" si="10"/>
        <v>1</v>
      </c>
      <c r="K68" s="187" t="str" cm="1">
        <f t="array" aca="1" ref="K68" ca="1">_xlfn.IFS(G68&lt;$B$11,"Fail",G68&lt;25,"Marginal",G68&lt;35,"Solid",TRUE,"Blowout")</f>
        <v>Marginal</v>
      </c>
      <c r="L68" s="193">
        <f t="shared" ca="1" si="0"/>
        <v>0</v>
      </c>
      <c r="M68" s="184" t="str" cm="1">
        <f t="array" aca="1" ref="M68" ca="1">_xlfn.IFS(C68&lt;$B$11,"Fail",C68&lt;25,"Marginal",C68&lt;35,"Solid",TRUE,"Blowout")</f>
        <v>Fail</v>
      </c>
    </row>
    <row r="69" spans="1:13" x14ac:dyDescent="0.25">
      <c r="A69" s="138">
        <f t="shared" ca="1" si="1"/>
        <v>23.34506948881857</v>
      </c>
      <c r="B69" s="137">
        <f t="shared" ca="1" si="2"/>
        <v>5.0989827779166115</v>
      </c>
      <c r="C69" s="137">
        <f t="shared" ca="1" si="3"/>
        <v>18.24608671090196</v>
      </c>
      <c r="D69" s="152">
        <f t="shared" ca="1" si="4"/>
        <v>2.3059633811688967</v>
      </c>
      <c r="E69" s="197">
        <f t="shared" ca="1" si="5"/>
        <v>1.1005503801591208E-2</v>
      </c>
      <c r="F69" s="137">
        <f t="shared" ca="1" si="6"/>
        <v>26.889528216372408</v>
      </c>
      <c r="G69" s="137">
        <f t="shared" ca="1" si="7"/>
        <v>21.790545438455798</v>
      </c>
      <c r="H69" s="152">
        <f t="shared" ca="1" si="8"/>
        <v>2.7539165319626</v>
      </c>
      <c r="I69" s="152">
        <f t="shared" ca="1" si="9"/>
        <v>3.1817927649869103E-3</v>
      </c>
      <c r="J69" s="190">
        <f t="shared" ca="1" si="10"/>
        <v>1</v>
      </c>
      <c r="K69" s="187" t="str" cm="1">
        <f t="array" aca="1" ref="K69" ca="1">_xlfn.IFS(G69&lt;$B$11,"Fail",G69&lt;25,"Marginal",G69&lt;35,"Solid",TRUE,"Blowout")</f>
        <v>Marginal</v>
      </c>
      <c r="L69" s="193">
        <f t="shared" ca="1" si="0"/>
        <v>0</v>
      </c>
      <c r="M69" s="184" t="str" cm="1">
        <f t="array" aca="1" ref="M69" ca="1">_xlfn.IFS(C69&lt;$B$11,"Fail",C69&lt;25,"Marginal",C69&lt;35,"Solid",TRUE,"Blowout")</f>
        <v>Fail</v>
      </c>
    </row>
    <row r="70" spans="1:13" x14ac:dyDescent="0.25">
      <c r="A70" s="138">
        <f t="shared" ca="1" si="1"/>
        <v>15.793443007035018</v>
      </c>
      <c r="B70" s="137">
        <f t="shared" ca="1" si="2"/>
        <v>5.120902868260341</v>
      </c>
      <c r="C70" s="137">
        <f t="shared" ca="1" si="3"/>
        <v>10.672540138774677</v>
      </c>
      <c r="D70" s="152">
        <f t="shared" ca="1" si="4"/>
        <v>1.3488090423994838</v>
      </c>
      <c r="E70" s="197">
        <f t="shared" ca="1" si="5"/>
        <v>8.9368217589510218E-2</v>
      </c>
      <c r="F70" s="137">
        <f t="shared" ca="1" si="6"/>
        <v>41.451517451700255</v>
      </c>
      <c r="G70" s="137">
        <f t="shared" ca="1" si="7"/>
        <v>36.33061458343991</v>
      </c>
      <c r="H70" s="152">
        <f t="shared" ca="1" si="8"/>
        <v>4.5915087532011283</v>
      </c>
      <c r="I70" s="152">
        <f t="shared" ca="1" si="9"/>
        <v>3.6372873582253116E-6</v>
      </c>
      <c r="J70" s="190">
        <f t="shared" ca="1" si="10"/>
        <v>1</v>
      </c>
      <c r="K70" s="187" t="str" cm="1">
        <f t="array" aca="1" ref="K70" ca="1">_xlfn.IFS(G70&lt;$B$11,"Fail",G70&lt;25,"Marginal",G70&lt;35,"Solid",TRUE,"Blowout")</f>
        <v>Blowout</v>
      </c>
      <c r="L70" s="193">
        <f t="shared" ca="1" si="0"/>
        <v>0</v>
      </c>
      <c r="M70" s="184" t="str" cm="1">
        <f t="array" aca="1" ref="M70" ca="1">_xlfn.IFS(C70&lt;$B$11,"Fail",C70&lt;25,"Marginal",C70&lt;35,"Solid",TRUE,"Blowout")</f>
        <v>Fail</v>
      </c>
    </row>
    <row r="71" spans="1:13" x14ac:dyDescent="0.25">
      <c r="A71" s="138">
        <f t="shared" ca="1" si="1"/>
        <v>25.340646931541073</v>
      </c>
      <c r="B71" s="137">
        <f t="shared" ca="1" si="2"/>
        <v>5.233148579972525</v>
      </c>
      <c r="C71" s="137">
        <f t="shared" ca="1" si="3"/>
        <v>20.107498351568548</v>
      </c>
      <c r="D71" s="152">
        <f t="shared" ca="1" si="4"/>
        <v>2.5412109248569363</v>
      </c>
      <c r="E71" s="197">
        <f t="shared" ca="1" si="5"/>
        <v>5.8556030371604518E-3</v>
      </c>
      <c r="F71" s="137">
        <f t="shared" ca="1" si="6"/>
        <v>50.029575429381488</v>
      </c>
      <c r="G71" s="137">
        <f t="shared" ca="1" si="7"/>
        <v>44.796426849408959</v>
      </c>
      <c r="H71" s="152">
        <f t="shared" ca="1" si="8"/>
        <v>5.6614287522939133</v>
      </c>
      <c r="I71" s="152">
        <f t="shared" ca="1" si="9"/>
        <v>2.2453870916007514E-8</v>
      </c>
      <c r="J71" s="190">
        <f t="shared" ca="1" si="10"/>
        <v>1</v>
      </c>
      <c r="K71" s="187" t="str" cm="1">
        <f t="array" aca="1" ref="K71" ca="1">_xlfn.IFS(G71&lt;$B$11,"Fail",G71&lt;25,"Marginal",G71&lt;35,"Solid",TRUE,"Blowout")</f>
        <v>Blowout</v>
      </c>
      <c r="L71" s="193">
        <f t="shared" ca="1" si="0"/>
        <v>1</v>
      </c>
      <c r="M71" s="184" t="str" cm="1">
        <f t="array" aca="1" ref="M71" ca="1">_xlfn.IFS(C71&lt;$B$11,"Fail",C71&lt;25,"Marginal",C71&lt;35,"Solid",TRUE,"Blowout")</f>
        <v>Marginal</v>
      </c>
    </row>
    <row r="72" spans="1:13" x14ac:dyDescent="0.25">
      <c r="A72" s="138">
        <f t="shared" ca="1" si="1"/>
        <v>-0.82928045602096789</v>
      </c>
      <c r="B72" s="137">
        <f t="shared" ca="1" si="2"/>
        <v>3.8518141891769293</v>
      </c>
      <c r="C72" s="137">
        <f t="shared" ca="1" si="3"/>
        <v>-4.6810946451978968</v>
      </c>
      <c r="D72" s="152">
        <f t="shared" ca="1" si="4"/>
        <v>-0.59160262727253898</v>
      </c>
      <c r="E72" s="197">
        <f t="shared" ca="1" si="5"/>
        <v>0.72264858483783911</v>
      </c>
      <c r="F72" s="137">
        <f t="shared" ca="1" si="6"/>
        <v>68.625155102249821</v>
      </c>
      <c r="G72" s="137">
        <f t="shared" ca="1" si="7"/>
        <v>64.773340913072886</v>
      </c>
      <c r="H72" s="152">
        <f t="shared" ca="1" si="8"/>
        <v>8.1861362706486673</v>
      </c>
      <c r="I72" s="152">
        <f t="shared" ca="1" si="9"/>
        <v>9.5458229317133148E-15</v>
      </c>
      <c r="J72" s="190">
        <f t="shared" ca="1" si="10"/>
        <v>1</v>
      </c>
      <c r="K72" s="187" t="str" cm="1">
        <f t="array" aca="1" ref="K72" ca="1">_xlfn.IFS(G72&lt;$B$11,"Fail",G72&lt;25,"Marginal",G72&lt;35,"Solid",TRUE,"Blowout")</f>
        <v>Blowout</v>
      </c>
      <c r="L72" s="193">
        <f t="shared" ca="1" si="0"/>
        <v>0</v>
      </c>
      <c r="M72" s="184" t="str" cm="1">
        <f t="array" aca="1" ref="M72" ca="1">_xlfn.IFS(C72&lt;$B$11,"Fail",C72&lt;25,"Marginal",C72&lt;35,"Solid",TRUE,"Blowout")</f>
        <v>Fail</v>
      </c>
    </row>
    <row r="73" spans="1:13" x14ac:dyDescent="0.25">
      <c r="A73" s="138">
        <f t="shared" ca="1" si="1"/>
        <v>46.984782184685955</v>
      </c>
      <c r="B73" s="137">
        <f t="shared" ca="1" si="2"/>
        <v>7.2448604574104252</v>
      </c>
      <c r="C73" s="137">
        <f t="shared" ca="1" si="3"/>
        <v>39.739921727275529</v>
      </c>
      <c r="D73" s="152">
        <f t="shared" ca="1" si="4"/>
        <v>5.0223812769048051</v>
      </c>
      <c r="E73" s="197">
        <f t="shared" ca="1" si="5"/>
        <v>5.1476283164678863E-7</v>
      </c>
      <c r="F73" s="137">
        <f t="shared" ca="1" si="6"/>
        <v>7.8713105819993725</v>
      </c>
      <c r="G73" s="137">
        <f t="shared" ca="1" si="7"/>
        <v>0.62645012458894733</v>
      </c>
      <c r="H73" s="152">
        <f t="shared" ca="1" si="8"/>
        <v>7.9171554444476058E-2</v>
      </c>
      <c r="I73" s="152">
        <f t="shared" ca="1" si="9"/>
        <v>0.46848280625366623</v>
      </c>
      <c r="J73" s="190">
        <f t="shared" ca="1" si="10"/>
        <v>0</v>
      </c>
      <c r="K73" s="187" t="str" cm="1">
        <f t="array" aca="1" ref="K73" ca="1">_xlfn.IFS(G73&lt;$B$11,"Fail",G73&lt;25,"Marginal",G73&lt;35,"Solid",TRUE,"Blowout")</f>
        <v>Fail</v>
      </c>
      <c r="L73" s="193">
        <f t="shared" ca="1" si="0"/>
        <v>1</v>
      </c>
      <c r="M73" s="184" t="str" cm="1">
        <f t="array" aca="1" ref="M73" ca="1">_xlfn.IFS(C73&lt;$B$11,"Fail",C73&lt;25,"Marginal",C73&lt;35,"Solid",TRUE,"Blowout")</f>
        <v>Blowout</v>
      </c>
    </row>
    <row r="74" spans="1:13" x14ac:dyDescent="0.25">
      <c r="A74" s="138">
        <f t="shared" ca="1" si="1"/>
        <v>14.785204642791316</v>
      </c>
      <c r="B74" s="137">
        <f t="shared" ca="1" si="2"/>
        <v>9.3953756373535242</v>
      </c>
      <c r="C74" s="137">
        <f t="shared" ca="1" si="3"/>
        <v>5.3898290054377913</v>
      </c>
      <c r="D74" s="152">
        <f t="shared" ca="1" si="4"/>
        <v>0.68117336688285035</v>
      </c>
      <c r="E74" s="197">
        <f t="shared" ca="1" si="5"/>
        <v>0.24822652201172635</v>
      </c>
      <c r="F74" s="137">
        <f t="shared" ca="1" si="6"/>
        <v>30.213294304330233</v>
      </c>
      <c r="G74" s="137">
        <f t="shared" ca="1" si="7"/>
        <v>20.817918666976709</v>
      </c>
      <c r="H74" s="152">
        <f t="shared" ca="1" si="8"/>
        <v>2.630994737601335</v>
      </c>
      <c r="I74" s="152">
        <f t="shared" ca="1" si="9"/>
        <v>4.5470992445065641E-3</v>
      </c>
      <c r="J74" s="190">
        <f t="shared" ca="1" si="10"/>
        <v>1</v>
      </c>
      <c r="K74" s="187" t="str" cm="1">
        <f t="array" aca="1" ref="K74" ca="1">_xlfn.IFS(G74&lt;$B$11,"Fail",G74&lt;25,"Marginal",G74&lt;35,"Solid",TRUE,"Blowout")</f>
        <v>Marginal</v>
      </c>
      <c r="L74" s="193">
        <f t="shared" ca="1" si="0"/>
        <v>0</v>
      </c>
      <c r="M74" s="184" t="str" cm="1">
        <f t="array" aca="1" ref="M74" ca="1">_xlfn.IFS(C74&lt;$B$11,"Fail",C74&lt;25,"Marginal",C74&lt;35,"Solid",TRUE,"Blowout")</f>
        <v>Fail</v>
      </c>
    </row>
    <row r="75" spans="1:13" x14ac:dyDescent="0.25">
      <c r="A75" s="138">
        <f t="shared" ca="1" si="1"/>
        <v>45.654162260851308</v>
      </c>
      <c r="B75" s="137">
        <f t="shared" ca="1" si="2"/>
        <v>9.5971179165845975</v>
      </c>
      <c r="C75" s="137">
        <f t="shared" ca="1" si="3"/>
        <v>36.057044344266714</v>
      </c>
      <c r="D75" s="152">
        <f t="shared" ca="1" si="4"/>
        <v>4.5569346023869652</v>
      </c>
      <c r="E75" s="197">
        <f t="shared" ca="1" si="5"/>
        <v>4.2309580127135604E-6</v>
      </c>
      <c r="F75" s="137">
        <f t="shared" ca="1" si="6"/>
        <v>58.044391016517103</v>
      </c>
      <c r="G75" s="137">
        <f t="shared" ca="1" si="7"/>
        <v>48.447273099932502</v>
      </c>
      <c r="H75" s="152">
        <f t="shared" ca="1" si="8"/>
        <v>6.1228272920122908</v>
      </c>
      <c r="I75" s="152">
        <f t="shared" ca="1" si="9"/>
        <v>1.990621842786146E-9</v>
      </c>
      <c r="J75" s="190">
        <f t="shared" ca="1" si="10"/>
        <v>1</v>
      </c>
      <c r="K75" s="187" t="str" cm="1">
        <f t="array" aca="1" ref="K75" ca="1">_xlfn.IFS(G75&lt;$B$11,"Fail",G75&lt;25,"Marginal",G75&lt;35,"Solid",TRUE,"Blowout")</f>
        <v>Blowout</v>
      </c>
      <c r="L75" s="193">
        <f t="shared" ca="1" si="0"/>
        <v>1</v>
      </c>
      <c r="M75" s="184" t="str" cm="1">
        <f t="array" aca="1" ref="M75" ca="1">_xlfn.IFS(C75&lt;$B$11,"Fail",C75&lt;25,"Marginal",C75&lt;35,"Solid",TRUE,"Blowout")</f>
        <v>Blowout</v>
      </c>
    </row>
    <row r="76" spans="1:13" x14ac:dyDescent="0.25">
      <c r="A76" s="138">
        <f t="shared" ca="1" si="1"/>
        <v>34.427965636727507</v>
      </c>
      <c r="B76" s="137">
        <f t="shared" ca="1" si="2"/>
        <v>5.0670767171811262</v>
      </c>
      <c r="C76" s="137">
        <f t="shared" ca="1" si="3"/>
        <v>29.36088891954638</v>
      </c>
      <c r="D76" s="152">
        <f t="shared" ca="1" si="4"/>
        <v>3.7106660600592254</v>
      </c>
      <c r="E76" s="197">
        <f t="shared" ca="1" si="5"/>
        <v>1.2989144596972464E-4</v>
      </c>
      <c r="F76" s="137">
        <f t="shared" ca="1" si="6"/>
        <v>62.667104737659074</v>
      </c>
      <c r="G76" s="137">
        <f t="shared" ca="1" si="7"/>
        <v>57.60002802047795</v>
      </c>
      <c r="H76" s="152">
        <f t="shared" ca="1" si="8"/>
        <v>7.2795639675527255</v>
      </c>
      <c r="I76" s="152">
        <f t="shared" ca="1" si="9"/>
        <v>2.6877088764240684E-12</v>
      </c>
      <c r="J76" s="190">
        <f t="shared" ca="1" si="10"/>
        <v>1</v>
      </c>
      <c r="K76" s="187" t="str" cm="1">
        <f t="array" aca="1" ref="K76" ca="1">_xlfn.IFS(G76&lt;$B$11,"Fail",G76&lt;25,"Marginal",G76&lt;35,"Solid",TRUE,"Blowout")</f>
        <v>Blowout</v>
      </c>
      <c r="L76" s="193">
        <f t="shared" ca="1" si="0"/>
        <v>1</v>
      </c>
      <c r="M76" s="184" t="str" cm="1">
        <f t="array" aca="1" ref="M76" ca="1">_xlfn.IFS(C76&lt;$B$11,"Fail",C76&lt;25,"Marginal",C76&lt;35,"Solid",TRUE,"Blowout")</f>
        <v>Solid</v>
      </c>
    </row>
    <row r="77" spans="1:13" x14ac:dyDescent="0.25">
      <c r="A77" s="138">
        <f t="shared" ca="1" si="1"/>
        <v>18.960535999389968</v>
      </c>
      <c r="B77" s="137">
        <f t="shared" ca="1" si="2"/>
        <v>0.58115109013458444</v>
      </c>
      <c r="C77" s="137">
        <f t="shared" ca="1" si="3"/>
        <v>18.379384909255386</v>
      </c>
      <c r="D77" s="152">
        <f t="shared" ca="1" si="4"/>
        <v>2.3228097750860717</v>
      </c>
      <c r="E77" s="197">
        <f t="shared" ca="1" si="5"/>
        <v>1.0535341163890164E-2</v>
      </c>
      <c r="F77" s="137">
        <f t="shared" ca="1" si="6"/>
        <v>67.671037067600508</v>
      </c>
      <c r="G77" s="137">
        <f t="shared" ca="1" si="7"/>
        <v>67.089885977465926</v>
      </c>
      <c r="H77" s="152">
        <f t="shared" ca="1" si="8"/>
        <v>8.4789041487124148</v>
      </c>
      <c r="I77" s="152">
        <f t="shared" ca="1" si="9"/>
        <v>1.4335705293309245E-15</v>
      </c>
      <c r="J77" s="190">
        <f t="shared" ca="1" si="10"/>
        <v>1</v>
      </c>
      <c r="K77" s="187" t="str" cm="1">
        <f t="array" aca="1" ref="K77" ca="1">_xlfn.IFS(G77&lt;$B$11,"Fail",G77&lt;25,"Marginal",G77&lt;35,"Solid",TRUE,"Blowout")</f>
        <v>Blowout</v>
      </c>
      <c r="L77" s="193">
        <f t="shared" ca="1" si="0"/>
        <v>0</v>
      </c>
      <c r="M77" s="184" t="str" cm="1">
        <f t="array" aca="1" ref="M77" ca="1">_xlfn.IFS(C77&lt;$B$11,"Fail",C77&lt;25,"Marginal",C77&lt;35,"Solid",TRUE,"Blowout")</f>
        <v>Fail</v>
      </c>
    </row>
    <row r="78" spans="1:13" x14ac:dyDescent="0.25">
      <c r="A78" s="138">
        <f t="shared" ca="1" si="1"/>
        <v>43.175894595931211</v>
      </c>
      <c r="B78" s="137">
        <f t="shared" ca="1" si="2"/>
        <v>8.4738671392948373</v>
      </c>
      <c r="C78" s="137">
        <f t="shared" ca="1" si="3"/>
        <v>34.702027456636372</v>
      </c>
      <c r="D78" s="152">
        <f t="shared" ca="1" si="4"/>
        <v>4.3856858643288446</v>
      </c>
      <c r="E78" s="197">
        <f t="shared" ca="1" si="5"/>
        <v>8.8330567709049394E-6</v>
      </c>
      <c r="F78" s="137">
        <f t="shared" ca="1" si="6"/>
        <v>9.6025026982465427</v>
      </c>
      <c r="G78" s="137">
        <f t="shared" ca="1" si="7"/>
        <v>1.1286355589517054</v>
      </c>
      <c r="H78" s="152">
        <f t="shared" ca="1" si="8"/>
        <v>0.14263838108763807</v>
      </c>
      <c r="I78" s="152">
        <f t="shared" ca="1" si="9"/>
        <v>0.44335087697861064</v>
      </c>
      <c r="J78" s="190">
        <f t="shared" ca="1" si="10"/>
        <v>0</v>
      </c>
      <c r="K78" s="187" t="str" cm="1">
        <f t="array" aca="1" ref="K78" ca="1">_xlfn.IFS(G78&lt;$B$11,"Fail",G78&lt;25,"Marginal",G78&lt;35,"Solid",TRUE,"Blowout")</f>
        <v>Fail</v>
      </c>
      <c r="L78" s="193">
        <f t="shared" ca="1" si="0"/>
        <v>1</v>
      </c>
      <c r="M78" s="184" t="str" cm="1">
        <f t="array" aca="1" ref="M78" ca="1">_xlfn.IFS(C78&lt;$B$11,"Fail",C78&lt;25,"Marginal",C78&lt;35,"Solid",TRUE,"Blowout")</f>
        <v>Solid</v>
      </c>
    </row>
    <row r="79" spans="1:13" x14ac:dyDescent="0.25">
      <c r="A79" s="138">
        <f t="shared" ca="1" si="1"/>
        <v>30.895216067927251</v>
      </c>
      <c r="B79" s="137">
        <f t="shared" ca="1" si="2"/>
        <v>4.6620221131524975</v>
      </c>
      <c r="C79" s="137">
        <f t="shared" ca="1" si="3"/>
        <v>26.233193954774755</v>
      </c>
      <c r="D79" s="152">
        <f t="shared" ca="1" si="4"/>
        <v>3.3153840376450514</v>
      </c>
      <c r="E79" s="197">
        <f t="shared" ca="1" si="5"/>
        <v>5.3232591187579292E-4</v>
      </c>
      <c r="F79" s="137">
        <f t="shared" ca="1" si="6"/>
        <v>15.522140857207443</v>
      </c>
      <c r="G79" s="137">
        <f t="shared" ca="1" si="7"/>
        <v>10.860118744054946</v>
      </c>
      <c r="H79" s="152">
        <f t="shared" ca="1" si="8"/>
        <v>1.3725154623963036</v>
      </c>
      <c r="I79" s="152">
        <f t="shared" ca="1" si="9"/>
        <v>8.5625827071507843E-2</v>
      </c>
      <c r="J79" s="190">
        <f t="shared" ca="1" si="10"/>
        <v>0</v>
      </c>
      <c r="K79" s="187" t="str" cm="1">
        <f t="array" aca="1" ref="K79" ca="1">_xlfn.IFS(G79&lt;$B$11,"Fail",G79&lt;25,"Marginal",G79&lt;35,"Solid",TRUE,"Blowout")</f>
        <v>Fail</v>
      </c>
      <c r="L79" s="193">
        <f t="shared" ca="1" si="0"/>
        <v>1</v>
      </c>
      <c r="M79" s="184" t="str" cm="1">
        <f t="array" aca="1" ref="M79" ca="1">_xlfn.IFS(C79&lt;$B$11,"Fail",C79&lt;25,"Marginal",C79&lt;35,"Solid",TRUE,"Blowout")</f>
        <v>Solid</v>
      </c>
    </row>
    <row r="80" spans="1:13" x14ac:dyDescent="0.25">
      <c r="A80" s="138">
        <f t="shared" ca="1" si="1"/>
        <v>1.7779828014237296</v>
      </c>
      <c r="B80" s="137">
        <f t="shared" ca="1" si="2"/>
        <v>12.220901862604286</v>
      </c>
      <c r="C80" s="137">
        <f t="shared" ca="1" si="3"/>
        <v>-10.442919061180557</v>
      </c>
      <c r="D80" s="152">
        <f t="shared" ca="1" si="4"/>
        <v>-1.3197892418873989</v>
      </c>
      <c r="E80" s="197">
        <f t="shared" ca="1" si="5"/>
        <v>0.90588549712426647</v>
      </c>
      <c r="F80" s="137">
        <f t="shared" ca="1" si="6"/>
        <v>18.702635230115877</v>
      </c>
      <c r="G80" s="137">
        <f t="shared" ca="1" si="7"/>
        <v>6.4817333675115911</v>
      </c>
      <c r="H80" s="152">
        <f t="shared" ca="1" si="8"/>
        <v>0.81916961312322023</v>
      </c>
      <c r="I80" s="152">
        <f t="shared" ca="1" si="9"/>
        <v>0.20677253721865102</v>
      </c>
      <c r="J80" s="190">
        <f t="shared" ca="1" si="10"/>
        <v>0</v>
      </c>
      <c r="K80" s="187" t="str" cm="1">
        <f t="array" aca="1" ref="K80" ca="1">_xlfn.IFS(G80&lt;$B$11,"Fail",G80&lt;25,"Marginal",G80&lt;35,"Solid",TRUE,"Blowout")</f>
        <v>Fail</v>
      </c>
      <c r="L80" s="193">
        <f t="shared" ref="L80:L143" ca="1" si="11">IF(AND(E80&lt;$B$10,C80&gt;=$B$11),1,0)</f>
        <v>0</v>
      </c>
      <c r="M80" s="184" t="str" cm="1">
        <f t="array" aca="1" ref="M80" ca="1">_xlfn.IFS(C80&lt;$B$11,"Fail",C80&lt;25,"Marginal",C80&lt;35,"Solid",TRUE,"Blowout")</f>
        <v>Fail</v>
      </c>
    </row>
    <row r="81" spans="1:13" x14ac:dyDescent="0.25">
      <c r="A81" s="138">
        <f t="shared" ref="A81:A144" ca="1" si="12">NORMINV(RAND(), MAX(0, NORMINV(RAND(), $B$6, $B$12)), $B$7/SQRT($B$9))</f>
        <v>44.149452255645151</v>
      </c>
      <c r="B81" s="137">
        <f t="shared" ref="B81:B144" ca="1" si="13">NORMINV(RAND(), $B$8, $B$7/SQRT($B$9))</f>
        <v>2.6380587287354373</v>
      </c>
      <c r="C81" s="137">
        <f t="shared" ref="C81:C144" ca="1" si="14">A81-B81</f>
        <v>41.511393526909714</v>
      </c>
      <c r="D81" s="152">
        <f t="shared" ref="D81:D144" ca="1" si="15">C81/($B$7*SQRT(2/$B$9))</f>
        <v>5.2462621103927365</v>
      </c>
      <c r="E81" s="197">
        <f t="shared" ref="E81:E144" ca="1" si="16">_xlfn.T.DIST.RT(D81, 2*$B$9-2)</f>
        <v>1.7716931274820115E-7</v>
      </c>
      <c r="F81" s="137">
        <f t="shared" ref="F81:F144" ca="1" si="17">NORMINV(RAND(), MAX(0, NORMINV(RAND(), $N$7, $N$8)), $B$7/SQRT($B$9))</f>
        <v>-0.64888546911024192</v>
      </c>
      <c r="G81" s="137">
        <f t="shared" ref="G81:G144" ca="1" si="18">F81-B81</f>
        <v>-3.2869441978456795</v>
      </c>
      <c r="H81" s="152">
        <f t="shared" ref="H81:H144" ca="1" si="19">G81/($B$7*SQRT(2/$B$9))</f>
        <v>-0.41540814073019544</v>
      </c>
      <c r="I81" s="152">
        <f t="shared" ref="I81:I144" ca="1" si="20">_xlfn.T.DIST.RT(H81, 2*$B$9-2)</f>
        <v>0.66088309125864964</v>
      </c>
      <c r="J81" s="190">
        <f t="shared" ref="J81:J144" ca="1" si="21">IF(AND(I81&lt;$B$10, G81&gt;=$B$11), 1, 0)</f>
        <v>0</v>
      </c>
      <c r="K81" s="187" t="str" cm="1">
        <f t="array" aca="1" ref="K81" ca="1">_xlfn.IFS(G81&lt;$B$11,"Fail",G81&lt;25,"Marginal",G81&lt;35,"Solid",TRUE,"Blowout")</f>
        <v>Fail</v>
      </c>
      <c r="L81" s="193">
        <f t="shared" ca="1" si="11"/>
        <v>1</v>
      </c>
      <c r="M81" s="184" t="str" cm="1">
        <f t="array" aca="1" ref="M81" ca="1">_xlfn.IFS(C81&lt;$B$11,"Fail",C81&lt;25,"Marginal",C81&lt;35,"Solid",TRUE,"Blowout")</f>
        <v>Blowout</v>
      </c>
    </row>
    <row r="82" spans="1:13" x14ac:dyDescent="0.25">
      <c r="A82" s="138">
        <f t="shared" ca="1" si="12"/>
        <v>-1.5420754200109184</v>
      </c>
      <c r="B82" s="137">
        <f t="shared" ca="1" si="13"/>
        <v>8.4289061907571696</v>
      </c>
      <c r="C82" s="137">
        <f t="shared" ca="1" si="14"/>
        <v>-9.9709816107680886</v>
      </c>
      <c r="D82" s="152">
        <f t="shared" ca="1" si="15"/>
        <v>-1.2601451934897154</v>
      </c>
      <c r="E82" s="197">
        <f t="shared" ca="1" si="16"/>
        <v>0.89554739089170587</v>
      </c>
      <c r="F82" s="137">
        <f t="shared" ca="1" si="17"/>
        <v>11.469803673371217</v>
      </c>
      <c r="G82" s="137">
        <f t="shared" ca="1" si="18"/>
        <v>3.0408974826140476</v>
      </c>
      <c r="H82" s="152">
        <f t="shared" ca="1" si="19"/>
        <v>0.3843124474798707</v>
      </c>
      <c r="I82" s="152">
        <f t="shared" ca="1" si="20"/>
        <v>0.35055253734685865</v>
      </c>
      <c r="J82" s="190">
        <f t="shared" ca="1" si="21"/>
        <v>0</v>
      </c>
      <c r="K82" s="187" t="str" cm="1">
        <f t="array" aca="1" ref="K82" ca="1">_xlfn.IFS(G82&lt;$B$11,"Fail",G82&lt;25,"Marginal",G82&lt;35,"Solid",TRUE,"Blowout")</f>
        <v>Fail</v>
      </c>
      <c r="L82" s="193">
        <f t="shared" ca="1" si="11"/>
        <v>0</v>
      </c>
      <c r="M82" s="184" t="str" cm="1">
        <f t="array" aca="1" ref="M82" ca="1">_xlfn.IFS(C82&lt;$B$11,"Fail",C82&lt;25,"Marginal",C82&lt;35,"Solid",TRUE,"Blowout")</f>
        <v>Fail</v>
      </c>
    </row>
    <row r="83" spans="1:13" x14ac:dyDescent="0.25">
      <c r="A83" s="138">
        <f t="shared" ca="1" si="12"/>
        <v>56.850861153223462</v>
      </c>
      <c r="B83" s="137">
        <f t="shared" ca="1" si="13"/>
        <v>0.34957690768040006</v>
      </c>
      <c r="C83" s="137">
        <f t="shared" ca="1" si="14"/>
        <v>56.501284245543062</v>
      </c>
      <c r="D83" s="152">
        <f t="shared" ca="1" si="15"/>
        <v>7.1407033477150881</v>
      </c>
      <c r="E83" s="197">
        <f t="shared" ca="1" si="16"/>
        <v>6.1656612530983287E-12</v>
      </c>
      <c r="F83" s="137">
        <f t="shared" ca="1" si="17"/>
        <v>18.375884151387861</v>
      </c>
      <c r="G83" s="137">
        <f t="shared" ca="1" si="18"/>
        <v>18.026307243707461</v>
      </c>
      <c r="H83" s="152">
        <f t="shared" ca="1" si="19"/>
        <v>2.2781873757539652</v>
      </c>
      <c r="I83" s="152">
        <f t="shared" ca="1" si="20"/>
        <v>1.182086965977628E-2</v>
      </c>
      <c r="J83" s="190">
        <f t="shared" ca="1" si="21"/>
        <v>0</v>
      </c>
      <c r="K83" s="187" t="str" cm="1">
        <f t="array" aca="1" ref="K83" ca="1">_xlfn.IFS(G83&lt;$B$11,"Fail",G83&lt;25,"Marginal",G83&lt;35,"Solid",TRUE,"Blowout")</f>
        <v>Fail</v>
      </c>
      <c r="L83" s="193">
        <f t="shared" ca="1" si="11"/>
        <v>1</v>
      </c>
      <c r="M83" s="184" t="str" cm="1">
        <f t="array" aca="1" ref="M83" ca="1">_xlfn.IFS(C83&lt;$B$11,"Fail",C83&lt;25,"Marginal",C83&lt;35,"Solid",TRUE,"Blowout")</f>
        <v>Blowout</v>
      </c>
    </row>
    <row r="84" spans="1:13" x14ac:dyDescent="0.25">
      <c r="A84" s="138">
        <f t="shared" ca="1" si="12"/>
        <v>20.629194363475083</v>
      </c>
      <c r="B84" s="137">
        <f t="shared" ca="1" si="13"/>
        <v>2.8860629796288277</v>
      </c>
      <c r="C84" s="137">
        <f t="shared" ca="1" si="14"/>
        <v>17.743131383846254</v>
      </c>
      <c r="D84" s="152">
        <f t="shared" ca="1" si="15"/>
        <v>2.2423992545191362</v>
      </c>
      <c r="E84" s="197">
        <f t="shared" ca="1" si="16"/>
        <v>1.2948874128916004E-2</v>
      </c>
      <c r="F84" s="137">
        <f t="shared" ca="1" si="17"/>
        <v>32.211206482091733</v>
      </c>
      <c r="G84" s="137">
        <f t="shared" ca="1" si="18"/>
        <v>29.325143502462904</v>
      </c>
      <c r="H84" s="152">
        <f t="shared" ca="1" si="19"/>
        <v>3.7061485093018978</v>
      </c>
      <c r="I84" s="152">
        <f t="shared" ca="1" si="20"/>
        <v>1.3209411342618614E-4</v>
      </c>
      <c r="J84" s="190">
        <f t="shared" ca="1" si="21"/>
        <v>1</v>
      </c>
      <c r="K84" s="187" t="str" cm="1">
        <f t="array" aca="1" ref="K84" ca="1">_xlfn.IFS(G84&lt;$B$11,"Fail",G84&lt;25,"Marginal",G84&lt;35,"Solid",TRUE,"Blowout")</f>
        <v>Solid</v>
      </c>
      <c r="L84" s="193">
        <f t="shared" ca="1" si="11"/>
        <v>0</v>
      </c>
      <c r="M84" s="184" t="str" cm="1">
        <f t="array" aca="1" ref="M84" ca="1">_xlfn.IFS(C84&lt;$B$11,"Fail",C84&lt;25,"Marginal",C84&lt;35,"Solid",TRUE,"Blowout")</f>
        <v>Fail</v>
      </c>
    </row>
    <row r="85" spans="1:13" x14ac:dyDescent="0.25">
      <c r="A85" s="138">
        <f t="shared" ca="1" si="12"/>
        <v>30.795276500341743</v>
      </c>
      <c r="B85" s="137">
        <f t="shared" ca="1" si="13"/>
        <v>4.9569329432475184</v>
      </c>
      <c r="C85" s="137">
        <f t="shared" ca="1" si="14"/>
        <v>25.838343557094223</v>
      </c>
      <c r="D85" s="152">
        <f t="shared" ca="1" si="15"/>
        <v>3.2654823479009565</v>
      </c>
      <c r="E85" s="197">
        <f t="shared" ca="1" si="16"/>
        <v>6.3049088556565655E-4</v>
      </c>
      <c r="F85" s="137">
        <f t="shared" ca="1" si="17"/>
        <v>29.487086844485756</v>
      </c>
      <c r="G85" s="137">
        <f t="shared" ca="1" si="18"/>
        <v>24.530153901238236</v>
      </c>
      <c r="H85" s="152">
        <f t="shared" ca="1" si="19"/>
        <v>3.1001516942750795</v>
      </c>
      <c r="I85" s="152">
        <f t="shared" ca="1" si="20"/>
        <v>1.0888742907599529E-3</v>
      </c>
      <c r="J85" s="190">
        <f t="shared" ca="1" si="21"/>
        <v>1</v>
      </c>
      <c r="K85" s="187" t="str" cm="1">
        <f t="array" aca="1" ref="K85" ca="1">_xlfn.IFS(G85&lt;$B$11,"Fail",G85&lt;25,"Marginal",G85&lt;35,"Solid",TRUE,"Blowout")</f>
        <v>Marginal</v>
      </c>
      <c r="L85" s="193">
        <f t="shared" ca="1" si="11"/>
        <v>1</v>
      </c>
      <c r="M85" s="184" t="str" cm="1">
        <f t="array" aca="1" ref="M85" ca="1">_xlfn.IFS(C85&lt;$B$11,"Fail",C85&lt;25,"Marginal",C85&lt;35,"Solid",TRUE,"Blowout")</f>
        <v>Solid</v>
      </c>
    </row>
    <row r="86" spans="1:13" x14ac:dyDescent="0.25">
      <c r="A86" s="138">
        <f t="shared" ca="1" si="12"/>
        <v>3.3441111064499096</v>
      </c>
      <c r="B86" s="137">
        <f t="shared" ca="1" si="13"/>
        <v>3.3183614270965625</v>
      </c>
      <c r="C86" s="137">
        <f t="shared" ca="1" si="14"/>
        <v>2.5749679353347155E-2</v>
      </c>
      <c r="D86" s="152">
        <f t="shared" ca="1" si="15"/>
        <v>3.2542768543449563E-3</v>
      </c>
      <c r="E86" s="197">
        <f t="shared" ca="1" si="16"/>
        <v>0.49870315642514784</v>
      </c>
      <c r="F86" s="137">
        <f t="shared" ca="1" si="17"/>
        <v>26.230991443978041</v>
      </c>
      <c r="G86" s="137">
        <f t="shared" ca="1" si="18"/>
        <v>22.912630016881479</v>
      </c>
      <c r="H86" s="152">
        <f t="shared" ca="1" si="19"/>
        <v>2.8957269918941506</v>
      </c>
      <c r="I86" s="152">
        <f t="shared" ca="1" si="20"/>
        <v>2.0752890729676381E-3</v>
      </c>
      <c r="J86" s="190">
        <f t="shared" ca="1" si="21"/>
        <v>1</v>
      </c>
      <c r="K86" s="187" t="str" cm="1">
        <f t="array" aca="1" ref="K86" ca="1">_xlfn.IFS(G86&lt;$B$11,"Fail",G86&lt;25,"Marginal",G86&lt;35,"Solid",TRUE,"Blowout")</f>
        <v>Marginal</v>
      </c>
      <c r="L86" s="193">
        <f t="shared" ca="1" si="11"/>
        <v>0</v>
      </c>
      <c r="M86" s="184" t="str" cm="1">
        <f t="array" aca="1" ref="M86" ca="1">_xlfn.IFS(C86&lt;$B$11,"Fail",C86&lt;25,"Marginal",C86&lt;35,"Solid",TRUE,"Blowout")</f>
        <v>Fail</v>
      </c>
    </row>
    <row r="87" spans="1:13" x14ac:dyDescent="0.25">
      <c r="A87" s="138">
        <f t="shared" ca="1" si="12"/>
        <v>15.101771831785523</v>
      </c>
      <c r="B87" s="137">
        <f t="shared" ca="1" si="13"/>
        <v>14.521714360980802</v>
      </c>
      <c r="C87" s="137">
        <f t="shared" ca="1" si="14"/>
        <v>0.58005747080472148</v>
      </c>
      <c r="D87" s="152">
        <f t="shared" ca="1" si="15"/>
        <v>7.3308392525062868E-2</v>
      </c>
      <c r="E87" s="197">
        <f t="shared" ca="1" si="16"/>
        <v>0.47081249251647139</v>
      </c>
      <c r="F87" s="137">
        <f t="shared" ca="1" si="17"/>
        <v>47.506732339815798</v>
      </c>
      <c r="G87" s="137">
        <f t="shared" ca="1" si="18"/>
        <v>32.985017978834996</v>
      </c>
      <c r="H87" s="152">
        <f t="shared" ca="1" si="19"/>
        <v>4.168688047555114</v>
      </c>
      <c r="I87" s="152">
        <f t="shared" ca="1" si="20"/>
        <v>2.1763138875256558E-5</v>
      </c>
      <c r="J87" s="190">
        <f t="shared" ca="1" si="21"/>
        <v>1</v>
      </c>
      <c r="K87" s="187" t="str" cm="1">
        <f t="array" aca="1" ref="K87" ca="1">_xlfn.IFS(G87&lt;$B$11,"Fail",G87&lt;25,"Marginal",G87&lt;35,"Solid",TRUE,"Blowout")</f>
        <v>Solid</v>
      </c>
      <c r="L87" s="193">
        <f t="shared" ca="1" si="11"/>
        <v>0</v>
      </c>
      <c r="M87" s="184" t="str" cm="1">
        <f t="array" aca="1" ref="M87" ca="1">_xlfn.IFS(C87&lt;$B$11,"Fail",C87&lt;25,"Marginal",C87&lt;35,"Solid",TRUE,"Blowout")</f>
        <v>Fail</v>
      </c>
    </row>
    <row r="88" spans="1:13" x14ac:dyDescent="0.25">
      <c r="A88" s="138">
        <f t="shared" ca="1" si="12"/>
        <v>57.28768521707898</v>
      </c>
      <c r="B88" s="137">
        <f t="shared" ca="1" si="13"/>
        <v>13.311173619574587</v>
      </c>
      <c r="C88" s="137">
        <f t="shared" ca="1" si="14"/>
        <v>43.976511597504391</v>
      </c>
      <c r="D88" s="152">
        <f t="shared" ca="1" si="15"/>
        <v>5.5578068317960714</v>
      </c>
      <c r="E88" s="197">
        <f t="shared" ca="1" si="16"/>
        <v>3.7995163700340803E-8</v>
      </c>
      <c r="F88" s="137">
        <f t="shared" ca="1" si="17"/>
        <v>19.657360582005786</v>
      </c>
      <c r="G88" s="137">
        <f t="shared" ca="1" si="18"/>
        <v>6.3461869624311991</v>
      </c>
      <c r="H88" s="152">
        <f t="shared" ca="1" si="19"/>
        <v>0.80203908801299406</v>
      </c>
      <c r="I88" s="152">
        <f t="shared" ca="1" si="20"/>
        <v>0.21168274734686321</v>
      </c>
      <c r="J88" s="190">
        <f t="shared" ca="1" si="21"/>
        <v>0</v>
      </c>
      <c r="K88" s="187" t="str" cm="1">
        <f t="array" aca="1" ref="K88" ca="1">_xlfn.IFS(G88&lt;$B$11,"Fail",G88&lt;25,"Marginal",G88&lt;35,"Solid",TRUE,"Blowout")</f>
        <v>Fail</v>
      </c>
      <c r="L88" s="193">
        <f t="shared" ca="1" si="11"/>
        <v>1</v>
      </c>
      <c r="M88" s="184" t="str" cm="1">
        <f t="array" aca="1" ref="M88" ca="1">_xlfn.IFS(C88&lt;$B$11,"Fail",C88&lt;25,"Marginal",C88&lt;35,"Solid",TRUE,"Blowout")</f>
        <v>Blowout</v>
      </c>
    </row>
    <row r="89" spans="1:13" x14ac:dyDescent="0.25">
      <c r="A89" s="138">
        <f t="shared" ca="1" si="12"/>
        <v>43.254241796443637</v>
      </c>
      <c r="B89" s="137">
        <f t="shared" ca="1" si="13"/>
        <v>4.1776508399829249</v>
      </c>
      <c r="C89" s="137">
        <f t="shared" ca="1" si="14"/>
        <v>39.076590956460713</v>
      </c>
      <c r="D89" s="152">
        <f t="shared" ca="1" si="15"/>
        <v>4.9385487000165478</v>
      </c>
      <c r="E89" s="197">
        <f t="shared" ca="1" si="16"/>
        <v>7.607513330171602E-7</v>
      </c>
      <c r="F89" s="137">
        <f t="shared" ca="1" si="17"/>
        <v>17.924381607574752</v>
      </c>
      <c r="G89" s="137">
        <f t="shared" ca="1" si="18"/>
        <v>13.746730767591828</v>
      </c>
      <c r="H89" s="152">
        <f t="shared" ca="1" si="19"/>
        <v>1.7373291195593334</v>
      </c>
      <c r="I89" s="152">
        <f t="shared" ca="1" si="20"/>
        <v>4.183974334545832E-2</v>
      </c>
      <c r="J89" s="190">
        <f t="shared" ca="1" si="21"/>
        <v>0</v>
      </c>
      <c r="K89" s="187" t="str" cm="1">
        <f t="array" aca="1" ref="K89" ca="1">_xlfn.IFS(G89&lt;$B$11,"Fail",G89&lt;25,"Marginal",G89&lt;35,"Solid",TRUE,"Blowout")</f>
        <v>Fail</v>
      </c>
      <c r="L89" s="193">
        <f t="shared" ca="1" si="11"/>
        <v>1</v>
      </c>
      <c r="M89" s="184" t="str" cm="1">
        <f t="array" aca="1" ref="M89" ca="1">_xlfn.IFS(C89&lt;$B$11,"Fail",C89&lt;25,"Marginal",C89&lt;35,"Solid",TRUE,"Blowout")</f>
        <v>Blowout</v>
      </c>
    </row>
    <row r="90" spans="1:13" x14ac:dyDescent="0.25">
      <c r="A90" s="138">
        <f t="shared" ca="1" si="12"/>
        <v>-4.6722586181572039</v>
      </c>
      <c r="B90" s="137">
        <f t="shared" ca="1" si="13"/>
        <v>4.5796710234422688</v>
      </c>
      <c r="C90" s="137">
        <f t="shared" ca="1" si="14"/>
        <v>-9.2519296415994727</v>
      </c>
      <c r="D90" s="152">
        <f t="shared" ca="1" si="15"/>
        <v>-1.1692705014896219</v>
      </c>
      <c r="E90" s="197">
        <f t="shared" ca="1" si="16"/>
        <v>0.87824219033396222</v>
      </c>
      <c r="F90" s="137">
        <f t="shared" ca="1" si="17"/>
        <v>9.5978830046986161</v>
      </c>
      <c r="G90" s="137">
        <f t="shared" ca="1" si="18"/>
        <v>5.0182119812563473</v>
      </c>
      <c r="H90" s="152">
        <f t="shared" ca="1" si="19"/>
        <v>0.63420794009523396</v>
      </c>
      <c r="I90" s="152">
        <f t="shared" ca="1" si="20"/>
        <v>0.26329045869441375</v>
      </c>
      <c r="J90" s="190">
        <f t="shared" ca="1" si="21"/>
        <v>0</v>
      </c>
      <c r="K90" s="187" t="str" cm="1">
        <f t="array" aca="1" ref="K90" ca="1">_xlfn.IFS(G90&lt;$B$11,"Fail",G90&lt;25,"Marginal",G90&lt;35,"Solid",TRUE,"Blowout")</f>
        <v>Fail</v>
      </c>
      <c r="L90" s="193">
        <f t="shared" ca="1" si="11"/>
        <v>0</v>
      </c>
      <c r="M90" s="184" t="str" cm="1">
        <f t="array" aca="1" ref="M90" ca="1">_xlfn.IFS(C90&lt;$B$11,"Fail",C90&lt;25,"Marginal",C90&lt;35,"Solid",TRUE,"Blowout")</f>
        <v>Fail</v>
      </c>
    </row>
    <row r="91" spans="1:13" x14ac:dyDescent="0.25">
      <c r="A91" s="138">
        <f t="shared" ca="1" si="12"/>
        <v>26.44404769749611</v>
      </c>
      <c r="B91" s="137">
        <f t="shared" ca="1" si="13"/>
        <v>2.7057651106925014</v>
      </c>
      <c r="C91" s="137">
        <f t="shared" ca="1" si="14"/>
        <v>23.73828258680361</v>
      </c>
      <c r="D91" s="152">
        <f t="shared" ca="1" si="15"/>
        <v>3.0000740018571603</v>
      </c>
      <c r="E91" s="197">
        <f t="shared" ca="1" si="16"/>
        <v>1.499512501351884E-3</v>
      </c>
      <c r="F91" s="137">
        <f t="shared" ca="1" si="17"/>
        <v>32.92097087801865</v>
      </c>
      <c r="G91" s="137">
        <f t="shared" ca="1" si="18"/>
        <v>30.21520576732615</v>
      </c>
      <c r="H91" s="152">
        <f t="shared" ca="1" si="19"/>
        <v>3.8186356975003712</v>
      </c>
      <c r="I91" s="152">
        <f t="shared" ca="1" si="20"/>
        <v>8.6494789706006387E-5</v>
      </c>
      <c r="J91" s="190">
        <f t="shared" ca="1" si="21"/>
        <v>1</v>
      </c>
      <c r="K91" s="187" t="str" cm="1">
        <f t="array" aca="1" ref="K91" ca="1">_xlfn.IFS(G91&lt;$B$11,"Fail",G91&lt;25,"Marginal",G91&lt;35,"Solid",TRUE,"Blowout")</f>
        <v>Solid</v>
      </c>
      <c r="L91" s="193">
        <f t="shared" ca="1" si="11"/>
        <v>1</v>
      </c>
      <c r="M91" s="184" t="str" cm="1">
        <f t="array" aca="1" ref="M91" ca="1">_xlfn.IFS(C91&lt;$B$11,"Fail",C91&lt;25,"Marginal",C91&lt;35,"Solid",TRUE,"Blowout")</f>
        <v>Marginal</v>
      </c>
    </row>
    <row r="92" spans="1:13" x14ac:dyDescent="0.25">
      <c r="A92" s="138">
        <f t="shared" ca="1" si="12"/>
        <v>5.4505104699641915</v>
      </c>
      <c r="B92" s="137">
        <f t="shared" ca="1" si="13"/>
        <v>4.6375298723843592</v>
      </c>
      <c r="C92" s="137">
        <f t="shared" ca="1" si="14"/>
        <v>0.81298059757983232</v>
      </c>
      <c r="D92" s="152">
        <f t="shared" ca="1" si="15"/>
        <v>0.1027455101646411</v>
      </c>
      <c r="E92" s="197">
        <f t="shared" ca="1" si="16"/>
        <v>0.45912763136658952</v>
      </c>
      <c r="F92" s="137">
        <f t="shared" ca="1" si="17"/>
        <v>18.420350880550572</v>
      </c>
      <c r="G92" s="137">
        <f t="shared" ca="1" si="18"/>
        <v>13.782821008166213</v>
      </c>
      <c r="H92" s="152">
        <f t="shared" ca="1" si="19"/>
        <v>1.7418902495430237</v>
      </c>
      <c r="I92" s="152">
        <f t="shared" ca="1" si="20"/>
        <v>4.1438112862952445E-2</v>
      </c>
      <c r="J92" s="190">
        <f t="shared" ca="1" si="21"/>
        <v>0</v>
      </c>
      <c r="K92" s="187" t="str" cm="1">
        <f t="array" aca="1" ref="K92" ca="1">_xlfn.IFS(G92&lt;$B$11,"Fail",G92&lt;25,"Marginal",G92&lt;35,"Solid",TRUE,"Blowout")</f>
        <v>Fail</v>
      </c>
      <c r="L92" s="193">
        <f t="shared" ca="1" si="11"/>
        <v>0</v>
      </c>
      <c r="M92" s="184" t="str" cm="1">
        <f t="array" aca="1" ref="M92" ca="1">_xlfn.IFS(C92&lt;$B$11,"Fail",C92&lt;25,"Marginal",C92&lt;35,"Solid",TRUE,"Blowout")</f>
        <v>Fail</v>
      </c>
    </row>
    <row r="93" spans="1:13" x14ac:dyDescent="0.25">
      <c r="A93" s="138">
        <f t="shared" ca="1" si="12"/>
        <v>21.667232289433876</v>
      </c>
      <c r="B93" s="137">
        <f t="shared" ca="1" si="13"/>
        <v>2.1355752979615161</v>
      </c>
      <c r="C93" s="137">
        <f t="shared" ca="1" si="14"/>
        <v>19.53165699147236</v>
      </c>
      <c r="D93" s="152">
        <f t="shared" ca="1" si="15"/>
        <v>2.4684353697045593</v>
      </c>
      <c r="E93" s="197">
        <f t="shared" ca="1" si="16"/>
        <v>7.1528028715916962E-3</v>
      </c>
      <c r="F93" s="137">
        <f t="shared" ca="1" si="17"/>
        <v>-0.81575050673760252</v>
      </c>
      <c r="G93" s="137">
        <f t="shared" ca="1" si="18"/>
        <v>-2.9513258046991186</v>
      </c>
      <c r="H93" s="152">
        <f t="shared" ca="1" si="19"/>
        <v>-0.37299226619747716</v>
      </c>
      <c r="I93" s="152">
        <f t="shared" ca="1" si="20"/>
        <v>0.64524963617345932</v>
      </c>
      <c r="J93" s="190">
        <f t="shared" ca="1" si="21"/>
        <v>0</v>
      </c>
      <c r="K93" s="187" t="str" cm="1">
        <f t="array" aca="1" ref="K93" ca="1">_xlfn.IFS(G93&lt;$B$11,"Fail",G93&lt;25,"Marginal",G93&lt;35,"Solid",TRUE,"Blowout")</f>
        <v>Fail</v>
      </c>
      <c r="L93" s="193">
        <f t="shared" ca="1" si="11"/>
        <v>0</v>
      </c>
      <c r="M93" s="184" t="str" cm="1">
        <f t="array" aca="1" ref="M93" ca="1">_xlfn.IFS(C93&lt;$B$11,"Fail",C93&lt;25,"Marginal",C93&lt;35,"Solid",TRUE,"Blowout")</f>
        <v>Fail</v>
      </c>
    </row>
    <row r="94" spans="1:13" x14ac:dyDescent="0.25">
      <c r="A94" s="138">
        <f t="shared" ca="1" si="12"/>
        <v>34.674611252056103</v>
      </c>
      <c r="B94" s="137">
        <f t="shared" ca="1" si="13"/>
        <v>2.6023932507232526</v>
      </c>
      <c r="C94" s="137">
        <f t="shared" ca="1" si="14"/>
        <v>32.07221800133285</v>
      </c>
      <c r="D94" s="152">
        <f t="shared" ca="1" si="15"/>
        <v>4.0533272386429164</v>
      </c>
      <c r="E94" s="197">
        <f t="shared" ca="1" si="16"/>
        <v>3.4648473386815354E-5</v>
      </c>
      <c r="F94" s="137">
        <f t="shared" ca="1" si="17"/>
        <v>43.533475973924141</v>
      </c>
      <c r="G94" s="137">
        <f t="shared" ca="1" si="18"/>
        <v>40.931082723200888</v>
      </c>
      <c r="H94" s="152">
        <f t="shared" ca="1" si="19"/>
        <v>5.1729217013367119</v>
      </c>
      <c r="I94" s="152">
        <f t="shared" ca="1" si="20"/>
        <v>2.5220357894669945E-7</v>
      </c>
      <c r="J94" s="190">
        <f t="shared" ca="1" si="21"/>
        <v>1</v>
      </c>
      <c r="K94" s="187" t="str" cm="1">
        <f t="array" aca="1" ref="K94" ca="1">_xlfn.IFS(G94&lt;$B$11,"Fail",G94&lt;25,"Marginal",G94&lt;35,"Solid",TRUE,"Blowout")</f>
        <v>Blowout</v>
      </c>
      <c r="L94" s="193">
        <f t="shared" ca="1" si="11"/>
        <v>1</v>
      </c>
      <c r="M94" s="184" t="str" cm="1">
        <f t="array" aca="1" ref="M94" ca="1">_xlfn.IFS(C94&lt;$B$11,"Fail",C94&lt;25,"Marginal",C94&lt;35,"Solid",TRUE,"Blowout")</f>
        <v>Solid</v>
      </c>
    </row>
    <row r="95" spans="1:13" x14ac:dyDescent="0.25">
      <c r="A95" s="138">
        <f t="shared" ca="1" si="12"/>
        <v>31.607232938558543</v>
      </c>
      <c r="B95" s="137">
        <f t="shared" ca="1" si="13"/>
        <v>2.9857971488279977</v>
      </c>
      <c r="C95" s="137">
        <f t="shared" ca="1" si="14"/>
        <v>28.621435789730544</v>
      </c>
      <c r="D95" s="152">
        <f t="shared" ca="1" si="15"/>
        <v>3.6172130437240995</v>
      </c>
      <c r="E95" s="197">
        <f t="shared" ca="1" si="16"/>
        <v>1.8333394802576058E-4</v>
      </c>
      <c r="F95" s="137">
        <f t="shared" ca="1" si="17"/>
        <v>6.7758658223753168</v>
      </c>
      <c r="G95" s="137">
        <f t="shared" ca="1" si="18"/>
        <v>3.790068673547319</v>
      </c>
      <c r="H95" s="152">
        <f t="shared" ca="1" si="19"/>
        <v>0.47899364459851668</v>
      </c>
      <c r="I95" s="152">
        <f t="shared" ca="1" si="20"/>
        <v>0.31620110473366814</v>
      </c>
      <c r="J95" s="190">
        <f t="shared" ca="1" si="21"/>
        <v>0</v>
      </c>
      <c r="K95" s="187" t="str" cm="1">
        <f t="array" aca="1" ref="K95" ca="1">_xlfn.IFS(G95&lt;$B$11,"Fail",G95&lt;25,"Marginal",G95&lt;35,"Solid",TRUE,"Blowout")</f>
        <v>Fail</v>
      </c>
      <c r="L95" s="193">
        <f t="shared" ca="1" si="11"/>
        <v>1</v>
      </c>
      <c r="M95" s="184" t="str" cm="1">
        <f t="array" aca="1" ref="M95" ca="1">_xlfn.IFS(C95&lt;$B$11,"Fail",C95&lt;25,"Marginal",C95&lt;35,"Solid",TRUE,"Blowout")</f>
        <v>Solid</v>
      </c>
    </row>
    <row r="96" spans="1:13" x14ac:dyDescent="0.25">
      <c r="A96" s="138">
        <f t="shared" ca="1" si="12"/>
        <v>34.079121353223542</v>
      </c>
      <c r="B96" s="137">
        <f t="shared" ca="1" si="13"/>
        <v>11.346922126621854</v>
      </c>
      <c r="C96" s="137">
        <f t="shared" ca="1" si="14"/>
        <v>22.732199226601686</v>
      </c>
      <c r="D96" s="152">
        <f t="shared" ca="1" si="15"/>
        <v>2.8729239217447597</v>
      </c>
      <c r="E96" s="197">
        <f t="shared" ca="1" si="16"/>
        <v>2.2253846000330315E-3</v>
      </c>
      <c r="F96" s="137">
        <f t="shared" ca="1" si="17"/>
        <v>0.69605564974539003</v>
      </c>
      <c r="G96" s="137">
        <f t="shared" ca="1" si="18"/>
        <v>-10.650866476876464</v>
      </c>
      <c r="H96" s="152">
        <f t="shared" ca="1" si="19"/>
        <v>-1.3460698977563066</v>
      </c>
      <c r="I96" s="152">
        <f t="shared" ca="1" si="20"/>
        <v>0.91019159558908591</v>
      </c>
      <c r="J96" s="190">
        <f t="shared" ca="1" si="21"/>
        <v>0</v>
      </c>
      <c r="K96" s="187" t="str" cm="1">
        <f t="array" aca="1" ref="K96" ca="1">_xlfn.IFS(G96&lt;$B$11,"Fail",G96&lt;25,"Marginal",G96&lt;35,"Solid",TRUE,"Blowout")</f>
        <v>Fail</v>
      </c>
      <c r="L96" s="193">
        <f t="shared" ca="1" si="11"/>
        <v>1</v>
      </c>
      <c r="M96" s="184" t="str" cm="1">
        <f t="array" aca="1" ref="M96" ca="1">_xlfn.IFS(C96&lt;$B$11,"Fail",C96&lt;25,"Marginal",C96&lt;35,"Solid",TRUE,"Blowout")</f>
        <v>Marginal</v>
      </c>
    </row>
    <row r="97" spans="1:13" x14ac:dyDescent="0.25">
      <c r="A97" s="138">
        <f t="shared" ca="1" si="12"/>
        <v>28.561916628931115</v>
      </c>
      <c r="B97" s="137">
        <f t="shared" ca="1" si="13"/>
        <v>-7.1602316984351155E-2</v>
      </c>
      <c r="C97" s="137">
        <f t="shared" ca="1" si="14"/>
        <v>28.633518945915466</v>
      </c>
      <c r="D97" s="152">
        <f t="shared" ca="1" si="15"/>
        <v>3.6187401281961207</v>
      </c>
      <c r="E97" s="197">
        <f t="shared" ca="1" si="16"/>
        <v>1.8231448861055641E-4</v>
      </c>
      <c r="F97" s="137">
        <f t="shared" ca="1" si="17"/>
        <v>33.907356602561073</v>
      </c>
      <c r="G97" s="137">
        <f t="shared" ca="1" si="18"/>
        <v>33.978958919545427</v>
      </c>
      <c r="H97" s="152">
        <f t="shared" ca="1" si="19"/>
        <v>4.2943035534242906</v>
      </c>
      <c r="I97" s="152">
        <f t="shared" ca="1" si="20"/>
        <v>1.2968102088783223E-5</v>
      </c>
      <c r="J97" s="190">
        <f t="shared" ca="1" si="21"/>
        <v>1</v>
      </c>
      <c r="K97" s="187" t="str" cm="1">
        <f t="array" aca="1" ref="K97" ca="1">_xlfn.IFS(G97&lt;$B$11,"Fail",G97&lt;25,"Marginal",G97&lt;35,"Solid",TRUE,"Blowout")</f>
        <v>Solid</v>
      </c>
      <c r="L97" s="193">
        <f t="shared" ca="1" si="11"/>
        <v>1</v>
      </c>
      <c r="M97" s="184" t="str" cm="1">
        <f t="array" aca="1" ref="M97" ca="1">_xlfn.IFS(C97&lt;$B$11,"Fail",C97&lt;25,"Marginal",C97&lt;35,"Solid",TRUE,"Blowout")</f>
        <v>Solid</v>
      </c>
    </row>
    <row r="98" spans="1:13" x14ac:dyDescent="0.25">
      <c r="A98" s="138">
        <f t="shared" ca="1" si="12"/>
        <v>-7.1492480531777431</v>
      </c>
      <c r="B98" s="137">
        <f t="shared" ca="1" si="13"/>
        <v>7.5460951151043494</v>
      </c>
      <c r="C98" s="137">
        <f t="shared" ca="1" si="14"/>
        <v>-14.695343168282093</v>
      </c>
      <c r="D98" s="152">
        <f t="shared" ca="1" si="15"/>
        <v>-1.8572159475446168</v>
      </c>
      <c r="E98" s="197">
        <f t="shared" ca="1" si="16"/>
        <v>0.96771500427753243</v>
      </c>
      <c r="F98" s="137">
        <f t="shared" ca="1" si="17"/>
        <v>1.4108796226954159</v>
      </c>
      <c r="G98" s="137">
        <f t="shared" ca="1" si="18"/>
        <v>-6.1352154924089337</v>
      </c>
      <c r="H98" s="152">
        <f t="shared" ca="1" si="19"/>
        <v>-0.77537624835587249</v>
      </c>
      <c r="I98" s="152">
        <f t="shared" ca="1" si="20"/>
        <v>0.78053958811709367</v>
      </c>
      <c r="J98" s="190">
        <f t="shared" ca="1" si="21"/>
        <v>0</v>
      </c>
      <c r="K98" s="187" t="str" cm="1">
        <f t="array" aca="1" ref="K98" ca="1">_xlfn.IFS(G98&lt;$B$11,"Fail",G98&lt;25,"Marginal",G98&lt;35,"Solid",TRUE,"Blowout")</f>
        <v>Fail</v>
      </c>
      <c r="L98" s="193">
        <f t="shared" ca="1" si="11"/>
        <v>0</v>
      </c>
      <c r="M98" s="184" t="str" cm="1">
        <f t="array" aca="1" ref="M98" ca="1">_xlfn.IFS(C98&lt;$B$11,"Fail",C98&lt;25,"Marginal",C98&lt;35,"Solid",TRUE,"Blowout")</f>
        <v>Fail</v>
      </c>
    </row>
    <row r="99" spans="1:13" x14ac:dyDescent="0.25">
      <c r="A99" s="138">
        <f t="shared" ca="1" si="12"/>
        <v>12.985413744257812</v>
      </c>
      <c r="B99" s="137">
        <f t="shared" ca="1" si="13"/>
        <v>1.5340856878025244</v>
      </c>
      <c r="C99" s="137">
        <f t="shared" ca="1" si="14"/>
        <v>11.451328056455289</v>
      </c>
      <c r="D99" s="152">
        <f t="shared" ca="1" si="15"/>
        <v>1.4472332386845563</v>
      </c>
      <c r="E99" s="197">
        <f t="shared" ca="1" si="16"/>
        <v>7.4602562153560828E-2</v>
      </c>
      <c r="F99" s="137">
        <f t="shared" ca="1" si="17"/>
        <v>9.5018929466984474</v>
      </c>
      <c r="G99" s="137">
        <f t="shared" ca="1" si="18"/>
        <v>7.967807258895923</v>
      </c>
      <c r="H99" s="152">
        <f t="shared" ca="1" si="19"/>
        <v>1.00698150010696</v>
      </c>
      <c r="I99" s="152">
        <f t="shared" ca="1" si="20"/>
        <v>0.15750557238007423</v>
      </c>
      <c r="J99" s="190">
        <f t="shared" ca="1" si="21"/>
        <v>0</v>
      </c>
      <c r="K99" s="187" t="str" cm="1">
        <f t="array" aca="1" ref="K99" ca="1">_xlfn.IFS(G99&lt;$B$11,"Fail",G99&lt;25,"Marginal",G99&lt;35,"Solid",TRUE,"Blowout")</f>
        <v>Fail</v>
      </c>
      <c r="L99" s="193">
        <f t="shared" ca="1" si="11"/>
        <v>0</v>
      </c>
      <c r="M99" s="184" t="str" cm="1">
        <f t="array" aca="1" ref="M99" ca="1">_xlfn.IFS(C99&lt;$B$11,"Fail",C99&lt;25,"Marginal",C99&lt;35,"Solid",TRUE,"Blowout")</f>
        <v>Fail</v>
      </c>
    </row>
    <row r="100" spans="1:13" x14ac:dyDescent="0.25">
      <c r="A100" s="138">
        <f t="shared" ca="1" si="12"/>
        <v>58.942791450450855</v>
      </c>
      <c r="B100" s="137">
        <f t="shared" ca="1" si="13"/>
        <v>15.333786966131198</v>
      </c>
      <c r="C100" s="137">
        <f t="shared" ca="1" si="14"/>
        <v>43.609004484319655</v>
      </c>
      <c r="D100" s="152">
        <f t="shared" ca="1" si="15"/>
        <v>5.5113608207280249</v>
      </c>
      <c r="E100" s="197">
        <f t="shared" ca="1" si="16"/>
        <v>4.7990277569513971E-8</v>
      </c>
      <c r="F100" s="137">
        <f t="shared" ca="1" si="17"/>
        <v>31.106703091281695</v>
      </c>
      <c r="G100" s="137">
        <f t="shared" ca="1" si="18"/>
        <v>15.772916125150497</v>
      </c>
      <c r="H100" s="152">
        <f t="shared" ca="1" si="19"/>
        <v>1.9934009727748074</v>
      </c>
      <c r="I100" s="152">
        <f t="shared" ca="1" si="20"/>
        <v>2.3704685707120431E-2</v>
      </c>
      <c r="J100" s="190">
        <f t="shared" ca="1" si="21"/>
        <v>0</v>
      </c>
      <c r="K100" s="187" t="str" cm="1">
        <f t="array" aca="1" ref="K100" ca="1">_xlfn.IFS(G100&lt;$B$11,"Fail",G100&lt;25,"Marginal",G100&lt;35,"Solid",TRUE,"Blowout")</f>
        <v>Fail</v>
      </c>
      <c r="L100" s="193">
        <f t="shared" ca="1" si="11"/>
        <v>1</v>
      </c>
      <c r="M100" s="184" t="str" cm="1">
        <f t="array" aca="1" ref="M100" ca="1">_xlfn.IFS(C100&lt;$B$11,"Fail",C100&lt;25,"Marginal",C100&lt;35,"Solid",TRUE,"Blowout")</f>
        <v>Blowout</v>
      </c>
    </row>
    <row r="101" spans="1:13" x14ac:dyDescent="0.25">
      <c r="A101" s="138">
        <f t="shared" ca="1" si="12"/>
        <v>13.317852072526811</v>
      </c>
      <c r="B101" s="137">
        <f t="shared" ca="1" si="13"/>
        <v>10.199939925658869</v>
      </c>
      <c r="C101" s="137">
        <f t="shared" ca="1" si="14"/>
        <v>3.1179121468679423</v>
      </c>
      <c r="D101" s="152">
        <f t="shared" ca="1" si="15"/>
        <v>0.39404565758658289</v>
      </c>
      <c r="E101" s="197">
        <f t="shared" ca="1" si="16"/>
        <v>0.34695780937258591</v>
      </c>
      <c r="F101" s="137">
        <f t="shared" ca="1" si="17"/>
        <v>33.277884057338021</v>
      </c>
      <c r="G101" s="137">
        <f t="shared" ca="1" si="18"/>
        <v>23.077944131679153</v>
      </c>
      <c r="H101" s="152">
        <f t="shared" ca="1" si="19"/>
        <v>2.9166195975883911</v>
      </c>
      <c r="I101" s="152">
        <f t="shared" ca="1" si="20"/>
        <v>1.9459457015837975E-3</v>
      </c>
      <c r="J101" s="190">
        <f t="shared" ca="1" si="21"/>
        <v>1</v>
      </c>
      <c r="K101" s="187" t="str" cm="1">
        <f t="array" aca="1" ref="K101" ca="1">_xlfn.IFS(G101&lt;$B$11,"Fail",G101&lt;25,"Marginal",G101&lt;35,"Solid",TRUE,"Blowout")</f>
        <v>Marginal</v>
      </c>
      <c r="L101" s="193">
        <f t="shared" ca="1" si="11"/>
        <v>0</v>
      </c>
      <c r="M101" s="184" t="str" cm="1">
        <f t="array" aca="1" ref="M101" ca="1">_xlfn.IFS(C101&lt;$B$11,"Fail",C101&lt;25,"Marginal",C101&lt;35,"Solid",TRUE,"Blowout")</f>
        <v>Fail</v>
      </c>
    </row>
    <row r="102" spans="1:13" x14ac:dyDescent="0.25">
      <c r="A102" s="138">
        <f t="shared" ca="1" si="12"/>
        <v>39.6094740735277</v>
      </c>
      <c r="B102" s="137">
        <f t="shared" ca="1" si="13"/>
        <v>2.7832169774204005</v>
      </c>
      <c r="C102" s="137">
        <f t="shared" ca="1" si="14"/>
        <v>36.826257096107298</v>
      </c>
      <c r="D102" s="152">
        <f t="shared" ca="1" si="15"/>
        <v>4.654148677173354</v>
      </c>
      <c r="E102" s="197">
        <f t="shared" ca="1" si="16"/>
        <v>2.7597219328785082E-6</v>
      </c>
      <c r="F102" s="137">
        <f t="shared" ca="1" si="17"/>
        <v>21.473680357662623</v>
      </c>
      <c r="G102" s="137">
        <f t="shared" ca="1" si="18"/>
        <v>18.690463380242221</v>
      </c>
      <c r="H102" s="152">
        <f t="shared" ca="1" si="19"/>
        <v>2.3621242633997248</v>
      </c>
      <c r="I102" s="152">
        <f t="shared" ca="1" si="20"/>
        <v>9.5060555640217159E-3</v>
      </c>
      <c r="J102" s="190">
        <f t="shared" ca="1" si="21"/>
        <v>0</v>
      </c>
      <c r="K102" s="187" t="str" cm="1">
        <f t="array" aca="1" ref="K102" ca="1">_xlfn.IFS(G102&lt;$B$11,"Fail",G102&lt;25,"Marginal",G102&lt;35,"Solid",TRUE,"Blowout")</f>
        <v>Fail</v>
      </c>
      <c r="L102" s="193">
        <f t="shared" ca="1" si="11"/>
        <v>1</v>
      </c>
      <c r="M102" s="184" t="str" cm="1">
        <f t="array" aca="1" ref="M102" ca="1">_xlfn.IFS(C102&lt;$B$11,"Fail",C102&lt;25,"Marginal",C102&lt;35,"Solid",TRUE,"Blowout")</f>
        <v>Blowout</v>
      </c>
    </row>
    <row r="103" spans="1:13" x14ac:dyDescent="0.25">
      <c r="A103" s="138">
        <f t="shared" ca="1" si="12"/>
        <v>45.273849935494319</v>
      </c>
      <c r="B103" s="137">
        <f t="shared" ca="1" si="13"/>
        <v>4.1375466438991131</v>
      </c>
      <c r="C103" s="137">
        <f t="shared" ca="1" si="14"/>
        <v>41.136303291595205</v>
      </c>
      <c r="D103" s="152">
        <f t="shared" ca="1" si="15"/>
        <v>5.1988577348149043</v>
      </c>
      <c r="E103" s="197">
        <f t="shared" ca="1" si="16"/>
        <v>2.226871238035879E-7</v>
      </c>
      <c r="F103" s="137">
        <f t="shared" ca="1" si="17"/>
        <v>52.516316530178592</v>
      </c>
      <c r="G103" s="137">
        <f t="shared" ca="1" si="18"/>
        <v>48.378769886279478</v>
      </c>
      <c r="H103" s="152">
        <f t="shared" ca="1" si="19"/>
        <v>6.1141697697348221</v>
      </c>
      <c r="I103" s="152">
        <f t="shared" ca="1" si="20"/>
        <v>2.085682324394118E-9</v>
      </c>
      <c r="J103" s="190">
        <f t="shared" ca="1" si="21"/>
        <v>1</v>
      </c>
      <c r="K103" s="187" t="str" cm="1">
        <f t="array" aca="1" ref="K103" ca="1">_xlfn.IFS(G103&lt;$B$11,"Fail",G103&lt;25,"Marginal",G103&lt;35,"Solid",TRUE,"Blowout")</f>
        <v>Blowout</v>
      </c>
      <c r="L103" s="193">
        <f t="shared" ca="1" si="11"/>
        <v>1</v>
      </c>
      <c r="M103" s="184" t="str" cm="1">
        <f t="array" aca="1" ref="M103" ca="1">_xlfn.IFS(C103&lt;$B$11,"Fail",C103&lt;25,"Marginal",C103&lt;35,"Solid",TRUE,"Blowout")</f>
        <v>Blowout</v>
      </c>
    </row>
    <row r="104" spans="1:13" x14ac:dyDescent="0.25">
      <c r="A104" s="138">
        <f t="shared" ca="1" si="12"/>
        <v>40.786346523706371</v>
      </c>
      <c r="B104" s="137">
        <f t="shared" ca="1" si="13"/>
        <v>6.8796688364453944</v>
      </c>
      <c r="C104" s="137">
        <f t="shared" ca="1" si="14"/>
        <v>33.906677687260974</v>
      </c>
      <c r="D104" s="152">
        <f t="shared" ca="1" si="15"/>
        <v>4.285168560401698</v>
      </c>
      <c r="E104" s="197">
        <f t="shared" ca="1" si="16"/>
        <v>1.3470993145392251E-5</v>
      </c>
      <c r="F104" s="137">
        <f t="shared" ca="1" si="17"/>
        <v>55.719387470223943</v>
      </c>
      <c r="G104" s="137">
        <f t="shared" ca="1" si="18"/>
        <v>48.839718633778546</v>
      </c>
      <c r="H104" s="152">
        <f t="shared" ca="1" si="19"/>
        <v>6.1724250520411053</v>
      </c>
      <c r="I104" s="152">
        <f t="shared" ca="1" si="20"/>
        <v>1.5224948013069758E-9</v>
      </c>
      <c r="J104" s="190">
        <f t="shared" ca="1" si="21"/>
        <v>1</v>
      </c>
      <c r="K104" s="187" t="str" cm="1">
        <f t="array" aca="1" ref="K104" ca="1">_xlfn.IFS(G104&lt;$B$11,"Fail",G104&lt;25,"Marginal",G104&lt;35,"Solid",TRUE,"Blowout")</f>
        <v>Blowout</v>
      </c>
      <c r="L104" s="193">
        <f t="shared" ca="1" si="11"/>
        <v>1</v>
      </c>
      <c r="M104" s="184" t="str" cm="1">
        <f t="array" aca="1" ref="M104" ca="1">_xlfn.IFS(C104&lt;$B$11,"Fail",C104&lt;25,"Marginal",C104&lt;35,"Solid",TRUE,"Blowout")</f>
        <v>Solid</v>
      </c>
    </row>
    <row r="105" spans="1:13" x14ac:dyDescent="0.25">
      <c r="A105" s="138">
        <f t="shared" ca="1" si="12"/>
        <v>7.8806130306213351</v>
      </c>
      <c r="B105" s="137">
        <f t="shared" ca="1" si="13"/>
        <v>12.771434554174444</v>
      </c>
      <c r="C105" s="137">
        <f t="shared" ca="1" si="14"/>
        <v>-4.8908215235531092</v>
      </c>
      <c r="D105" s="152">
        <f t="shared" ca="1" si="15"/>
        <v>-0.61810817386982775</v>
      </c>
      <c r="E105" s="197">
        <f t="shared" ca="1" si="16"/>
        <v>0.7314395140783666</v>
      </c>
      <c r="F105" s="137">
        <f t="shared" ca="1" si="17"/>
        <v>1.5833452030163686</v>
      </c>
      <c r="G105" s="137">
        <f t="shared" ca="1" si="18"/>
        <v>-11.188089351158077</v>
      </c>
      <c r="H105" s="152">
        <f t="shared" ca="1" si="19"/>
        <v>-1.4139648001125205</v>
      </c>
      <c r="I105" s="152">
        <f t="shared" ca="1" si="20"/>
        <v>0.92063188706868737</v>
      </c>
      <c r="J105" s="190">
        <f t="shared" ca="1" si="21"/>
        <v>0</v>
      </c>
      <c r="K105" s="187" t="str" cm="1">
        <f t="array" aca="1" ref="K105" ca="1">_xlfn.IFS(G105&lt;$B$11,"Fail",G105&lt;25,"Marginal",G105&lt;35,"Solid",TRUE,"Blowout")</f>
        <v>Fail</v>
      </c>
      <c r="L105" s="193">
        <f t="shared" ca="1" si="11"/>
        <v>0</v>
      </c>
      <c r="M105" s="184" t="str" cm="1">
        <f t="array" aca="1" ref="M105" ca="1">_xlfn.IFS(C105&lt;$B$11,"Fail",C105&lt;25,"Marginal",C105&lt;35,"Solid",TRUE,"Blowout")</f>
        <v>Fail</v>
      </c>
    </row>
    <row r="106" spans="1:13" x14ac:dyDescent="0.25">
      <c r="A106" s="138">
        <f t="shared" ca="1" si="12"/>
        <v>14.627474498874786</v>
      </c>
      <c r="B106" s="137">
        <f t="shared" ca="1" si="13"/>
        <v>16.672591989735864</v>
      </c>
      <c r="C106" s="137">
        <f t="shared" ca="1" si="14"/>
        <v>-2.0451174908610774</v>
      </c>
      <c r="D106" s="152">
        <f t="shared" ca="1" si="15"/>
        <v>-0.25846452002751313</v>
      </c>
      <c r="E106" s="197">
        <f t="shared" ca="1" si="16"/>
        <v>0.60185920106567881</v>
      </c>
      <c r="F106" s="137">
        <f t="shared" ca="1" si="17"/>
        <v>24.700129199873452</v>
      </c>
      <c r="G106" s="137">
        <f t="shared" ca="1" si="18"/>
        <v>8.0275372101375879</v>
      </c>
      <c r="H106" s="152">
        <f t="shared" ca="1" si="19"/>
        <v>1.0145302464493735</v>
      </c>
      <c r="I106" s="152">
        <f t="shared" ca="1" si="20"/>
        <v>0.15570259670145417</v>
      </c>
      <c r="J106" s="190">
        <f t="shared" ca="1" si="21"/>
        <v>0</v>
      </c>
      <c r="K106" s="187" t="str" cm="1">
        <f t="array" aca="1" ref="K106" ca="1">_xlfn.IFS(G106&lt;$B$11,"Fail",G106&lt;25,"Marginal",G106&lt;35,"Solid",TRUE,"Blowout")</f>
        <v>Fail</v>
      </c>
      <c r="L106" s="193">
        <f t="shared" ca="1" si="11"/>
        <v>0</v>
      </c>
      <c r="M106" s="184" t="str" cm="1">
        <f t="array" aca="1" ref="M106" ca="1">_xlfn.IFS(C106&lt;$B$11,"Fail",C106&lt;25,"Marginal",C106&lt;35,"Solid",TRUE,"Blowout")</f>
        <v>Fail</v>
      </c>
    </row>
    <row r="107" spans="1:13" x14ac:dyDescent="0.25">
      <c r="A107" s="138">
        <f t="shared" ca="1" si="12"/>
        <v>64.874778587016195</v>
      </c>
      <c r="B107" s="137">
        <f t="shared" ca="1" si="13"/>
        <v>1.1591617346487344</v>
      </c>
      <c r="C107" s="137">
        <f t="shared" ca="1" si="14"/>
        <v>63.715616852367461</v>
      </c>
      <c r="D107" s="152">
        <f t="shared" ca="1" si="15"/>
        <v>8.0524597738735739</v>
      </c>
      <c r="E107" s="197">
        <f t="shared" ca="1" si="16"/>
        <v>2.2428496531590485E-14</v>
      </c>
      <c r="F107" s="137">
        <f t="shared" ca="1" si="17"/>
        <v>62.743099459249578</v>
      </c>
      <c r="G107" s="137">
        <f t="shared" ca="1" si="18"/>
        <v>61.583937724600844</v>
      </c>
      <c r="H107" s="152">
        <f t="shared" ca="1" si="19"/>
        <v>7.7830554853312615</v>
      </c>
      <c r="I107" s="152">
        <f t="shared" ca="1" si="20"/>
        <v>1.2260928488328409E-13</v>
      </c>
      <c r="J107" s="190">
        <f t="shared" ca="1" si="21"/>
        <v>1</v>
      </c>
      <c r="K107" s="187" t="str" cm="1">
        <f t="array" aca="1" ref="K107" ca="1">_xlfn.IFS(G107&lt;$B$11,"Fail",G107&lt;25,"Marginal",G107&lt;35,"Solid",TRUE,"Blowout")</f>
        <v>Blowout</v>
      </c>
      <c r="L107" s="193">
        <f t="shared" ca="1" si="11"/>
        <v>1</v>
      </c>
      <c r="M107" s="184" t="str" cm="1">
        <f t="array" aca="1" ref="M107" ca="1">_xlfn.IFS(C107&lt;$B$11,"Fail",C107&lt;25,"Marginal",C107&lt;35,"Solid",TRUE,"Blowout")</f>
        <v>Blowout</v>
      </c>
    </row>
    <row r="108" spans="1:13" x14ac:dyDescent="0.25">
      <c r="A108" s="138">
        <f t="shared" ca="1" si="12"/>
        <v>9.4102638045413904</v>
      </c>
      <c r="B108" s="137">
        <f t="shared" ca="1" si="13"/>
        <v>8.4019055487937369</v>
      </c>
      <c r="C108" s="137">
        <f t="shared" ca="1" si="14"/>
        <v>1.0083582557476536</v>
      </c>
      <c r="D108" s="152">
        <f t="shared" ca="1" si="15"/>
        <v>0.12743758427192561</v>
      </c>
      <c r="E108" s="197">
        <f t="shared" ca="1" si="16"/>
        <v>0.44935319712404448</v>
      </c>
      <c r="F108" s="137">
        <f t="shared" ca="1" si="17"/>
        <v>30.344831234005671</v>
      </c>
      <c r="G108" s="137">
        <f t="shared" ca="1" si="18"/>
        <v>21.942925685211932</v>
      </c>
      <c r="H108" s="152">
        <f t="shared" ca="1" si="19"/>
        <v>2.7731745391506939</v>
      </c>
      <c r="I108" s="152">
        <f t="shared" ca="1" si="20"/>
        <v>3.0053070071215785E-3</v>
      </c>
      <c r="J108" s="190">
        <f t="shared" ca="1" si="21"/>
        <v>1</v>
      </c>
      <c r="K108" s="187" t="str" cm="1">
        <f t="array" aca="1" ref="K108" ca="1">_xlfn.IFS(G108&lt;$B$11,"Fail",G108&lt;25,"Marginal",G108&lt;35,"Solid",TRUE,"Blowout")</f>
        <v>Marginal</v>
      </c>
      <c r="L108" s="193">
        <f t="shared" ca="1" si="11"/>
        <v>0</v>
      </c>
      <c r="M108" s="184" t="str" cm="1">
        <f t="array" aca="1" ref="M108" ca="1">_xlfn.IFS(C108&lt;$B$11,"Fail",C108&lt;25,"Marginal",C108&lt;35,"Solid",TRUE,"Blowout")</f>
        <v>Fail</v>
      </c>
    </row>
    <row r="109" spans="1:13" x14ac:dyDescent="0.25">
      <c r="A109" s="138">
        <f t="shared" ca="1" si="12"/>
        <v>13.148865634793378</v>
      </c>
      <c r="B109" s="137">
        <f t="shared" ca="1" si="13"/>
        <v>2.8294747674569187</v>
      </c>
      <c r="C109" s="137">
        <f t="shared" ca="1" si="14"/>
        <v>10.319390867336459</v>
      </c>
      <c r="D109" s="152">
        <f t="shared" ca="1" si="15"/>
        <v>1.3041775934249245</v>
      </c>
      <c r="E109" s="197">
        <f t="shared" ca="1" si="16"/>
        <v>9.6744049300490173E-2</v>
      </c>
      <c r="F109" s="137">
        <f t="shared" ca="1" si="17"/>
        <v>25.152203344264553</v>
      </c>
      <c r="G109" s="137">
        <f t="shared" ca="1" si="18"/>
        <v>22.322728576807634</v>
      </c>
      <c r="H109" s="152">
        <f t="shared" ca="1" si="19"/>
        <v>2.8211745061550406</v>
      </c>
      <c r="I109" s="152">
        <f t="shared" ca="1" si="20"/>
        <v>2.6034058309111017E-3</v>
      </c>
      <c r="J109" s="190">
        <f t="shared" ca="1" si="21"/>
        <v>1</v>
      </c>
      <c r="K109" s="187" t="str" cm="1">
        <f t="array" aca="1" ref="K109" ca="1">_xlfn.IFS(G109&lt;$B$11,"Fail",G109&lt;25,"Marginal",G109&lt;35,"Solid",TRUE,"Blowout")</f>
        <v>Marginal</v>
      </c>
      <c r="L109" s="193">
        <f t="shared" ca="1" si="11"/>
        <v>0</v>
      </c>
      <c r="M109" s="184" t="str" cm="1">
        <f t="array" aca="1" ref="M109" ca="1">_xlfn.IFS(C109&lt;$B$11,"Fail",C109&lt;25,"Marginal",C109&lt;35,"Solid",TRUE,"Blowout")</f>
        <v>Fail</v>
      </c>
    </row>
    <row r="110" spans="1:13" x14ac:dyDescent="0.25">
      <c r="A110" s="138">
        <f t="shared" ca="1" si="12"/>
        <v>-0.5327664179845506</v>
      </c>
      <c r="B110" s="137">
        <f t="shared" ca="1" si="13"/>
        <v>0.10647643785086114</v>
      </c>
      <c r="C110" s="137">
        <f t="shared" ca="1" si="14"/>
        <v>-0.63924285583541174</v>
      </c>
      <c r="D110" s="152">
        <f t="shared" ca="1" si="15"/>
        <v>-8.0788315904995495E-2</v>
      </c>
      <c r="E110" s="197">
        <f t="shared" ca="1" si="16"/>
        <v>0.53215941496475727</v>
      </c>
      <c r="F110" s="137">
        <f t="shared" ca="1" si="17"/>
        <v>31.616998894920808</v>
      </c>
      <c r="G110" s="137">
        <f t="shared" ca="1" si="18"/>
        <v>31.510522457069946</v>
      </c>
      <c r="H110" s="152">
        <f t="shared" ca="1" si="19"/>
        <v>3.9823394494825108</v>
      </c>
      <c r="I110" s="152">
        <f t="shared" ca="1" si="20"/>
        <v>4.5897393707264311E-5</v>
      </c>
      <c r="J110" s="190">
        <f t="shared" ca="1" si="21"/>
        <v>1</v>
      </c>
      <c r="K110" s="187" t="str" cm="1">
        <f t="array" aca="1" ref="K110" ca="1">_xlfn.IFS(G110&lt;$B$11,"Fail",G110&lt;25,"Marginal",G110&lt;35,"Solid",TRUE,"Blowout")</f>
        <v>Solid</v>
      </c>
      <c r="L110" s="193">
        <f t="shared" ca="1" si="11"/>
        <v>0</v>
      </c>
      <c r="M110" s="184" t="str" cm="1">
        <f t="array" aca="1" ref="M110" ca="1">_xlfn.IFS(C110&lt;$B$11,"Fail",C110&lt;25,"Marginal",C110&lt;35,"Solid",TRUE,"Blowout")</f>
        <v>Fail</v>
      </c>
    </row>
    <row r="111" spans="1:13" x14ac:dyDescent="0.25">
      <c r="A111" s="138">
        <f t="shared" ca="1" si="12"/>
        <v>15.890127576021438</v>
      </c>
      <c r="B111" s="137">
        <f t="shared" ca="1" si="13"/>
        <v>5.193760205996198</v>
      </c>
      <c r="C111" s="137">
        <f t="shared" ca="1" si="14"/>
        <v>10.696367370025239</v>
      </c>
      <c r="D111" s="152">
        <f t="shared" ca="1" si="15"/>
        <v>1.351820357845311</v>
      </c>
      <c r="E111" s="197">
        <f t="shared" ca="1" si="16"/>
        <v>8.8886158790930023E-2</v>
      </c>
      <c r="F111" s="137">
        <f t="shared" ca="1" si="17"/>
        <v>56.56237704434929</v>
      </c>
      <c r="G111" s="137">
        <f t="shared" ca="1" si="18"/>
        <v>51.368616838353091</v>
      </c>
      <c r="H111" s="152">
        <f t="shared" ca="1" si="19"/>
        <v>6.4920303869740117</v>
      </c>
      <c r="I111" s="152">
        <f t="shared" ca="1" si="20"/>
        <v>2.6149386342401956E-10</v>
      </c>
      <c r="J111" s="190">
        <f t="shared" ca="1" si="21"/>
        <v>1</v>
      </c>
      <c r="K111" s="187" t="str" cm="1">
        <f t="array" aca="1" ref="K111" ca="1">_xlfn.IFS(G111&lt;$B$11,"Fail",G111&lt;25,"Marginal",G111&lt;35,"Solid",TRUE,"Blowout")</f>
        <v>Blowout</v>
      </c>
      <c r="L111" s="193">
        <f t="shared" ca="1" si="11"/>
        <v>0</v>
      </c>
      <c r="M111" s="184" t="str" cm="1">
        <f t="array" aca="1" ref="M111" ca="1">_xlfn.IFS(C111&lt;$B$11,"Fail",C111&lt;25,"Marginal",C111&lt;35,"Solid",TRUE,"Blowout")</f>
        <v>Fail</v>
      </c>
    </row>
    <row r="112" spans="1:13" x14ac:dyDescent="0.25">
      <c r="A112" s="138">
        <f t="shared" ca="1" si="12"/>
        <v>45.407132092222092</v>
      </c>
      <c r="B112" s="137">
        <f t="shared" ca="1" si="13"/>
        <v>2.1065168746966529</v>
      </c>
      <c r="C112" s="137">
        <f t="shared" ca="1" si="14"/>
        <v>43.30061521752544</v>
      </c>
      <c r="D112" s="152">
        <f t="shared" ca="1" si="15"/>
        <v>5.4723861974216428</v>
      </c>
      <c r="E112" s="197">
        <f t="shared" ca="1" si="16"/>
        <v>5.8317278229596044E-8</v>
      </c>
      <c r="F112" s="137">
        <f t="shared" ca="1" si="17"/>
        <v>38.380832368584002</v>
      </c>
      <c r="G112" s="137">
        <f t="shared" ca="1" si="18"/>
        <v>36.27431549388735</v>
      </c>
      <c r="H112" s="152">
        <f t="shared" ca="1" si="19"/>
        <v>4.584393603472952</v>
      </c>
      <c r="I112" s="152">
        <f t="shared" ca="1" si="20"/>
        <v>3.7525011666951835E-6</v>
      </c>
      <c r="J112" s="190">
        <f t="shared" ca="1" si="21"/>
        <v>1</v>
      </c>
      <c r="K112" s="187" t="str" cm="1">
        <f t="array" aca="1" ref="K112" ca="1">_xlfn.IFS(G112&lt;$B$11,"Fail",G112&lt;25,"Marginal",G112&lt;35,"Solid",TRUE,"Blowout")</f>
        <v>Blowout</v>
      </c>
      <c r="L112" s="193">
        <f t="shared" ca="1" si="11"/>
        <v>1</v>
      </c>
      <c r="M112" s="184" t="str" cm="1">
        <f t="array" aca="1" ref="M112" ca="1">_xlfn.IFS(C112&lt;$B$11,"Fail",C112&lt;25,"Marginal",C112&lt;35,"Solid",TRUE,"Blowout")</f>
        <v>Blowout</v>
      </c>
    </row>
    <row r="113" spans="1:13" x14ac:dyDescent="0.25">
      <c r="A113" s="138">
        <f t="shared" ca="1" si="12"/>
        <v>-2.9566138786501613E-2</v>
      </c>
      <c r="B113" s="137">
        <f t="shared" ca="1" si="13"/>
        <v>11.890489116047661</v>
      </c>
      <c r="C113" s="137">
        <f t="shared" ca="1" si="14"/>
        <v>-11.920055254834162</v>
      </c>
      <c r="D113" s="152">
        <f t="shared" ca="1" si="15"/>
        <v>-1.5064715713936605</v>
      </c>
      <c r="E113" s="197">
        <f t="shared" ca="1" si="16"/>
        <v>0.93333481585573042</v>
      </c>
      <c r="F113" s="137">
        <f t="shared" ca="1" si="17"/>
        <v>67.860786155817934</v>
      </c>
      <c r="G113" s="137">
        <f t="shared" ca="1" si="18"/>
        <v>55.970297039770273</v>
      </c>
      <c r="H113" s="152">
        <f t="shared" ca="1" si="19"/>
        <v>7.073596516985754</v>
      </c>
      <c r="I113" s="152">
        <f t="shared" ca="1" si="20"/>
        <v>9.1781395865469378E-12</v>
      </c>
      <c r="J113" s="190">
        <f t="shared" ca="1" si="21"/>
        <v>1</v>
      </c>
      <c r="K113" s="187" t="str" cm="1">
        <f t="array" aca="1" ref="K113" ca="1">_xlfn.IFS(G113&lt;$B$11,"Fail",G113&lt;25,"Marginal",G113&lt;35,"Solid",TRUE,"Blowout")</f>
        <v>Blowout</v>
      </c>
      <c r="L113" s="193">
        <f t="shared" ca="1" si="11"/>
        <v>0</v>
      </c>
      <c r="M113" s="184" t="str" cm="1">
        <f t="array" aca="1" ref="M113" ca="1">_xlfn.IFS(C113&lt;$B$11,"Fail",C113&lt;25,"Marginal",C113&lt;35,"Solid",TRUE,"Blowout")</f>
        <v>Fail</v>
      </c>
    </row>
    <row r="114" spans="1:13" x14ac:dyDescent="0.25">
      <c r="A114" s="138">
        <f t="shared" ca="1" si="12"/>
        <v>14.417486123569509</v>
      </c>
      <c r="B114" s="137">
        <f t="shared" ca="1" si="13"/>
        <v>5.9421594457169427</v>
      </c>
      <c r="C114" s="137">
        <f t="shared" ca="1" si="14"/>
        <v>8.475326677852566</v>
      </c>
      <c r="D114" s="152">
        <f t="shared" ca="1" si="15"/>
        <v>1.0711224424300538</v>
      </c>
      <c r="E114" s="197">
        <f t="shared" ca="1" si="16"/>
        <v>0.1426234512358738</v>
      </c>
      <c r="F114" s="137">
        <f t="shared" ca="1" si="17"/>
        <v>2.7333208157449018</v>
      </c>
      <c r="G114" s="137">
        <f t="shared" ca="1" si="18"/>
        <v>-3.2088386299720408</v>
      </c>
      <c r="H114" s="152">
        <f t="shared" ca="1" si="19"/>
        <v>-0.40553706085231683</v>
      </c>
      <c r="I114" s="152">
        <f t="shared" ca="1" si="20"/>
        <v>0.65726846401403438</v>
      </c>
      <c r="J114" s="190">
        <f t="shared" ca="1" si="21"/>
        <v>0</v>
      </c>
      <c r="K114" s="187" t="str" cm="1">
        <f t="array" aca="1" ref="K114" ca="1">_xlfn.IFS(G114&lt;$B$11,"Fail",G114&lt;25,"Marginal",G114&lt;35,"Solid",TRUE,"Blowout")</f>
        <v>Fail</v>
      </c>
      <c r="L114" s="193">
        <f t="shared" ca="1" si="11"/>
        <v>0</v>
      </c>
      <c r="M114" s="184" t="str" cm="1">
        <f t="array" aca="1" ref="M114" ca="1">_xlfn.IFS(C114&lt;$B$11,"Fail",C114&lt;25,"Marginal",C114&lt;35,"Solid",TRUE,"Blowout")</f>
        <v>Fail</v>
      </c>
    </row>
    <row r="115" spans="1:13" x14ac:dyDescent="0.25">
      <c r="A115" s="138">
        <f t="shared" ca="1" si="12"/>
        <v>-1.3923308600297681</v>
      </c>
      <c r="B115" s="137">
        <f t="shared" ca="1" si="13"/>
        <v>16.179413142263357</v>
      </c>
      <c r="C115" s="137">
        <f t="shared" ca="1" si="14"/>
        <v>-17.571744002293126</v>
      </c>
      <c r="D115" s="152">
        <f t="shared" ca="1" si="15"/>
        <v>-2.2207391017358113</v>
      </c>
      <c r="E115" s="197">
        <f t="shared" ca="1" si="16"/>
        <v>0.98632384030950826</v>
      </c>
      <c r="F115" s="137">
        <f t="shared" ca="1" si="17"/>
        <v>25.076519701438514</v>
      </c>
      <c r="G115" s="137">
        <f t="shared" ca="1" si="18"/>
        <v>8.8971065591751568</v>
      </c>
      <c r="H115" s="152">
        <f t="shared" ca="1" si="19"/>
        <v>1.124427514177988</v>
      </c>
      <c r="I115" s="152">
        <f t="shared" ca="1" si="20"/>
        <v>0.13100705134084289</v>
      </c>
      <c r="J115" s="190">
        <f t="shared" ca="1" si="21"/>
        <v>0</v>
      </c>
      <c r="K115" s="187" t="str" cm="1">
        <f t="array" aca="1" ref="K115" ca="1">_xlfn.IFS(G115&lt;$B$11,"Fail",G115&lt;25,"Marginal",G115&lt;35,"Solid",TRUE,"Blowout")</f>
        <v>Fail</v>
      </c>
      <c r="L115" s="193">
        <f t="shared" ca="1" si="11"/>
        <v>0</v>
      </c>
      <c r="M115" s="184" t="str" cm="1">
        <f t="array" aca="1" ref="M115" ca="1">_xlfn.IFS(C115&lt;$B$11,"Fail",C115&lt;25,"Marginal",C115&lt;35,"Solid",TRUE,"Blowout")</f>
        <v>Fail</v>
      </c>
    </row>
    <row r="116" spans="1:13" x14ac:dyDescent="0.25">
      <c r="A116" s="138">
        <f t="shared" ca="1" si="12"/>
        <v>37.99969083376903</v>
      </c>
      <c r="B116" s="137">
        <f t="shared" ca="1" si="13"/>
        <v>0.23516819138023326</v>
      </c>
      <c r="C116" s="137">
        <f t="shared" ca="1" si="14"/>
        <v>37.764522642388798</v>
      </c>
      <c r="D116" s="152">
        <f t="shared" ca="1" si="15"/>
        <v>4.7727278566883138</v>
      </c>
      <c r="E116" s="197">
        <f t="shared" ca="1" si="16"/>
        <v>1.6238277487896652E-6</v>
      </c>
      <c r="F116" s="137">
        <f t="shared" ca="1" si="17"/>
        <v>-1.1094686273825927E-2</v>
      </c>
      <c r="G116" s="137">
        <f t="shared" ca="1" si="18"/>
        <v>-0.24626287765405919</v>
      </c>
      <c r="H116" s="152">
        <f t="shared" ca="1" si="19"/>
        <v>-3.1123012129073948E-2</v>
      </c>
      <c r="I116" s="152">
        <f t="shared" ca="1" si="20"/>
        <v>0.51240066781025462</v>
      </c>
      <c r="J116" s="190">
        <f t="shared" ca="1" si="21"/>
        <v>0</v>
      </c>
      <c r="K116" s="187" t="str" cm="1">
        <f t="array" aca="1" ref="K116" ca="1">_xlfn.IFS(G116&lt;$B$11,"Fail",G116&lt;25,"Marginal",G116&lt;35,"Solid",TRUE,"Blowout")</f>
        <v>Fail</v>
      </c>
      <c r="L116" s="193">
        <f t="shared" ca="1" si="11"/>
        <v>1</v>
      </c>
      <c r="M116" s="184" t="str" cm="1">
        <f t="array" aca="1" ref="M116" ca="1">_xlfn.IFS(C116&lt;$B$11,"Fail",C116&lt;25,"Marginal",C116&lt;35,"Solid",TRUE,"Blowout")</f>
        <v>Blowout</v>
      </c>
    </row>
    <row r="117" spans="1:13" x14ac:dyDescent="0.25">
      <c r="A117" s="138">
        <f t="shared" ca="1" si="12"/>
        <v>21.884250871485527</v>
      </c>
      <c r="B117" s="137">
        <f t="shared" ca="1" si="13"/>
        <v>6.5855725570244026</v>
      </c>
      <c r="C117" s="137">
        <f t="shared" ca="1" si="14"/>
        <v>15.298678314461124</v>
      </c>
      <c r="D117" s="152">
        <f t="shared" ca="1" si="15"/>
        <v>1.9334662019528539</v>
      </c>
      <c r="E117" s="197">
        <f t="shared" ca="1" si="16"/>
        <v>2.7208445740816895E-2</v>
      </c>
      <c r="F117" s="137">
        <f t="shared" ca="1" si="17"/>
        <v>50.321962350552596</v>
      </c>
      <c r="G117" s="137">
        <f t="shared" ca="1" si="18"/>
        <v>43.73638979352819</v>
      </c>
      <c r="H117" s="152">
        <f t="shared" ca="1" si="19"/>
        <v>5.5274599362801968</v>
      </c>
      <c r="I117" s="152">
        <f t="shared" ca="1" si="20"/>
        <v>4.4265513061268826E-8</v>
      </c>
      <c r="J117" s="190">
        <f t="shared" ca="1" si="21"/>
        <v>1</v>
      </c>
      <c r="K117" s="187" t="str" cm="1">
        <f t="array" aca="1" ref="K117" ca="1">_xlfn.IFS(G117&lt;$B$11,"Fail",G117&lt;25,"Marginal",G117&lt;35,"Solid",TRUE,"Blowout")</f>
        <v>Blowout</v>
      </c>
      <c r="L117" s="193">
        <f t="shared" ca="1" si="11"/>
        <v>0</v>
      </c>
      <c r="M117" s="184" t="str" cm="1">
        <f t="array" aca="1" ref="M117" ca="1">_xlfn.IFS(C117&lt;$B$11,"Fail",C117&lt;25,"Marginal",C117&lt;35,"Solid",TRUE,"Blowout")</f>
        <v>Fail</v>
      </c>
    </row>
    <row r="118" spans="1:13" x14ac:dyDescent="0.25">
      <c r="A118" s="138">
        <f t="shared" ca="1" si="12"/>
        <v>40.79158041074632</v>
      </c>
      <c r="B118" s="137">
        <f t="shared" ca="1" si="13"/>
        <v>2.6154747126993505</v>
      </c>
      <c r="C118" s="137">
        <f t="shared" ca="1" si="14"/>
        <v>38.176105698046968</v>
      </c>
      <c r="D118" s="152">
        <f t="shared" ca="1" si="15"/>
        <v>4.8247442407872807</v>
      </c>
      <c r="E118" s="197">
        <f t="shared" ca="1" si="16"/>
        <v>1.2827498628494775E-6</v>
      </c>
      <c r="F118" s="137">
        <f t="shared" ca="1" si="17"/>
        <v>27.813212914101658</v>
      </c>
      <c r="G118" s="137">
        <f t="shared" ca="1" si="18"/>
        <v>25.197738201402309</v>
      </c>
      <c r="H118" s="152">
        <f t="shared" ca="1" si="19"/>
        <v>3.1845218375508879</v>
      </c>
      <c r="I118" s="152">
        <f t="shared" ca="1" si="20"/>
        <v>8.2618672767396028E-4</v>
      </c>
      <c r="J118" s="190">
        <f t="shared" ca="1" si="21"/>
        <v>1</v>
      </c>
      <c r="K118" s="187" t="str" cm="1">
        <f t="array" aca="1" ref="K118" ca="1">_xlfn.IFS(G118&lt;$B$11,"Fail",G118&lt;25,"Marginal",G118&lt;35,"Solid",TRUE,"Blowout")</f>
        <v>Solid</v>
      </c>
      <c r="L118" s="193">
        <f t="shared" ca="1" si="11"/>
        <v>1</v>
      </c>
      <c r="M118" s="184" t="str" cm="1">
        <f t="array" aca="1" ref="M118" ca="1">_xlfn.IFS(C118&lt;$B$11,"Fail",C118&lt;25,"Marginal",C118&lt;35,"Solid",TRUE,"Blowout")</f>
        <v>Blowout</v>
      </c>
    </row>
    <row r="119" spans="1:13" x14ac:dyDescent="0.25">
      <c r="A119" s="138">
        <f t="shared" ca="1" si="12"/>
        <v>33.330528724333682</v>
      </c>
      <c r="B119" s="137">
        <f t="shared" ca="1" si="13"/>
        <v>-0.16387543762457479</v>
      </c>
      <c r="C119" s="137">
        <f t="shared" ca="1" si="14"/>
        <v>33.494404161958258</v>
      </c>
      <c r="D119" s="152">
        <f t="shared" ca="1" si="15"/>
        <v>4.233064913880856</v>
      </c>
      <c r="E119" s="197">
        <f t="shared" ca="1" si="16"/>
        <v>1.6715863311335267E-5</v>
      </c>
      <c r="F119" s="137">
        <f t="shared" ca="1" si="17"/>
        <v>23.779732850489598</v>
      </c>
      <c r="G119" s="137">
        <f t="shared" ca="1" si="18"/>
        <v>23.943608288114174</v>
      </c>
      <c r="H119" s="152">
        <f t="shared" ca="1" si="19"/>
        <v>3.0260233221655026</v>
      </c>
      <c r="I119" s="152">
        <f t="shared" ca="1" si="20"/>
        <v>1.3811956684510543E-3</v>
      </c>
      <c r="J119" s="190">
        <f t="shared" ca="1" si="21"/>
        <v>1</v>
      </c>
      <c r="K119" s="187" t="str" cm="1">
        <f t="array" aca="1" ref="K119" ca="1">_xlfn.IFS(G119&lt;$B$11,"Fail",G119&lt;25,"Marginal",G119&lt;35,"Solid",TRUE,"Blowout")</f>
        <v>Marginal</v>
      </c>
      <c r="L119" s="193">
        <f t="shared" ca="1" si="11"/>
        <v>1</v>
      </c>
      <c r="M119" s="184" t="str" cm="1">
        <f t="array" aca="1" ref="M119" ca="1">_xlfn.IFS(C119&lt;$B$11,"Fail",C119&lt;25,"Marginal",C119&lt;35,"Solid",TRUE,"Blowout")</f>
        <v>Solid</v>
      </c>
    </row>
    <row r="120" spans="1:13" x14ac:dyDescent="0.25">
      <c r="A120" s="138">
        <f t="shared" ca="1" si="12"/>
        <v>36.875316816197497</v>
      </c>
      <c r="B120" s="137">
        <f t="shared" ca="1" si="13"/>
        <v>6.034378035744858</v>
      </c>
      <c r="C120" s="137">
        <f t="shared" ca="1" si="14"/>
        <v>30.840938780452639</v>
      </c>
      <c r="D120" s="152">
        <f t="shared" ca="1" si="15"/>
        <v>3.8977166224965254</v>
      </c>
      <c r="E120" s="197">
        <f t="shared" ca="1" si="16"/>
        <v>6.3850356932577631E-5</v>
      </c>
      <c r="F120" s="137">
        <f t="shared" ca="1" si="17"/>
        <v>18.294264516490252</v>
      </c>
      <c r="G120" s="137">
        <f t="shared" ca="1" si="18"/>
        <v>12.259886480745394</v>
      </c>
      <c r="H120" s="152">
        <f t="shared" ca="1" si="19"/>
        <v>1.5494198690283973</v>
      </c>
      <c r="I120" s="152">
        <f t="shared" ca="1" si="20"/>
        <v>6.1333871181609642E-2</v>
      </c>
      <c r="J120" s="190">
        <f t="shared" ca="1" si="21"/>
        <v>0</v>
      </c>
      <c r="K120" s="187" t="str" cm="1">
        <f t="array" aca="1" ref="K120" ca="1">_xlfn.IFS(G120&lt;$B$11,"Fail",G120&lt;25,"Marginal",G120&lt;35,"Solid",TRUE,"Blowout")</f>
        <v>Fail</v>
      </c>
      <c r="L120" s="193">
        <f t="shared" ca="1" si="11"/>
        <v>1</v>
      </c>
      <c r="M120" s="184" t="str" cm="1">
        <f t="array" aca="1" ref="M120" ca="1">_xlfn.IFS(C120&lt;$B$11,"Fail",C120&lt;25,"Marginal",C120&lt;35,"Solid",TRUE,"Blowout")</f>
        <v>Solid</v>
      </c>
    </row>
    <row r="121" spans="1:13" x14ac:dyDescent="0.25">
      <c r="A121" s="138">
        <f t="shared" ca="1" si="12"/>
        <v>24.950398392318327</v>
      </c>
      <c r="B121" s="137">
        <f t="shared" ca="1" si="13"/>
        <v>7.0519873535959228</v>
      </c>
      <c r="C121" s="137">
        <f t="shared" ca="1" si="14"/>
        <v>17.898411038722404</v>
      </c>
      <c r="D121" s="152">
        <f t="shared" ca="1" si="15"/>
        <v>2.2620236925511557</v>
      </c>
      <c r="E121" s="197">
        <f t="shared" ca="1" si="16"/>
        <v>1.2319245491718415E-2</v>
      </c>
      <c r="F121" s="137">
        <f t="shared" ca="1" si="17"/>
        <v>29.602085137840923</v>
      </c>
      <c r="G121" s="137">
        <f t="shared" ca="1" si="18"/>
        <v>22.550097784245001</v>
      </c>
      <c r="H121" s="152">
        <f t="shared" ca="1" si="19"/>
        <v>2.849909712485212</v>
      </c>
      <c r="I121" s="152">
        <f t="shared" ca="1" si="20"/>
        <v>2.3868485234555749E-3</v>
      </c>
      <c r="J121" s="190">
        <f t="shared" ca="1" si="21"/>
        <v>1</v>
      </c>
      <c r="K121" s="187" t="str" cm="1">
        <f t="array" aca="1" ref="K121" ca="1">_xlfn.IFS(G121&lt;$B$11,"Fail",G121&lt;25,"Marginal",G121&lt;35,"Solid",TRUE,"Blowout")</f>
        <v>Marginal</v>
      </c>
      <c r="L121" s="193">
        <f t="shared" ca="1" si="11"/>
        <v>0</v>
      </c>
      <c r="M121" s="184" t="str" cm="1">
        <f t="array" aca="1" ref="M121" ca="1">_xlfn.IFS(C121&lt;$B$11,"Fail",C121&lt;25,"Marginal",C121&lt;35,"Solid",TRUE,"Blowout")</f>
        <v>Fail</v>
      </c>
    </row>
    <row r="122" spans="1:13" x14ac:dyDescent="0.25">
      <c r="A122" s="138">
        <f t="shared" ca="1" si="12"/>
        <v>34.386049705684286</v>
      </c>
      <c r="B122" s="137">
        <f t="shared" ca="1" si="13"/>
        <v>19.015194176103812</v>
      </c>
      <c r="C122" s="137">
        <f t="shared" ca="1" si="14"/>
        <v>15.370855529580474</v>
      </c>
      <c r="D122" s="152">
        <f t="shared" ca="1" si="15"/>
        <v>1.9425880491553298</v>
      </c>
      <c r="E122" s="197">
        <f t="shared" ca="1" si="16"/>
        <v>2.6648657620139047E-2</v>
      </c>
      <c r="F122" s="137">
        <f t="shared" ca="1" si="17"/>
        <v>24.945161480549505</v>
      </c>
      <c r="G122" s="137">
        <f t="shared" ca="1" si="18"/>
        <v>5.9299673044456931</v>
      </c>
      <c r="H122" s="152">
        <f t="shared" ca="1" si="19"/>
        <v>0.74943672428183028</v>
      </c>
      <c r="I122" s="152">
        <f t="shared" ca="1" si="20"/>
        <v>0.22718328266828386</v>
      </c>
      <c r="J122" s="190">
        <f t="shared" ca="1" si="21"/>
        <v>0</v>
      </c>
      <c r="K122" s="187" t="str" cm="1">
        <f t="array" aca="1" ref="K122" ca="1">_xlfn.IFS(G122&lt;$B$11,"Fail",G122&lt;25,"Marginal",G122&lt;35,"Solid",TRUE,"Blowout")</f>
        <v>Fail</v>
      </c>
      <c r="L122" s="193">
        <f t="shared" ca="1" si="11"/>
        <v>0</v>
      </c>
      <c r="M122" s="184" t="str" cm="1">
        <f t="array" aca="1" ref="M122" ca="1">_xlfn.IFS(C122&lt;$B$11,"Fail",C122&lt;25,"Marginal",C122&lt;35,"Solid",TRUE,"Blowout")</f>
        <v>Fail</v>
      </c>
    </row>
    <row r="123" spans="1:13" x14ac:dyDescent="0.25">
      <c r="A123" s="138">
        <f t="shared" ca="1" si="12"/>
        <v>7.3042734608348105</v>
      </c>
      <c r="B123" s="137">
        <f t="shared" ca="1" si="13"/>
        <v>-0.2864862467916609</v>
      </c>
      <c r="C123" s="137">
        <f t="shared" ca="1" si="14"/>
        <v>7.5907597076264715</v>
      </c>
      <c r="D123" s="152">
        <f t="shared" ca="1" si="15"/>
        <v>0.95932975647761176</v>
      </c>
      <c r="E123" s="197">
        <f t="shared" ca="1" si="16"/>
        <v>0.16920442393132562</v>
      </c>
      <c r="F123" s="137">
        <f t="shared" ca="1" si="17"/>
        <v>25.859037858205852</v>
      </c>
      <c r="G123" s="137">
        <f t="shared" ca="1" si="18"/>
        <v>26.145524104997513</v>
      </c>
      <c r="H123" s="152">
        <f t="shared" ca="1" si="19"/>
        <v>3.3043042117940593</v>
      </c>
      <c r="I123" s="152">
        <f t="shared" ca="1" si="20"/>
        <v>5.5280530185802541E-4</v>
      </c>
      <c r="J123" s="190">
        <f t="shared" ca="1" si="21"/>
        <v>1</v>
      </c>
      <c r="K123" s="187" t="str" cm="1">
        <f t="array" aca="1" ref="K123" ca="1">_xlfn.IFS(G123&lt;$B$11,"Fail",G123&lt;25,"Marginal",G123&lt;35,"Solid",TRUE,"Blowout")</f>
        <v>Solid</v>
      </c>
      <c r="L123" s="193">
        <f t="shared" ca="1" si="11"/>
        <v>0</v>
      </c>
      <c r="M123" s="184" t="str" cm="1">
        <f t="array" aca="1" ref="M123" ca="1">_xlfn.IFS(C123&lt;$B$11,"Fail",C123&lt;25,"Marginal",C123&lt;35,"Solid",TRUE,"Blowout")</f>
        <v>Fail</v>
      </c>
    </row>
    <row r="124" spans="1:13" x14ac:dyDescent="0.25">
      <c r="A124" s="138">
        <f t="shared" ca="1" si="12"/>
        <v>6.4287306454964339</v>
      </c>
      <c r="B124" s="137">
        <f t="shared" ca="1" si="13"/>
        <v>0.19655868327057746</v>
      </c>
      <c r="C124" s="137">
        <f t="shared" ca="1" si="14"/>
        <v>6.2321719622258565</v>
      </c>
      <c r="D124" s="152">
        <f t="shared" ca="1" si="15"/>
        <v>0.78762972892448369</v>
      </c>
      <c r="E124" s="197">
        <f t="shared" ca="1" si="16"/>
        <v>0.21586567840196719</v>
      </c>
      <c r="F124" s="137">
        <f t="shared" ca="1" si="17"/>
        <v>-1.6329999723450594</v>
      </c>
      <c r="G124" s="137">
        <f t="shared" ca="1" si="18"/>
        <v>-1.8295586556156369</v>
      </c>
      <c r="H124" s="152">
        <f t="shared" ca="1" si="19"/>
        <v>-0.23122192338532971</v>
      </c>
      <c r="I124" s="152">
        <f t="shared" ca="1" si="20"/>
        <v>0.5913251180093817</v>
      </c>
      <c r="J124" s="190">
        <f t="shared" ca="1" si="21"/>
        <v>0</v>
      </c>
      <c r="K124" s="187" t="str" cm="1">
        <f t="array" aca="1" ref="K124" ca="1">_xlfn.IFS(G124&lt;$B$11,"Fail",G124&lt;25,"Marginal",G124&lt;35,"Solid",TRUE,"Blowout")</f>
        <v>Fail</v>
      </c>
      <c r="L124" s="193">
        <f t="shared" ca="1" si="11"/>
        <v>0</v>
      </c>
      <c r="M124" s="184" t="str" cm="1">
        <f t="array" aca="1" ref="M124" ca="1">_xlfn.IFS(C124&lt;$B$11,"Fail",C124&lt;25,"Marginal",C124&lt;35,"Solid",TRUE,"Blowout")</f>
        <v>Fail</v>
      </c>
    </row>
    <row r="125" spans="1:13" x14ac:dyDescent="0.25">
      <c r="A125" s="138">
        <f t="shared" ca="1" si="12"/>
        <v>30.607624382520566</v>
      </c>
      <c r="B125" s="137">
        <f t="shared" ca="1" si="13"/>
        <v>13.504944072461408</v>
      </c>
      <c r="C125" s="137">
        <f t="shared" ca="1" si="14"/>
        <v>17.102680310059156</v>
      </c>
      <c r="D125" s="152">
        <f t="shared" ca="1" si="15"/>
        <v>2.1614582425101925</v>
      </c>
      <c r="E125" s="197">
        <f t="shared" ca="1" si="16"/>
        <v>1.5850752030266962E-2</v>
      </c>
      <c r="F125" s="137">
        <f t="shared" ca="1" si="17"/>
        <v>11.784668701003351</v>
      </c>
      <c r="G125" s="137">
        <f t="shared" ca="1" si="18"/>
        <v>-1.7202753714580563</v>
      </c>
      <c r="H125" s="152">
        <f t="shared" ca="1" si="19"/>
        <v>-0.21741056452059926</v>
      </c>
      <c r="I125" s="152">
        <f t="shared" ca="1" si="20"/>
        <v>0.58595858371293064</v>
      </c>
      <c r="J125" s="190">
        <f t="shared" ca="1" si="21"/>
        <v>0</v>
      </c>
      <c r="K125" s="187" t="str" cm="1">
        <f t="array" aca="1" ref="K125" ca="1">_xlfn.IFS(G125&lt;$B$11,"Fail",G125&lt;25,"Marginal",G125&lt;35,"Solid",TRUE,"Blowout")</f>
        <v>Fail</v>
      </c>
      <c r="L125" s="193">
        <f t="shared" ca="1" si="11"/>
        <v>0</v>
      </c>
      <c r="M125" s="184" t="str" cm="1">
        <f t="array" aca="1" ref="M125" ca="1">_xlfn.IFS(C125&lt;$B$11,"Fail",C125&lt;25,"Marginal",C125&lt;35,"Solid",TRUE,"Blowout")</f>
        <v>Fail</v>
      </c>
    </row>
    <row r="126" spans="1:13" x14ac:dyDescent="0.25">
      <c r="A126" s="138">
        <f t="shared" ca="1" si="12"/>
        <v>23.302287906349061</v>
      </c>
      <c r="B126" s="137">
        <f t="shared" ca="1" si="13"/>
        <v>7.2278320315220306</v>
      </c>
      <c r="C126" s="137">
        <f t="shared" ca="1" si="14"/>
        <v>16.074455874827031</v>
      </c>
      <c r="D126" s="152">
        <f t="shared" ca="1" si="15"/>
        <v>2.0315099454952681</v>
      </c>
      <c r="E126" s="197">
        <f t="shared" ca="1" si="16"/>
        <v>2.1681691868367131E-2</v>
      </c>
      <c r="F126" s="137">
        <f t="shared" ca="1" si="17"/>
        <v>4.8096336423300938</v>
      </c>
      <c r="G126" s="137">
        <f t="shared" ca="1" si="18"/>
        <v>-2.4181983891919367</v>
      </c>
      <c r="H126" s="152">
        <f t="shared" ca="1" si="19"/>
        <v>-0.30561495307080921</v>
      </c>
      <c r="I126" s="152">
        <f t="shared" ca="1" si="20"/>
        <v>0.61991166135144438</v>
      </c>
      <c r="J126" s="190">
        <f t="shared" ca="1" si="21"/>
        <v>0</v>
      </c>
      <c r="K126" s="187" t="str" cm="1">
        <f t="array" aca="1" ref="K126" ca="1">_xlfn.IFS(G126&lt;$B$11,"Fail",G126&lt;25,"Marginal",G126&lt;35,"Solid",TRUE,"Blowout")</f>
        <v>Fail</v>
      </c>
      <c r="L126" s="193">
        <f t="shared" ca="1" si="11"/>
        <v>0</v>
      </c>
      <c r="M126" s="184" t="str" cm="1">
        <f t="array" aca="1" ref="M126" ca="1">_xlfn.IFS(C126&lt;$B$11,"Fail",C126&lt;25,"Marginal",C126&lt;35,"Solid",TRUE,"Blowout")</f>
        <v>Fail</v>
      </c>
    </row>
    <row r="127" spans="1:13" x14ac:dyDescent="0.25">
      <c r="A127" s="138">
        <f t="shared" ca="1" si="12"/>
        <v>23.989916520343947</v>
      </c>
      <c r="B127" s="137">
        <f t="shared" ca="1" si="13"/>
        <v>18.107218666540334</v>
      </c>
      <c r="C127" s="137">
        <f t="shared" ca="1" si="14"/>
        <v>5.882697853803613</v>
      </c>
      <c r="D127" s="152">
        <f t="shared" ca="1" si="15"/>
        <v>0.74346275167303633</v>
      </c>
      <c r="E127" s="197">
        <f t="shared" ca="1" si="16"/>
        <v>0.22898349083525193</v>
      </c>
      <c r="F127" s="137">
        <f t="shared" ca="1" si="17"/>
        <v>35.253132848281219</v>
      </c>
      <c r="G127" s="137">
        <f t="shared" ca="1" si="18"/>
        <v>17.145914181740885</v>
      </c>
      <c r="H127" s="152">
        <f t="shared" ca="1" si="19"/>
        <v>2.1669221935756369</v>
      </c>
      <c r="I127" s="152">
        <f t="shared" ca="1" si="20"/>
        <v>1.5638537106161796E-2</v>
      </c>
      <c r="J127" s="190">
        <f t="shared" ca="1" si="21"/>
        <v>0</v>
      </c>
      <c r="K127" s="187" t="str" cm="1">
        <f t="array" aca="1" ref="K127" ca="1">_xlfn.IFS(G127&lt;$B$11,"Fail",G127&lt;25,"Marginal",G127&lt;35,"Solid",TRUE,"Blowout")</f>
        <v>Fail</v>
      </c>
      <c r="L127" s="193">
        <f t="shared" ca="1" si="11"/>
        <v>0</v>
      </c>
      <c r="M127" s="184" t="str" cm="1">
        <f t="array" aca="1" ref="M127" ca="1">_xlfn.IFS(C127&lt;$B$11,"Fail",C127&lt;25,"Marginal",C127&lt;35,"Solid",TRUE,"Blowout")</f>
        <v>Fail</v>
      </c>
    </row>
    <row r="128" spans="1:13" x14ac:dyDescent="0.25">
      <c r="A128" s="138">
        <f t="shared" ca="1" si="12"/>
        <v>24.034468300840793</v>
      </c>
      <c r="B128" s="137">
        <f t="shared" ca="1" si="13"/>
        <v>8.3258204225268955</v>
      </c>
      <c r="C128" s="137">
        <f t="shared" ca="1" si="14"/>
        <v>15.708647878313897</v>
      </c>
      <c r="D128" s="152">
        <f t="shared" ca="1" si="15"/>
        <v>1.9852786709286492</v>
      </c>
      <c r="E128" s="197">
        <f t="shared" ca="1" si="16"/>
        <v>2.4155915980267024E-2</v>
      </c>
      <c r="F128" s="137">
        <f t="shared" ca="1" si="17"/>
        <v>-5.7485433904557937</v>
      </c>
      <c r="G128" s="137">
        <f t="shared" ca="1" si="18"/>
        <v>-14.074363812982689</v>
      </c>
      <c r="H128" s="152">
        <f t="shared" ca="1" si="19"/>
        <v>-1.7787357958019032</v>
      </c>
      <c r="I128" s="152">
        <f t="shared" ca="1" si="20"/>
        <v>0.96169225555230553</v>
      </c>
      <c r="J128" s="190">
        <f t="shared" ca="1" si="21"/>
        <v>0</v>
      </c>
      <c r="K128" s="187" t="str" cm="1">
        <f t="array" aca="1" ref="K128" ca="1">_xlfn.IFS(G128&lt;$B$11,"Fail",G128&lt;25,"Marginal",G128&lt;35,"Solid",TRUE,"Blowout")</f>
        <v>Fail</v>
      </c>
      <c r="L128" s="193">
        <f t="shared" ca="1" si="11"/>
        <v>0</v>
      </c>
      <c r="M128" s="184" t="str" cm="1">
        <f t="array" aca="1" ref="M128" ca="1">_xlfn.IFS(C128&lt;$B$11,"Fail",C128&lt;25,"Marginal",C128&lt;35,"Solid",TRUE,"Blowout")</f>
        <v>Fail</v>
      </c>
    </row>
    <row r="129" spans="1:13" x14ac:dyDescent="0.25">
      <c r="A129" s="138">
        <f t="shared" ca="1" si="12"/>
        <v>16.820867962924432</v>
      </c>
      <c r="B129" s="137">
        <f t="shared" ca="1" si="13"/>
        <v>3.0918664533928597</v>
      </c>
      <c r="C129" s="137">
        <f t="shared" ca="1" si="14"/>
        <v>13.729001509531571</v>
      </c>
      <c r="D129" s="152">
        <f t="shared" ca="1" si="15"/>
        <v>1.7350884736328938</v>
      </c>
      <c r="E129" s="197">
        <f t="shared" ca="1" si="16"/>
        <v>4.2038202573656772E-2</v>
      </c>
      <c r="F129" s="137">
        <f t="shared" ca="1" si="17"/>
        <v>19.397996997431097</v>
      </c>
      <c r="G129" s="137">
        <f t="shared" ca="1" si="18"/>
        <v>16.306130544038236</v>
      </c>
      <c r="H129" s="152">
        <f t="shared" ca="1" si="19"/>
        <v>2.0607892814981086</v>
      </c>
      <c r="I129" s="152">
        <f t="shared" ca="1" si="20"/>
        <v>2.0228904263526692E-2</v>
      </c>
      <c r="J129" s="190">
        <f t="shared" ca="1" si="21"/>
        <v>0</v>
      </c>
      <c r="K129" s="187" t="str" cm="1">
        <f t="array" aca="1" ref="K129" ca="1">_xlfn.IFS(G129&lt;$B$11,"Fail",G129&lt;25,"Marginal",G129&lt;35,"Solid",TRUE,"Blowout")</f>
        <v>Fail</v>
      </c>
      <c r="L129" s="193">
        <f t="shared" ca="1" si="11"/>
        <v>0</v>
      </c>
      <c r="M129" s="184" t="str" cm="1">
        <f t="array" aca="1" ref="M129" ca="1">_xlfn.IFS(C129&lt;$B$11,"Fail",C129&lt;25,"Marginal",C129&lt;35,"Solid",TRUE,"Blowout")</f>
        <v>Fail</v>
      </c>
    </row>
    <row r="130" spans="1:13" x14ac:dyDescent="0.25">
      <c r="A130" s="138">
        <f t="shared" ca="1" si="12"/>
        <v>40.031726810072385</v>
      </c>
      <c r="B130" s="137">
        <f t="shared" ca="1" si="13"/>
        <v>0.82948979577086668</v>
      </c>
      <c r="C130" s="137">
        <f t="shared" ca="1" si="14"/>
        <v>39.202237014301517</v>
      </c>
      <c r="D130" s="152">
        <f t="shared" ca="1" si="15"/>
        <v>4.9544280067939299</v>
      </c>
      <c r="E130" s="197">
        <f t="shared" ca="1" si="16"/>
        <v>7.067607729249702E-7</v>
      </c>
      <c r="F130" s="137">
        <f t="shared" ca="1" si="17"/>
        <v>35.087685141703687</v>
      </c>
      <c r="G130" s="137">
        <f t="shared" ca="1" si="18"/>
        <v>34.258195345932819</v>
      </c>
      <c r="H130" s="152">
        <f t="shared" ca="1" si="19"/>
        <v>4.3295938041032516</v>
      </c>
      <c r="I130" s="152">
        <f t="shared" ca="1" si="20"/>
        <v>1.1189016753012588E-5</v>
      </c>
      <c r="J130" s="190">
        <f t="shared" ca="1" si="21"/>
        <v>1</v>
      </c>
      <c r="K130" s="187" t="str" cm="1">
        <f t="array" aca="1" ref="K130" ca="1">_xlfn.IFS(G130&lt;$B$11,"Fail",G130&lt;25,"Marginal",G130&lt;35,"Solid",TRUE,"Blowout")</f>
        <v>Solid</v>
      </c>
      <c r="L130" s="193">
        <f t="shared" ca="1" si="11"/>
        <v>1</v>
      </c>
      <c r="M130" s="184" t="str" cm="1">
        <f t="array" aca="1" ref="M130" ca="1">_xlfn.IFS(C130&lt;$B$11,"Fail",C130&lt;25,"Marginal",C130&lt;35,"Solid",TRUE,"Blowout")</f>
        <v>Blowout</v>
      </c>
    </row>
    <row r="131" spans="1:13" x14ac:dyDescent="0.25">
      <c r="A131" s="138">
        <f t="shared" ca="1" si="12"/>
        <v>-9.2803765948756336</v>
      </c>
      <c r="B131" s="137">
        <f t="shared" ca="1" si="13"/>
        <v>12.824259088367281</v>
      </c>
      <c r="C131" s="137">
        <f t="shared" ca="1" si="14"/>
        <v>-22.104635683242915</v>
      </c>
      <c r="D131" s="152">
        <f t="shared" ca="1" si="15"/>
        <v>-2.7936116520361396</v>
      </c>
      <c r="E131" s="197">
        <f t="shared" ca="1" si="16"/>
        <v>0.99717223303142066</v>
      </c>
      <c r="F131" s="137">
        <f t="shared" ca="1" si="17"/>
        <v>0.39300083379510031</v>
      </c>
      <c r="G131" s="137">
        <f t="shared" ca="1" si="18"/>
        <v>-12.431258254572182</v>
      </c>
      <c r="H131" s="152">
        <f t="shared" ca="1" si="19"/>
        <v>-1.5710780492876424</v>
      </c>
      <c r="I131" s="152">
        <f t="shared" ca="1" si="20"/>
        <v>0.94122439473899144</v>
      </c>
      <c r="J131" s="190">
        <f t="shared" ca="1" si="21"/>
        <v>0</v>
      </c>
      <c r="K131" s="187" t="str" cm="1">
        <f t="array" aca="1" ref="K131" ca="1">_xlfn.IFS(G131&lt;$B$11,"Fail",G131&lt;25,"Marginal",G131&lt;35,"Solid",TRUE,"Blowout")</f>
        <v>Fail</v>
      </c>
      <c r="L131" s="193">
        <f t="shared" ca="1" si="11"/>
        <v>0</v>
      </c>
      <c r="M131" s="184" t="str" cm="1">
        <f t="array" aca="1" ref="M131" ca="1">_xlfn.IFS(C131&lt;$B$11,"Fail",C131&lt;25,"Marginal",C131&lt;35,"Solid",TRUE,"Blowout")</f>
        <v>Fail</v>
      </c>
    </row>
    <row r="132" spans="1:13" x14ac:dyDescent="0.25">
      <c r="A132" s="138">
        <f t="shared" ca="1" si="12"/>
        <v>45.275369901754345</v>
      </c>
      <c r="B132" s="137">
        <f t="shared" ca="1" si="13"/>
        <v>4.8881608516213166</v>
      </c>
      <c r="C132" s="137">
        <f t="shared" ca="1" si="14"/>
        <v>40.387209050133031</v>
      </c>
      <c r="D132" s="152">
        <f t="shared" ca="1" si="15"/>
        <v>5.1041862626671719</v>
      </c>
      <c r="E132" s="197">
        <f t="shared" ca="1" si="16"/>
        <v>3.4999173437478123E-7</v>
      </c>
      <c r="F132" s="137">
        <f t="shared" ca="1" si="17"/>
        <v>32.29293351920753</v>
      </c>
      <c r="G132" s="137">
        <f t="shared" ca="1" si="18"/>
        <v>27.404772667586215</v>
      </c>
      <c r="H132" s="152">
        <f t="shared" ca="1" si="19"/>
        <v>3.463449628514244</v>
      </c>
      <c r="I132" s="152">
        <f t="shared" ca="1" si="20"/>
        <v>3.1842090095478157E-4</v>
      </c>
      <c r="J132" s="190">
        <f t="shared" ca="1" si="21"/>
        <v>1</v>
      </c>
      <c r="K132" s="187" t="str" cm="1">
        <f t="array" aca="1" ref="K132" ca="1">_xlfn.IFS(G132&lt;$B$11,"Fail",G132&lt;25,"Marginal",G132&lt;35,"Solid",TRUE,"Blowout")</f>
        <v>Solid</v>
      </c>
      <c r="L132" s="193">
        <f t="shared" ca="1" si="11"/>
        <v>1</v>
      </c>
      <c r="M132" s="184" t="str" cm="1">
        <f t="array" aca="1" ref="M132" ca="1">_xlfn.IFS(C132&lt;$B$11,"Fail",C132&lt;25,"Marginal",C132&lt;35,"Solid",TRUE,"Blowout")</f>
        <v>Blowout</v>
      </c>
    </row>
    <row r="133" spans="1:13" x14ac:dyDescent="0.25">
      <c r="A133" s="138">
        <f t="shared" ca="1" si="12"/>
        <v>11.667423329801771</v>
      </c>
      <c r="B133" s="137">
        <f t="shared" ca="1" si="13"/>
        <v>-3.8682574101216662</v>
      </c>
      <c r="C133" s="137">
        <f t="shared" ca="1" si="14"/>
        <v>15.535680739923437</v>
      </c>
      <c r="D133" s="152">
        <f t="shared" ca="1" si="15"/>
        <v>1.9634188664898344</v>
      </c>
      <c r="E133" s="197">
        <f t="shared" ca="1" si="16"/>
        <v>2.5406539252324799E-2</v>
      </c>
      <c r="F133" s="137">
        <f t="shared" ca="1" si="17"/>
        <v>4.8497371673586169</v>
      </c>
      <c r="G133" s="137">
        <f t="shared" ca="1" si="18"/>
        <v>8.7179945774802832</v>
      </c>
      <c r="H133" s="152">
        <f t="shared" ca="1" si="19"/>
        <v>1.1017911167158303</v>
      </c>
      <c r="I133" s="152">
        <f t="shared" ca="1" si="20"/>
        <v>0.13585710929313674</v>
      </c>
      <c r="J133" s="190">
        <f t="shared" ca="1" si="21"/>
        <v>0</v>
      </c>
      <c r="K133" s="187" t="str" cm="1">
        <f t="array" aca="1" ref="K133" ca="1">_xlfn.IFS(G133&lt;$B$11,"Fail",G133&lt;25,"Marginal",G133&lt;35,"Solid",TRUE,"Blowout")</f>
        <v>Fail</v>
      </c>
      <c r="L133" s="193">
        <f t="shared" ca="1" si="11"/>
        <v>0</v>
      </c>
      <c r="M133" s="184" t="str" cm="1">
        <f t="array" aca="1" ref="M133" ca="1">_xlfn.IFS(C133&lt;$B$11,"Fail",C133&lt;25,"Marginal",C133&lt;35,"Solid",TRUE,"Blowout")</f>
        <v>Fail</v>
      </c>
    </row>
    <row r="134" spans="1:13" x14ac:dyDescent="0.25">
      <c r="A134" s="138">
        <f t="shared" ca="1" si="12"/>
        <v>43.034741915568226</v>
      </c>
      <c r="B134" s="137">
        <f t="shared" ca="1" si="13"/>
        <v>0.69106937360468557</v>
      </c>
      <c r="C134" s="137">
        <f t="shared" ca="1" si="14"/>
        <v>42.343672541963542</v>
      </c>
      <c r="D134" s="152">
        <f t="shared" ca="1" si="15"/>
        <v>5.3514465788235883</v>
      </c>
      <c r="E134" s="197">
        <f t="shared" ca="1" si="16"/>
        <v>1.0610141081619662E-7</v>
      </c>
      <c r="F134" s="137">
        <f t="shared" ca="1" si="17"/>
        <v>2.890555319231118</v>
      </c>
      <c r="G134" s="137">
        <f t="shared" ca="1" si="18"/>
        <v>2.1994859456264324</v>
      </c>
      <c r="H134" s="152">
        <f t="shared" ca="1" si="19"/>
        <v>0.27797379944378631</v>
      </c>
      <c r="I134" s="152">
        <f t="shared" ca="1" si="20"/>
        <v>0.39064218938968065</v>
      </c>
      <c r="J134" s="190">
        <f t="shared" ca="1" si="21"/>
        <v>0</v>
      </c>
      <c r="K134" s="187" t="str" cm="1">
        <f t="array" aca="1" ref="K134" ca="1">_xlfn.IFS(G134&lt;$B$11,"Fail",G134&lt;25,"Marginal",G134&lt;35,"Solid",TRUE,"Blowout")</f>
        <v>Fail</v>
      </c>
      <c r="L134" s="193">
        <f t="shared" ca="1" si="11"/>
        <v>1</v>
      </c>
      <c r="M134" s="184" t="str" cm="1">
        <f t="array" aca="1" ref="M134" ca="1">_xlfn.IFS(C134&lt;$B$11,"Fail",C134&lt;25,"Marginal",C134&lt;35,"Solid",TRUE,"Blowout")</f>
        <v>Blowout</v>
      </c>
    </row>
    <row r="135" spans="1:13" x14ac:dyDescent="0.25">
      <c r="A135" s="138">
        <f t="shared" ca="1" si="12"/>
        <v>24.760717380717892</v>
      </c>
      <c r="B135" s="137">
        <f t="shared" ca="1" si="13"/>
        <v>11.296921335541343</v>
      </c>
      <c r="C135" s="137">
        <f t="shared" ca="1" si="14"/>
        <v>13.463796045176549</v>
      </c>
      <c r="D135" s="152">
        <f t="shared" ca="1" si="15"/>
        <v>1.7015714735781273</v>
      </c>
      <c r="E135" s="197">
        <f t="shared" ca="1" si="16"/>
        <v>4.5099453319401787E-2</v>
      </c>
      <c r="F135" s="137">
        <f t="shared" ca="1" si="17"/>
        <v>41.687235273374817</v>
      </c>
      <c r="G135" s="137">
        <f t="shared" ca="1" si="18"/>
        <v>30.390313937833476</v>
      </c>
      <c r="H135" s="152">
        <f t="shared" ca="1" si="19"/>
        <v>3.840766088270251</v>
      </c>
      <c r="I135" s="152">
        <f t="shared" ca="1" si="20"/>
        <v>7.9489535657867818E-5</v>
      </c>
      <c r="J135" s="190">
        <f t="shared" ca="1" si="21"/>
        <v>1</v>
      </c>
      <c r="K135" s="187" t="str" cm="1">
        <f t="array" aca="1" ref="K135" ca="1">_xlfn.IFS(G135&lt;$B$11,"Fail",G135&lt;25,"Marginal",G135&lt;35,"Solid",TRUE,"Blowout")</f>
        <v>Solid</v>
      </c>
      <c r="L135" s="193">
        <f t="shared" ca="1" si="11"/>
        <v>0</v>
      </c>
      <c r="M135" s="184" t="str" cm="1">
        <f t="array" aca="1" ref="M135" ca="1">_xlfn.IFS(C135&lt;$B$11,"Fail",C135&lt;25,"Marginal",C135&lt;35,"Solid",TRUE,"Blowout")</f>
        <v>Fail</v>
      </c>
    </row>
    <row r="136" spans="1:13" x14ac:dyDescent="0.25">
      <c r="A136" s="138">
        <f t="shared" ca="1" si="12"/>
        <v>24.007441245937244</v>
      </c>
      <c r="B136" s="137">
        <f t="shared" ca="1" si="13"/>
        <v>12.948029344863823</v>
      </c>
      <c r="C136" s="137">
        <f t="shared" ca="1" si="14"/>
        <v>11.059411901073421</v>
      </c>
      <c r="D136" s="152">
        <f t="shared" ca="1" si="15"/>
        <v>1.3977023821716854</v>
      </c>
      <c r="E136" s="197">
        <f t="shared" ca="1" si="16"/>
        <v>8.1780438908717751E-2</v>
      </c>
      <c r="F136" s="137">
        <f t="shared" ca="1" si="17"/>
        <v>40.255372424170972</v>
      </c>
      <c r="G136" s="137">
        <f t="shared" ca="1" si="18"/>
        <v>27.307343079307149</v>
      </c>
      <c r="H136" s="152">
        <f t="shared" ca="1" si="19"/>
        <v>3.4511363546394875</v>
      </c>
      <c r="I136" s="152">
        <f t="shared" ca="1" si="20"/>
        <v>3.3254474016449913E-4</v>
      </c>
      <c r="J136" s="190">
        <f t="shared" ca="1" si="21"/>
        <v>1</v>
      </c>
      <c r="K136" s="187" t="str" cm="1">
        <f t="array" aca="1" ref="K136" ca="1">_xlfn.IFS(G136&lt;$B$11,"Fail",G136&lt;25,"Marginal",G136&lt;35,"Solid",TRUE,"Blowout")</f>
        <v>Solid</v>
      </c>
      <c r="L136" s="193">
        <f t="shared" ca="1" si="11"/>
        <v>0</v>
      </c>
      <c r="M136" s="184" t="str" cm="1">
        <f t="array" aca="1" ref="M136" ca="1">_xlfn.IFS(C136&lt;$B$11,"Fail",C136&lt;25,"Marginal",C136&lt;35,"Solid",TRUE,"Blowout")</f>
        <v>Fail</v>
      </c>
    </row>
    <row r="137" spans="1:13" x14ac:dyDescent="0.25">
      <c r="A137" s="138">
        <f t="shared" ca="1" si="12"/>
        <v>46.490156785877595</v>
      </c>
      <c r="B137" s="137">
        <f t="shared" ca="1" si="13"/>
        <v>-3.8788004648375338</v>
      </c>
      <c r="C137" s="137">
        <f t="shared" ca="1" si="14"/>
        <v>50.368957250715127</v>
      </c>
      <c r="D137" s="152">
        <f t="shared" ca="1" si="15"/>
        <v>6.3656921513155016</v>
      </c>
      <c r="E137" s="197">
        <f t="shared" ca="1" si="16"/>
        <v>5.2835322966230161E-10</v>
      </c>
      <c r="F137" s="137">
        <f t="shared" ca="1" si="17"/>
        <v>-0.34228370508526851</v>
      </c>
      <c r="G137" s="137">
        <f t="shared" ca="1" si="18"/>
        <v>3.5365167597522653</v>
      </c>
      <c r="H137" s="152">
        <f t="shared" ca="1" si="19"/>
        <v>0.44694943491670353</v>
      </c>
      <c r="I137" s="152">
        <f t="shared" ca="1" si="20"/>
        <v>0.32766791794902583</v>
      </c>
      <c r="J137" s="190">
        <f t="shared" ca="1" si="21"/>
        <v>0</v>
      </c>
      <c r="K137" s="187" t="str" cm="1">
        <f t="array" aca="1" ref="K137" ca="1">_xlfn.IFS(G137&lt;$B$11,"Fail",G137&lt;25,"Marginal",G137&lt;35,"Solid",TRUE,"Blowout")</f>
        <v>Fail</v>
      </c>
      <c r="L137" s="193">
        <f t="shared" ca="1" si="11"/>
        <v>1</v>
      </c>
      <c r="M137" s="184" t="str" cm="1">
        <f t="array" aca="1" ref="M137" ca="1">_xlfn.IFS(C137&lt;$B$11,"Fail",C137&lt;25,"Marginal",C137&lt;35,"Solid",TRUE,"Blowout")</f>
        <v>Blowout</v>
      </c>
    </row>
    <row r="138" spans="1:13" x14ac:dyDescent="0.25">
      <c r="A138" s="138">
        <f t="shared" ca="1" si="12"/>
        <v>44.271246261807988</v>
      </c>
      <c r="B138" s="137">
        <f t="shared" ca="1" si="13"/>
        <v>4.2433131186364319</v>
      </c>
      <c r="C138" s="137">
        <f t="shared" ca="1" si="14"/>
        <v>40.027933143171559</v>
      </c>
      <c r="D138" s="152">
        <f t="shared" ca="1" si="15"/>
        <v>5.0587805217915474</v>
      </c>
      <c r="E138" s="197">
        <f t="shared" ca="1" si="16"/>
        <v>4.3381108469154608E-7</v>
      </c>
      <c r="F138" s="137">
        <f t="shared" ca="1" si="17"/>
        <v>31.088507949245312</v>
      </c>
      <c r="G138" s="137">
        <f t="shared" ca="1" si="18"/>
        <v>26.845194830608879</v>
      </c>
      <c r="H138" s="152">
        <f t="shared" ca="1" si="19"/>
        <v>3.3927294778633952</v>
      </c>
      <c r="I138" s="152">
        <f t="shared" ca="1" si="20"/>
        <v>4.0789026728057061E-4</v>
      </c>
      <c r="J138" s="190">
        <f t="shared" ca="1" si="21"/>
        <v>1</v>
      </c>
      <c r="K138" s="187" t="str" cm="1">
        <f t="array" aca="1" ref="K138" ca="1">_xlfn.IFS(G138&lt;$B$11,"Fail",G138&lt;25,"Marginal",G138&lt;35,"Solid",TRUE,"Blowout")</f>
        <v>Solid</v>
      </c>
      <c r="L138" s="193">
        <f t="shared" ca="1" si="11"/>
        <v>1</v>
      </c>
      <c r="M138" s="184" t="str" cm="1">
        <f t="array" aca="1" ref="M138" ca="1">_xlfn.IFS(C138&lt;$B$11,"Fail",C138&lt;25,"Marginal",C138&lt;35,"Solid",TRUE,"Blowout")</f>
        <v>Blowout</v>
      </c>
    </row>
    <row r="139" spans="1:13" x14ac:dyDescent="0.25">
      <c r="A139" s="138">
        <f t="shared" ca="1" si="12"/>
        <v>84.863757846695449</v>
      </c>
      <c r="B139" s="137">
        <f t="shared" ca="1" si="13"/>
        <v>7.1101090385985621</v>
      </c>
      <c r="C139" s="137">
        <f t="shared" ca="1" si="14"/>
        <v>77.753648808096884</v>
      </c>
      <c r="D139" s="152">
        <f t="shared" ca="1" si="15"/>
        <v>9.8266039038721011</v>
      </c>
      <c r="E139" s="197">
        <f t="shared" ca="1" si="16"/>
        <v>1.5739013968929298E-19</v>
      </c>
      <c r="F139" s="137">
        <f t="shared" ca="1" si="17"/>
        <v>13.839806544184551</v>
      </c>
      <c r="G139" s="137">
        <f t="shared" ca="1" si="18"/>
        <v>6.7296975055859889</v>
      </c>
      <c r="H139" s="152">
        <f t="shared" ca="1" si="19"/>
        <v>0.85050763268338292</v>
      </c>
      <c r="I139" s="152">
        <f t="shared" ca="1" si="20"/>
        <v>0.19796760024895355</v>
      </c>
      <c r="J139" s="190">
        <f t="shared" ca="1" si="21"/>
        <v>0</v>
      </c>
      <c r="K139" s="187" t="str" cm="1">
        <f t="array" aca="1" ref="K139" ca="1">_xlfn.IFS(G139&lt;$B$11,"Fail",G139&lt;25,"Marginal",G139&lt;35,"Solid",TRUE,"Blowout")</f>
        <v>Fail</v>
      </c>
      <c r="L139" s="193">
        <f t="shared" ca="1" si="11"/>
        <v>1</v>
      </c>
      <c r="M139" s="184" t="str" cm="1">
        <f t="array" aca="1" ref="M139" ca="1">_xlfn.IFS(C139&lt;$B$11,"Fail",C139&lt;25,"Marginal",C139&lt;35,"Solid",TRUE,"Blowout")</f>
        <v>Blowout</v>
      </c>
    </row>
    <row r="140" spans="1:13" x14ac:dyDescent="0.25">
      <c r="A140" s="138">
        <f t="shared" ca="1" si="12"/>
        <v>29.034515018834139</v>
      </c>
      <c r="B140" s="137">
        <f t="shared" ca="1" si="13"/>
        <v>0.50240901301770968</v>
      </c>
      <c r="C140" s="137">
        <f t="shared" ca="1" si="14"/>
        <v>28.532106005816431</v>
      </c>
      <c r="D140" s="152">
        <f t="shared" ca="1" si="15"/>
        <v>3.6059234333096866</v>
      </c>
      <c r="E140" s="197">
        <f t="shared" ca="1" si="16"/>
        <v>1.9103885342178345E-4</v>
      </c>
      <c r="F140" s="137">
        <f t="shared" ca="1" si="17"/>
        <v>-1.2835605623166439</v>
      </c>
      <c r="G140" s="137">
        <f t="shared" ca="1" si="18"/>
        <v>-1.7859695753343536</v>
      </c>
      <c r="H140" s="152">
        <f t="shared" ca="1" si="19"/>
        <v>-0.22571308061043413</v>
      </c>
      <c r="I140" s="152">
        <f t="shared" ca="1" si="20"/>
        <v>0.58918661044207199</v>
      </c>
      <c r="J140" s="190">
        <f t="shared" ca="1" si="21"/>
        <v>0</v>
      </c>
      <c r="K140" s="187" t="str" cm="1">
        <f t="array" aca="1" ref="K140" ca="1">_xlfn.IFS(G140&lt;$B$11,"Fail",G140&lt;25,"Marginal",G140&lt;35,"Solid",TRUE,"Blowout")</f>
        <v>Fail</v>
      </c>
      <c r="L140" s="193">
        <f t="shared" ca="1" si="11"/>
        <v>1</v>
      </c>
      <c r="M140" s="184" t="str" cm="1">
        <f t="array" aca="1" ref="M140" ca="1">_xlfn.IFS(C140&lt;$B$11,"Fail",C140&lt;25,"Marginal",C140&lt;35,"Solid",TRUE,"Blowout")</f>
        <v>Solid</v>
      </c>
    </row>
    <row r="141" spans="1:13" x14ac:dyDescent="0.25">
      <c r="A141" s="138">
        <f t="shared" ca="1" si="12"/>
        <v>58.016506304740346</v>
      </c>
      <c r="B141" s="137">
        <f t="shared" ca="1" si="13"/>
        <v>4.5481832552374106</v>
      </c>
      <c r="C141" s="137">
        <f t="shared" ca="1" si="14"/>
        <v>53.468323049502935</v>
      </c>
      <c r="D141" s="152">
        <f t="shared" ca="1" si="15"/>
        <v>6.7573938981115225</v>
      </c>
      <c r="E141" s="197">
        <f t="shared" ca="1" si="16"/>
        <v>5.7993461444995135E-11</v>
      </c>
      <c r="F141" s="137">
        <f t="shared" ca="1" si="17"/>
        <v>42.1976909901338</v>
      </c>
      <c r="G141" s="137">
        <f t="shared" ca="1" si="18"/>
        <v>37.649507734896389</v>
      </c>
      <c r="H141" s="152">
        <f t="shared" ca="1" si="19"/>
        <v>4.7581921280595791</v>
      </c>
      <c r="I141" s="152">
        <f t="shared" ca="1" si="20"/>
        <v>1.7338303829189767E-6</v>
      </c>
      <c r="J141" s="190">
        <f t="shared" ca="1" si="21"/>
        <v>1</v>
      </c>
      <c r="K141" s="187" t="str" cm="1">
        <f t="array" aca="1" ref="K141" ca="1">_xlfn.IFS(G141&lt;$B$11,"Fail",G141&lt;25,"Marginal",G141&lt;35,"Solid",TRUE,"Blowout")</f>
        <v>Blowout</v>
      </c>
      <c r="L141" s="193">
        <f t="shared" ca="1" si="11"/>
        <v>1</v>
      </c>
      <c r="M141" s="184" t="str" cm="1">
        <f t="array" aca="1" ref="M141" ca="1">_xlfn.IFS(C141&lt;$B$11,"Fail",C141&lt;25,"Marginal",C141&lt;35,"Solid",TRUE,"Blowout")</f>
        <v>Blowout</v>
      </c>
    </row>
    <row r="142" spans="1:13" x14ac:dyDescent="0.25">
      <c r="A142" s="138">
        <f t="shared" ca="1" si="12"/>
        <v>30.192830544550532</v>
      </c>
      <c r="B142" s="137">
        <f t="shared" ca="1" si="13"/>
        <v>0.57817975951432388</v>
      </c>
      <c r="C142" s="137">
        <f t="shared" ca="1" si="14"/>
        <v>29.614650785036208</v>
      </c>
      <c r="D142" s="152">
        <f t="shared" ca="1" si="15"/>
        <v>3.7427368037002178</v>
      </c>
      <c r="E142" s="197">
        <f t="shared" ca="1" si="16"/>
        <v>1.15222582638692E-4</v>
      </c>
      <c r="F142" s="137">
        <f t="shared" ca="1" si="17"/>
        <v>11.902860525154896</v>
      </c>
      <c r="G142" s="137">
        <f t="shared" ca="1" si="18"/>
        <v>11.324680765640572</v>
      </c>
      <c r="H142" s="152">
        <f t="shared" ca="1" si="19"/>
        <v>1.4312273948249803</v>
      </c>
      <c r="I142" s="152">
        <f t="shared" ca="1" si="20"/>
        <v>7.6867149906467855E-2</v>
      </c>
      <c r="J142" s="190">
        <f t="shared" ca="1" si="21"/>
        <v>0</v>
      </c>
      <c r="K142" s="187" t="str" cm="1">
        <f t="array" aca="1" ref="K142" ca="1">_xlfn.IFS(G142&lt;$B$11,"Fail",G142&lt;25,"Marginal",G142&lt;35,"Solid",TRUE,"Blowout")</f>
        <v>Fail</v>
      </c>
      <c r="L142" s="193">
        <f t="shared" ca="1" si="11"/>
        <v>1</v>
      </c>
      <c r="M142" s="184" t="str" cm="1">
        <f t="array" aca="1" ref="M142" ca="1">_xlfn.IFS(C142&lt;$B$11,"Fail",C142&lt;25,"Marginal",C142&lt;35,"Solid",TRUE,"Blowout")</f>
        <v>Solid</v>
      </c>
    </row>
    <row r="143" spans="1:13" x14ac:dyDescent="0.25">
      <c r="A143" s="138">
        <f t="shared" ca="1" si="12"/>
        <v>28.980538006288459</v>
      </c>
      <c r="B143" s="137">
        <f t="shared" ca="1" si="13"/>
        <v>12.087840722195384</v>
      </c>
      <c r="C143" s="137">
        <f t="shared" ca="1" si="14"/>
        <v>16.892697284093074</v>
      </c>
      <c r="D143" s="152">
        <f t="shared" ca="1" si="15"/>
        <v>2.1349203236557619</v>
      </c>
      <c r="E143" s="197">
        <f t="shared" ca="1" si="16"/>
        <v>1.6917170306597659E-2</v>
      </c>
      <c r="F143" s="137">
        <f t="shared" ca="1" si="17"/>
        <v>36.656103397159896</v>
      </c>
      <c r="G143" s="137">
        <f t="shared" ca="1" si="18"/>
        <v>24.568262674964512</v>
      </c>
      <c r="H143" s="152">
        <f t="shared" ca="1" si="19"/>
        <v>3.1049679290166114</v>
      </c>
      <c r="I143" s="152">
        <f t="shared" ca="1" si="20"/>
        <v>1.0720144915147573E-3</v>
      </c>
      <c r="J143" s="190">
        <f t="shared" ca="1" si="21"/>
        <v>1</v>
      </c>
      <c r="K143" s="187" t="str" cm="1">
        <f t="array" aca="1" ref="K143" ca="1">_xlfn.IFS(G143&lt;$B$11,"Fail",G143&lt;25,"Marginal",G143&lt;35,"Solid",TRUE,"Blowout")</f>
        <v>Marginal</v>
      </c>
      <c r="L143" s="193">
        <f t="shared" ca="1" si="11"/>
        <v>0</v>
      </c>
      <c r="M143" s="184" t="str" cm="1">
        <f t="array" aca="1" ref="M143" ca="1">_xlfn.IFS(C143&lt;$B$11,"Fail",C143&lt;25,"Marginal",C143&lt;35,"Solid",TRUE,"Blowout")</f>
        <v>Fail</v>
      </c>
    </row>
    <row r="144" spans="1:13" x14ac:dyDescent="0.25">
      <c r="A144" s="138">
        <f t="shared" ca="1" si="12"/>
        <v>36.254899522374799</v>
      </c>
      <c r="B144" s="137">
        <f t="shared" ca="1" si="13"/>
        <v>12.516079541605954</v>
      </c>
      <c r="C144" s="137">
        <f t="shared" ca="1" si="14"/>
        <v>23.738819980768845</v>
      </c>
      <c r="D144" s="152">
        <f t="shared" ca="1" si="15"/>
        <v>3.0001419183822065</v>
      </c>
      <c r="E144" s="197">
        <f t="shared" ca="1" si="16"/>
        <v>1.4991910407343436E-3</v>
      </c>
      <c r="F144" s="137">
        <f t="shared" ca="1" si="17"/>
        <v>46.666563175917176</v>
      </c>
      <c r="G144" s="137">
        <f t="shared" ca="1" si="18"/>
        <v>34.150483634311222</v>
      </c>
      <c r="H144" s="152">
        <f t="shared" ca="1" si="19"/>
        <v>4.3159810625517157</v>
      </c>
      <c r="I144" s="152">
        <f t="shared" ca="1" si="20"/>
        <v>1.184565503371405E-5</v>
      </c>
      <c r="J144" s="190">
        <f t="shared" ca="1" si="21"/>
        <v>1</v>
      </c>
      <c r="K144" s="187" t="str" cm="1">
        <f t="array" aca="1" ref="K144" ca="1">_xlfn.IFS(G144&lt;$B$11,"Fail",G144&lt;25,"Marginal",G144&lt;35,"Solid",TRUE,"Blowout")</f>
        <v>Solid</v>
      </c>
      <c r="L144" s="193">
        <f t="shared" ref="L144:L207" ca="1" si="22">IF(AND(E144&lt;$B$10,C144&gt;=$B$11),1,0)</f>
        <v>1</v>
      </c>
      <c r="M144" s="184" t="str" cm="1">
        <f t="array" aca="1" ref="M144" ca="1">_xlfn.IFS(C144&lt;$B$11,"Fail",C144&lt;25,"Marginal",C144&lt;35,"Solid",TRUE,"Blowout")</f>
        <v>Marginal</v>
      </c>
    </row>
    <row r="145" spans="1:13" x14ac:dyDescent="0.25">
      <c r="A145" s="138">
        <f t="shared" ref="A145:A208" ca="1" si="23">NORMINV(RAND(), MAX(0, NORMINV(RAND(), $B$6, $B$12)), $B$7/SQRT($B$9))</f>
        <v>26.359697500898346</v>
      </c>
      <c r="B145" s="137">
        <f t="shared" ref="B145:B208" ca="1" si="24">NORMINV(RAND(), $B$8, $B$7/SQRT($B$9))</f>
        <v>4.715027857088713</v>
      </c>
      <c r="C145" s="137">
        <f t="shared" ref="C145:C208" ca="1" si="25">A145-B145</f>
        <v>21.644669643809632</v>
      </c>
      <c r="D145" s="152">
        <f t="shared" ref="D145:D208" ca="1" si="26">C145/($B$7*SQRT(2/$B$9))</f>
        <v>2.7354805656108683</v>
      </c>
      <c r="E145" s="197">
        <f t="shared" ref="E145:E208" ca="1" si="27">_xlfn.T.DIST.RT(D145, 2*$B$9-2)</f>
        <v>3.3594868059640924E-3</v>
      </c>
      <c r="F145" s="137">
        <f t="shared" ref="F145:F208" ca="1" si="28">NORMINV(RAND(), MAX(0, NORMINV(RAND(), $N$7, $N$8)), $B$7/SQRT($B$9))</f>
        <v>42.176471780402558</v>
      </c>
      <c r="G145" s="137">
        <f t="shared" ref="G145:G208" ca="1" si="29">F145-B145</f>
        <v>37.461443923313844</v>
      </c>
      <c r="H145" s="152">
        <f t="shared" ref="H145:H208" ca="1" si="30">G145/($B$7*SQRT(2/$B$9))</f>
        <v>4.7344243870801792</v>
      </c>
      <c r="I145" s="152">
        <f t="shared" ref="I145:I208" ca="1" si="31">_xlfn.T.DIST.RT(H145, 2*$B$9-2)</f>
        <v>1.9293607187171918E-6</v>
      </c>
      <c r="J145" s="190">
        <f t="shared" ref="J145:J208" ca="1" si="32">IF(AND(I145&lt;$B$10, G145&gt;=$B$11), 1, 0)</f>
        <v>1</v>
      </c>
      <c r="K145" s="187" t="str" cm="1">
        <f t="array" aca="1" ref="K145" ca="1">_xlfn.IFS(G145&lt;$B$11,"Fail",G145&lt;25,"Marginal",G145&lt;35,"Solid",TRUE,"Blowout")</f>
        <v>Blowout</v>
      </c>
      <c r="L145" s="193">
        <f t="shared" ca="1" si="22"/>
        <v>1</v>
      </c>
      <c r="M145" s="184" t="str" cm="1">
        <f t="array" aca="1" ref="M145" ca="1">_xlfn.IFS(C145&lt;$B$11,"Fail",C145&lt;25,"Marginal",C145&lt;35,"Solid",TRUE,"Blowout")</f>
        <v>Marginal</v>
      </c>
    </row>
    <row r="146" spans="1:13" x14ac:dyDescent="0.25">
      <c r="A146" s="138">
        <f t="shared" ca="1" si="23"/>
        <v>4.9182306860096956</v>
      </c>
      <c r="B146" s="137">
        <f t="shared" ca="1" si="24"/>
        <v>-8.6808405110649129</v>
      </c>
      <c r="C146" s="137">
        <f t="shared" ca="1" si="25"/>
        <v>13.599071197074608</v>
      </c>
      <c r="D146" s="152">
        <f t="shared" ca="1" si="26"/>
        <v>1.7186677173700962</v>
      </c>
      <c r="E146" s="197">
        <f t="shared" ca="1" si="27"/>
        <v>4.3516141929533646E-2</v>
      </c>
      <c r="F146" s="137">
        <f t="shared" ca="1" si="28"/>
        <v>44.088184580152245</v>
      </c>
      <c r="G146" s="137">
        <f t="shared" ca="1" si="29"/>
        <v>52.769025091217159</v>
      </c>
      <c r="H146" s="152">
        <f t="shared" ca="1" si="30"/>
        <v>6.669015742845513</v>
      </c>
      <c r="I146" s="152">
        <f t="shared" ca="1" si="31"/>
        <v>9.6175754816039151E-11</v>
      </c>
      <c r="J146" s="190">
        <f t="shared" ca="1" si="32"/>
        <v>1</v>
      </c>
      <c r="K146" s="187" t="str" cm="1">
        <f t="array" aca="1" ref="K146" ca="1">_xlfn.IFS(G146&lt;$B$11,"Fail",G146&lt;25,"Marginal",G146&lt;35,"Solid",TRUE,"Blowout")</f>
        <v>Blowout</v>
      </c>
      <c r="L146" s="193">
        <f t="shared" ca="1" si="22"/>
        <v>0</v>
      </c>
      <c r="M146" s="184" t="str" cm="1">
        <f t="array" aca="1" ref="M146" ca="1">_xlfn.IFS(C146&lt;$B$11,"Fail",C146&lt;25,"Marginal",C146&lt;35,"Solid",TRUE,"Blowout")</f>
        <v>Fail</v>
      </c>
    </row>
    <row r="147" spans="1:13" x14ac:dyDescent="0.25">
      <c r="A147" s="138">
        <f t="shared" ca="1" si="23"/>
        <v>9.5034625919817177</v>
      </c>
      <c r="B147" s="137">
        <f t="shared" ca="1" si="24"/>
        <v>-4.1990733918776186</v>
      </c>
      <c r="C147" s="137">
        <f t="shared" ca="1" si="25"/>
        <v>13.702535983859336</v>
      </c>
      <c r="D147" s="152">
        <f t="shared" ca="1" si="26"/>
        <v>1.7317437272206622</v>
      </c>
      <c r="E147" s="197">
        <f t="shared" ca="1" si="27"/>
        <v>4.2335880923973425E-2</v>
      </c>
      <c r="F147" s="137">
        <f t="shared" ca="1" si="28"/>
        <v>16.144894434322023</v>
      </c>
      <c r="G147" s="137">
        <f t="shared" ca="1" si="29"/>
        <v>20.343967826199641</v>
      </c>
      <c r="H147" s="152">
        <f t="shared" ca="1" si="30"/>
        <v>2.5710962343977348</v>
      </c>
      <c r="I147" s="152">
        <f t="shared" ca="1" si="31"/>
        <v>5.3868233455267268E-3</v>
      </c>
      <c r="J147" s="190">
        <f t="shared" ca="1" si="32"/>
        <v>1</v>
      </c>
      <c r="K147" s="187" t="str" cm="1">
        <f t="array" aca="1" ref="K147" ca="1">_xlfn.IFS(G147&lt;$B$11,"Fail",G147&lt;25,"Marginal",G147&lt;35,"Solid",TRUE,"Blowout")</f>
        <v>Marginal</v>
      </c>
      <c r="L147" s="193">
        <f t="shared" ca="1" si="22"/>
        <v>0</v>
      </c>
      <c r="M147" s="184" t="str" cm="1">
        <f t="array" aca="1" ref="M147" ca="1">_xlfn.IFS(C147&lt;$B$11,"Fail",C147&lt;25,"Marginal",C147&lt;35,"Solid",TRUE,"Blowout")</f>
        <v>Fail</v>
      </c>
    </row>
    <row r="148" spans="1:13" x14ac:dyDescent="0.25">
      <c r="A148" s="138">
        <f t="shared" ca="1" si="23"/>
        <v>24.582604510306609</v>
      </c>
      <c r="B148" s="137">
        <f t="shared" ca="1" si="24"/>
        <v>-0.92087152510723325</v>
      </c>
      <c r="C148" s="137">
        <f t="shared" ca="1" si="25"/>
        <v>25.503476035413843</v>
      </c>
      <c r="D148" s="152">
        <f t="shared" ca="1" si="26"/>
        <v>3.2231613694482806</v>
      </c>
      <c r="E148" s="197">
        <f t="shared" ca="1" si="27"/>
        <v>7.2666392241643415E-4</v>
      </c>
      <c r="F148" s="137">
        <f t="shared" ca="1" si="28"/>
        <v>32.681404068809819</v>
      </c>
      <c r="G148" s="137">
        <f t="shared" ca="1" si="29"/>
        <v>33.602275593917049</v>
      </c>
      <c r="H148" s="152">
        <f t="shared" ca="1" si="30"/>
        <v>4.2466978410894392</v>
      </c>
      <c r="I148" s="152">
        <f t="shared" ca="1" si="31"/>
        <v>1.5801172220889358E-5</v>
      </c>
      <c r="J148" s="190">
        <f t="shared" ca="1" si="32"/>
        <v>1</v>
      </c>
      <c r="K148" s="187" t="str" cm="1">
        <f t="array" aca="1" ref="K148" ca="1">_xlfn.IFS(G148&lt;$B$11,"Fail",G148&lt;25,"Marginal",G148&lt;35,"Solid",TRUE,"Blowout")</f>
        <v>Solid</v>
      </c>
      <c r="L148" s="193">
        <f t="shared" ca="1" si="22"/>
        <v>1</v>
      </c>
      <c r="M148" s="184" t="str" cm="1">
        <f t="array" aca="1" ref="M148" ca="1">_xlfn.IFS(C148&lt;$B$11,"Fail",C148&lt;25,"Marginal",C148&lt;35,"Solid",TRUE,"Blowout")</f>
        <v>Solid</v>
      </c>
    </row>
    <row r="149" spans="1:13" x14ac:dyDescent="0.25">
      <c r="A149" s="138">
        <f t="shared" ca="1" si="23"/>
        <v>19.805981403175231</v>
      </c>
      <c r="B149" s="137">
        <f t="shared" ca="1" si="24"/>
        <v>6.2164104496260286</v>
      </c>
      <c r="C149" s="137">
        <f t="shared" ca="1" si="25"/>
        <v>13.589570953549202</v>
      </c>
      <c r="D149" s="152">
        <f t="shared" ca="1" si="26"/>
        <v>1.7174670646477412</v>
      </c>
      <c r="E149" s="197">
        <f t="shared" ca="1" si="27"/>
        <v>4.36258418065502E-2</v>
      </c>
      <c r="F149" s="137">
        <f t="shared" ca="1" si="28"/>
        <v>17.899188741565577</v>
      </c>
      <c r="G149" s="137">
        <f t="shared" ca="1" si="29"/>
        <v>11.682778291939549</v>
      </c>
      <c r="H149" s="152">
        <f t="shared" ca="1" si="30"/>
        <v>1.4764842104707823</v>
      </c>
      <c r="I149" s="152">
        <f t="shared" ca="1" si="31"/>
        <v>7.059687644898302E-2</v>
      </c>
      <c r="J149" s="190">
        <f t="shared" ca="1" si="32"/>
        <v>0</v>
      </c>
      <c r="K149" s="187" t="str" cm="1">
        <f t="array" aca="1" ref="K149" ca="1">_xlfn.IFS(G149&lt;$B$11,"Fail",G149&lt;25,"Marginal",G149&lt;35,"Solid",TRUE,"Blowout")</f>
        <v>Fail</v>
      </c>
      <c r="L149" s="193">
        <f t="shared" ca="1" si="22"/>
        <v>0</v>
      </c>
      <c r="M149" s="184" t="str" cm="1">
        <f t="array" aca="1" ref="M149" ca="1">_xlfn.IFS(C149&lt;$B$11,"Fail",C149&lt;25,"Marginal",C149&lt;35,"Solid",TRUE,"Blowout")</f>
        <v>Fail</v>
      </c>
    </row>
    <row r="150" spans="1:13" x14ac:dyDescent="0.25">
      <c r="A150" s="138">
        <f t="shared" ca="1" si="23"/>
        <v>-3.5054773239547456</v>
      </c>
      <c r="B150" s="137">
        <f t="shared" ca="1" si="24"/>
        <v>6.5279005413654669</v>
      </c>
      <c r="C150" s="137">
        <f t="shared" ca="1" si="25"/>
        <v>-10.033377865320212</v>
      </c>
      <c r="D150" s="152">
        <f t="shared" ca="1" si="26"/>
        <v>-1.2680309105971168</v>
      </c>
      <c r="E150" s="197">
        <f t="shared" ca="1" si="27"/>
        <v>0.8969598823421836</v>
      </c>
      <c r="F150" s="137">
        <f t="shared" ca="1" si="28"/>
        <v>8.7324893441109079</v>
      </c>
      <c r="G150" s="137">
        <f t="shared" ca="1" si="29"/>
        <v>2.204588802745441</v>
      </c>
      <c r="H150" s="152">
        <f t="shared" ca="1" si="30"/>
        <v>0.27861870494282354</v>
      </c>
      <c r="I150" s="152">
        <f t="shared" ca="1" si="31"/>
        <v>0.39039499349588613</v>
      </c>
      <c r="J150" s="190">
        <f t="shared" ca="1" si="32"/>
        <v>0</v>
      </c>
      <c r="K150" s="187" t="str" cm="1">
        <f t="array" aca="1" ref="K150" ca="1">_xlfn.IFS(G150&lt;$B$11,"Fail",G150&lt;25,"Marginal",G150&lt;35,"Solid",TRUE,"Blowout")</f>
        <v>Fail</v>
      </c>
      <c r="L150" s="193">
        <f t="shared" ca="1" si="22"/>
        <v>0</v>
      </c>
      <c r="M150" s="184" t="str" cm="1">
        <f t="array" aca="1" ref="M150" ca="1">_xlfn.IFS(C150&lt;$B$11,"Fail",C150&lt;25,"Marginal",C150&lt;35,"Solid",TRUE,"Blowout")</f>
        <v>Fail</v>
      </c>
    </row>
    <row r="151" spans="1:13" x14ac:dyDescent="0.25">
      <c r="A151" s="138">
        <f t="shared" ca="1" si="23"/>
        <v>25.688180459629084</v>
      </c>
      <c r="B151" s="137">
        <f t="shared" ca="1" si="24"/>
        <v>7.1187427557318941</v>
      </c>
      <c r="C151" s="137">
        <f t="shared" ca="1" si="25"/>
        <v>18.56943770389719</v>
      </c>
      <c r="D151" s="152">
        <f t="shared" ca="1" si="26"/>
        <v>2.3468288862454503</v>
      </c>
      <c r="E151" s="197">
        <f t="shared" ca="1" si="27"/>
        <v>9.895484809707417E-3</v>
      </c>
      <c r="F151" s="137">
        <f t="shared" ca="1" si="28"/>
        <v>1.5813563708427556</v>
      </c>
      <c r="G151" s="137">
        <f t="shared" ca="1" si="29"/>
        <v>-5.5373863848891389</v>
      </c>
      <c r="H151" s="152">
        <f t="shared" ca="1" si="30"/>
        <v>-0.6998218540366874</v>
      </c>
      <c r="I151" s="152">
        <f t="shared" ca="1" si="31"/>
        <v>0.7576240148414759</v>
      </c>
      <c r="J151" s="190">
        <f t="shared" ca="1" si="32"/>
        <v>0</v>
      </c>
      <c r="K151" s="187" t="str" cm="1">
        <f t="array" aca="1" ref="K151" ca="1">_xlfn.IFS(G151&lt;$B$11,"Fail",G151&lt;25,"Marginal",G151&lt;35,"Solid",TRUE,"Blowout")</f>
        <v>Fail</v>
      </c>
      <c r="L151" s="193">
        <f t="shared" ca="1" si="22"/>
        <v>0</v>
      </c>
      <c r="M151" s="184" t="str" cm="1">
        <f t="array" aca="1" ref="M151" ca="1">_xlfn.IFS(C151&lt;$B$11,"Fail",C151&lt;25,"Marginal",C151&lt;35,"Solid",TRUE,"Blowout")</f>
        <v>Fail</v>
      </c>
    </row>
    <row r="152" spans="1:13" x14ac:dyDescent="0.25">
      <c r="A152" s="138">
        <f t="shared" ca="1" si="23"/>
        <v>44.643110905268557</v>
      </c>
      <c r="B152" s="137">
        <f t="shared" ca="1" si="24"/>
        <v>2.9723123098751398</v>
      </c>
      <c r="C152" s="137">
        <f t="shared" ca="1" si="25"/>
        <v>41.670798595393414</v>
      </c>
      <c r="D152" s="152">
        <f t="shared" ca="1" si="26"/>
        <v>5.2664079233837766</v>
      </c>
      <c r="E152" s="197">
        <f t="shared" ca="1" si="27"/>
        <v>1.60689730299705E-7</v>
      </c>
      <c r="F152" s="137">
        <f t="shared" ca="1" si="28"/>
        <v>21.941172775774728</v>
      </c>
      <c r="G152" s="137">
        <f t="shared" ca="1" si="29"/>
        <v>18.968860465899589</v>
      </c>
      <c r="H152" s="152">
        <f t="shared" ca="1" si="30"/>
        <v>2.3973084371418376</v>
      </c>
      <c r="I152" s="152">
        <f t="shared" ca="1" si="31"/>
        <v>8.6610443974156261E-3</v>
      </c>
      <c r="J152" s="190">
        <f t="shared" ca="1" si="32"/>
        <v>0</v>
      </c>
      <c r="K152" s="187" t="str" cm="1">
        <f t="array" aca="1" ref="K152" ca="1">_xlfn.IFS(G152&lt;$B$11,"Fail",G152&lt;25,"Marginal",G152&lt;35,"Solid",TRUE,"Blowout")</f>
        <v>Fail</v>
      </c>
      <c r="L152" s="193">
        <f t="shared" ca="1" si="22"/>
        <v>1</v>
      </c>
      <c r="M152" s="184" t="str" cm="1">
        <f t="array" aca="1" ref="M152" ca="1">_xlfn.IFS(C152&lt;$B$11,"Fail",C152&lt;25,"Marginal",C152&lt;35,"Solid",TRUE,"Blowout")</f>
        <v>Blowout</v>
      </c>
    </row>
    <row r="153" spans="1:13" x14ac:dyDescent="0.25">
      <c r="A153" s="138">
        <f t="shared" ca="1" si="23"/>
        <v>45.070796619608252</v>
      </c>
      <c r="B153" s="137">
        <f t="shared" ca="1" si="24"/>
        <v>4.7655755500871724</v>
      </c>
      <c r="C153" s="137">
        <f t="shared" ca="1" si="25"/>
        <v>40.305221069521082</v>
      </c>
      <c r="D153" s="152">
        <f t="shared" ca="1" si="26"/>
        <v>5.0938245185856772</v>
      </c>
      <c r="E153" s="197">
        <f t="shared" ca="1" si="27"/>
        <v>3.6761206364639891E-7</v>
      </c>
      <c r="F153" s="137">
        <f t="shared" ca="1" si="28"/>
        <v>45.173360992051364</v>
      </c>
      <c r="G153" s="137">
        <f t="shared" ca="1" si="29"/>
        <v>40.407785441964194</v>
      </c>
      <c r="H153" s="152">
        <f t="shared" ca="1" si="30"/>
        <v>5.1067867329395673</v>
      </c>
      <c r="I153" s="152">
        <f t="shared" ca="1" si="31"/>
        <v>3.4569983286529387E-7</v>
      </c>
      <c r="J153" s="190">
        <f t="shared" ca="1" si="32"/>
        <v>1</v>
      </c>
      <c r="K153" s="187" t="str" cm="1">
        <f t="array" aca="1" ref="K153" ca="1">_xlfn.IFS(G153&lt;$B$11,"Fail",G153&lt;25,"Marginal",G153&lt;35,"Solid",TRUE,"Blowout")</f>
        <v>Blowout</v>
      </c>
      <c r="L153" s="193">
        <f t="shared" ca="1" si="22"/>
        <v>1</v>
      </c>
      <c r="M153" s="184" t="str" cm="1">
        <f t="array" aca="1" ref="M153" ca="1">_xlfn.IFS(C153&lt;$B$11,"Fail",C153&lt;25,"Marginal",C153&lt;35,"Solid",TRUE,"Blowout")</f>
        <v>Blowout</v>
      </c>
    </row>
    <row r="154" spans="1:13" x14ac:dyDescent="0.25">
      <c r="A154" s="138">
        <f t="shared" ca="1" si="23"/>
        <v>46.611985058138849</v>
      </c>
      <c r="B154" s="137">
        <f t="shared" ca="1" si="24"/>
        <v>5.6784325290753612</v>
      </c>
      <c r="C154" s="137">
        <f t="shared" ca="1" si="25"/>
        <v>40.933552529063491</v>
      </c>
      <c r="D154" s="152">
        <f t="shared" ca="1" si="26"/>
        <v>5.1732338385071639</v>
      </c>
      <c r="E154" s="197">
        <f t="shared" ca="1" si="27"/>
        <v>2.5182674573117191E-7</v>
      </c>
      <c r="F154" s="137">
        <f t="shared" ca="1" si="28"/>
        <v>5.5012451760808148</v>
      </c>
      <c r="G154" s="137">
        <f t="shared" ca="1" si="29"/>
        <v>-0.17718735299454647</v>
      </c>
      <c r="H154" s="152">
        <f t="shared" ca="1" si="30"/>
        <v>-2.2393160466980675E-2</v>
      </c>
      <c r="I154" s="152">
        <f t="shared" ca="1" si="31"/>
        <v>0.50892303928639349</v>
      </c>
      <c r="J154" s="190">
        <f t="shared" ca="1" si="32"/>
        <v>0</v>
      </c>
      <c r="K154" s="187" t="str" cm="1">
        <f t="array" aca="1" ref="K154" ca="1">_xlfn.IFS(G154&lt;$B$11,"Fail",G154&lt;25,"Marginal",G154&lt;35,"Solid",TRUE,"Blowout")</f>
        <v>Fail</v>
      </c>
      <c r="L154" s="193">
        <f t="shared" ca="1" si="22"/>
        <v>1</v>
      </c>
      <c r="M154" s="184" t="str" cm="1">
        <f t="array" aca="1" ref="M154" ca="1">_xlfn.IFS(C154&lt;$B$11,"Fail",C154&lt;25,"Marginal",C154&lt;35,"Solid",TRUE,"Blowout")</f>
        <v>Blowout</v>
      </c>
    </row>
    <row r="155" spans="1:13" x14ac:dyDescent="0.25">
      <c r="A155" s="138">
        <f t="shared" ca="1" si="23"/>
        <v>0.22652813234167438</v>
      </c>
      <c r="B155" s="137">
        <f t="shared" ca="1" si="24"/>
        <v>1.4558911161862045</v>
      </c>
      <c r="C155" s="137">
        <f t="shared" ca="1" si="25"/>
        <v>-1.2293629838445301</v>
      </c>
      <c r="D155" s="152">
        <f t="shared" ca="1" si="26"/>
        <v>-0.15536843970034386</v>
      </c>
      <c r="E155" s="197">
        <f t="shared" ca="1" si="27"/>
        <v>0.56166583740066112</v>
      </c>
      <c r="F155" s="137">
        <f t="shared" ca="1" si="28"/>
        <v>35.164256936634168</v>
      </c>
      <c r="G155" s="137">
        <f t="shared" ca="1" si="29"/>
        <v>33.708365820447966</v>
      </c>
      <c r="H155" s="152">
        <f t="shared" ca="1" si="30"/>
        <v>4.260105657316358</v>
      </c>
      <c r="I155" s="152">
        <f t="shared" ca="1" si="31"/>
        <v>1.4948400281540317E-5</v>
      </c>
      <c r="J155" s="190">
        <f t="shared" ca="1" si="32"/>
        <v>1</v>
      </c>
      <c r="K155" s="187" t="str" cm="1">
        <f t="array" aca="1" ref="K155" ca="1">_xlfn.IFS(G155&lt;$B$11,"Fail",G155&lt;25,"Marginal",G155&lt;35,"Solid",TRUE,"Blowout")</f>
        <v>Solid</v>
      </c>
      <c r="L155" s="193">
        <f t="shared" ca="1" si="22"/>
        <v>0</v>
      </c>
      <c r="M155" s="184" t="str" cm="1">
        <f t="array" aca="1" ref="M155" ca="1">_xlfn.IFS(C155&lt;$B$11,"Fail",C155&lt;25,"Marginal",C155&lt;35,"Solid",TRUE,"Blowout")</f>
        <v>Fail</v>
      </c>
    </row>
    <row r="156" spans="1:13" x14ac:dyDescent="0.25">
      <c r="A156" s="138">
        <f t="shared" ca="1" si="23"/>
        <v>2.228064856940918</v>
      </c>
      <c r="B156" s="137">
        <f t="shared" ca="1" si="24"/>
        <v>6.3071879127975805</v>
      </c>
      <c r="C156" s="137">
        <f t="shared" ca="1" si="25"/>
        <v>-4.0791230558566625</v>
      </c>
      <c r="D156" s="152">
        <f t="shared" ca="1" si="26"/>
        <v>-0.5155247008920002</v>
      </c>
      <c r="E156" s="197">
        <f t="shared" ca="1" si="27"/>
        <v>0.69665704203599244</v>
      </c>
      <c r="F156" s="137">
        <f t="shared" ca="1" si="28"/>
        <v>39.025477036646535</v>
      </c>
      <c r="G156" s="137">
        <f t="shared" ca="1" si="29"/>
        <v>32.718289123848955</v>
      </c>
      <c r="H156" s="152">
        <f t="shared" ca="1" si="30"/>
        <v>4.1349785194768867</v>
      </c>
      <c r="I156" s="152">
        <f t="shared" ca="1" si="31"/>
        <v>2.4956710944571205E-5</v>
      </c>
      <c r="J156" s="190">
        <f t="shared" ca="1" si="32"/>
        <v>1</v>
      </c>
      <c r="K156" s="187" t="str" cm="1">
        <f t="array" aca="1" ref="K156" ca="1">_xlfn.IFS(G156&lt;$B$11,"Fail",G156&lt;25,"Marginal",G156&lt;35,"Solid",TRUE,"Blowout")</f>
        <v>Solid</v>
      </c>
      <c r="L156" s="193">
        <f t="shared" ca="1" si="22"/>
        <v>0</v>
      </c>
      <c r="M156" s="184" t="str" cm="1">
        <f t="array" aca="1" ref="M156" ca="1">_xlfn.IFS(C156&lt;$B$11,"Fail",C156&lt;25,"Marginal",C156&lt;35,"Solid",TRUE,"Blowout")</f>
        <v>Fail</v>
      </c>
    </row>
    <row r="157" spans="1:13" x14ac:dyDescent="0.25">
      <c r="A157" s="138">
        <f t="shared" ca="1" si="23"/>
        <v>13.467619608327423</v>
      </c>
      <c r="B157" s="137">
        <f t="shared" ca="1" si="24"/>
        <v>-2.5041756800394577</v>
      </c>
      <c r="C157" s="137">
        <f t="shared" ca="1" si="25"/>
        <v>15.971795288366881</v>
      </c>
      <c r="D157" s="152">
        <f t="shared" ca="1" si="26"/>
        <v>2.018535571492925</v>
      </c>
      <c r="E157" s="197">
        <f t="shared" ca="1" si="27"/>
        <v>2.235329434356155E-2</v>
      </c>
      <c r="F157" s="137">
        <f t="shared" ca="1" si="28"/>
        <v>46.081327452229523</v>
      </c>
      <c r="G157" s="137">
        <f t="shared" ca="1" si="29"/>
        <v>48.585503132268983</v>
      </c>
      <c r="H157" s="152">
        <f t="shared" ca="1" si="30"/>
        <v>6.1402969773095366</v>
      </c>
      <c r="I157" s="152">
        <f t="shared" ca="1" si="31"/>
        <v>1.8115470263379722E-9</v>
      </c>
      <c r="J157" s="190">
        <f t="shared" ca="1" si="32"/>
        <v>1</v>
      </c>
      <c r="K157" s="187" t="str" cm="1">
        <f t="array" aca="1" ref="K157" ca="1">_xlfn.IFS(G157&lt;$B$11,"Fail",G157&lt;25,"Marginal",G157&lt;35,"Solid",TRUE,"Blowout")</f>
        <v>Blowout</v>
      </c>
      <c r="L157" s="193">
        <f t="shared" ca="1" si="22"/>
        <v>0</v>
      </c>
      <c r="M157" s="184" t="str" cm="1">
        <f t="array" aca="1" ref="M157" ca="1">_xlfn.IFS(C157&lt;$B$11,"Fail",C157&lt;25,"Marginal",C157&lt;35,"Solid",TRUE,"Blowout")</f>
        <v>Fail</v>
      </c>
    </row>
    <row r="158" spans="1:13" x14ac:dyDescent="0.25">
      <c r="A158" s="138">
        <f t="shared" ca="1" si="23"/>
        <v>49.409012686991588</v>
      </c>
      <c r="B158" s="137">
        <f t="shared" ca="1" si="24"/>
        <v>2.4501952402218818</v>
      </c>
      <c r="C158" s="137">
        <f t="shared" ca="1" si="25"/>
        <v>46.958817446769707</v>
      </c>
      <c r="D158" s="152">
        <f t="shared" ca="1" si="26"/>
        <v>5.9347143949801593</v>
      </c>
      <c r="E158" s="197">
        <f t="shared" ca="1" si="27"/>
        <v>5.4302464333946888E-9</v>
      </c>
      <c r="F158" s="137">
        <f t="shared" ca="1" si="28"/>
        <v>27.247938162694446</v>
      </c>
      <c r="G158" s="137">
        <f t="shared" ca="1" si="29"/>
        <v>24.797742922472565</v>
      </c>
      <c r="H158" s="152">
        <f t="shared" ca="1" si="30"/>
        <v>3.1339699312453395</v>
      </c>
      <c r="I158" s="152">
        <f t="shared" ca="1" si="31"/>
        <v>9.7548019263253951E-4</v>
      </c>
      <c r="J158" s="190">
        <f t="shared" ca="1" si="32"/>
        <v>1</v>
      </c>
      <c r="K158" s="187" t="str" cm="1">
        <f t="array" aca="1" ref="K158" ca="1">_xlfn.IFS(G158&lt;$B$11,"Fail",G158&lt;25,"Marginal",G158&lt;35,"Solid",TRUE,"Blowout")</f>
        <v>Marginal</v>
      </c>
      <c r="L158" s="193">
        <f t="shared" ca="1" si="22"/>
        <v>1</v>
      </c>
      <c r="M158" s="184" t="str" cm="1">
        <f t="array" aca="1" ref="M158" ca="1">_xlfn.IFS(C158&lt;$B$11,"Fail",C158&lt;25,"Marginal",C158&lt;35,"Solid",TRUE,"Blowout")</f>
        <v>Blowout</v>
      </c>
    </row>
    <row r="159" spans="1:13" x14ac:dyDescent="0.25">
      <c r="A159" s="138">
        <f t="shared" ca="1" si="23"/>
        <v>53.824031596518452</v>
      </c>
      <c r="B159" s="137">
        <f t="shared" ca="1" si="24"/>
        <v>0.40457951235902634</v>
      </c>
      <c r="C159" s="137">
        <f t="shared" ca="1" si="25"/>
        <v>53.419452084159424</v>
      </c>
      <c r="D159" s="152">
        <f t="shared" ca="1" si="26"/>
        <v>6.7512175240610164</v>
      </c>
      <c r="E159" s="197">
        <f t="shared" ca="1" si="27"/>
        <v>6.008846256976158E-11</v>
      </c>
      <c r="F159" s="137">
        <f t="shared" ca="1" si="28"/>
        <v>25.964676482405196</v>
      </c>
      <c r="G159" s="137">
        <f t="shared" ca="1" si="29"/>
        <v>25.560096970046168</v>
      </c>
      <c r="H159" s="152">
        <f t="shared" ca="1" si="30"/>
        <v>3.2303171943623257</v>
      </c>
      <c r="I159" s="152">
        <f t="shared" ca="1" si="31"/>
        <v>7.0950045718040167E-4</v>
      </c>
      <c r="J159" s="190">
        <f t="shared" ca="1" si="32"/>
        <v>1</v>
      </c>
      <c r="K159" s="187" t="str" cm="1">
        <f t="array" aca="1" ref="K159" ca="1">_xlfn.IFS(G159&lt;$B$11,"Fail",G159&lt;25,"Marginal",G159&lt;35,"Solid",TRUE,"Blowout")</f>
        <v>Solid</v>
      </c>
      <c r="L159" s="193">
        <f t="shared" ca="1" si="22"/>
        <v>1</v>
      </c>
      <c r="M159" s="184" t="str" cm="1">
        <f t="array" aca="1" ref="M159" ca="1">_xlfn.IFS(C159&lt;$B$11,"Fail",C159&lt;25,"Marginal",C159&lt;35,"Solid",TRUE,"Blowout")</f>
        <v>Blowout</v>
      </c>
    </row>
    <row r="160" spans="1:13" x14ac:dyDescent="0.25">
      <c r="A160" s="138">
        <f t="shared" ca="1" si="23"/>
        <v>30.139641679286928</v>
      </c>
      <c r="B160" s="137">
        <f t="shared" ca="1" si="24"/>
        <v>2.7993411260327372</v>
      </c>
      <c r="C160" s="137">
        <f t="shared" ca="1" si="25"/>
        <v>27.340300553254192</v>
      </c>
      <c r="D160" s="152">
        <f t="shared" ca="1" si="26"/>
        <v>3.455301561637671</v>
      </c>
      <c r="E160" s="197">
        <f t="shared" ca="1" si="27"/>
        <v>3.2770272416183323E-4</v>
      </c>
      <c r="F160" s="137">
        <f t="shared" ca="1" si="28"/>
        <v>45.336738913523334</v>
      </c>
      <c r="G160" s="137">
        <f t="shared" ca="1" si="29"/>
        <v>42.537397787490598</v>
      </c>
      <c r="H160" s="152">
        <f t="shared" ca="1" si="30"/>
        <v>5.3759298189435869</v>
      </c>
      <c r="I160" s="152">
        <f t="shared" ca="1" si="31"/>
        <v>9.4066922468124709E-8</v>
      </c>
      <c r="J160" s="190">
        <f t="shared" ca="1" si="32"/>
        <v>1</v>
      </c>
      <c r="K160" s="187" t="str" cm="1">
        <f t="array" aca="1" ref="K160" ca="1">_xlfn.IFS(G160&lt;$B$11,"Fail",G160&lt;25,"Marginal",G160&lt;35,"Solid",TRUE,"Blowout")</f>
        <v>Blowout</v>
      </c>
      <c r="L160" s="193">
        <f t="shared" ca="1" si="22"/>
        <v>1</v>
      </c>
      <c r="M160" s="184" t="str" cm="1">
        <f t="array" aca="1" ref="M160" ca="1">_xlfn.IFS(C160&lt;$B$11,"Fail",C160&lt;25,"Marginal",C160&lt;35,"Solid",TRUE,"Blowout")</f>
        <v>Solid</v>
      </c>
    </row>
    <row r="161" spans="1:13" x14ac:dyDescent="0.25">
      <c r="A161" s="138">
        <f t="shared" ca="1" si="23"/>
        <v>37.120741880593435</v>
      </c>
      <c r="B161" s="137">
        <f t="shared" ca="1" si="24"/>
        <v>11.502766882022692</v>
      </c>
      <c r="C161" s="137">
        <f t="shared" ca="1" si="25"/>
        <v>25.617974998570745</v>
      </c>
      <c r="D161" s="152">
        <f t="shared" ca="1" si="26"/>
        <v>3.2376318923831446</v>
      </c>
      <c r="E161" s="197">
        <f t="shared" ca="1" si="27"/>
        <v>6.9234535909845488E-4</v>
      </c>
      <c r="F161" s="137">
        <f t="shared" ca="1" si="28"/>
        <v>-3.4660207170518662</v>
      </c>
      <c r="G161" s="137">
        <f t="shared" ca="1" si="29"/>
        <v>-14.96878759907456</v>
      </c>
      <c r="H161" s="152">
        <f t="shared" ca="1" si="30"/>
        <v>-1.891774198537431</v>
      </c>
      <c r="I161" s="152">
        <f t="shared" ca="1" si="31"/>
        <v>0.97010579008381514</v>
      </c>
      <c r="J161" s="190">
        <f t="shared" ca="1" si="32"/>
        <v>0</v>
      </c>
      <c r="K161" s="187" t="str" cm="1">
        <f t="array" aca="1" ref="K161" ca="1">_xlfn.IFS(G161&lt;$B$11,"Fail",G161&lt;25,"Marginal",G161&lt;35,"Solid",TRUE,"Blowout")</f>
        <v>Fail</v>
      </c>
      <c r="L161" s="193">
        <f t="shared" ca="1" si="22"/>
        <v>1</v>
      </c>
      <c r="M161" s="184" t="str" cm="1">
        <f t="array" aca="1" ref="M161" ca="1">_xlfn.IFS(C161&lt;$B$11,"Fail",C161&lt;25,"Marginal",C161&lt;35,"Solid",TRUE,"Blowout")</f>
        <v>Solid</v>
      </c>
    </row>
    <row r="162" spans="1:13" x14ac:dyDescent="0.25">
      <c r="A162" s="138">
        <f t="shared" ca="1" si="23"/>
        <v>32.480356699933097</v>
      </c>
      <c r="B162" s="137">
        <f t="shared" ca="1" si="24"/>
        <v>11.398398821730524</v>
      </c>
      <c r="C162" s="137">
        <f t="shared" ca="1" si="25"/>
        <v>21.081957878202573</v>
      </c>
      <c r="D162" s="152">
        <f t="shared" ca="1" si="26"/>
        <v>2.6643643451191905</v>
      </c>
      <c r="E162" s="197">
        <f t="shared" ca="1" si="27"/>
        <v>4.1321350845478421E-3</v>
      </c>
      <c r="F162" s="137">
        <f t="shared" ca="1" si="28"/>
        <v>73.149949336825898</v>
      </c>
      <c r="G162" s="137">
        <f t="shared" ca="1" si="29"/>
        <v>61.751550515095374</v>
      </c>
      <c r="H162" s="152">
        <f t="shared" ca="1" si="30"/>
        <v>7.804238600550427</v>
      </c>
      <c r="I162" s="152">
        <f t="shared" ca="1" si="31"/>
        <v>1.0740159593001258E-13</v>
      </c>
      <c r="J162" s="190">
        <f t="shared" ca="1" si="32"/>
        <v>1</v>
      </c>
      <c r="K162" s="187" t="str" cm="1">
        <f t="array" aca="1" ref="K162" ca="1">_xlfn.IFS(G162&lt;$B$11,"Fail",G162&lt;25,"Marginal",G162&lt;35,"Solid",TRUE,"Blowout")</f>
        <v>Blowout</v>
      </c>
      <c r="L162" s="193">
        <f t="shared" ca="1" si="22"/>
        <v>1</v>
      </c>
      <c r="M162" s="184" t="str" cm="1">
        <f t="array" aca="1" ref="M162" ca="1">_xlfn.IFS(C162&lt;$B$11,"Fail",C162&lt;25,"Marginal",C162&lt;35,"Solid",TRUE,"Blowout")</f>
        <v>Marginal</v>
      </c>
    </row>
    <row r="163" spans="1:13" x14ac:dyDescent="0.25">
      <c r="A163" s="138">
        <f t="shared" ca="1" si="23"/>
        <v>9.9841865602719881</v>
      </c>
      <c r="B163" s="137">
        <f t="shared" ca="1" si="24"/>
        <v>0.76172898708658199</v>
      </c>
      <c r="C163" s="137">
        <f t="shared" ca="1" si="25"/>
        <v>9.2224575731854053</v>
      </c>
      <c r="D163" s="152">
        <f t="shared" ca="1" si="26"/>
        <v>1.1655457844252479</v>
      </c>
      <c r="E163" s="197">
        <f t="shared" ca="1" si="27"/>
        <v>0.1225080091606431</v>
      </c>
      <c r="F163" s="137">
        <f t="shared" ca="1" si="28"/>
        <v>15.120278110712784</v>
      </c>
      <c r="G163" s="137">
        <f t="shared" ca="1" si="29"/>
        <v>14.358549123626201</v>
      </c>
      <c r="H163" s="152">
        <f t="shared" ca="1" si="30"/>
        <v>1.8146514926958841</v>
      </c>
      <c r="I163" s="152">
        <f t="shared" ca="1" si="31"/>
        <v>3.5445821545521283E-2</v>
      </c>
      <c r="J163" s="190">
        <f t="shared" ca="1" si="32"/>
        <v>0</v>
      </c>
      <c r="K163" s="187" t="str" cm="1">
        <f t="array" aca="1" ref="K163" ca="1">_xlfn.IFS(G163&lt;$B$11,"Fail",G163&lt;25,"Marginal",G163&lt;35,"Solid",TRUE,"Blowout")</f>
        <v>Fail</v>
      </c>
      <c r="L163" s="193">
        <f t="shared" ca="1" si="22"/>
        <v>0</v>
      </c>
      <c r="M163" s="184" t="str" cm="1">
        <f t="array" aca="1" ref="M163" ca="1">_xlfn.IFS(C163&lt;$B$11,"Fail",C163&lt;25,"Marginal",C163&lt;35,"Solid",TRUE,"Blowout")</f>
        <v>Fail</v>
      </c>
    </row>
    <row r="164" spans="1:13" x14ac:dyDescent="0.25">
      <c r="A164" s="138">
        <f t="shared" ca="1" si="23"/>
        <v>25.93708100377275</v>
      </c>
      <c r="B164" s="137">
        <f t="shared" ca="1" si="24"/>
        <v>-0.78715767579195894</v>
      </c>
      <c r="C164" s="137">
        <f t="shared" ca="1" si="25"/>
        <v>26.72423867956471</v>
      </c>
      <c r="D164" s="152">
        <f t="shared" ca="1" si="26"/>
        <v>3.3774428874040647</v>
      </c>
      <c r="E164" s="197">
        <f t="shared" ca="1" si="27"/>
        <v>4.3009249601894031E-4</v>
      </c>
      <c r="F164" s="137">
        <f t="shared" ca="1" si="28"/>
        <v>56.483607977757018</v>
      </c>
      <c r="G164" s="137">
        <f t="shared" ca="1" si="29"/>
        <v>57.270765653548978</v>
      </c>
      <c r="H164" s="152">
        <f t="shared" ca="1" si="30"/>
        <v>7.2379513756054585</v>
      </c>
      <c r="I164" s="152">
        <f t="shared" ca="1" si="31"/>
        <v>3.4504439546121118E-12</v>
      </c>
      <c r="J164" s="190">
        <f t="shared" ca="1" si="32"/>
        <v>1</v>
      </c>
      <c r="K164" s="187" t="str" cm="1">
        <f t="array" aca="1" ref="K164" ca="1">_xlfn.IFS(G164&lt;$B$11,"Fail",G164&lt;25,"Marginal",G164&lt;35,"Solid",TRUE,"Blowout")</f>
        <v>Blowout</v>
      </c>
      <c r="L164" s="193">
        <f t="shared" ca="1" si="22"/>
        <v>1</v>
      </c>
      <c r="M164" s="184" t="str" cm="1">
        <f t="array" aca="1" ref="M164" ca="1">_xlfn.IFS(C164&lt;$B$11,"Fail",C164&lt;25,"Marginal",C164&lt;35,"Solid",TRUE,"Blowout")</f>
        <v>Solid</v>
      </c>
    </row>
    <row r="165" spans="1:13" x14ac:dyDescent="0.25">
      <c r="A165" s="138">
        <f t="shared" ca="1" si="23"/>
        <v>40.399731039557331</v>
      </c>
      <c r="B165" s="137">
        <f t="shared" ca="1" si="24"/>
        <v>10.118288592836592</v>
      </c>
      <c r="C165" s="137">
        <f t="shared" ca="1" si="25"/>
        <v>30.281442446720739</v>
      </c>
      <c r="D165" s="152">
        <f t="shared" ca="1" si="26"/>
        <v>3.8270067723283168</v>
      </c>
      <c r="E165" s="197">
        <f t="shared" ca="1" si="27"/>
        <v>8.3778897547425946E-5</v>
      </c>
      <c r="F165" s="137">
        <f t="shared" ca="1" si="28"/>
        <v>-0.16628549597552134</v>
      </c>
      <c r="G165" s="137">
        <f t="shared" ca="1" si="29"/>
        <v>-10.284574088812114</v>
      </c>
      <c r="H165" s="152">
        <f t="shared" ca="1" si="30"/>
        <v>-1.2997774051763706</v>
      </c>
      <c r="I165" s="152">
        <f t="shared" ca="1" si="31"/>
        <v>0.90250508483394565</v>
      </c>
      <c r="J165" s="190">
        <f t="shared" ca="1" si="32"/>
        <v>0</v>
      </c>
      <c r="K165" s="187" t="str" cm="1">
        <f t="array" aca="1" ref="K165" ca="1">_xlfn.IFS(G165&lt;$B$11,"Fail",G165&lt;25,"Marginal",G165&lt;35,"Solid",TRUE,"Blowout")</f>
        <v>Fail</v>
      </c>
      <c r="L165" s="193">
        <f t="shared" ca="1" si="22"/>
        <v>1</v>
      </c>
      <c r="M165" s="184" t="str" cm="1">
        <f t="array" aca="1" ref="M165" ca="1">_xlfn.IFS(C165&lt;$B$11,"Fail",C165&lt;25,"Marginal",C165&lt;35,"Solid",TRUE,"Blowout")</f>
        <v>Solid</v>
      </c>
    </row>
    <row r="166" spans="1:13" x14ac:dyDescent="0.25">
      <c r="A166" s="138">
        <f t="shared" ca="1" si="23"/>
        <v>16.267743969829969</v>
      </c>
      <c r="B166" s="137">
        <f t="shared" ca="1" si="24"/>
        <v>9.4270727056342594</v>
      </c>
      <c r="C166" s="137">
        <f t="shared" ca="1" si="25"/>
        <v>6.8406712641957093</v>
      </c>
      <c r="D166" s="152">
        <f t="shared" ca="1" si="26"/>
        <v>0.86453263583497875</v>
      </c>
      <c r="E166" s="197">
        <f t="shared" ca="1" si="27"/>
        <v>0.19410200458328952</v>
      </c>
      <c r="F166" s="137">
        <f t="shared" ca="1" si="28"/>
        <v>31.929462308308004</v>
      </c>
      <c r="G166" s="137">
        <f t="shared" ca="1" si="29"/>
        <v>22.502389602673745</v>
      </c>
      <c r="H166" s="152">
        <f t="shared" ca="1" si="30"/>
        <v>2.8438802925099282</v>
      </c>
      <c r="I166" s="152">
        <f t="shared" ca="1" si="31"/>
        <v>2.4308786550492466E-3</v>
      </c>
      <c r="J166" s="190">
        <f t="shared" ca="1" si="32"/>
        <v>1</v>
      </c>
      <c r="K166" s="187" t="str" cm="1">
        <f t="array" aca="1" ref="K166" ca="1">_xlfn.IFS(G166&lt;$B$11,"Fail",G166&lt;25,"Marginal",G166&lt;35,"Solid",TRUE,"Blowout")</f>
        <v>Marginal</v>
      </c>
      <c r="L166" s="193">
        <f t="shared" ca="1" si="22"/>
        <v>0</v>
      </c>
      <c r="M166" s="184" t="str" cm="1">
        <f t="array" aca="1" ref="M166" ca="1">_xlfn.IFS(C166&lt;$B$11,"Fail",C166&lt;25,"Marginal",C166&lt;35,"Solid",TRUE,"Blowout")</f>
        <v>Fail</v>
      </c>
    </row>
    <row r="167" spans="1:13" x14ac:dyDescent="0.25">
      <c r="A167" s="138">
        <f t="shared" ca="1" si="23"/>
        <v>26.108709463368015</v>
      </c>
      <c r="B167" s="137">
        <f t="shared" ca="1" si="24"/>
        <v>2.9808772209178791</v>
      </c>
      <c r="C167" s="137">
        <f t="shared" ca="1" si="25"/>
        <v>23.127832242450136</v>
      </c>
      <c r="D167" s="152">
        <f t="shared" ca="1" si="26"/>
        <v>2.9229245197569811</v>
      </c>
      <c r="E167" s="197">
        <f t="shared" ca="1" si="27"/>
        <v>1.9083860250584627E-3</v>
      </c>
      <c r="F167" s="137">
        <f t="shared" ca="1" si="28"/>
        <v>32.752023122351254</v>
      </c>
      <c r="G167" s="137">
        <f t="shared" ca="1" si="29"/>
        <v>29.771145901433375</v>
      </c>
      <c r="H167" s="152">
        <f t="shared" ca="1" si="30"/>
        <v>3.7625148532875854</v>
      </c>
      <c r="I167" s="152">
        <f t="shared" ca="1" si="31"/>
        <v>1.0697183546381411E-4</v>
      </c>
      <c r="J167" s="190">
        <f t="shared" ca="1" si="32"/>
        <v>1</v>
      </c>
      <c r="K167" s="187" t="str" cm="1">
        <f t="array" aca="1" ref="K167" ca="1">_xlfn.IFS(G167&lt;$B$11,"Fail",G167&lt;25,"Marginal",G167&lt;35,"Solid",TRUE,"Blowout")</f>
        <v>Solid</v>
      </c>
      <c r="L167" s="193">
        <f t="shared" ca="1" si="22"/>
        <v>1</v>
      </c>
      <c r="M167" s="184" t="str" cm="1">
        <f t="array" aca="1" ref="M167" ca="1">_xlfn.IFS(C167&lt;$B$11,"Fail",C167&lt;25,"Marginal",C167&lt;35,"Solid",TRUE,"Blowout")</f>
        <v>Marginal</v>
      </c>
    </row>
    <row r="168" spans="1:13" x14ac:dyDescent="0.25">
      <c r="A168" s="138">
        <f t="shared" ca="1" si="23"/>
        <v>68.149327120831387</v>
      </c>
      <c r="B168" s="137">
        <f t="shared" ca="1" si="24"/>
        <v>9.6457315910601942</v>
      </c>
      <c r="C168" s="137">
        <f t="shared" ca="1" si="25"/>
        <v>58.503595529771189</v>
      </c>
      <c r="D168" s="152">
        <f t="shared" ca="1" si="26"/>
        <v>7.3937579655237675</v>
      </c>
      <c r="E168" s="197">
        <f t="shared" ca="1" si="27"/>
        <v>1.3482945524059565E-12</v>
      </c>
      <c r="F168" s="137">
        <f t="shared" ca="1" si="28"/>
        <v>4.0540621683412379</v>
      </c>
      <c r="G168" s="137">
        <f t="shared" ca="1" si="29"/>
        <v>-5.5916694227189563</v>
      </c>
      <c r="H168" s="152">
        <f t="shared" ca="1" si="30"/>
        <v>-0.70668221261315811</v>
      </c>
      <c r="I168" s="152">
        <f t="shared" ca="1" si="31"/>
        <v>0.75975722168686799</v>
      </c>
      <c r="J168" s="190">
        <f t="shared" ca="1" si="32"/>
        <v>0</v>
      </c>
      <c r="K168" s="187" t="str" cm="1">
        <f t="array" aca="1" ref="K168" ca="1">_xlfn.IFS(G168&lt;$B$11,"Fail",G168&lt;25,"Marginal",G168&lt;35,"Solid",TRUE,"Blowout")</f>
        <v>Fail</v>
      </c>
      <c r="L168" s="193">
        <f t="shared" ca="1" si="22"/>
        <v>1</v>
      </c>
      <c r="M168" s="184" t="str" cm="1">
        <f t="array" aca="1" ref="M168" ca="1">_xlfn.IFS(C168&lt;$B$11,"Fail",C168&lt;25,"Marginal",C168&lt;35,"Solid",TRUE,"Blowout")</f>
        <v>Blowout</v>
      </c>
    </row>
    <row r="169" spans="1:13" x14ac:dyDescent="0.25">
      <c r="A169" s="138">
        <f t="shared" ca="1" si="23"/>
        <v>10.321855131184176</v>
      </c>
      <c r="B169" s="137">
        <f t="shared" ca="1" si="24"/>
        <v>5.5090314988929547</v>
      </c>
      <c r="C169" s="137">
        <f t="shared" ca="1" si="25"/>
        <v>4.812823632291221</v>
      </c>
      <c r="D169" s="152">
        <f t="shared" ca="1" si="26"/>
        <v>0.60825070229753486</v>
      </c>
      <c r="E169" s="197">
        <f t="shared" ca="1" si="27"/>
        <v>0.27181332648657275</v>
      </c>
      <c r="F169" s="137">
        <f t="shared" ca="1" si="28"/>
        <v>11.969645855345732</v>
      </c>
      <c r="G169" s="137">
        <f t="shared" ca="1" si="29"/>
        <v>6.4606143564527772</v>
      </c>
      <c r="H169" s="152">
        <f t="shared" ca="1" si="30"/>
        <v>0.81650056595054465</v>
      </c>
      <c r="I169" s="152">
        <f t="shared" ca="1" si="31"/>
        <v>0.20753308544727056</v>
      </c>
      <c r="J169" s="190">
        <f t="shared" ca="1" si="32"/>
        <v>0</v>
      </c>
      <c r="K169" s="187" t="str" cm="1">
        <f t="array" aca="1" ref="K169" ca="1">_xlfn.IFS(G169&lt;$B$11,"Fail",G169&lt;25,"Marginal",G169&lt;35,"Solid",TRUE,"Blowout")</f>
        <v>Fail</v>
      </c>
      <c r="L169" s="193">
        <f t="shared" ca="1" si="22"/>
        <v>0</v>
      </c>
      <c r="M169" s="184" t="str" cm="1">
        <f t="array" aca="1" ref="M169" ca="1">_xlfn.IFS(C169&lt;$B$11,"Fail",C169&lt;25,"Marginal",C169&lt;35,"Solid",TRUE,"Blowout")</f>
        <v>Fail</v>
      </c>
    </row>
    <row r="170" spans="1:13" x14ac:dyDescent="0.25">
      <c r="A170" s="138">
        <f t="shared" ca="1" si="23"/>
        <v>31.969487652603419</v>
      </c>
      <c r="B170" s="137">
        <f t="shared" ca="1" si="24"/>
        <v>5.9761780235572202</v>
      </c>
      <c r="C170" s="137">
        <f t="shared" ca="1" si="25"/>
        <v>25.993309629046198</v>
      </c>
      <c r="D170" s="152">
        <f t="shared" ca="1" si="26"/>
        <v>3.2850671549287194</v>
      </c>
      <c r="E170" s="197">
        <f t="shared" ca="1" si="27"/>
        <v>5.9011326238973111E-4</v>
      </c>
      <c r="F170" s="137">
        <f t="shared" ca="1" si="28"/>
        <v>47.209631891338489</v>
      </c>
      <c r="G170" s="137">
        <f t="shared" ca="1" si="29"/>
        <v>41.233453867781272</v>
      </c>
      <c r="H170" s="152">
        <f t="shared" ca="1" si="30"/>
        <v>5.2111357467905179</v>
      </c>
      <c r="I170" s="152">
        <f t="shared" ca="1" si="31"/>
        <v>2.0991176147246496E-7</v>
      </c>
      <c r="J170" s="190">
        <f t="shared" ca="1" si="32"/>
        <v>1</v>
      </c>
      <c r="K170" s="187" t="str" cm="1">
        <f t="array" aca="1" ref="K170" ca="1">_xlfn.IFS(G170&lt;$B$11,"Fail",G170&lt;25,"Marginal",G170&lt;35,"Solid",TRUE,"Blowout")</f>
        <v>Blowout</v>
      </c>
      <c r="L170" s="193">
        <f t="shared" ca="1" si="22"/>
        <v>1</v>
      </c>
      <c r="M170" s="184" t="str" cm="1">
        <f t="array" aca="1" ref="M170" ca="1">_xlfn.IFS(C170&lt;$B$11,"Fail",C170&lt;25,"Marginal",C170&lt;35,"Solid",TRUE,"Blowout")</f>
        <v>Solid</v>
      </c>
    </row>
    <row r="171" spans="1:13" x14ac:dyDescent="0.25">
      <c r="A171" s="138">
        <f t="shared" ca="1" si="23"/>
        <v>23.186873994955782</v>
      </c>
      <c r="B171" s="137">
        <f t="shared" ca="1" si="24"/>
        <v>4.2995599860957299</v>
      </c>
      <c r="C171" s="137">
        <f t="shared" ca="1" si="25"/>
        <v>18.887314008860052</v>
      </c>
      <c r="D171" s="152">
        <f t="shared" ca="1" si="26"/>
        <v>2.3870024933645957</v>
      </c>
      <c r="E171" s="197">
        <f t="shared" ca="1" si="27"/>
        <v>8.9014143159960122E-3</v>
      </c>
      <c r="F171" s="137">
        <f t="shared" ca="1" si="28"/>
        <v>6.8190240303055489</v>
      </c>
      <c r="G171" s="137">
        <f t="shared" ca="1" si="29"/>
        <v>2.5194640442098191</v>
      </c>
      <c r="H171" s="152">
        <f t="shared" ca="1" si="30"/>
        <v>0.31841303388349079</v>
      </c>
      <c r="I171" s="152">
        <f t="shared" ca="1" si="31"/>
        <v>0.37523156382083545</v>
      </c>
      <c r="J171" s="190">
        <f t="shared" ca="1" si="32"/>
        <v>0</v>
      </c>
      <c r="K171" s="187" t="str" cm="1">
        <f t="array" aca="1" ref="K171" ca="1">_xlfn.IFS(G171&lt;$B$11,"Fail",G171&lt;25,"Marginal",G171&lt;35,"Solid",TRUE,"Blowout")</f>
        <v>Fail</v>
      </c>
      <c r="L171" s="193">
        <f t="shared" ca="1" si="22"/>
        <v>0</v>
      </c>
      <c r="M171" s="184" t="str" cm="1">
        <f t="array" aca="1" ref="M171" ca="1">_xlfn.IFS(C171&lt;$B$11,"Fail",C171&lt;25,"Marginal",C171&lt;35,"Solid",TRUE,"Blowout")</f>
        <v>Fail</v>
      </c>
    </row>
    <row r="172" spans="1:13" x14ac:dyDescent="0.25">
      <c r="A172" s="138">
        <f t="shared" ca="1" si="23"/>
        <v>24.545082007288855</v>
      </c>
      <c r="B172" s="137">
        <f t="shared" ca="1" si="24"/>
        <v>8.9345157012247931</v>
      </c>
      <c r="C172" s="137">
        <f t="shared" ca="1" si="25"/>
        <v>15.610566306064062</v>
      </c>
      <c r="D172" s="152">
        <f t="shared" ca="1" si="26"/>
        <v>1.9728829984998617</v>
      </c>
      <c r="E172" s="197">
        <f t="shared" ca="1" si="27"/>
        <v>2.4858538776710723E-2</v>
      </c>
      <c r="F172" s="137">
        <f t="shared" ca="1" si="28"/>
        <v>26.424807142862228</v>
      </c>
      <c r="G172" s="137">
        <f t="shared" ca="1" si="29"/>
        <v>17.490291441637435</v>
      </c>
      <c r="H172" s="152">
        <f t="shared" ca="1" si="30"/>
        <v>2.2104450247016252</v>
      </c>
      <c r="I172" s="152">
        <f t="shared" ca="1" si="31"/>
        <v>1.4034068978534557E-2</v>
      </c>
      <c r="J172" s="190">
        <f t="shared" ca="1" si="32"/>
        <v>0</v>
      </c>
      <c r="K172" s="187" t="str" cm="1">
        <f t="array" aca="1" ref="K172" ca="1">_xlfn.IFS(G172&lt;$B$11,"Fail",G172&lt;25,"Marginal",G172&lt;35,"Solid",TRUE,"Blowout")</f>
        <v>Fail</v>
      </c>
      <c r="L172" s="193">
        <f t="shared" ca="1" si="22"/>
        <v>0</v>
      </c>
      <c r="M172" s="184" t="str" cm="1">
        <f t="array" aca="1" ref="M172" ca="1">_xlfn.IFS(C172&lt;$B$11,"Fail",C172&lt;25,"Marginal",C172&lt;35,"Solid",TRUE,"Blowout")</f>
        <v>Fail</v>
      </c>
    </row>
    <row r="173" spans="1:13" x14ac:dyDescent="0.25">
      <c r="A173" s="138">
        <f t="shared" ca="1" si="23"/>
        <v>45.838063693136476</v>
      </c>
      <c r="B173" s="137">
        <f t="shared" ca="1" si="24"/>
        <v>6.4120916052383752</v>
      </c>
      <c r="C173" s="137">
        <f t="shared" ca="1" si="25"/>
        <v>39.425972087898103</v>
      </c>
      <c r="D173" s="152">
        <f t="shared" ca="1" si="26"/>
        <v>4.9827039267197399</v>
      </c>
      <c r="E173" s="197">
        <f t="shared" ca="1" si="27"/>
        <v>6.1966427691393328E-7</v>
      </c>
      <c r="F173" s="137">
        <f t="shared" ca="1" si="28"/>
        <v>25.221703613714826</v>
      </c>
      <c r="G173" s="137">
        <f t="shared" ca="1" si="29"/>
        <v>18.809612008476449</v>
      </c>
      <c r="H173" s="152">
        <f t="shared" ca="1" si="30"/>
        <v>2.3771824168535542</v>
      </c>
      <c r="I173" s="152">
        <f t="shared" ca="1" si="31"/>
        <v>9.1359068749247308E-3</v>
      </c>
      <c r="J173" s="190">
        <f t="shared" ca="1" si="32"/>
        <v>0</v>
      </c>
      <c r="K173" s="187" t="str" cm="1">
        <f t="array" aca="1" ref="K173" ca="1">_xlfn.IFS(G173&lt;$B$11,"Fail",G173&lt;25,"Marginal",G173&lt;35,"Solid",TRUE,"Blowout")</f>
        <v>Fail</v>
      </c>
      <c r="L173" s="193">
        <f t="shared" ca="1" si="22"/>
        <v>1</v>
      </c>
      <c r="M173" s="184" t="str" cm="1">
        <f t="array" aca="1" ref="M173" ca="1">_xlfn.IFS(C173&lt;$B$11,"Fail",C173&lt;25,"Marginal",C173&lt;35,"Solid",TRUE,"Blowout")</f>
        <v>Blowout</v>
      </c>
    </row>
    <row r="174" spans="1:13" x14ac:dyDescent="0.25">
      <c r="A174" s="138">
        <f t="shared" ca="1" si="23"/>
        <v>76.239948939821488</v>
      </c>
      <c r="B174" s="137">
        <f t="shared" ca="1" si="24"/>
        <v>8.9758360897365144</v>
      </c>
      <c r="C174" s="137">
        <f t="shared" ca="1" si="25"/>
        <v>67.26411285008497</v>
      </c>
      <c r="D174" s="152">
        <f t="shared" ca="1" si="26"/>
        <v>8.5009231599470283</v>
      </c>
      <c r="E174" s="197">
        <f t="shared" ca="1" si="27"/>
        <v>1.2413851140577833E-15</v>
      </c>
      <c r="F174" s="137">
        <f t="shared" ca="1" si="28"/>
        <v>27.295017275392233</v>
      </c>
      <c r="G174" s="137">
        <f t="shared" ca="1" si="29"/>
        <v>18.319181185655719</v>
      </c>
      <c r="H174" s="152">
        <f t="shared" ca="1" si="30"/>
        <v>2.3152011527973322</v>
      </c>
      <c r="I174" s="152">
        <f t="shared" ca="1" si="31"/>
        <v>1.0745462291501412E-2</v>
      </c>
      <c r="J174" s="190">
        <f t="shared" ca="1" si="32"/>
        <v>0</v>
      </c>
      <c r="K174" s="187" t="str" cm="1">
        <f t="array" aca="1" ref="K174" ca="1">_xlfn.IFS(G174&lt;$B$11,"Fail",G174&lt;25,"Marginal",G174&lt;35,"Solid",TRUE,"Blowout")</f>
        <v>Fail</v>
      </c>
      <c r="L174" s="193">
        <f t="shared" ca="1" si="22"/>
        <v>1</v>
      </c>
      <c r="M174" s="184" t="str" cm="1">
        <f t="array" aca="1" ref="M174" ca="1">_xlfn.IFS(C174&lt;$B$11,"Fail",C174&lt;25,"Marginal",C174&lt;35,"Solid",TRUE,"Blowout")</f>
        <v>Blowout</v>
      </c>
    </row>
    <row r="175" spans="1:13" x14ac:dyDescent="0.25">
      <c r="A175" s="138">
        <f t="shared" ca="1" si="23"/>
        <v>-5.6367614747141026</v>
      </c>
      <c r="B175" s="137">
        <f t="shared" ca="1" si="24"/>
        <v>8.7957990122525178</v>
      </c>
      <c r="C175" s="137">
        <f t="shared" ca="1" si="25"/>
        <v>-14.43256048696662</v>
      </c>
      <c r="D175" s="152">
        <f t="shared" ca="1" si="26"/>
        <v>-1.8240051418567982</v>
      </c>
      <c r="E175" s="197">
        <f t="shared" ca="1" si="27"/>
        <v>0.96526984104168845</v>
      </c>
      <c r="F175" s="137">
        <f t="shared" ca="1" si="28"/>
        <v>21.018078563852324</v>
      </c>
      <c r="G175" s="137">
        <f t="shared" ca="1" si="29"/>
        <v>12.222279551599806</v>
      </c>
      <c r="H175" s="152">
        <f t="shared" ca="1" si="30"/>
        <v>1.5446670580359929</v>
      </c>
      <c r="I175" s="152">
        <f t="shared" ca="1" si="31"/>
        <v>6.1906823241725695E-2</v>
      </c>
      <c r="J175" s="190">
        <f t="shared" ca="1" si="32"/>
        <v>0</v>
      </c>
      <c r="K175" s="187" t="str" cm="1">
        <f t="array" aca="1" ref="K175" ca="1">_xlfn.IFS(G175&lt;$B$11,"Fail",G175&lt;25,"Marginal",G175&lt;35,"Solid",TRUE,"Blowout")</f>
        <v>Fail</v>
      </c>
      <c r="L175" s="193">
        <f t="shared" ca="1" si="22"/>
        <v>0</v>
      </c>
      <c r="M175" s="184" t="str" cm="1">
        <f t="array" aca="1" ref="M175" ca="1">_xlfn.IFS(C175&lt;$B$11,"Fail",C175&lt;25,"Marginal",C175&lt;35,"Solid",TRUE,"Blowout")</f>
        <v>Fail</v>
      </c>
    </row>
    <row r="176" spans="1:13" x14ac:dyDescent="0.25">
      <c r="A176" s="138">
        <f t="shared" ca="1" si="23"/>
        <v>53.846932457305478</v>
      </c>
      <c r="B176" s="137">
        <f t="shared" ca="1" si="24"/>
        <v>6.908196428557182</v>
      </c>
      <c r="C176" s="137">
        <f t="shared" ca="1" si="25"/>
        <v>46.938736028748295</v>
      </c>
      <c r="D176" s="152">
        <f t="shared" ca="1" si="26"/>
        <v>5.932176480120221</v>
      </c>
      <c r="E176" s="197">
        <f t="shared" ca="1" si="27"/>
        <v>5.5034663251348948E-9</v>
      </c>
      <c r="F176" s="137">
        <f t="shared" ca="1" si="28"/>
        <v>-3.6751086218857587</v>
      </c>
      <c r="G176" s="137">
        <f t="shared" ca="1" si="29"/>
        <v>-10.583305050442942</v>
      </c>
      <c r="H176" s="152">
        <f t="shared" ca="1" si="30"/>
        <v>-1.3375313997318423</v>
      </c>
      <c r="I176" s="152">
        <f t="shared" ca="1" si="31"/>
        <v>0.9088090298844399</v>
      </c>
      <c r="J176" s="190">
        <f t="shared" ca="1" si="32"/>
        <v>0</v>
      </c>
      <c r="K176" s="187" t="str" cm="1">
        <f t="array" aca="1" ref="K176" ca="1">_xlfn.IFS(G176&lt;$B$11,"Fail",G176&lt;25,"Marginal",G176&lt;35,"Solid",TRUE,"Blowout")</f>
        <v>Fail</v>
      </c>
      <c r="L176" s="193">
        <f t="shared" ca="1" si="22"/>
        <v>1</v>
      </c>
      <c r="M176" s="184" t="str" cm="1">
        <f t="array" aca="1" ref="M176" ca="1">_xlfn.IFS(C176&lt;$B$11,"Fail",C176&lt;25,"Marginal",C176&lt;35,"Solid",TRUE,"Blowout")</f>
        <v>Blowout</v>
      </c>
    </row>
    <row r="177" spans="1:13" x14ac:dyDescent="0.25">
      <c r="A177" s="138">
        <f t="shared" ca="1" si="23"/>
        <v>17.151482834518141</v>
      </c>
      <c r="B177" s="137">
        <f t="shared" ca="1" si="24"/>
        <v>4.6372313947291959</v>
      </c>
      <c r="C177" s="137">
        <f t="shared" ca="1" si="25"/>
        <v>12.514251439788946</v>
      </c>
      <c r="D177" s="152">
        <f t="shared" ca="1" si="26"/>
        <v>1.5815668323910395</v>
      </c>
      <c r="E177" s="197">
        <f t="shared" ca="1" si="27"/>
        <v>5.7567342623065003E-2</v>
      </c>
      <c r="F177" s="137">
        <f t="shared" ca="1" si="28"/>
        <v>41.510908780694173</v>
      </c>
      <c r="G177" s="137">
        <f t="shared" ca="1" si="29"/>
        <v>36.873677385964974</v>
      </c>
      <c r="H177" s="152">
        <f t="shared" ca="1" si="30"/>
        <v>4.6601417130318801</v>
      </c>
      <c r="I177" s="152">
        <f t="shared" ca="1" si="31"/>
        <v>2.6873784571685278E-6</v>
      </c>
      <c r="J177" s="190">
        <f t="shared" ca="1" si="32"/>
        <v>1</v>
      </c>
      <c r="K177" s="187" t="str" cm="1">
        <f t="array" aca="1" ref="K177" ca="1">_xlfn.IFS(G177&lt;$B$11,"Fail",G177&lt;25,"Marginal",G177&lt;35,"Solid",TRUE,"Blowout")</f>
        <v>Blowout</v>
      </c>
      <c r="L177" s="193">
        <f t="shared" ca="1" si="22"/>
        <v>0</v>
      </c>
      <c r="M177" s="184" t="str" cm="1">
        <f t="array" aca="1" ref="M177" ca="1">_xlfn.IFS(C177&lt;$B$11,"Fail",C177&lt;25,"Marginal",C177&lt;35,"Solid",TRUE,"Blowout")</f>
        <v>Fail</v>
      </c>
    </row>
    <row r="178" spans="1:13" x14ac:dyDescent="0.25">
      <c r="A178" s="138">
        <f t="shared" ca="1" si="23"/>
        <v>32.316426839294571</v>
      </c>
      <c r="B178" s="137">
        <f t="shared" ca="1" si="24"/>
        <v>-0.85375737567753962</v>
      </c>
      <c r="C178" s="137">
        <f t="shared" ca="1" si="25"/>
        <v>33.17018421497211</v>
      </c>
      <c r="D178" s="152">
        <f t="shared" ca="1" si="26"/>
        <v>4.192089589306307</v>
      </c>
      <c r="E178" s="197">
        <f t="shared" ca="1" si="27"/>
        <v>1.9779799582233345E-5</v>
      </c>
      <c r="F178" s="137">
        <f t="shared" ca="1" si="28"/>
        <v>39.225124507036178</v>
      </c>
      <c r="G178" s="137">
        <f t="shared" ca="1" si="29"/>
        <v>40.078881882713716</v>
      </c>
      <c r="H178" s="152">
        <f t="shared" ca="1" si="30"/>
        <v>5.065219487557874</v>
      </c>
      <c r="I178" s="152">
        <f t="shared" ca="1" si="31"/>
        <v>4.2083807139377137E-7</v>
      </c>
      <c r="J178" s="190">
        <f t="shared" ca="1" si="32"/>
        <v>1</v>
      </c>
      <c r="K178" s="187" t="str" cm="1">
        <f t="array" aca="1" ref="K178" ca="1">_xlfn.IFS(G178&lt;$B$11,"Fail",G178&lt;25,"Marginal",G178&lt;35,"Solid",TRUE,"Blowout")</f>
        <v>Blowout</v>
      </c>
      <c r="L178" s="193">
        <f t="shared" ca="1" si="22"/>
        <v>1</v>
      </c>
      <c r="M178" s="184" t="str" cm="1">
        <f t="array" aca="1" ref="M178" ca="1">_xlfn.IFS(C178&lt;$B$11,"Fail",C178&lt;25,"Marginal",C178&lt;35,"Solid",TRUE,"Blowout")</f>
        <v>Solid</v>
      </c>
    </row>
    <row r="179" spans="1:13" x14ac:dyDescent="0.25">
      <c r="A179" s="138">
        <f t="shared" ca="1" si="23"/>
        <v>15.21788716704719</v>
      </c>
      <c r="B179" s="137">
        <f t="shared" ca="1" si="24"/>
        <v>5.935387850660284</v>
      </c>
      <c r="C179" s="137">
        <f t="shared" ca="1" si="25"/>
        <v>9.2824993163869056</v>
      </c>
      <c r="D179" s="152">
        <f t="shared" ca="1" si="26"/>
        <v>1.1731339354275929</v>
      </c>
      <c r="E179" s="197">
        <f t="shared" ca="1" si="27"/>
        <v>0.12098311004092875</v>
      </c>
      <c r="F179" s="137">
        <f t="shared" ca="1" si="28"/>
        <v>39.832152208134325</v>
      </c>
      <c r="G179" s="137">
        <f t="shared" ca="1" si="29"/>
        <v>33.896764357474041</v>
      </c>
      <c r="H179" s="152">
        <f t="shared" ca="1" si="30"/>
        <v>4.2839157013181959</v>
      </c>
      <c r="I179" s="152">
        <f t="shared" ca="1" si="31"/>
        <v>1.3541403066463864E-5</v>
      </c>
      <c r="J179" s="190">
        <f t="shared" ca="1" si="32"/>
        <v>1</v>
      </c>
      <c r="K179" s="187" t="str" cm="1">
        <f t="array" aca="1" ref="K179" ca="1">_xlfn.IFS(G179&lt;$B$11,"Fail",G179&lt;25,"Marginal",G179&lt;35,"Solid",TRUE,"Blowout")</f>
        <v>Solid</v>
      </c>
      <c r="L179" s="193">
        <f t="shared" ca="1" si="22"/>
        <v>0</v>
      </c>
      <c r="M179" s="184" t="str" cm="1">
        <f t="array" aca="1" ref="M179" ca="1">_xlfn.IFS(C179&lt;$B$11,"Fail",C179&lt;25,"Marginal",C179&lt;35,"Solid",TRUE,"Blowout")</f>
        <v>Fail</v>
      </c>
    </row>
    <row r="180" spans="1:13" x14ac:dyDescent="0.25">
      <c r="A180" s="138">
        <f t="shared" ca="1" si="23"/>
        <v>37.565874866893481</v>
      </c>
      <c r="B180" s="137">
        <f t="shared" ca="1" si="24"/>
        <v>5.2802346638356745</v>
      </c>
      <c r="C180" s="137">
        <f t="shared" ca="1" si="25"/>
        <v>32.28564020305781</v>
      </c>
      <c r="D180" s="152">
        <f t="shared" ca="1" si="26"/>
        <v>4.0802998048541763</v>
      </c>
      <c r="E180" s="197">
        <f t="shared" ca="1" si="27"/>
        <v>3.1106698752576264E-5</v>
      </c>
      <c r="F180" s="137">
        <f t="shared" ca="1" si="28"/>
        <v>10.905250791323025</v>
      </c>
      <c r="G180" s="137">
        <f t="shared" ca="1" si="29"/>
        <v>5.6250161274873509</v>
      </c>
      <c r="H180" s="152">
        <f t="shared" ca="1" si="30"/>
        <v>0.710896611091963</v>
      </c>
      <c r="I180" s="152">
        <f t="shared" ca="1" si="31"/>
        <v>0.23893744802622557</v>
      </c>
      <c r="J180" s="190">
        <f t="shared" ca="1" si="32"/>
        <v>0</v>
      </c>
      <c r="K180" s="187" t="str" cm="1">
        <f t="array" aca="1" ref="K180" ca="1">_xlfn.IFS(G180&lt;$B$11,"Fail",G180&lt;25,"Marginal",G180&lt;35,"Solid",TRUE,"Blowout")</f>
        <v>Fail</v>
      </c>
      <c r="L180" s="193">
        <f t="shared" ca="1" si="22"/>
        <v>1</v>
      </c>
      <c r="M180" s="184" t="str" cm="1">
        <f t="array" aca="1" ref="M180" ca="1">_xlfn.IFS(C180&lt;$B$11,"Fail",C180&lt;25,"Marginal",C180&lt;35,"Solid",TRUE,"Blowout")</f>
        <v>Solid</v>
      </c>
    </row>
    <row r="181" spans="1:13" x14ac:dyDescent="0.25">
      <c r="A181" s="138">
        <f t="shared" ca="1" si="23"/>
        <v>71.448406920334975</v>
      </c>
      <c r="B181" s="137">
        <f t="shared" ca="1" si="24"/>
        <v>4.8641764945837105</v>
      </c>
      <c r="C181" s="137">
        <f t="shared" ca="1" si="25"/>
        <v>66.584230425751258</v>
      </c>
      <c r="D181" s="152">
        <f t="shared" ca="1" si="26"/>
        <v>8.4149987642749888</v>
      </c>
      <c r="E181" s="197">
        <f t="shared" ca="1" si="27"/>
        <v>2.1746641399086982E-15</v>
      </c>
      <c r="F181" s="137">
        <f t="shared" ca="1" si="28"/>
        <v>9.9013059892017239</v>
      </c>
      <c r="G181" s="137">
        <f t="shared" ca="1" si="29"/>
        <v>5.0371294946180134</v>
      </c>
      <c r="H181" s="152">
        <f t="shared" ca="1" si="30"/>
        <v>0.63659875922077891</v>
      </c>
      <c r="I181" s="152">
        <f t="shared" ca="1" si="31"/>
        <v>0.26251241602978537</v>
      </c>
      <c r="J181" s="190">
        <f t="shared" ca="1" si="32"/>
        <v>0</v>
      </c>
      <c r="K181" s="187" t="str" cm="1">
        <f t="array" aca="1" ref="K181" ca="1">_xlfn.IFS(G181&lt;$B$11,"Fail",G181&lt;25,"Marginal",G181&lt;35,"Solid",TRUE,"Blowout")</f>
        <v>Fail</v>
      </c>
      <c r="L181" s="193">
        <f t="shared" ca="1" si="22"/>
        <v>1</v>
      </c>
      <c r="M181" s="184" t="str" cm="1">
        <f t="array" aca="1" ref="M181" ca="1">_xlfn.IFS(C181&lt;$B$11,"Fail",C181&lt;25,"Marginal",C181&lt;35,"Solid",TRUE,"Blowout")</f>
        <v>Blowout</v>
      </c>
    </row>
    <row r="182" spans="1:13" x14ac:dyDescent="0.25">
      <c r="A182" s="138">
        <f t="shared" ca="1" si="23"/>
        <v>5.5540445036236683</v>
      </c>
      <c r="B182" s="137">
        <f t="shared" ca="1" si="24"/>
        <v>4.0182279333577027</v>
      </c>
      <c r="C182" s="137">
        <f t="shared" ca="1" si="25"/>
        <v>1.5358165702659656</v>
      </c>
      <c r="D182" s="152">
        <f t="shared" ca="1" si="26"/>
        <v>0.19409842928728774</v>
      </c>
      <c r="E182" s="197">
        <f t="shared" ca="1" si="27"/>
        <v>0.42313581722967741</v>
      </c>
      <c r="F182" s="137">
        <f t="shared" ca="1" si="28"/>
        <v>36.079983934260561</v>
      </c>
      <c r="G182" s="137">
        <f t="shared" ca="1" si="29"/>
        <v>32.061756000902861</v>
      </c>
      <c r="H182" s="152">
        <f t="shared" ca="1" si="30"/>
        <v>4.0520050378736459</v>
      </c>
      <c r="I182" s="152">
        <f t="shared" ca="1" si="31"/>
        <v>3.483161215020913E-5</v>
      </c>
      <c r="J182" s="190">
        <f t="shared" ca="1" si="32"/>
        <v>1</v>
      </c>
      <c r="K182" s="187" t="str" cm="1">
        <f t="array" aca="1" ref="K182" ca="1">_xlfn.IFS(G182&lt;$B$11,"Fail",G182&lt;25,"Marginal",G182&lt;35,"Solid",TRUE,"Blowout")</f>
        <v>Solid</v>
      </c>
      <c r="L182" s="193">
        <f t="shared" ca="1" si="22"/>
        <v>0</v>
      </c>
      <c r="M182" s="184" t="str" cm="1">
        <f t="array" aca="1" ref="M182" ca="1">_xlfn.IFS(C182&lt;$B$11,"Fail",C182&lt;25,"Marginal",C182&lt;35,"Solid",TRUE,"Blowout")</f>
        <v>Fail</v>
      </c>
    </row>
    <row r="183" spans="1:13" x14ac:dyDescent="0.25">
      <c r="A183" s="138">
        <f t="shared" ca="1" si="23"/>
        <v>13.136089566633716</v>
      </c>
      <c r="B183" s="137">
        <f t="shared" ca="1" si="24"/>
        <v>-0.68145746052693035</v>
      </c>
      <c r="C183" s="137">
        <f t="shared" ca="1" si="25"/>
        <v>13.817547027160646</v>
      </c>
      <c r="D183" s="152">
        <f t="shared" ca="1" si="26"/>
        <v>1.7462789674880663</v>
      </c>
      <c r="E183" s="197">
        <f t="shared" ca="1" si="27"/>
        <v>4.1054638376542531E-2</v>
      </c>
      <c r="F183" s="137">
        <f t="shared" ca="1" si="28"/>
        <v>25.255718425860454</v>
      </c>
      <c r="G183" s="137">
        <f t="shared" ca="1" si="29"/>
        <v>25.937175886387386</v>
      </c>
      <c r="H183" s="152">
        <f t="shared" ca="1" si="30"/>
        <v>3.2779729019488824</v>
      </c>
      <c r="I183" s="152">
        <f t="shared" ca="1" si="31"/>
        <v>6.0445312501435078E-4</v>
      </c>
      <c r="J183" s="190">
        <f t="shared" ca="1" si="32"/>
        <v>1</v>
      </c>
      <c r="K183" s="187" t="str" cm="1">
        <f t="array" aca="1" ref="K183" ca="1">_xlfn.IFS(G183&lt;$B$11,"Fail",G183&lt;25,"Marginal",G183&lt;35,"Solid",TRUE,"Blowout")</f>
        <v>Solid</v>
      </c>
      <c r="L183" s="193">
        <f t="shared" ca="1" si="22"/>
        <v>0</v>
      </c>
      <c r="M183" s="184" t="str" cm="1">
        <f t="array" aca="1" ref="M183" ca="1">_xlfn.IFS(C183&lt;$B$11,"Fail",C183&lt;25,"Marginal",C183&lt;35,"Solid",TRUE,"Blowout")</f>
        <v>Fail</v>
      </c>
    </row>
    <row r="184" spans="1:13" x14ac:dyDescent="0.25">
      <c r="A184" s="138">
        <f t="shared" ca="1" si="23"/>
        <v>39.807321104113711</v>
      </c>
      <c r="B184" s="137">
        <f t="shared" ca="1" si="24"/>
        <v>4.3153637011621671</v>
      </c>
      <c r="C184" s="137">
        <f t="shared" ca="1" si="25"/>
        <v>35.491957402951542</v>
      </c>
      <c r="D184" s="152">
        <f t="shared" ca="1" si="26"/>
        <v>4.4855182042027488</v>
      </c>
      <c r="E184" s="197">
        <f t="shared" ca="1" si="27"/>
        <v>5.7660706339690652E-6</v>
      </c>
      <c r="F184" s="137">
        <f t="shared" ca="1" si="28"/>
        <v>16.098916438404007</v>
      </c>
      <c r="G184" s="137">
        <f t="shared" ca="1" si="29"/>
        <v>11.783552737241841</v>
      </c>
      <c r="H184" s="152">
        <f t="shared" ca="1" si="30"/>
        <v>1.4892202115819599</v>
      </c>
      <c r="I184" s="152">
        <f t="shared" ca="1" si="31"/>
        <v>6.8905658137874734E-2</v>
      </c>
      <c r="J184" s="190">
        <f t="shared" ca="1" si="32"/>
        <v>0</v>
      </c>
      <c r="K184" s="187" t="str" cm="1">
        <f t="array" aca="1" ref="K184" ca="1">_xlfn.IFS(G184&lt;$B$11,"Fail",G184&lt;25,"Marginal",G184&lt;35,"Solid",TRUE,"Blowout")</f>
        <v>Fail</v>
      </c>
      <c r="L184" s="193">
        <f t="shared" ca="1" si="22"/>
        <v>1</v>
      </c>
      <c r="M184" s="184" t="str" cm="1">
        <f t="array" aca="1" ref="M184" ca="1">_xlfn.IFS(C184&lt;$B$11,"Fail",C184&lt;25,"Marginal",C184&lt;35,"Solid",TRUE,"Blowout")</f>
        <v>Blowout</v>
      </c>
    </row>
    <row r="185" spans="1:13" x14ac:dyDescent="0.25">
      <c r="A185" s="138">
        <f t="shared" ca="1" si="23"/>
        <v>50.138194947757768</v>
      </c>
      <c r="B185" s="137">
        <f t="shared" ca="1" si="24"/>
        <v>1.8254280542730892</v>
      </c>
      <c r="C185" s="137">
        <f t="shared" ca="1" si="25"/>
        <v>48.312766893484678</v>
      </c>
      <c r="D185" s="152">
        <f t="shared" ca="1" si="26"/>
        <v>6.1058282285131948</v>
      </c>
      <c r="E185" s="197">
        <f t="shared" ca="1" si="27"/>
        <v>2.1814734387130186E-9</v>
      </c>
      <c r="F185" s="137">
        <f t="shared" ca="1" si="28"/>
        <v>20.769581981684315</v>
      </c>
      <c r="G185" s="137">
        <f t="shared" ca="1" si="29"/>
        <v>18.944153927411225</v>
      </c>
      <c r="H185" s="152">
        <f t="shared" ca="1" si="30"/>
        <v>2.3941859937416554</v>
      </c>
      <c r="I185" s="152">
        <f t="shared" ca="1" si="31"/>
        <v>8.7332582106476684E-3</v>
      </c>
      <c r="J185" s="190">
        <f t="shared" ca="1" si="32"/>
        <v>0</v>
      </c>
      <c r="K185" s="187" t="str" cm="1">
        <f t="array" aca="1" ref="K185" ca="1">_xlfn.IFS(G185&lt;$B$11,"Fail",G185&lt;25,"Marginal",G185&lt;35,"Solid",TRUE,"Blowout")</f>
        <v>Fail</v>
      </c>
      <c r="L185" s="193">
        <f t="shared" ca="1" si="22"/>
        <v>1</v>
      </c>
      <c r="M185" s="184" t="str" cm="1">
        <f t="array" aca="1" ref="M185" ca="1">_xlfn.IFS(C185&lt;$B$11,"Fail",C185&lt;25,"Marginal",C185&lt;35,"Solid",TRUE,"Blowout")</f>
        <v>Blowout</v>
      </c>
    </row>
    <row r="186" spans="1:13" x14ac:dyDescent="0.25">
      <c r="A186" s="138">
        <f t="shared" ca="1" si="23"/>
        <v>35.106328390667279</v>
      </c>
      <c r="B186" s="137">
        <f t="shared" ca="1" si="24"/>
        <v>1.5906124400402724</v>
      </c>
      <c r="C186" s="137">
        <f t="shared" ca="1" si="25"/>
        <v>33.515715950627005</v>
      </c>
      <c r="D186" s="152">
        <f t="shared" ca="1" si="26"/>
        <v>4.2357583245302735</v>
      </c>
      <c r="E186" s="197">
        <f t="shared" ca="1" si="27"/>
        <v>1.6531229343083968E-5</v>
      </c>
      <c r="F186" s="137">
        <f t="shared" ca="1" si="28"/>
        <v>7.8418120531690718</v>
      </c>
      <c r="G186" s="137">
        <f t="shared" ca="1" si="29"/>
        <v>6.251199613128799</v>
      </c>
      <c r="H186" s="152">
        <f t="shared" ca="1" si="30"/>
        <v>0.79003446737098215</v>
      </c>
      <c r="I186" s="152">
        <f t="shared" ca="1" si="31"/>
        <v>0.21516426718630166</v>
      </c>
      <c r="J186" s="190">
        <f t="shared" ca="1" si="32"/>
        <v>0</v>
      </c>
      <c r="K186" s="187" t="str" cm="1">
        <f t="array" aca="1" ref="K186" ca="1">_xlfn.IFS(G186&lt;$B$11,"Fail",G186&lt;25,"Marginal",G186&lt;35,"Solid",TRUE,"Blowout")</f>
        <v>Fail</v>
      </c>
      <c r="L186" s="193">
        <f t="shared" ca="1" si="22"/>
        <v>1</v>
      </c>
      <c r="M186" s="184" t="str" cm="1">
        <f t="array" aca="1" ref="M186" ca="1">_xlfn.IFS(C186&lt;$B$11,"Fail",C186&lt;25,"Marginal",C186&lt;35,"Solid",TRUE,"Blowout")</f>
        <v>Solid</v>
      </c>
    </row>
    <row r="187" spans="1:13" x14ac:dyDescent="0.25">
      <c r="A187" s="138">
        <f t="shared" ca="1" si="23"/>
        <v>26.609384616659483</v>
      </c>
      <c r="B187" s="137">
        <f t="shared" ca="1" si="24"/>
        <v>2.7002264342229925</v>
      </c>
      <c r="C187" s="137">
        <f t="shared" ca="1" si="25"/>
        <v>23.909158182436492</v>
      </c>
      <c r="D187" s="152">
        <f t="shared" ca="1" si="26"/>
        <v>3.0216694744923651</v>
      </c>
      <c r="E187" s="197">
        <f t="shared" ca="1" si="27"/>
        <v>1.4004280720899404E-3</v>
      </c>
      <c r="F187" s="137">
        <f t="shared" ca="1" si="28"/>
        <v>29.611911279806804</v>
      </c>
      <c r="G187" s="137">
        <f t="shared" ca="1" si="29"/>
        <v>26.911684845583814</v>
      </c>
      <c r="H187" s="152">
        <f t="shared" ca="1" si="30"/>
        <v>3.4011325695605295</v>
      </c>
      <c r="I187" s="152">
        <f t="shared" ca="1" si="31"/>
        <v>3.9614622526154645E-4</v>
      </c>
      <c r="J187" s="190">
        <f t="shared" ca="1" si="32"/>
        <v>1</v>
      </c>
      <c r="K187" s="187" t="str" cm="1">
        <f t="array" aca="1" ref="K187" ca="1">_xlfn.IFS(G187&lt;$B$11,"Fail",G187&lt;25,"Marginal",G187&lt;35,"Solid",TRUE,"Blowout")</f>
        <v>Solid</v>
      </c>
      <c r="L187" s="193">
        <f t="shared" ca="1" si="22"/>
        <v>1</v>
      </c>
      <c r="M187" s="184" t="str" cm="1">
        <f t="array" aca="1" ref="M187" ca="1">_xlfn.IFS(C187&lt;$B$11,"Fail",C187&lt;25,"Marginal",C187&lt;35,"Solid",TRUE,"Blowout")</f>
        <v>Marginal</v>
      </c>
    </row>
    <row r="188" spans="1:13" x14ac:dyDescent="0.25">
      <c r="A188" s="138">
        <f t="shared" ca="1" si="23"/>
        <v>32.630015566217487</v>
      </c>
      <c r="B188" s="137">
        <f t="shared" ca="1" si="24"/>
        <v>0.8862963145082281</v>
      </c>
      <c r="C188" s="137">
        <f t="shared" ca="1" si="25"/>
        <v>31.743719251709258</v>
      </c>
      <c r="D188" s="152">
        <f t="shared" ca="1" si="26"/>
        <v>4.0118111536108767</v>
      </c>
      <c r="E188" s="197">
        <f t="shared" ca="1" si="27"/>
        <v>4.0859845328318469E-5</v>
      </c>
      <c r="F188" s="137">
        <f t="shared" ca="1" si="28"/>
        <v>42.70988666014226</v>
      </c>
      <c r="G188" s="137">
        <f t="shared" ca="1" si="29"/>
        <v>41.823590345634031</v>
      </c>
      <c r="H188" s="152">
        <f t="shared" ca="1" si="30"/>
        <v>5.2857179368996636</v>
      </c>
      <c r="I188" s="152">
        <f t="shared" ca="1" si="31"/>
        <v>1.4629746160819812E-7</v>
      </c>
      <c r="J188" s="190">
        <f t="shared" ca="1" si="32"/>
        <v>1</v>
      </c>
      <c r="K188" s="187" t="str" cm="1">
        <f t="array" aca="1" ref="K188" ca="1">_xlfn.IFS(G188&lt;$B$11,"Fail",G188&lt;25,"Marginal",G188&lt;35,"Solid",TRUE,"Blowout")</f>
        <v>Blowout</v>
      </c>
      <c r="L188" s="193">
        <f t="shared" ca="1" si="22"/>
        <v>1</v>
      </c>
      <c r="M188" s="184" t="str" cm="1">
        <f t="array" aca="1" ref="M188" ca="1">_xlfn.IFS(C188&lt;$B$11,"Fail",C188&lt;25,"Marginal",C188&lt;35,"Solid",TRUE,"Blowout")</f>
        <v>Solid</v>
      </c>
    </row>
    <row r="189" spans="1:13" x14ac:dyDescent="0.25">
      <c r="A189" s="138">
        <f t="shared" ca="1" si="23"/>
        <v>21.293873327462784</v>
      </c>
      <c r="B189" s="137">
        <f t="shared" ca="1" si="24"/>
        <v>12.353471053485727</v>
      </c>
      <c r="C189" s="137">
        <f t="shared" ca="1" si="25"/>
        <v>8.9404022739770568</v>
      </c>
      <c r="D189" s="152">
        <f t="shared" ca="1" si="26"/>
        <v>1.1298992810547213</v>
      </c>
      <c r="E189" s="197">
        <f t="shared" ca="1" si="27"/>
        <v>0.12985297171430835</v>
      </c>
      <c r="F189" s="137">
        <f t="shared" ca="1" si="28"/>
        <v>33.980865252219189</v>
      </c>
      <c r="G189" s="137">
        <f t="shared" ca="1" si="29"/>
        <v>21.627394198733462</v>
      </c>
      <c r="H189" s="152">
        <f t="shared" ca="1" si="30"/>
        <v>2.7332972731399825</v>
      </c>
      <c r="I189" s="152">
        <f t="shared" ca="1" si="31"/>
        <v>3.3811144128268406E-3</v>
      </c>
      <c r="J189" s="190">
        <f t="shared" ca="1" si="32"/>
        <v>1</v>
      </c>
      <c r="K189" s="187" t="str" cm="1">
        <f t="array" aca="1" ref="K189" ca="1">_xlfn.IFS(G189&lt;$B$11,"Fail",G189&lt;25,"Marginal",G189&lt;35,"Solid",TRUE,"Blowout")</f>
        <v>Marginal</v>
      </c>
      <c r="L189" s="193">
        <f t="shared" ca="1" si="22"/>
        <v>0</v>
      </c>
      <c r="M189" s="184" t="str" cm="1">
        <f t="array" aca="1" ref="M189" ca="1">_xlfn.IFS(C189&lt;$B$11,"Fail",C189&lt;25,"Marginal",C189&lt;35,"Solid",TRUE,"Blowout")</f>
        <v>Fail</v>
      </c>
    </row>
    <row r="190" spans="1:13" x14ac:dyDescent="0.25">
      <c r="A190" s="138">
        <f t="shared" ca="1" si="23"/>
        <v>35.828964932530376</v>
      </c>
      <c r="B190" s="137">
        <f t="shared" ca="1" si="24"/>
        <v>5.9066891783574471</v>
      </c>
      <c r="C190" s="137">
        <f t="shared" ca="1" si="25"/>
        <v>29.922275754172929</v>
      </c>
      <c r="D190" s="152">
        <f t="shared" ca="1" si="26"/>
        <v>3.781614834107617</v>
      </c>
      <c r="E190" s="197">
        <f t="shared" ca="1" si="27"/>
        <v>9.9536496649012108E-5</v>
      </c>
      <c r="F190" s="137">
        <f t="shared" ca="1" si="28"/>
        <v>51.06000515472536</v>
      </c>
      <c r="G190" s="137">
        <f t="shared" ca="1" si="29"/>
        <v>45.153315976367914</v>
      </c>
      <c r="H190" s="152">
        <f t="shared" ca="1" si="30"/>
        <v>5.7065328489116807</v>
      </c>
      <c r="I190" s="152">
        <f t="shared" ca="1" si="31"/>
        <v>1.7821170550827259E-8</v>
      </c>
      <c r="J190" s="190">
        <f t="shared" ca="1" si="32"/>
        <v>1</v>
      </c>
      <c r="K190" s="187" t="str" cm="1">
        <f t="array" aca="1" ref="K190" ca="1">_xlfn.IFS(G190&lt;$B$11,"Fail",G190&lt;25,"Marginal",G190&lt;35,"Solid",TRUE,"Blowout")</f>
        <v>Blowout</v>
      </c>
      <c r="L190" s="193">
        <f t="shared" ca="1" si="22"/>
        <v>1</v>
      </c>
      <c r="M190" s="184" t="str" cm="1">
        <f t="array" aca="1" ref="M190" ca="1">_xlfn.IFS(C190&lt;$B$11,"Fail",C190&lt;25,"Marginal",C190&lt;35,"Solid",TRUE,"Blowout")</f>
        <v>Solid</v>
      </c>
    </row>
    <row r="191" spans="1:13" x14ac:dyDescent="0.25">
      <c r="A191" s="138">
        <f t="shared" ca="1" si="23"/>
        <v>35.435732145610231</v>
      </c>
      <c r="B191" s="137">
        <f t="shared" ca="1" si="24"/>
        <v>7.3886800523183034</v>
      </c>
      <c r="C191" s="137">
        <f t="shared" ca="1" si="25"/>
        <v>28.047052093291928</v>
      </c>
      <c r="D191" s="152">
        <f t="shared" ca="1" si="26"/>
        <v>3.5446217099376338</v>
      </c>
      <c r="E191" s="197">
        <f t="shared" ca="1" si="27"/>
        <v>2.3847463522767647E-4</v>
      </c>
      <c r="F191" s="137">
        <f t="shared" ca="1" si="28"/>
        <v>-1.385254007306389</v>
      </c>
      <c r="G191" s="137">
        <f t="shared" ca="1" si="29"/>
        <v>-8.7739340596246933</v>
      </c>
      <c r="H191" s="152">
        <f t="shared" ca="1" si="30"/>
        <v>-1.1088608188075937</v>
      </c>
      <c r="I191" s="152">
        <f t="shared" ca="1" si="31"/>
        <v>0.86567075337312738</v>
      </c>
      <c r="J191" s="190">
        <f t="shared" ca="1" si="32"/>
        <v>0</v>
      </c>
      <c r="K191" s="187" t="str" cm="1">
        <f t="array" aca="1" ref="K191" ca="1">_xlfn.IFS(G191&lt;$B$11,"Fail",G191&lt;25,"Marginal",G191&lt;35,"Solid",TRUE,"Blowout")</f>
        <v>Fail</v>
      </c>
      <c r="L191" s="193">
        <f t="shared" ca="1" si="22"/>
        <v>1</v>
      </c>
      <c r="M191" s="184" t="str" cm="1">
        <f t="array" aca="1" ref="M191" ca="1">_xlfn.IFS(C191&lt;$B$11,"Fail",C191&lt;25,"Marginal",C191&lt;35,"Solid",TRUE,"Blowout")</f>
        <v>Solid</v>
      </c>
    </row>
    <row r="192" spans="1:13" x14ac:dyDescent="0.25">
      <c r="A192" s="138">
        <f t="shared" ca="1" si="23"/>
        <v>27.605949017244413</v>
      </c>
      <c r="B192" s="137">
        <f t="shared" ca="1" si="24"/>
        <v>6.2430238219382241</v>
      </c>
      <c r="C192" s="137">
        <f t="shared" ca="1" si="25"/>
        <v>21.36292519530619</v>
      </c>
      <c r="D192" s="152">
        <f t="shared" ca="1" si="26"/>
        <v>2.6998733479432917</v>
      </c>
      <c r="E192" s="197">
        <f t="shared" ca="1" si="27"/>
        <v>3.72831009201658E-3</v>
      </c>
      <c r="F192" s="137">
        <f t="shared" ca="1" si="28"/>
        <v>18.762267048352399</v>
      </c>
      <c r="G192" s="137">
        <f t="shared" ca="1" si="29"/>
        <v>12.519243226414176</v>
      </c>
      <c r="H192" s="152">
        <f t="shared" ca="1" si="30"/>
        <v>1.5821977006614127</v>
      </c>
      <c r="I192" s="152">
        <f t="shared" ca="1" si="31"/>
        <v>5.7495300949407302E-2</v>
      </c>
      <c r="J192" s="190">
        <f t="shared" ca="1" si="32"/>
        <v>0</v>
      </c>
      <c r="K192" s="187" t="str" cm="1">
        <f t="array" aca="1" ref="K192" ca="1">_xlfn.IFS(G192&lt;$B$11,"Fail",G192&lt;25,"Marginal",G192&lt;35,"Solid",TRUE,"Blowout")</f>
        <v>Fail</v>
      </c>
      <c r="L192" s="193">
        <f t="shared" ca="1" si="22"/>
        <v>1</v>
      </c>
      <c r="M192" s="184" t="str" cm="1">
        <f t="array" aca="1" ref="M192" ca="1">_xlfn.IFS(C192&lt;$B$11,"Fail",C192&lt;25,"Marginal",C192&lt;35,"Solid",TRUE,"Blowout")</f>
        <v>Marginal</v>
      </c>
    </row>
    <row r="193" spans="1:13" x14ac:dyDescent="0.25">
      <c r="A193" s="138">
        <f t="shared" ca="1" si="23"/>
        <v>-0.38302243559333388</v>
      </c>
      <c r="B193" s="137">
        <f t="shared" ca="1" si="24"/>
        <v>1.447362287027357</v>
      </c>
      <c r="C193" s="137">
        <f t="shared" ca="1" si="25"/>
        <v>-1.8303847226206909</v>
      </c>
      <c r="D193" s="152">
        <f t="shared" ca="1" si="26"/>
        <v>-0.23132632277212578</v>
      </c>
      <c r="E193" s="197">
        <f t="shared" ca="1" si="27"/>
        <v>0.59136561917575781</v>
      </c>
      <c r="F193" s="137">
        <f t="shared" ca="1" si="28"/>
        <v>33.461676157634763</v>
      </c>
      <c r="G193" s="137">
        <f t="shared" ca="1" si="29"/>
        <v>32.014313870607403</v>
      </c>
      <c r="H193" s="152">
        <f t="shared" ca="1" si="30"/>
        <v>4.046009241793131</v>
      </c>
      <c r="I193" s="152">
        <f t="shared" ca="1" si="31"/>
        <v>3.5673723276103047E-5</v>
      </c>
      <c r="J193" s="190">
        <f t="shared" ca="1" si="32"/>
        <v>1</v>
      </c>
      <c r="K193" s="187" t="str" cm="1">
        <f t="array" aca="1" ref="K193" ca="1">_xlfn.IFS(G193&lt;$B$11,"Fail",G193&lt;25,"Marginal",G193&lt;35,"Solid",TRUE,"Blowout")</f>
        <v>Solid</v>
      </c>
      <c r="L193" s="193">
        <f t="shared" ca="1" si="22"/>
        <v>0</v>
      </c>
      <c r="M193" s="184" t="str" cm="1">
        <f t="array" aca="1" ref="M193" ca="1">_xlfn.IFS(C193&lt;$B$11,"Fail",C193&lt;25,"Marginal",C193&lt;35,"Solid",TRUE,"Blowout")</f>
        <v>Fail</v>
      </c>
    </row>
    <row r="194" spans="1:13" x14ac:dyDescent="0.25">
      <c r="A194" s="138">
        <f t="shared" ca="1" si="23"/>
        <v>28.685151902631137</v>
      </c>
      <c r="B194" s="137">
        <f t="shared" ca="1" si="24"/>
        <v>9.1409711526437061</v>
      </c>
      <c r="C194" s="137">
        <f t="shared" ca="1" si="25"/>
        <v>19.544180749987433</v>
      </c>
      <c r="D194" s="152">
        <f t="shared" ca="1" si="26"/>
        <v>2.4700181380530788</v>
      </c>
      <c r="E194" s="197">
        <f t="shared" ca="1" si="27"/>
        <v>7.1220737845061064E-3</v>
      </c>
      <c r="F194" s="137">
        <f t="shared" ca="1" si="28"/>
        <v>27.399086071362156</v>
      </c>
      <c r="G194" s="137">
        <f t="shared" ca="1" si="29"/>
        <v>18.258114918718448</v>
      </c>
      <c r="H194" s="152">
        <f t="shared" ca="1" si="30"/>
        <v>2.3074835211970233</v>
      </c>
      <c r="I194" s="152">
        <f t="shared" ca="1" si="31"/>
        <v>1.0962336994975948E-2</v>
      </c>
      <c r="J194" s="190">
        <f t="shared" ca="1" si="32"/>
        <v>0</v>
      </c>
      <c r="K194" s="187" t="str" cm="1">
        <f t="array" aca="1" ref="K194" ca="1">_xlfn.IFS(G194&lt;$B$11,"Fail",G194&lt;25,"Marginal",G194&lt;35,"Solid",TRUE,"Blowout")</f>
        <v>Fail</v>
      </c>
      <c r="L194" s="193">
        <f t="shared" ca="1" si="22"/>
        <v>0</v>
      </c>
      <c r="M194" s="184" t="str" cm="1">
        <f t="array" aca="1" ref="M194" ca="1">_xlfn.IFS(C194&lt;$B$11,"Fail",C194&lt;25,"Marginal",C194&lt;35,"Solid",TRUE,"Blowout")</f>
        <v>Fail</v>
      </c>
    </row>
    <row r="195" spans="1:13" x14ac:dyDescent="0.25">
      <c r="A195" s="138">
        <f t="shared" ca="1" si="23"/>
        <v>26.547833830988733</v>
      </c>
      <c r="B195" s="137">
        <f t="shared" ca="1" si="24"/>
        <v>9.6286348478729025</v>
      </c>
      <c r="C195" s="137">
        <f t="shared" ca="1" si="25"/>
        <v>16.91919898311583</v>
      </c>
      <c r="D195" s="152">
        <f t="shared" ca="1" si="26"/>
        <v>2.1382696417015166</v>
      </c>
      <c r="E195" s="197">
        <f t="shared" ca="1" si="27"/>
        <v>1.6779260851914946E-2</v>
      </c>
      <c r="F195" s="137">
        <f t="shared" ca="1" si="28"/>
        <v>-4.2438711623055703</v>
      </c>
      <c r="G195" s="137">
        <f t="shared" ca="1" si="29"/>
        <v>-13.872506010178473</v>
      </c>
      <c r="H195" s="152">
        <f t="shared" ca="1" si="30"/>
        <v>-1.7532247528673317</v>
      </c>
      <c r="I195" s="152">
        <f t="shared" ca="1" si="31"/>
        <v>0.95954634133214844</v>
      </c>
      <c r="J195" s="190">
        <f t="shared" ca="1" si="32"/>
        <v>0</v>
      </c>
      <c r="K195" s="187" t="str" cm="1">
        <f t="array" aca="1" ref="K195" ca="1">_xlfn.IFS(G195&lt;$B$11,"Fail",G195&lt;25,"Marginal",G195&lt;35,"Solid",TRUE,"Blowout")</f>
        <v>Fail</v>
      </c>
      <c r="L195" s="193">
        <f t="shared" ca="1" si="22"/>
        <v>0</v>
      </c>
      <c r="M195" s="184" t="str" cm="1">
        <f t="array" aca="1" ref="M195" ca="1">_xlfn.IFS(C195&lt;$B$11,"Fail",C195&lt;25,"Marginal",C195&lt;35,"Solid",TRUE,"Blowout")</f>
        <v>Fail</v>
      </c>
    </row>
    <row r="196" spans="1:13" x14ac:dyDescent="0.25">
      <c r="A196" s="138">
        <f t="shared" ca="1" si="23"/>
        <v>26.669496990032695</v>
      </c>
      <c r="B196" s="137">
        <f t="shared" ca="1" si="24"/>
        <v>0.43062966781371159</v>
      </c>
      <c r="C196" s="137">
        <f t="shared" ca="1" si="25"/>
        <v>26.238867322218983</v>
      </c>
      <c r="D196" s="152">
        <f t="shared" ca="1" si="26"/>
        <v>3.3161010449563499</v>
      </c>
      <c r="E196" s="197">
        <f t="shared" ca="1" si="27"/>
        <v>5.3102527720529579E-4</v>
      </c>
      <c r="F196" s="137">
        <f t="shared" ca="1" si="28"/>
        <v>29.354527801035729</v>
      </c>
      <c r="G196" s="137">
        <f t="shared" ca="1" si="29"/>
        <v>28.923898133222018</v>
      </c>
      <c r="H196" s="152">
        <f t="shared" ca="1" si="30"/>
        <v>3.6554386150109623</v>
      </c>
      <c r="I196" s="152">
        <f t="shared" ca="1" si="31"/>
        <v>1.593618828921736E-4</v>
      </c>
      <c r="J196" s="190">
        <f t="shared" ca="1" si="32"/>
        <v>1</v>
      </c>
      <c r="K196" s="187" t="str" cm="1">
        <f t="array" aca="1" ref="K196" ca="1">_xlfn.IFS(G196&lt;$B$11,"Fail",G196&lt;25,"Marginal",G196&lt;35,"Solid",TRUE,"Blowout")</f>
        <v>Solid</v>
      </c>
      <c r="L196" s="193">
        <f t="shared" ca="1" si="22"/>
        <v>1</v>
      </c>
      <c r="M196" s="184" t="str" cm="1">
        <f t="array" aca="1" ref="M196" ca="1">_xlfn.IFS(C196&lt;$B$11,"Fail",C196&lt;25,"Marginal",C196&lt;35,"Solid",TRUE,"Blowout")</f>
        <v>Solid</v>
      </c>
    </row>
    <row r="197" spans="1:13" x14ac:dyDescent="0.25">
      <c r="A197" s="138">
        <f t="shared" ca="1" si="23"/>
        <v>20.911258192381112</v>
      </c>
      <c r="B197" s="137">
        <f t="shared" ca="1" si="24"/>
        <v>-5.038201777925849</v>
      </c>
      <c r="C197" s="137">
        <f t="shared" ca="1" si="25"/>
        <v>25.949459970306961</v>
      </c>
      <c r="D197" s="152">
        <f t="shared" ca="1" si="26"/>
        <v>3.2795253799206558</v>
      </c>
      <c r="E197" s="197">
        <f t="shared" ca="1" si="27"/>
        <v>6.012876284867964E-4</v>
      </c>
      <c r="F197" s="137">
        <f t="shared" ca="1" si="28"/>
        <v>50.039879358985687</v>
      </c>
      <c r="G197" s="137">
        <f t="shared" ca="1" si="29"/>
        <v>55.078081136911536</v>
      </c>
      <c r="H197" s="152">
        <f t="shared" ca="1" si="30"/>
        <v>6.9608371493094241</v>
      </c>
      <c r="I197" s="152">
        <f t="shared" ca="1" si="31"/>
        <v>1.7817193363843181E-11</v>
      </c>
      <c r="J197" s="190">
        <f t="shared" ca="1" si="32"/>
        <v>1</v>
      </c>
      <c r="K197" s="187" t="str" cm="1">
        <f t="array" aca="1" ref="K197" ca="1">_xlfn.IFS(G197&lt;$B$11,"Fail",G197&lt;25,"Marginal",G197&lt;35,"Solid",TRUE,"Blowout")</f>
        <v>Blowout</v>
      </c>
      <c r="L197" s="193">
        <f t="shared" ca="1" si="22"/>
        <v>1</v>
      </c>
      <c r="M197" s="184" t="str" cm="1">
        <f t="array" aca="1" ref="M197" ca="1">_xlfn.IFS(C197&lt;$B$11,"Fail",C197&lt;25,"Marginal",C197&lt;35,"Solid",TRUE,"Blowout")</f>
        <v>Solid</v>
      </c>
    </row>
    <row r="198" spans="1:13" x14ac:dyDescent="0.25">
      <c r="A198" s="138">
        <f t="shared" ca="1" si="23"/>
        <v>25.032822157504107</v>
      </c>
      <c r="B198" s="137">
        <f t="shared" ca="1" si="24"/>
        <v>5.8460623615926801</v>
      </c>
      <c r="C198" s="137">
        <f t="shared" ca="1" si="25"/>
        <v>19.186759795911428</v>
      </c>
      <c r="D198" s="152">
        <f t="shared" ca="1" si="26"/>
        <v>2.4248468284555384</v>
      </c>
      <c r="E198" s="197">
        <f t="shared" ca="1" si="27"/>
        <v>8.0466426580198726E-3</v>
      </c>
      <c r="F198" s="137">
        <f t="shared" ca="1" si="28"/>
        <v>10.06428511421546</v>
      </c>
      <c r="G198" s="137">
        <f t="shared" ca="1" si="29"/>
        <v>4.21822275262278</v>
      </c>
      <c r="H198" s="152">
        <f t="shared" ca="1" si="30"/>
        <v>0.53310429547338034</v>
      </c>
      <c r="I198" s="152">
        <f t="shared" ca="1" si="31"/>
        <v>0.29724031507621329</v>
      </c>
      <c r="J198" s="190">
        <f t="shared" ca="1" si="32"/>
        <v>0</v>
      </c>
      <c r="K198" s="187" t="str" cm="1">
        <f t="array" aca="1" ref="K198" ca="1">_xlfn.IFS(G198&lt;$B$11,"Fail",G198&lt;25,"Marginal",G198&lt;35,"Solid",TRUE,"Blowout")</f>
        <v>Fail</v>
      </c>
      <c r="L198" s="193">
        <f t="shared" ca="1" si="22"/>
        <v>0</v>
      </c>
      <c r="M198" s="184" t="str" cm="1">
        <f t="array" aca="1" ref="M198" ca="1">_xlfn.IFS(C198&lt;$B$11,"Fail",C198&lt;25,"Marginal",C198&lt;35,"Solid",TRUE,"Blowout")</f>
        <v>Fail</v>
      </c>
    </row>
    <row r="199" spans="1:13" x14ac:dyDescent="0.25">
      <c r="A199" s="138">
        <f t="shared" ca="1" si="23"/>
        <v>76.734867181589351</v>
      </c>
      <c r="B199" s="137">
        <f t="shared" ca="1" si="24"/>
        <v>2.216066011633159</v>
      </c>
      <c r="C199" s="137">
        <f t="shared" ca="1" si="25"/>
        <v>74.518801169956191</v>
      </c>
      <c r="D199" s="152">
        <f t="shared" ca="1" si="26"/>
        <v>9.4177797918636799</v>
      </c>
      <c r="E199" s="197">
        <f t="shared" ca="1" si="27"/>
        <v>2.6586000183581193E-18</v>
      </c>
      <c r="F199" s="137">
        <f t="shared" ca="1" si="28"/>
        <v>4.9374845452612703</v>
      </c>
      <c r="G199" s="137">
        <f t="shared" ca="1" si="29"/>
        <v>2.7214185336281114</v>
      </c>
      <c r="H199" s="152">
        <f t="shared" ca="1" si="30"/>
        <v>0.34393629619392313</v>
      </c>
      <c r="I199" s="152">
        <f t="shared" ca="1" si="31"/>
        <v>0.36560558630300211</v>
      </c>
      <c r="J199" s="190">
        <f t="shared" ca="1" si="32"/>
        <v>0</v>
      </c>
      <c r="K199" s="187" t="str" cm="1">
        <f t="array" aca="1" ref="K199" ca="1">_xlfn.IFS(G199&lt;$B$11,"Fail",G199&lt;25,"Marginal",G199&lt;35,"Solid",TRUE,"Blowout")</f>
        <v>Fail</v>
      </c>
      <c r="L199" s="193">
        <f t="shared" ca="1" si="22"/>
        <v>1</v>
      </c>
      <c r="M199" s="184" t="str" cm="1">
        <f t="array" aca="1" ref="M199" ca="1">_xlfn.IFS(C199&lt;$B$11,"Fail",C199&lt;25,"Marginal",C199&lt;35,"Solid",TRUE,"Blowout")</f>
        <v>Blowout</v>
      </c>
    </row>
    <row r="200" spans="1:13" x14ac:dyDescent="0.25">
      <c r="A200" s="138">
        <f t="shared" ca="1" si="23"/>
        <v>35.71581884006639</v>
      </c>
      <c r="B200" s="137">
        <f t="shared" ca="1" si="24"/>
        <v>-3.3540035044814402</v>
      </c>
      <c r="C200" s="137">
        <f t="shared" ca="1" si="25"/>
        <v>39.069822344547831</v>
      </c>
      <c r="D200" s="152">
        <f t="shared" ca="1" si="26"/>
        <v>4.9376932743321396</v>
      </c>
      <c r="E200" s="197">
        <f t="shared" ca="1" si="27"/>
        <v>7.6377040459644375E-7</v>
      </c>
      <c r="F200" s="137">
        <f t="shared" ca="1" si="28"/>
        <v>22.640181203191219</v>
      </c>
      <c r="G200" s="137">
        <f t="shared" ca="1" si="29"/>
        <v>25.994184707672659</v>
      </c>
      <c r="H200" s="152">
        <f t="shared" ca="1" si="30"/>
        <v>3.285177748465856</v>
      </c>
      <c r="I200" s="152">
        <f t="shared" ca="1" si="31"/>
        <v>5.8989224143804811E-4</v>
      </c>
      <c r="J200" s="190">
        <f t="shared" ca="1" si="32"/>
        <v>1</v>
      </c>
      <c r="K200" s="187" t="str" cm="1">
        <f t="array" aca="1" ref="K200" ca="1">_xlfn.IFS(G200&lt;$B$11,"Fail",G200&lt;25,"Marginal",G200&lt;35,"Solid",TRUE,"Blowout")</f>
        <v>Solid</v>
      </c>
      <c r="L200" s="193">
        <f t="shared" ca="1" si="22"/>
        <v>1</v>
      </c>
      <c r="M200" s="184" t="str" cm="1">
        <f t="array" aca="1" ref="M200" ca="1">_xlfn.IFS(C200&lt;$B$11,"Fail",C200&lt;25,"Marginal",C200&lt;35,"Solid",TRUE,"Blowout")</f>
        <v>Blowout</v>
      </c>
    </row>
    <row r="201" spans="1:13" x14ac:dyDescent="0.25">
      <c r="A201" s="138">
        <f t="shared" ca="1" si="23"/>
        <v>2.9624358315317791</v>
      </c>
      <c r="B201" s="137">
        <f t="shared" ca="1" si="24"/>
        <v>10.903927782491287</v>
      </c>
      <c r="C201" s="137">
        <f t="shared" ca="1" si="25"/>
        <v>-7.9414919509595077</v>
      </c>
      <c r="D201" s="152">
        <f t="shared" ca="1" si="26"/>
        <v>-1.0036557384010649</v>
      </c>
      <c r="E201" s="197">
        <f t="shared" ca="1" si="27"/>
        <v>0.8416957227775137</v>
      </c>
      <c r="F201" s="137">
        <f t="shared" ca="1" si="28"/>
        <v>10.202543822808574</v>
      </c>
      <c r="G201" s="137">
        <f t="shared" ca="1" si="29"/>
        <v>-0.70138395968271361</v>
      </c>
      <c r="H201" s="152">
        <f t="shared" ca="1" si="30"/>
        <v>-8.8641786745494874E-2</v>
      </c>
      <c r="I201" s="152">
        <f t="shared" ca="1" si="31"/>
        <v>0.53527779608256942</v>
      </c>
      <c r="J201" s="190">
        <f t="shared" ca="1" si="32"/>
        <v>0</v>
      </c>
      <c r="K201" s="187" t="str" cm="1">
        <f t="array" aca="1" ref="K201" ca="1">_xlfn.IFS(G201&lt;$B$11,"Fail",G201&lt;25,"Marginal",G201&lt;35,"Solid",TRUE,"Blowout")</f>
        <v>Fail</v>
      </c>
      <c r="L201" s="193">
        <f t="shared" ca="1" si="22"/>
        <v>0</v>
      </c>
      <c r="M201" s="184" t="str" cm="1">
        <f t="array" aca="1" ref="M201" ca="1">_xlfn.IFS(C201&lt;$B$11,"Fail",C201&lt;25,"Marginal",C201&lt;35,"Solid",TRUE,"Blowout")</f>
        <v>Fail</v>
      </c>
    </row>
    <row r="202" spans="1:13" x14ac:dyDescent="0.25">
      <c r="A202" s="138">
        <f t="shared" ca="1" si="23"/>
        <v>50.353340524701267</v>
      </c>
      <c r="B202" s="137">
        <f t="shared" ca="1" si="24"/>
        <v>11.913114251989377</v>
      </c>
      <c r="C202" s="137">
        <f t="shared" ca="1" si="25"/>
        <v>38.44022627271189</v>
      </c>
      <c r="D202" s="152">
        <f t="shared" ca="1" si="26"/>
        <v>4.8581241311188714</v>
      </c>
      <c r="E202" s="197">
        <f t="shared" ca="1" si="27"/>
        <v>1.101531392974704E-6</v>
      </c>
      <c r="F202" s="137">
        <f t="shared" ca="1" si="28"/>
        <v>5.279625064574418</v>
      </c>
      <c r="G202" s="137">
        <f t="shared" ca="1" si="29"/>
        <v>-6.6334891874149591</v>
      </c>
      <c r="H202" s="152">
        <f t="shared" ca="1" si="30"/>
        <v>-0.83834870446050624</v>
      </c>
      <c r="I202" s="152">
        <f t="shared" ca="1" si="31"/>
        <v>0.7986435431134058</v>
      </c>
      <c r="J202" s="190">
        <f t="shared" ca="1" si="32"/>
        <v>0</v>
      </c>
      <c r="K202" s="187" t="str" cm="1">
        <f t="array" aca="1" ref="K202" ca="1">_xlfn.IFS(G202&lt;$B$11,"Fail",G202&lt;25,"Marginal",G202&lt;35,"Solid",TRUE,"Blowout")</f>
        <v>Fail</v>
      </c>
      <c r="L202" s="193">
        <f t="shared" ca="1" si="22"/>
        <v>1</v>
      </c>
      <c r="M202" s="184" t="str" cm="1">
        <f t="array" aca="1" ref="M202" ca="1">_xlfn.IFS(C202&lt;$B$11,"Fail",C202&lt;25,"Marginal",C202&lt;35,"Solid",TRUE,"Blowout")</f>
        <v>Blowout</v>
      </c>
    </row>
    <row r="203" spans="1:13" x14ac:dyDescent="0.25">
      <c r="A203" s="138">
        <f t="shared" ca="1" si="23"/>
        <v>6.1857127141290205</v>
      </c>
      <c r="B203" s="137">
        <f t="shared" ca="1" si="24"/>
        <v>9.1257208253342093</v>
      </c>
      <c r="C203" s="137">
        <f t="shared" ca="1" si="25"/>
        <v>-2.9400081112051888</v>
      </c>
      <c r="D203" s="152">
        <f t="shared" ca="1" si="26"/>
        <v>-0.37156192186283682</v>
      </c>
      <c r="E203" s="197">
        <f t="shared" ca="1" si="27"/>
        <v>0.64471794783149206</v>
      </c>
      <c r="F203" s="137">
        <f t="shared" ca="1" si="28"/>
        <v>31.729265538844899</v>
      </c>
      <c r="G203" s="137">
        <f t="shared" ca="1" si="29"/>
        <v>22.60354471351069</v>
      </c>
      <c r="H203" s="152">
        <f t="shared" ca="1" si="30"/>
        <v>2.8566644026100243</v>
      </c>
      <c r="I203" s="152">
        <f t="shared" ca="1" si="31"/>
        <v>2.3383858064101926E-3</v>
      </c>
      <c r="J203" s="190">
        <f t="shared" ca="1" si="32"/>
        <v>1</v>
      </c>
      <c r="K203" s="187" t="str" cm="1">
        <f t="array" aca="1" ref="K203" ca="1">_xlfn.IFS(G203&lt;$B$11,"Fail",G203&lt;25,"Marginal",G203&lt;35,"Solid",TRUE,"Blowout")</f>
        <v>Marginal</v>
      </c>
      <c r="L203" s="193">
        <f t="shared" ca="1" si="22"/>
        <v>0</v>
      </c>
      <c r="M203" s="184" t="str" cm="1">
        <f t="array" aca="1" ref="M203" ca="1">_xlfn.IFS(C203&lt;$B$11,"Fail",C203&lt;25,"Marginal",C203&lt;35,"Solid",TRUE,"Blowout")</f>
        <v>Fail</v>
      </c>
    </row>
    <row r="204" spans="1:13" x14ac:dyDescent="0.25">
      <c r="A204" s="138">
        <f t="shared" ca="1" si="23"/>
        <v>40.397910881960726</v>
      </c>
      <c r="B204" s="137">
        <f t="shared" ca="1" si="24"/>
        <v>3.7589994986516793</v>
      </c>
      <c r="C204" s="137">
        <f t="shared" ca="1" si="25"/>
        <v>36.638911383309051</v>
      </c>
      <c r="D204" s="152">
        <f t="shared" ca="1" si="26"/>
        <v>4.6304716904212508</v>
      </c>
      <c r="E204" s="197">
        <f t="shared" ca="1" si="27"/>
        <v>3.0643194857084146E-6</v>
      </c>
      <c r="F204" s="137">
        <f t="shared" ca="1" si="28"/>
        <v>45.371691362998313</v>
      </c>
      <c r="G204" s="137">
        <f t="shared" ca="1" si="29"/>
        <v>41.61269186434663</v>
      </c>
      <c r="H204" s="152">
        <f t="shared" ca="1" si="30"/>
        <v>5.2590643216506301</v>
      </c>
      <c r="I204" s="152">
        <f t="shared" ca="1" si="31"/>
        <v>1.665166275604132E-7</v>
      </c>
      <c r="J204" s="190">
        <f t="shared" ca="1" si="32"/>
        <v>1</v>
      </c>
      <c r="K204" s="187" t="str" cm="1">
        <f t="array" aca="1" ref="K204" ca="1">_xlfn.IFS(G204&lt;$B$11,"Fail",G204&lt;25,"Marginal",G204&lt;35,"Solid",TRUE,"Blowout")</f>
        <v>Blowout</v>
      </c>
      <c r="L204" s="193">
        <f t="shared" ca="1" si="22"/>
        <v>1</v>
      </c>
      <c r="M204" s="184" t="str" cm="1">
        <f t="array" aca="1" ref="M204" ca="1">_xlfn.IFS(C204&lt;$B$11,"Fail",C204&lt;25,"Marginal",C204&lt;35,"Solid",TRUE,"Blowout")</f>
        <v>Blowout</v>
      </c>
    </row>
    <row r="205" spans="1:13" x14ac:dyDescent="0.25">
      <c r="A205" s="138">
        <f t="shared" ca="1" si="23"/>
        <v>47.243741810113292</v>
      </c>
      <c r="B205" s="137">
        <f t="shared" ca="1" si="24"/>
        <v>-1.198591034833222</v>
      </c>
      <c r="C205" s="137">
        <f t="shared" ca="1" si="25"/>
        <v>48.442332844946513</v>
      </c>
      <c r="D205" s="152">
        <f t="shared" ca="1" si="26"/>
        <v>6.122202936375281</v>
      </c>
      <c r="E205" s="197">
        <f t="shared" ca="1" si="27"/>
        <v>1.9973329098782499E-9</v>
      </c>
      <c r="F205" s="137">
        <f t="shared" ca="1" si="28"/>
        <v>20.519784559189556</v>
      </c>
      <c r="G205" s="137">
        <f t="shared" ca="1" si="29"/>
        <v>21.718375594022778</v>
      </c>
      <c r="H205" s="152">
        <f t="shared" ca="1" si="30"/>
        <v>2.7447956162767309</v>
      </c>
      <c r="I205" s="152">
        <f t="shared" ca="1" si="31"/>
        <v>3.2686117073822889E-3</v>
      </c>
      <c r="J205" s="190">
        <f t="shared" ca="1" si="32"/>
        <v>1</v>
      </c>
      <c r="K205" s="187" t="str" cm="1">
        <f t="array" aca="1" ref="K205" ca="1">_xlfn.IFS(G205&lt;$B$11,"Fail",G205&lt;25,"Marginal",G205&lt;35,"Solid",TRUE,"Blowout")</f>
        <v>Marginal</v>
      </c>
      <c r="L205" s="193">
        <f t="shared" ca="1" si="22"/>
        <v>1</v>
      </c>
      <c r="M205" s="184" t="str" cm="1">
        <f t="array" aca="1" ref="M205" ca="1">_xlfn.IFS(C205&lt;$B$11,"Fail",C205&lt;25,"Marginal",C205&lt;35,"Solid",TRUE,"Blowout")</f>
        <v>Blowout</v>
      </c>
    </row>
    <row r="206" spans="1:13" x14ac:dyDescent="0.25">
      <c r="A206" s="138">
        <f t="shared" ca="1" si="23"/>
        <v>46.623667513059566</v>
      </c>
      <c r="B206" s="137">
        <f t="shared" ca="1" si="24"/>
        <v>4.1709681954585109</v>
      </c>
      <c r="C206" s="137">
        <f t="shared" ca="1" si="25"/>
        <v>42.452699317601052</v>
      </c>
      <c r="D206" s="152">
        <f t="shared" ca="1" si="26"/>
        <v>5.3652255198190177</v>
      </c>
      <c r="E206" s="197">
        <f t="shared" ca="1" si="27"/>
        <v>9.9155570593549715E-8</v>
      </c>
      <c r="F206" s="137">
        <f t="shared" ca="1" si="28"/>
        <v>16.229578838116559</v>
      </c>
      <c r="G206" s="137">
        <f t="shared" ca="1" si="29"/>
        <v>12.058610642658049</v>
      </c>
      <c r="H206" s="152">
        <f t="shared" ca="1" si="30"/>
        <v>1.5239823755265069</v>
      </c>
      <c r="I206" s="152">
        <f t="shared" ca="1" si="31"/>
        <v>6.4449469862680242E-2</v>
      </c>
      <c r="J206" s="190">
        <f t="shared" ca="1" si="32"/>
        <v>0</v>
      </c>
      <c r="K206" s="187" t="str" cm="1">
        <f t="array" aca="1" ref="K206" ca="1">_xlfn.IFS(G206&lt;$B$11,"Fail",G206&lt;25,"Marginal",G206&lt;35,"Solid",TRUE,"Blowout")</f>
        <v>Fail</v>
      </c>
      <c r="L206" s="193">
        <f t="shared" ca="1" si="22"/>
        <v>1</v>
      </c>
      <c r="M206" s="184" t="str" cm="1">
        <f t="array" aca="1" ref="M206" ca="1">_xlfn.IFS(C206&lt;$B$11,"Fail",C206&lt;25,"Marginal",C206&lt;35,"Solid",TRUE,"Blowout")</f>
        <v>Blowout</v>
      </c>
    </row>
    <row r="207" spans="1:13" x14ac:dyDescent="0.25">
      <c r="A207" s="138">
        <f t="shared" ca="1" si="23"/>
        <v>23.967508283542653</v>
      </c>
      <c r="B207" s="137">
        <f t="shared" ca="1" si="24"/>
        <v>4.6748254229226394</v>
      </c>
      <c r="C207" s="137">
        <f t="shared" ca="1" si="25"/>
        <v>19.292682860620012</v>
      </c>
      <c r="D207" s="152">
        <f t="shared" ca="1" si="26"/>
        <v>2.4382335185611619</v>
      </c>
      <c r="E207" s="197">
        <f t="shared" ca="1" si="27"/>
        <v>7.7621516737029078E-3</v>
      </c>
      <c r="F207" s="137">
        <f t="shared" ca="1" si="28"/>
        <v>32.136941425053045</v>
      </c>
      <c r="G207" s="137">
        <f t="shared" ca="1" si="29"/>
        <v>27.462116002130408</v>
      </c>
      <c r="H207" s="152">
        <f t="shared" ca="1" si="30"/>
        <v>3.4706967512374973</v>
      </c>
      <c r="I207" s="152">
        <f t="shared" ca="1" si="31"/>
        <v>3.103727786170537E-4</v>
      </c>
      <c r="J207" s="190">
        <f t="shared" ca="1" si="32"/>
        <v>1</v>
      </c>
      <c r="K207" s="187" t="str" cm="1">
        <f t="array" aca="1" ref="K207" ca="1">_xlfn.IFS(G207&lt;$B$11,"Fail",G207&lt;25,"Marginal",G207&lt;35,"Solid",TRUE,"Blowout")</f>
        <v>Solid</v>
      </c>
      <c r="L207" s="193">
        <f t="shared" ca="1" si="22"/>
        <v>0</v>
      </c>
      <c r="M207" s="184" t="str" cm="1">
        <f t="array" aca="1" ref="M207" ca="1">_xlfn.IFS(C207&lt;$B$11,"Fail",C207&lt;25,"Marginal",C207&lt;35,"Solid",TRUE,"Blowout")</f>
        <v>Fail</v>
      </c>
    </row>
    <row r="208" spans="1:13" x14ac:dyDescent="0.25">
      <c r="A208" s="138">
        <f t="shared" ca="1" si="23"/>
        <v>42.127299673335948</v>
      </c>
      <c r="B208" s="137">
        <f t="shared" ca="1" si="24"/>
        <v>6.9890057065542255</v>
      </c>
      <c r="C208" s="137">
        <f t="shared" ca="1" si="25"/>
        <v>35.138293966781724</v>
      </c>
      <c r="D208" s="152">
        <f t="shared" ca="1" si="26"/>
        <v>4.4408217744428988</v>
      </c>
      <c r="E208" s="197">
        <f t="shared" ca="1" si="27"/>
        <v>6.9855702258498091E-6</v>
      </c>
      <c r="F208" s="137">
        <f t="shared" ca="1" si="28"/>
        <v>-4.1336173696768022</v>
      </c>
      <c r="G208" s="137">
        <f t="shared" ca="1" si="29"/>
        <v>-11.122623076231028</v>
      </c>
      <c r="H208" s="152">
        <f t="shared" ca="1" si="30"/>
        <v>-1.4056910899698898</v>
      </c>
      <c r="I208" s="152">
        <f t="shared" ca="1" si="31"/>
        <v>0.91941144845704659</v>
      </c>
      <c r="J208" s="190">
        <f t="shared" ca="1" si="32"/>
        <v>0</v>
      </c>
      <c r="K208" s="187" t="str" cm="1">
        <f t="array" aca="1" ref="K208" ca="1">_xlfn.IFS(G208&lt;$B$11,"Fail",G208&lt;25,"Marginal",G208&lt;35,"Solid",TRUE,"Blowout")</f>
        <v>Fail</v>
      </c>
      <c r="L208" s="193">
        <f t="shared" ref="L208:L271" ca="1" si="33">IF(AND(E208&lt;$B$10,C208&gt;=$B$11),1,0)</f>
        <v>1</v>
      </c>
      <c r="M208" s="184" t="str" cm="1">
        <f t="array" aca="1" ref="M208" ca="1">_xlfn.IFS(C208&lt;$B$11,"Fail",C208&lt;25,"Marginal",C208&lt;35,"Solid",TRUE,"Blowout")</f>
        <v>Blowout</v>
      </c>
    </row>
    <row r="209" spans="1:13" x14ac:dyDescent="0.25">
      <c r="A209" s="138">
        <f t="shared" ref="A209:A272" ca="1" si="34">NORMINV(RAND(), MAX(0, NORMINV(RAND(), $B$6, $B$12)), $B$7/SQRT($B$9))</f>
        <v>35.078298089471538</v>
      </c>
      <c r="B209" s="137">
        <f t="shared" ref="B209:B272" ca="1" si="35">NORMINV(RAND(), $B$8, $B$7/SQRT($B$9))</f>
        <v>5.0249812083866328</v>
      </c>
      <c r="C209" s="137">
        <f t="shared" ref="C209:C272" ca="1" si="36">A209-B209</f>
        <v>30.053316881084903</v>
      </c>
      <c r="D209" s="152">
        <f t="shared" ref="D209:D272" ca="1" si="37">C209/($B$7*SQRT(2/$B$9))</f>
        <v>3.7981759764979777</v>
      </c>
      <c r="E209" s="197">
        <f t="shared" ref="E209:E272" ca="1" si="38">_xlfn.T.DIST.RT(D209, 2*$B$9-2)</f>
        <v>9.3487727294219093E-5</v>
      </c>
      <c r="F209" s="137">
        <f t="shared" ref="F209:F272" ca="1" si="39">NORMINV(RAND(), MAX(0, NORMINV(RAND(), $N$7, $N$8)), $B$7/SQRT($B$9))</f>
        <v>22.161707046749399</v>
      </c>
      <c r="G209" s="137">
        <f t="shared" ref="G209:G272" ca="1" si="40">F209-B209</f>
        <v>17.136725838362764</v>
      </c>
      <c r="H209" s="152">
        <f t="shared" ref="H209:H272" ca="1" si="41">G209/($B$7*SQRT(2/$B$9))</f>
        <v>2.1657609591860791</v>
      </c>
      <c r="I209" s="152">
        <f t="shared" ref="I209:I272" ca="1" si="42">_xlfn.T.DIST.RT(H209, 2*$B$9-2)</f>
        <v>1.5683431919215986E-2</v>
      </c>
      <c r="J209" s="190">
        <f t="shared" ref="J209:J272" ca="1" si="43">IF(AND(I209&lt;$B$10, G209&gt;=$B$11), 1, 0)</f>
        <v>0</v>
      </c>
      <c r="K209" s="187" t="str" cm="1">
        <f t="array" aca="1" ref="K209" ca="1">_xlfn.IFS(G209&lt;$B$11,"Fail",G209&lt;25,"Marginal",G209&lt;35,"Solid",TRUE,"Blowout")</f>
        <v>Fail</v>
      </c>
      <c r="L209" s="193">
        <f t="shared" ca="1" si="33"/>
        <v>1</v>
      </c>
      <c r="M209" s="184" t="str" cm="1">
        <f t="array" aca="1" ref="M209" ca="1">_xlfn.IFS(C209&lt;$B$11,"Fail",C209&lt;25,"Marginal",C209&lt;35,"Solid",TRUE,"Blowout")</f>
        <v>Solid</v>
      </c>
    </row>
    <row r="210" spans="1:13" x14ac:dyDescent="0.25">
      <c r="A210" s="138">
        <f t="shared" ca="1" si="34"/>
        <v>23.570500185673129</v>
      </c>
      <c r="B210" s="137">
        <f t="shared" ca="1" si="35"/>
        <v>-0.84510867585105132</v>
      </c>
      <c r="C210" s="137">
        <f t="shared" ca="1" si="36"/>
        <v>24.415608861524181</v>
      </c>
      <c r="D210" s="152">
        <f t="shared" ca="1" si="37"/>
        <v>3.0856753481269861</v>
      </c>
      <c r="E210" s="197">
        <f t="shared" ca="1" si="38"/>
        <v>1.1410344140349938E-3</v>
      </c>
      <c r="F210" s="137">
        <f t="shared" ca="1" si="39"/>
        <v>48.969702475854731</v>
      </c>
      <c r="G210" s="137">
        <f t="shared" ca="1" si="40"/>
        <v>49.814811151705783</v>
      </c>
      <c r="H210" s="152">
        <f t="shared" ca="1" si="41"/>
        <v>6.2956584705389194</v>
      </c>
      <c r="I210" s="152">
        <f t="shared" ca="1" si="42"/>
        <v>7.7724894688636888E-10</v>
      </c>
      <c r="J210" s="190">
        <f t="shared" ca="1" si="43"/>
        <v>1</v>
      </c>
      <c r="K210" s="187" t="str" cm="1">
        <f t="array" aca="1" ref="K210" ca="1">_xlfn.IFS(G210&lt;$B$11,"Fail",G210&lt;25,"Marginal",G210&lt;35,"Solid",TRUE,"Blowout")</f>
        <v>Blowout</v>
      </c>
      <c r="L210" s="193">
        <f t="shared" ca="1" si="33"/>
        <v>1</v>
      </c>
      <c r="M210" s="184" t="str" cm="1">
        <f t="array" aca="1" ref="M210" ca="1">_xlfn.IFS(C210&lt;$B$11,"Fail",C210&lt;25,"Marginal",C210&lt;35,"Solid",TRUE,"Blowout")</f>
        <v>Marginal</v>
      </c>
    </row>
    <row r="211" spans="1:13" x14ac:dyDescent="0.25">
      <c r="A211" s="138">
        <f t="shared" ca="1" si="34"/>
        <v>3.5417616397665839</v>
      </c>
      <c r="B211" s="137">
        <f t="shared" ca="1" si="35"/>
        <v>3.7455696895037729</v>
      </c>
      <c r="C211" s="137">
        <f t="shared" ca="1" si="36"/>
        <v>-0.20380804973718902</v>
      </c>
      <c r="D211" s="152">
        <f t="shared" ca="1" si="37"/>
        <v>-2.5757517594202799E-2</v>
      </c>
      <c r="E211" s="197">
        <f t="shared" ca="1" si="38"/>
        <v>0.51026336187388499</v>
      </c>
      <c r="F211" s="137">
        <f t="shared" ca="1" si="39"/>
        <v>-0.53119575011568931</v>
      </c>
      <c r="G211" s="137">
        <f t="shared" ca="1" si="40"/>
        <v>-4.2767654396194619</v>
      </c>
      <c r="H211" s="152">
        <f t="shared" ca="1" si="41"/>
        <v>-0.54050299386764589</v>
      </c>
      <c r="I211" s="152">
        <f t="shared" ca="1" si="42"/>
        <v>0.7053110991850905</v>
      </c>
      <c r="J211" s="190">
        <f t="shared" ca="1" si="43"/>
        <v>0</v>
      </c>
      <c r="K211" s="187" t="str" cm="1">
        <f t="array" aca="1" ref="K211" ca="1">_xlfn.IFS(G211&lt;$B$11,"Fail",G211&lt;25,"Marginal",G211&lt;35,"Solid",TRUE,"Blowout")</f>
        <v>Fail</v>
      </c>
      <c r="L211" s="193">
        <f t="shared" ca="1" si="33"/>
        <v>0</v>
      </c>
      <c r="M211" s="184" t="str" cm="1">
        <f t="array" aca="1" ref="M211" ca="1">_xlfn.IFS(C211&lt;$B$11,"Fail",C211&lt;25,"Marginal",C211&lt;35,"Solid",TRUE,"Blowout")</f>
        <v>Fail</v>
      </c>
    </row>
    <row r="212" spans="1:13" x14ac:dyDescent="0.25">
      <c r="A212" s="138">
        <f t="shared" ca="1" si="34"/>
        <v>32.313700554472476</v>
      </c>
      <c r="B212" s="137">
        <f t="shared" ca="1" si="35"/>
        <v>2.7325182544359223</v>
      </c>
      <c r="C212" s="137">
        <f t="shared" ca="1" si="36"/>
        <v>29.581182300036552</v>
      </c>
      <c r="D212" s="152">
        <f t="shared" ca="1" si="37"/>
        <v>3.7385070144826593</v>
      </c>
      <c r="E212" s="197">
        <f t="shared" ca="1" si="38"/>
        <v>1.1706347757489967E-4</v>
      </c>
      <c r="F212" s="137">
        <f t="shared" ca="1" si="39"/>
        <v>23.22641174898887</v>
      </c>
      <c r="G212" s="137">
        <f t="shared" ca="1" si="40"/>
        <v>20.493893494552946</v>
      </c>
      <c r="H212" s="152">
        <f t="shared" ca="1" si="41"/>
        <v>2.5900440288808895</v>
      </c>
      <c r="I212" s="152">
        <f t="shared" ca="1" si="42"/>
        <v>5.1072897357478993E-3</v>
      </c>
      <c r="J212" s="190">
        <f t="shared" ca="1" si="43"/>
        <v>1</v>
      </c>
      <c r="K212" s="187" t="str" cm="1">
        <f t="array" aca="1" ref="K212" ca="1">_xlfn.IFS(G212&lt;$B$11,"Fail",G212&lt;25,"Marginal",G212&lt;35,"Solid",TRUE,"Blowout")</f>
        <v>Marginal</v>
      </c>
      <c r="L212" s="193">
        <f t="shared" ca="1" si="33"/>
        <v>1</v>
      </c>
      <c r="M212" s="184" t="str" cm="1">
        <f t="array" aca="1" ref="M212" ca="1">_xlfn.IFS(C212&lt;$B$11,"Fail",C212&lt;25,"Marginal",C212&lt;35,"Solid",TRUE,"Blowout")</f>
        <v>Solid</v>
      </c>
    </row>
    <row r="213" spans="1:13" x14ac:dyDescent="0.25">
      <c r="A213" s="138">
        <f t="shared" ca="1" si="34"/>
        <v>66.628692820829741</v>
      </c>
      <c r="B213" s="137">
        <f t="shared" ca="1" si="35"/>
        <v>7.0342395614455038</v>
      </c>
      <c r="C213" s="137">
        <f t="shared" ca="1" si="36"/>
        <v>59.594453259384238</v>
      </c>
      <c r="D213" s="152">
        <f t="shared" ca="1" si="37"/>
        <v>7.5316219370377109</v>
      </c>
      <c r="E213" s="197">
        <f t="shared" ca="1" si="38"/>
        <v>5.8143550832813693E-13</v>
      </c>
      <c r="F213" s="137">
        <f t="shared" ca="1" si="39"/>
        <v>27.171627884885439</v>
      </c>
      <c r="G213" s="137">
        <f t="shared" ca="1" si="40"/>
        <v>20.137388323439936</v>
      </c>
      <c r="H213" s="152">
        <f t="shared" ca="1" si="41"/>
        <v>2.5449884570857186</v>
      </c>
      <c r="I213" s="152">
        <f t="shared" ca="1" si="42"/>
        <v>5.7944032140745377E-3</v>
      </c>
      <c r="J213" s="190">
        <f t="shared" ca="1" si="43"/>
        <v>1</v>
      </c>
      <c r="K213" s="187" t="str" cm="1">
        <f t="array" aca="1" ref="K213" ca="1">_xlfn.IFS(G213&lt;$B$11,"Fail",G213&lt;25,"Marginal",G213&lt;35,"Solid",TRUE,"Blowout")</f>
        <v>Marginal</v>
      </c>
      <c r="L213" s="193">
        <f t="shared" ca="1" si="33"/>
        <v>1</v>
      </c>
      <c r="M213" s="184" t="str" cm="1">
        <f t="array" aca="1" ref="M213" ca="1">_xlfn.IFS(C213&lt;$B$11,"Fail",C213&lt;25,"Marginal",C213&lt;35,"Solid",TRUE,"Blowout")</f>
        <v>Blowout</v>
      </c>
    </row>
    <row r="214" spans="1:13" x14ac:dyDescent="0.25">
      <c r="A214" s="138">
        <f t="shared" ca="1" si="34"/>
        <v>22.155458063238861</v>
      </c>
      <c r="B214" s="137">
        <f t="shared" ca="1" si="35"/>
        <v>-2.6923135425571711</v>
      </c>
      <c r="C214" s="137">
        <f t="shared" ca="1" si="36"/>
        <v>24.847771605796034</v>
      </c>
      <c r="D214" s="152">
        <f t="shared" ca="1" si="37"/>
        <v>3.1402926191498688</v>
      </c>
      <c r="E214" s="197">
        <f t="shared" ca="1" si="38"/>
        <v>9.555308789813493E-4</v>
      </c>
      <c r="F214" s="137">
        <f t="shared" ca="1" si="39"/>
        <v>29.829253496865469</v>
      </c>
      <c r="G214" s="137">
        <f t="shared" ca="1" si="40"/>
        <v>32.521567039422642</v>
      </c>
      <c r="H214" s="152">
        <f t="shared" ca="1" si="41"/>
        <v>4.1101165350885713</v>
      </c>
      <c r="I214" s="152">
        <f t="shared" ca="1" si="42"/>
        <v>2.7593552775615132E-5</v>
      </c>
      <c r="J214" s="190">
        <f t="shared" ca="1" si="43"/>
        <v>1</v>
      </c>
      <c r="K214" s="187" t="str" cm="1">
        <f t="array" aca="1" ref="K214" ca="1">_xlfn.IFS(G214&lt;$B$11,"Fail",G214&lt;25,"Marginal",G214&lt;35,"Solid",TRUE,"Blowout")</f>
        <v>Solid</v>
      </c>
      <c r="L214" s="193">
        <f t="shared" ca="1" si="33"/>
        <v>1</v>
      </c>
      <c r="M214" s="184" t="str" cm="1">
        <f t="array" aca="1" ref="M214" ca="1">_xlfn.IFS(C214&lt;$B$11,"Fail",C214&lt;25,"Marginal",C214&lt;35,"Solid",TRUE,"Blowout")</f>
        <v>Marginal</v>
      </c>
    </row>
    <row r="215" spans="1:13" x14ac:dyDescent="0.25">
      <c r="A215" s="138">
        <f t="shared" ca="1" si="34"/>
        <v>32.494317126297929</v>
      </c>
      <c r="B215" s="137">
        <f t="shared" ca="1" si="35"/>
        <v>8.5724635584634026</v>
      </c>
      <c r="C215" s="137">
        <f t="shared" ca="1" si="36"/>
        <v>23.921853567834525</v>
      </c>
      <c r="D215" s="152">
        <f t="shared" ca="1" si="37"/>
        <v>3.023273933262157</v>
      </c>
      <c r="E215" s="197">
        <f t="shared" ca="1" si="38"/>
        <v>1.3933121763710383E-3</v>
      </c>
      <c r="F215" s="137">
        <f t="shared" ca="1" si="39"/>
        <v>37.643252351835528</v>
      </c>
      <c r="G215" s="137">
        <f t="shared" ca="1" si="40"/>
        <v>29.070788793372124</v>
      </c>
      <c r="H215" s="152">
        <f t="shared" ca="1" si="41"/>
        <v>3.6740028413411752</v>
      </c>
      <c r="I215" s="152">
        <f t="shared" ca="1" si="42"/>
        <v>1.4881588225773879E-4</v>
      </c>
      <c r="J215" s="190">
        <f t="shared" ca="1" si="43"/>
        <v>1</v>
      </c>
      <c r="K215" s="187" t="str" cm="1">
        <f t="array" aca="1" ref="K215" ca="1">_xlfn.IFS(G215&lt;$B$11,"Fail",G215&lt;25,"Marginal",G215&lt;35,"Solid",TRUE,"Blowout")</f>
        <v>Solid</v>
      </c>
      <c r="L215" s="193">
        <f t="shared" ca="1" si="33"/>
        <v>1</v>
      </c>
      <c r="M215" s="184" t="str" cm="1">
        <f t="array" aca="1" ref="M215" ca="1">_xlfn.IFS(C215&lt;$B$11,"Fail",C215&lt;25,"Marginal",C215&lt;35,"Solid",TRUE,"Blowout")</f>
        <v>Marginal</v>
      </c>
    </row>
    <row r="216" spans="1:13" x14ac:dyDescent="0.25">
      <c r="A216" s="138">
        <f t="shared" ca="1" si="34"/>
        <v>3.8932543001060473</v>
      </c>
      <c r="B216" s="137">
        <f t="shared" ca="1" si="35"/>
        <v>-8.4310610073485925</v>
      </c>
      <c r="C216" s="137">
        <f t="shared" ca="1" si="36"/>
        <v>12.32431530745464</v>
      </c>
      <c r="D216" s="152">
        <f t="shared" ca="1" si="37"/>
        <v>1.5575624651607738</v>
      </c>
      <c r="E216" s="197">
        <f t="shared" ca="1" si="38"/>
        <v>6.0361981125239488E-2</v>
      </c>
      <c r="F216" s="137">
        <f t="shared" ca="1" si="39"/>
        <v>24.433690453400981</v>
      </c>
      <c r="G216" s="137">
        <f t="shared" ca="1" si="40"/>
        <v>32.864751460749574</v>
      </c>
      <c r="H216" s="152">
        <f t="shared" ca="1" si="41"/>
        <v>4.153488613776255</v>
      </c>
      <c r="I216" s="152">
        <f t="shared" ca="1" si="42"/>
        <v>2.3151558507487876E-5</v>
      </c>
      <c r="J216" s="190">
        <f t="shared" ca="1" si="43"/>
        <v>1</v>
      </c>
      <c r="K216" s="187" t="str" cm="1">
        <f t="array" aca="1" ref="K216" ca="1">_xlfn.IFS(G216&lt;$B$11,"Fail",G216&lt;25,"Marginal",G216&lt;35,"Solid",TRUE,"Blowout")</f>
        <v>Solid</v>
      </c>
      <c r="L216" s="193">
        <f t="shared" ca="1" si="33"/>
        <v>0</v>
      </c>
      <c r="M216" s="184" t="str" cm="1">
        <f t="array" aca="1" ref="M216" ca="1">_xlfn.IFS(C216&lt;$B$11,"Fail",C216&lt;25,"Marginal",C216&lt;35,"Solid",TRUE,"Blowout")</f>
        <v>Fail</v>
      </c>
    </row>
    <row r="217" spans="1:13" x14ac:dyDescent="0.25">
      <c r="A217" s="138">
        <f t="shared" ca="1" si="34"/>
        <v>32.904546978030716</v>
      </c>
      <c r="B217" s="137">
        <f t="shared" ca="1" si="35"/>
        <v>12.916710915631043</v>
      </c>
      <c r="C217" s="137">
        <f t="shared" ca="1" si="36"/>
        <v>19.987836062399673</v>
      </c>
      <c r="D217" s="152">
        <f t="shared" ca="1" si="37"/>
        <v>2.526087854288309</v>
      </c>
      <c r="E217" s="197">
        <f t="shared" ca="1" si="38"/>
        <v>6.1064323489620929E-3</v>
      </c>
      <c r="F217" s="137">
        <f t="shared" ca="1" si="39"/>
        <v>26.14464361410446</v>
      </c>
      <c r="G217" s="137">
        <f t="shared" ca="1" si="40"/>
        <v>13.227932698473417</v>
      </c>
      <c r="H217" s="152">
        <f t="shared" ca="1" si="41"/>
        <v>1.6717627672470108</v>
      </c>
      <c r="I217" s="152">
        <f t="shared" ca="1" si="42"/>
        <v>4.7971460524594459E-2</v>
      </c>
      <c r="J217" s="190">
        <f t="shared" ca="1" si="43"/>
        <v>0</v>
      </c>
      <c r="K217" s="187" t="str" cm="1">
        <f t="array" aca="1" ref="K217" ca="1">_xlfn.IFS(G217&lt;$B$11,"Fail",G217&lt;25,"Marginal",G217&lt;35,"Solid",TRUE,"Blowout")</f>
        <v>Fail</v>
      </c>
      <c r="L217" s="193">
        <f t="shared" ca="1" si="33"/>
        <v>0</v>
      </c>
      <c r="M217" s="184" t="str" cm="1">
        <f t="array" aca="1" ref="M217" ca="1">_xlfn.IFS(C217&lt;$B$11,"Fail",C217&lt;25,"Marginal",C217&lt;35,"Solid",TRUE,"Blowout")</f>
        <v>Fail</v>
      </c>
    </row>
    <row r="218" spans="1:13" x14ac:dyDescent="0.25">
      <c r="A218" s="138">
        <f t="shared" ca="1" si="34"/>
        <v>21.382641724927538</v>
      </c>
      <c r="B218" s="137">
        <f t="shared" ca="1" si="35"/>
        <v>7.9229960757702305</v>
      </c>
      <c r="C218" s="137">
        <f t="shared" ca="1" si="36"/>
        <v>13.459645649157308</v>
      </c>
      <c r="D218" s="152">
        <f t="shared" ca="1" si="37"/>
        <v>1.701046941310504</v>
      </c>
      <c r="E218" s="197">
        <f t="shared" ca="1" si="38"/>
        <v>4.5148759386609373E-2</v>
      </c>
      <c r="F218" s="137">
        <f t="shared" ca="1" si="39"/>
        <v>43.118181564961603</v>
      </c>
      <c r="G218" s="137">
        <f t="shared" ca="1" si="40"/>
        <v>35.195185489191374</v>
      </c>
      <c r="H218" s="152">
        <f t="shared" ca="1" si="41"/>
        <v>4.4480117965804791</v>
      </c>
      <c r="I218" s="152">
        <f t="shared" ca="1" si="42"/>
        <v>6.77393665037199E-6</v>
      </c>
      <c r="J218" s="190">
        <f t="shared" ca="1" si="43"/>
        <v>1</v>
      </c>
      <c r="K218" s="187" t="str" cm="1">
        <f t="array" aca="1" ref="K218" ca="1">_xlfn.IFS(G218&lt;$B$11,"Fail",G218&lt;25,"Marginal",G218&lt;35,"Solid",TRUE,"Blowout")</f>
        <v>Blowout</v>
      </c>
      <c r="L218" s="193">
        <f t="shared" ca="1" si="33"/>
        <v>0</v>
      </c>
      <c r="M218" s="184" t="str" cm="1">
        <f t="array" aca="1" ref="M218" ca="1">_xlfn.IFS(C218&lt;$B$11,"Fail",C218&lt;25,"Marginal",C218&lt;35,"Solid",TRUE,"Blowout")</f>
        <v>Fail</v>
      </c>
    </row>
    <row r="219" spans="1:13" x14ac:dyDescent="0.25">
      <c r="A219" s="138">
        <f t="shared" ca="1" si="34"/>
        <v>35.019658507362053</v>
      </c>
      <c r="B219" s="137">
        <f t="shared" ca="1" si="35"/>
        <v>1.0430812655464785</v>
      </c>
      <c r="C219" s="137">
        <f t="shared" ca="1" si="36"/>
        <v>33.976577241815576</v>
      </c>
      <c r="D219" s="152">
        <f t="shared" ca="1" si="37"/>
        <v>4.2940025539980686</v>
      </c>
      <c r="E219" s="197">
        <f t="shared" ca="1" si="38"/>
        <v>1.2984382204294411E-5</v>
      </c>
      <c r="F219" s="137">
        <f t="shared" ca="1" si="39"/>
        <v>73.281556278134588</v>
      </c>
      <c r="G219" s="137">
        <f t="shared" ca="1" si="40"/>
        <v>72.238475012588111</v>
      </c>
      <c r="H219" s="152">
        <f t="shared" ca="1" si="41"/>
        <v>9.1295893048114323</v>
      </c>
      <c r="I219" s="152">
        <f t="shared" ca="1" si="42"/>
        <v>1.8919712771380638E-17</v>
      </c>
      <c r="J219" s="190">
        <f t="shared" ca="1" si="43"/>
        <v>1</v>
      </c>
      <c r="K219" s="187" t="str" cm="1">
        <f t="array" aca="1" ref="K219" ca="1">_xlfn.IFS(G219&lt;$B$11,"Fail",G219&lt;25,"Marginal",G219&lt;35,"Solid",TRUE,"Blowout")</f>
        <v>Blowout</v>
      </c>
      <c r="L219" s="193">
        <f t="shared" ca="1" si="33"/>
        <v>1</v>
      </c>
      <c r="M219" s="184" t="str" cm="1">
        <f t="array" aca="1" ref="M219" ca="1">_xlfn.IFS(C219&lt;$B$11,"Fail",C219&lt;25,"Marginal",C219&lt;35,"Solid",TRUE,"Blowout")</f>
        <v>Solid</v>
      </c>
    </row>
    <row r="220" spans="1:13" x14ac:dyDescent="0.25">
      <c r="A220" s="138">
        <f t="shared" ca="1" si="34"/>
        <v>37.869697773255751</v>
      </c>
      <c r="B220" s="137">
        <f t="shared" ca="1" si="35"/>
        <v>-2.4233334354364278</v>
      </c>
      <c r="C220" s="137">
        <f t="shared" ca="1" si="36"/>
        <v>40.293031208692177</v>
      </c>
      <c r="D220" s="152">
        <f t="shared" ca="1" si="37"/>
        <v>5.0922839486465783</v>
      </c>
      <c r="E220" s="197">
        <f t="shared" ca="1" si="38"/>
        <v>3.7030421718064436E-7</v>
      </c>
      <c r="F220" s="137">
        <f t="shared" ca="1" si="39"/>
        <v>5.8515440772529885</v>
      </c>
      <c r="G220" s="137">
        <f t="shared" ca="1" si="40"/>
        <v>8.2748775126894163</v>
      </c>
      <c r="H220" s="152">
        <f t="shared" ca="1" si="41"/>
        <v>1.0457894248917825</v>
      </c>
      <c r="I220" s="152">
        <f t="shared" ca="1" si="42"/>
        <v>0.14838285210719451</v>
      </c>
      <c r="J220" s="190">
        <f t="shared" ca="1" si="43"/>
        <v>0</v>
      </c>
      <c r="K220" s="187" t="str" cm="1">
        <f t="array" aca="1" ref="K220" ca="1">_xlfn.IFS(G220&lt;$B$11,"Fail",G220&lt;25,"Marginal",G220&lt;35,"Solid",TRUE,"Blowout")</f>
        <v>Fail</v>
      </c>
      <c r="L220" s="193">
        <f t="shared" ca="1" si="33"/>
        <v>1</v>
      </c>
      <c r="M220" s="184" t="str" cm="1">
        <f t="array" aca="1" ref="M220" ca="1">_xlfn.IFS(C220&lt;$B$11,"Fail",C220&lt;25,"Marginal",C220&lt;35,"Solid",TRUE,"Blowout")</f>
        <v>Blowout</v>
      </c>
    </row>
    <row r="221" spans="1:13" x14ac:dyDescent="0.25">
      <c r="A221" s="138">
        <f t="shared" ca="1" si="34"/>
        <v>42.114728759477039</v>
      </c>
      <c r="B221" s="137">
        <f t="shared" ca="1" si="35"/>
        <v>10.109215899626598</v>
      </c>
      <c r="C221" s="137">
        <f t="shared" ca="1" si="36"/>
        <v>32.005512859850441</v>
      </c>
      <c r="D221" s="152">
        <f t="shared" ca="1" si="37"/>
        <v>4.0448969589872679</v>
      </c>
      <c r="E221" s="197">
        <f t="shared" ca="1" si="38"/>
        <v>3.5832060487641268E-5</v>
      </c>
      <c r="F221" s="137">
        <f t="shared" ca="1" si="39"/>
        <v>18.161062262073056</v>
      </c>
      <c r="G221" s="137">
        <f t="shared" ca="1" si="40"/>
        <v>8.051846362446458</v>
      </c>
      <c r="H221" s="152">
        <f t="shared" ca="1" si="41"/>
        <v>1.0176024676845175</v>
      </c>
      <c r="I221" s="152">
        <f t="shared" ca="1" si="42"/>
        <v>0.15497275188142581</v>
      </c>
      <c r="J221" s="190">
        <f t="shared" ca="1" si="43"/>
        <v>0</v>
      </c>
      <c r="K221" s="187" t="str" cm="1">
        <f t="array" aca="1" ref="K221" ca="1">_xlfn.IFS(G221&lt;$B$11,"Fail",G221&lt;25,"Marginal",G221&lt;35,"Solid",TRUE,"Blowout")</f>
        <v>Fail</v>
      </c>
      <c r="L221" s="193">
        <f t="shared" ca="1" si="33"/>
        <v>1</v>
      </c>
      <c r="M221" s="184" t="str" cm="1">
        <f t="array" aca="1" ref="M221" ca="1">_xlfn.IFS(C221&lt;$B$11,"Fail",C221&lt;25,"Marginal",C221&lt;35,"Solid",TRUE,"Blowout")</f>
        <v>Solid</v>
      </c>
    </row>
    <row r="222" spans="1:13" x14ac:dyDescent="0.25">
      <c r="A222" s="138">
        <f t="shared" ca="1" si="34"/>
        <v>9.2160433746832826</v>
      </c>
      <c r="B222" s="137">
        <f t="shared" ca="1" si="35"/>
        <v>4.1161335474724368</v>
      </c>
      <c r="C222" s="137">
        <f t="shared" ca="1" si="36"/>
        <v>5.0999098272108458</v>
      </c>
      <c r="D222" s="152">
        <f t="shared" ca="1" si="37"/>
        <v>0.64453301659390516</v>
      </c>
      <c r="E222" s="197">
        <f t="shared" ca="1" si="38"/>
        <v>0.25993889184417529</v>
      </c>
      <c r="F222" s="137">
        <f t="shared" ca="1" si="39"/>
        <v>44.260325016906556</v>
      </c>
      <c r="G222" s="137">
        <f t="shared" ca="1" si="40"/>
        <v>40.144191469434119</v>
      </c>
      <c r="H222" s="152">
        <f t="shared" ca="1" si="41"/>
        <v>5.0734733952479294</v>
      </c>
      <c r="I222" s="152">
        <f t="shared" ca="1" si="42"/>
        <v>4.0475743171939295E-7</v>
      </c>
      <c r="J222" s="190">
        <f t="shared" ca="1" si="43"/>
        <v>1</v>
      </c>
      <c r="K222" s="187" t="str" cm="1">
        <f t="array" aca="1" ref="K222" ca="1">_xlfn.IFS(G222&lt;$B$11,"Fail",G222&lt;25,"Marginal",G222&lt;35,"Solid",TRUE,"Blowout")</f>
        <v>Blowout</v>
      </c>
      <c r="L222" s="193">
        <f t="shared" ca="1" si="33"/>
        <v>0</v>
      </c>
      <c r="M222" s="184" t="str" cm="1">
        <f t="array" aca="1" ref="M222" ca="1">_xlfn.IFS(C222&lt;$B$11,"Fail",C222&lt;25,"Marginal",C222&lt;35,"Solid",TRUE,"Blowout")</f>
        <v>Fail</v>
      </c>
    </row>
    <row r="223" spans="1:13" x14ac:dyDescent="0.25">
      <c r="A223" s="138">
        <f t="shared" ca="1" si="34"/>
        <v>8.6255186827179013</v>
      </c>
      <c r="B223" s="137">
        <f t="shared" ca="1" si="35"/>
        <v>6.5060874491651104</v>
      </c>
      <c r="C223" s="137">
        <f t="shared" ca="1" si="36"/>
        <v>2.1194312335527909</v>
      </c>
      <c r="D223" s="152">
        <f t="shared" ca="1" si="37"/>
        <v>0.26785638427105579</v>
      </c>
      <c r="E223" s="197">
        <f t="shared" ca="1" si="38"/>
        <v>0.39452601511204549</v>
      </c>
      <c r="F223" s="137">
        <f t="shared" ca="1" si="39"/>
        <v>44.315801051676956</v>
      </c>
      <c r="G223" s="137">
        <f t="shared" ca="1" si="40"/>
        <v>37.809713602511849</v>
      </c>
      <c r="H223" s="152">
        <f t="shared" ca="1" si="41"/>
        <v>4.7784391470518166</v>
      </c>
      <c r="I223" s="152">
        <f t="shared" ca="1" si="42"/>
        <v>1.5824765976224964E-6</v>
      </c>
      <c r="J223" s="190">
        <f t="shared" ca="1" si="43"/>
        <v>1</v>
      </c>
      <c r="K223" s="187" t="str" cm="1">
        <f t="array" aca="1" ref="K223" ca="1">_xlfn.IFS(G223&lt;$B$11,"Fail",G223&lt;25,"Marginal",G223&lt;35,"Solid",TRUE,"Blowout")</f>
        <v>Blowout</v>
      </c>
      <c r="L223" s="193">
        <f t="shared" ca="1" si="33"/>
        <v>0</v>
      </c>
      <c r="M223" s="184" t="str" cm="1">
        <f t="array" aca="1" ref="M223" ca="1">_xlfn.IFS(C223&lt;$B$11,"Fail",C223&lt;25,"Marginal",C223&lt;35,"Solid",TRUE,"Blowout")</f>
        <v>Fail</v>
      </c>
    </row>
    <row r="224" spans="1:13" x14ac:dyDescent="0.25">
      <c r="A224" s="138">
        <f t="shared" ca="1" si="34"/>
        <v>21.064930498989266</v>
      </c>
      <c r="B224" s="137">
        <f t="shared" ca="1" si="35"/>
        <v>8.4047739314406602</v>
      </c>
      <c r="C224" s="137">
        <f t="shared" ca="1" si="36"/>
        <v>12.660156567548606</v>
      </c>
      <c r="D224" s="152">
        <f t="shared" ca="1" si="37"/>
        <v>1.6000065058985382</v>
      </c>
      <c r="E224" s="197">
        <f t="shared" ca="1" si="38"/>
        <v>5.5490930757170848E-2</v>
      </c>
      <c r="F224" s="137">
        <f t="shared" ca="1" si="39"/>
        <v>40.529515250654406</v>
      </c>
      <c r="G224" s="137">
        <f t="shared" ca="1" si="40"/>
        <v>32.124741319213747</v>
      </c>
      <c r="H224" s="152">
        <f t="shared" ca="1" si="41"/>
        <v>4.0599652015995691</v>
      </c>
      <c r="I224" s="152">
        <f t="shared" ca="1" si="42"/>
        <v>3.374281950869737E-5</v>
      </c>
      <c r="J224" s="190">
        <f t="shared" ca="1" si="43"/>
        <v>1</v>
      </c>
      <c r="K224" s="187" t="str" cm="1">
        <f t="array" aca="1" ref="K224" ca="1">_xlfn.IFS(G224&lt;$B$11,"Fail",G224&lt;25,"Marginal",G224&lt;35,"Solid",TRUE,"Blowout")</f>
        <v>Solid</v>
      </c>
      <c r="L224" s="193">
        <f t="shared" ca="1" si="33"/>
        <v>0</v>
      </c>
      <c r="M224" s="184" t="str" cm="1">
        <f t="array" aca="1" ref="M224" ca="1">_xlfn.IFS(C224&lt;$B$11,"Fail",C224&lt;25,"Marginal",C224&lt;35,"Solid",TRUE,"Blowout")</f>
        <v>Fail</v>
      </c>
    </row>
    <row r="225" spans="1:13" x14ac:dyDescent="0.25">
      <c r="A225" s="138">
        <f t="shared" ca="1" si="34"/>
        <v>42.575399902735107</v>
      </c>
      <c r="B225" s="137">
        <f t="shared" ca="1" si="35"/>
        <v>-4.1250140293661328</v>
      </c>
      <c r="C225" s="137">
        <f t="shared" ca="1" si="36"/>
        <v>46.700413932101242</v>
      </c>
      <c r="D225" s="152">
        <f t="shared" ca="1" si="37"/>
        <v>5.9020570338795579</v>
      </c>
      <c r="E225" s="197">
        <f t="shared" ca="1" si="38"/>
        <v>6.4496876543087916E-9</v>
      </c>
      <c r="F225" s="137">
        <f t="shared" ca="1" si="39"/>
        <v>67.756595445543837</v>
      </c>
      <c r="G225" s="137">
        <f t="shared" ca="1" si="40"/>
        <v>71.881609474909965</v>
      </c>
      <c r="H225" s="152">
        <f t="shared" ca="1" si="41"/>
        <v>9.0844881894366356</v>
      </c>
      <c r="I225" s="152">
        <f t="shared" ca="1" si="42"/>
        <v>2.5659219489757173E-17</v>
      </c>
      <c r="J225" s="190">
        <f t="shared" ca="1" si="43"/>
        <v>1</v>
      </c>
      <c r="K225" s="187" t="str" cm="1">
        <f t="array" aca="1" ref="K225" ca="1">_xlfn.IFS(G225&lt;$B$11,"Fail",G225&lt;25,"Marginal",G225&lt;35,"Solid",TRUE,"Blowout")</f>
        <v>Blowout</v>
      </c>
      <c r="L225" s="193">
        <f t="shared" ca="1" si="33"/>
        <v>1</v>
      </c>
      <c r="M225" s="184" t="str" cm="1">
        <f t="array" aca="1" ref="M225" ca="1">_xlfn.IFS(C225&lt;$B$11,"Fail",C225&lt;25,"Marginal",C225&lt;35,"Solid",TRUE,"Blowout")</f>
        <v>Blowout</v>
      </c>
    </row>
    <row r="226" spans="1:13" x14ac:dyDescent="0.25">
      <c r="A226" s="138">
        <f t="shared" ca="1" si="34"/>
        <v>43.053714801304523</v>
      </c>
      <c r="B226" s="137">
        <f t="shared" ca="1" si="35"/>
        <v>4.9424212138729127</v>
      </c>
      <c r="C226" s="137">
        <f t="shared" ca="1" si="36"/>
        <v>38.111293587431611</v>
      </c>
      <c r="D226" s="152">
        <f t="shared" ca="1" si="37"/>
        <v>4.8165532047529087</v>
      </c>
      <c r="E226" s="197">
        <f t="shared" ca="1" si="38"/>
        <v>1.3314394125398752E-6</v>
      </c>
      <c r="F226" s="137">
        <f t="shared" ca="1" si="39"/>
        <v>18.200073694249951</v>
      </c>
      <c r="G226" s="137">
        <f t="shared" ca="1" si="40"/>
        <v>13.25765248037704</v>
      </c>
      <c r="H226" s="152">
        <f t="shared" ca="1" si="41"/>
        <v>1.6755187906536699</v>
      </c>
      <c r="I226" s="152">
        <f t="shared" ca="1" si="42"/>
        <v>4.7601656441064726E-2</v>
      </c>
      <c r="J226" s="190">
        <f t="shared" ca="1" si="43"/>
        <v>0</v>
      </c>
      <c r="K226" s="187" t="str" cm="1">
        <f t="array" aca="1" ref="K226" ca="1">_xlfn.IFS(G226&lt;$B$11,"Fail",G226&lt;25,"Marginal",G226&lt;35,"Solid",TRUE,"Blowout")</f>
        <v>Fail</v>
      </c>
      <c r="L226" s="193">
        <f t="shared" ca="1" si="33"/>
        <v>1</v>
      </c>
      <c r="M226" s="184" t="str" cm="1">
        <f t="array" aca="1" ref="M226" ca="1">_xlfn.IFS(C226&lt;$B$11,"Fail",C226&lt;25,"Marginal",C226&lt;35,"Solid",TRUE,"Blowout")</f>
        <v>Blowout</v>
      </c>
    </row>
    <row r="227" spans="1:13" x14ac:dyDescent="0.25">
      <c r="A227" s="138">
        <f t="shared" ca="1" si="34"/>
        <v>7.4772588434507981</v>
      </c>
      <c r="B227" s="137">
        <f t="shared" ca="1" si="35"/>
        <v>2.4243174372423879</v>
      </c>
      <c r="C227" s="137">
        <f t="shared" ca="1" si="36"/>
        <v>5.0529414062084097</v>
      </c>
      <c r="D227" s="152">
        <f t="shared" ca="1" si="37"/>
        <v>0.63859708848948438</v>
      </c>
      <c r="E227" s="197">
        <f t="shared" ca="1" si="38"/>
        <v>0.26186301116753752</v>
      </c>
      <c r="F227" s="137">
        <f t="shared" ca="1" si="39"/>
        <v>17.918759808839528</v>
      </c>
      <c r="G227" s="137">
        <f t="shared" ca="1" si="40"/>
        <v>15.49444237159714</v>
      </c>
      <c r="H227" s="152">
        <f t="shared" ca="1" si="41"/>
        <v>1.9582071096475973</v>
      </c>
      <c r="I227" s="152">
        <f t="shared" ca="1" si="42"/>
        <v>2.5712639974983131E-2</v>
      </c>
      <c r="J227" s="190">
        <f t="shared" ca="1" si="43"/>
        <v>0</v>
      </c>
      <c r="K227" s="187" t="str" cm="1">
        <f t="array" aca="1" ref="K227" ca="1">_xlfn.IFS(G227&lt;$B$11,"Fail",G227&lt;25,"Marginal",G227&lt;35,"Solid",TRUE,"Blowout")</f>
        <v>Fail</v>
      </c>
      <c r="L227" s="193">
        <f t="shared" ca="1" si="33"/>
        <v>0</v>
      </c>
      <c r="M227" s="184" t="str" cm="1">
        <f t="array" aca="1" ref="M227" ca="1">_xlfn.IFS(C227&lt;$B$11,"Fail",C227&lt;25,"Marginal",C227&lt;35,"Solid",TRUE,"Blowout")</f>
        <v>Fail</v>
      </c>
    </row>
    <row r="228" spans="1:13" x14ac:dyDescent="0.25">
      <c r="A228" s="138">
        <f t="shared" ca="1" si="34"/>
        <v>41.901342956214613</v>
      </c>
      <c r="B228" s="137">
        <f t="shared" ca="1" si="35"/>
        <v>-0.49745659006543708</v>
      </c>
      <c r="C228" s="137">
        <f t="shared" ca="1" si="36"/>
        <v>42.398799546280053</v>
      </c>
      <c r="D228" s="152">
        <f t="shared" ca="1" si="37"/>
        <v>5.3584135989458508</v>
      </c>
      <c r="E228" s="197">
        <f t="shared" ca="1" si="38"/>
        <v>1.0253223461590198E-7</v>
      </c>
      <c r="F228" s="137">
        <f t="shared" ca="1" si="39"/>
        <v>4.0134046016279381</v>
      </c>
      <c r="G228" s="137">
        <f t="shared" ca="1" si="40"/>
        <v>4.5108611916933752</v>
      </c>
      <c r="H228" s="152">
        <f t="shared" ca="1" si="41"/>
        <v>0.57008830936694688</v>
      </c>
      <c r="I228" s="152">
        <f t="shared" ca="1" si="42"/>
        <v>0.28458956433146065</v>
      </c>
      <c r="J228" s="190">
        <f t="shared" ca="1" si="43"/>
        <v>0</v>
      </c>
      <c r="K228" s="187" t="str" cm="1">
        <f t="array" aca="1" ref="K228" ca="1">_xlfn.IFS(G228&lt;$B$11,"Fail",G228&lt;25,"Marginal",G228&lt;35,"Solid",TRUE,"Blowout")</f>
        <v>Fail</v>
      </c>
      <c r="L228" s="193">
        <f t="shared" ca="1" si="33"/>
        <v>1</v>
      </c>
      <c r="M228" s="184" t="str" cm="1">
        <f t="array" aca="1" ref="M228" ca="1">_xlfn.IFS(C228&lt;$B$11,"Fail",C228&lt;25,"Marginal",C228&lt;35,"Solid",TRUE,"Blowout")</f>
        <v>Blowout</v>
      </c>
    </row>
    <row r="229" spans="1:13" x14ac:dyDescent="0.25">
      <c r="A229" s="138">
        <f t="shared" ca="1" si="34"/>
        <v>15.984455804624197</v>
      </c>
      <c r="B229" s="137">
        <f t="shared" ca="1" si="35"/>
        <v>-2.7312093215503399</v>
      </c>
      <c r="C229" s="137">
        <f t="shared" ca="1" si="36"/>
        <v>18.715665126174535</v>
      </c>
      <c r="D229" s="152">
        <f t="shared" ca="1" si="37"/>
        <v>2.3653092917393477</v>
      </c>
      <c r="E229" s="197">
        <f t="shared" ca="1" si="38"/>
        <v>9.4266808923191645E-3</v>
      </c>
      <c r="F229" s="137">
        <f t="shared" ca="1" si="39"/>
        <v>46.93284074510381</v>
      </c>
      <c r="G229" s="137">
        <f t="shared" ca="1" si="40"/>
        <v>49.664050066654148</v>
      </c>
      <c r="H229" s="152">
        <f t="shared" ca="1" si="41"/>
        <v>6.2766050950429761</v>
      </c>
      <c r="I229" s="152">
        <f t="shared" ca="1" si="42"/>
        <v>8.6289078407110097E-10</v>
      </c>
      <c r="J229" s="190">
        <f t="shared" ca="1" si="43"/>
        <v>1</v>
      </c>
      <c r="K229" s="187" t="str" cm="1">
        <f t="array" aca="1" ref="K229" ca="1">_xlfn.IFS(G229&lt;$B$11,"Fail",G229&lt;25,"Marginal",G229&lt;35,"Solid",TRUE,"Blowout")</f>
        <v>Blowout</v>
      </c>
      <c r="L229" s="193">
        <f t="shared" ca="1" si="33"/>
        <v>0</v>
      </c>
      <c r="M229" s="184" t="str" cm="1">
        <f t="array" aca="1" ref="M229" ca="1">_xlfn.IFS(C229&lt;$B$11,"Fail",C229&lt;25,"Marginal",C229&lt;35,"Solid",TRUE,"Blowout")</f>
        <v>Fail</v>
      </c>
    </row>
    <row r="230" spans="1:13" x14ac:dyDescent="0.25">
      <c r="A230" s="138">
        <f t="shared" ca="1" si="34"/>
        <v>32.862858890109806</v>
      </c>
      <c r="B230" s="137">
        <f t="shared" ca="1" si="35"/>
        <v>-3.5582777262060539</v>
      </c>
      <c r="C230" s="137">
        <f t="shared" ca="1" si="36"/>
        <v>36.421136616315863</v>
      </c>
      <c r="D230" s="152">
        <f t="shared" ca="1" si="37"/>
        <v>4.6029490415384728</v>
      </c>
      <c r="E230" s="197">
        <f t="shared" ca="1" si="38"/>
        <v>3.4591437711552939E-6</v>
      </c>
      <c r="F230" s="137">
        <f t="shared" ca="1" si="39"/>
        <v>32.39493166689892</v>
      </c>
      <c r="G230" s="137">
        <f t="shared" ca="1" si="40"/>
        <v>35.95320939310497</v>
      </c>
      <c r="H230" s="152">
        <f t="shared" ca="1" si="41"/>
        <v>4.5438118106969876</v>
      </c>
      <c r="I230" s="152">
        <f t="shared" ca="1" si="42"/>
        <v>4.479841478703935E-6</v>
      </c>
      <c r="J230" s="190">
        <f t="shared" ca="1" si="43"/>
        <v>1</v>
      </c>
      <c r="K230" s="187" t="str" cm="1">
        <f t="array" aca="1" ref="K230" ca="1">_xlfn.IFS(G230&lt;$B$11,"Fail",G230&lt;25,"Marginal",G230&lt;35,"Solid",TRUE,"Blowout")</f>
        <v>Blowout</v>
      </c>
      <c r="L230" s="193">
        <f t="shared" ca="1" si="33"/>
        <v>1</v>
      </c>
      <c r="M230" s="184" t="str" cm="1">
        <f t="array" aca="1" ref="M230" ca="1">_xlfn.IFS(C230&lt;$B$11,"Fail",C230&lt;25,"Marginal",C230&lt;35,"Solid",TRUE,"Blowout")</f>
        <v>Blowout</v>
      </c>
    </row>
    <row r="231" spans="1:13" x14ac:dyDescent="0.25">
      <c r="A231" s="138">
        <f t="shared" ca="1" si="34"/>
        <v>37.078815243034789</v>
      </c>
      <c r="B231" s="137">
        <f t="shared" ca="1" si="35"/>
        <v>6.6652539120843493</v>
      </c>
      <c r="C231" s="137">
        <f t="shared" ca="1" si="36"/>
        <v>30.41356133095044</v>
      </c>
      <c r="D231" s="152">
        <f t="shared" ca="1" si="37"/>
        <v>3.8437041230436653</v>
      </c>
      <c r="E231" s="197">
        <f t="shared" ca="1" si="38"/>
        <v>7.8600981449679149E-5</v>
      </c>
      <c r="F231" s="137">
        <f t="shared" ca="1" si="39"/>
        <v>-0.18941545823608197</v>
      </c>
      <c r="G231" s="137">
        <f t="shared" ca="1" si="40"/>
        <v>-6.8546693703204316</v>
      </c>
      <c r="H231" s="152">
        <f t="shared" ca="1" si="41"/>
        <v>-0.86630173408825184</v>
      </c>
      <c r="I231" s="152">
        <f t="shared" ca="1" si="42"/>
        <v>0.80638228870741391</v>
      </c>
      <c r="J231" s="190">
        <f t="shared" ca="1" si="43"/>
        <v>0</v>
      </c>
      <c r="K231" s="187" t="str" cm="1">
        <f t="array" aca="1" ref="K231" ca="1">_xlfn.IFS(G231&lt;$B$11,"Fail",G231&lt;25,"Marginal",G231&lt;35,"Solid",TRUE,"Blowout")</f>
        <v>Fail</v>
      </c>
      <c r="L231" s="193">
        <f t="shared" ca="1" si="33"/>
        <v>1</v>
      </c>
      <c r="M231" s="184" t="str" cm="1">
        <f t="array" aca="1" ref="M231" ca="1">_xlfn.IFS(C231&lt;$B$11,"Fail",C231&lt;25,"Marginal",C231&lt;35,"Solid",TRUE,"Blowout")</f>
        <v>Solid</v>
      </c>
    </row>
    <row r="232" spans="1:13" x14ac:dyDescent="0.25">
      <c r="A232" s="138">
        <f t="shared" ca="1" si="34"/>
        <v>47.593500686463969</v>
      </c>
      <c r="B232" s="137">
        <f t="shared" ca="1" si="35"/>
        <v>-0.93492559106918893</v>
      </c>
      <c r="C232" s="137">
        <f t="shared" ca="1" si="36"/>
        <v>48.528426277533157</v>
      </c>
      <c r="D232" s="152">
        <f t="shared" ca="1" si="37"/>
        <v>6.133083532639537</v>
      </c>
      <c r="E232" s="197">
        <f t="shared" ca="1" si="38"/>
        <v>1.883490160593727E-9</v>
      </c>
      <c r="F232" s="137">
        <f t="shared" ca="1" si="39"/>
        <v>45.895042483295015</v>
      </c>
      <c r="G232" s="137">
        <f t="shared" ca="1" si="40"/>
        <v>46.829968074364203</v>
      </c>
      <c r="H232" s="152">
        <f t="shared" ca="1" si="41"/>
        <v>5.9184302492802408</v>
      </c>
      <c r="I232" s="152">
        <f t="shared" ca="1" si="42"/>
        <v>5.9171482633725875E-9</v>
      </c>
      <c r="J232" s="190">
        <f t="shared" ca="1" si="43"/>
        <v>1</v>
      </c>
      <c r="K232" s="187" t="str" cm="1">
        <f t="array" aca="1" ref="K232" ca="1">_xlfn.IFS(G232&lt;$B$11,"Fail",G232&lt;25,"Marginal",G232&lt;35,"Solid",TRUE,"Blowout")</f>
        <v>Blowout</v>
      </c>
      <c r="L232" s="193">
        <f t="shared" ca="1" si="33"/>
        <v>1</v>
      </c>
      <c r="M232" s="184" t="str" cm="1">
        <f t="array" aca="1" ref="M232" ca="1">_xlfn.IFS(C232&lt;$B$11,"Fail",C232&lt;25,"Marginal",C232&lt;35,"Solid",TRUE,"Blowout")</f>
        <v>Blowout</v>
      </c>
    </row>
    <row r="233" spans="1:13" x14ac:dyDescent="0.25">
      <c r="A233" s="138">
        <f t="shared" ca="1" si="34"/>
        <v>24.34845491113656</v>
      </c>
      <c r="B233" s="137">
        <f t="shared" ca="1" si="35"/>
        <v>6.0481204464014384</v>
      </c>
      <c r="C233" s="137">
        <f t="shared" ca="1" si="36"/>
        <v>18.300334464735123</v>
      </c>
      <c r="D233" s="152">
        <f t="shared" ca="1" si="37"/>
        <v>2.3128192805095042</v>
      </c>
      <c r="E233" s="197">
        <f t="shared" ca="1" si="38"/>
        <v>1.0811991075484499E-2</v>
      </c>
      <c r="F233" s="137">
        <f t="shared" ca="1" si="39"/>
        <v>30.057431573363203</v>
      </c>
      <c r="G233" s="137">
        <f t="shared" ca="1" si="40"/>
        <v>24.009311126961766</v>
      </c>
      <c r="H233" s="152">
        <f t="shared" ca="1" si="41"/>
        <v>3.0343269295538673</v>
      </c>
      <c r="I233" s="152">
        <f t="shared" ca="1" si="42"/>
        <v>1.3451875347204293E-3</v>
      </c>
      <c r="J233" s="190">
        <f t="shared" ca="1" si="43"/>
        <v>1</v>
      </c>
      <c r="K233" s="187" t="str" cm="1">
        <f t="array" aca="1" ref="K233" ca="1">_xlfn.IFS(G233&lt;$B$11,"Fail",G233&lt;25,"Marginal",G233&lt;35,"Solid",TRUE,"Blowout")</f>
        <v>Marginal</v>
      </c>
      <c r="L233" s="193">
        <f t="shared" ca="1" si="33"/>
        <v>0</v>
      </c>
      <c r="M233" s="184" t="str" cm="1">
        <f t="array" aca="1" ref="M233" ca="1">_xlfn.IFS(C233&lt;$B$11,"Fail",C233&lt;25,"Marginal",C233&lt;35,"Solid",TRUE,"Blowout")</f>
        <v>Fail</v>
      </c>
    </row>
    <row r="234" spans="1:13" x14ac:dyDescent="0.25">
      <c r="A234" s="138">
        <f t="shared" ca="1" si="34"/>
        <v>20.716097992054877</v>
      </c>
      <c r="B234" s="137">
        <f t="shared" ca="1" si="35"/>
        <v>7.3865274463040738</v>
      </c>
      <c r="C234" s="137">
        <f t="shared" ca="1" si="36"/>
        <v>13.329570545750803</v>
      </c>
      <c r="D234" s="152">
        <f t="shared" ca="1" si="37"/>
        <v>1.6846078861854434</v>
      </c>
      <c r="E234" s="197">
        <f t="shared" ca="1" si="38"/>
        <v>4.6716284341346774E-2</v>
      </c>
      <c r="F234" s="137">
        <f t="shared" ca="1" si="39"/>
        <v>40.636650698997023</v>
      </c>
      <c r="G234" s="137">
        <f t="shared" ca="1" si="40"/>
        <v>33.250123252692951</v>
      </c>
      <c r="H234" s="152">
        <f t="shared" ca="1" si="41"/>
        <v>4.202192385408881</v>
      </c>
      <c r="I234" s="152">
        <f t="shared" ca="1" si="42"/>
        <v>1.8978016577670894E-5</v>
      </c>
      <c r="J234" s="190">
        <f t="shared" ca="1" si="43"/>
        <v>1</v>
      </c>
      <c r="K234" s="187" t="str" cm="1">
        <f t="array" aca="1" ref="K234" ca="1">_xlfn.IFS(G234&lt;$B$11,"Fail",G234&lt;25,"Marginal",G234&lt;35,"Solid",TRUE,"Blowout")</f>
        <v>Solid</v>
      </c>
      <c r="L234" s="193">
        <f t="shared" ca="1" si="33"/>
        <v>0</v>
      </c>
      <c r="M234" s="184" t="str" cm="1">
        <f t="array" aca="1" ref="M234" ca="1">_xlfn.IFS(C234&lt;$B$11,"Fail",C234&lt;25,"Marginal",C234&lt;35,"Solid",TRUE,"Blowout")</f>
        <v>Fail</v>
      </c>
    </row>
    <row r="235" spans="1:13" x14ac:dyDescent="0.25">
      <c r="A235" s="138">
        <f t="shared" ca="1" si="34"/>
        <v>46.361126631834395</v>
      </c>
      <c r="B235" s="137">
        <f t="shared" ca="1" si="35"/>
        <v>2.2561802053273912</v>
      </c>
      <c r="C235" s="137">
        <f t="shared" ca="1" si="36"/>
        <v>44.104946426507006</v>
      </c>
      <c r="D235" s="152">
        <f t="shared" ca="1" si="37"/>
        <v>5.5740385869794862</v>
      </c>
      <c r="E235" s="197">
        <f t="shared" ca="1" si="38"/>
        <v>3.5005891162777383E-8</v>
      </c>
      <c r="F235" s="137">
        <f t="shared" ca="1" si="39"/>
        <v>34.634908455166915</v>
      </c>
      <c r="G235" s="137">
        <f t="shared" ca="1" si="40"/>
        <v>32.378728249839526</v>
      </c>
      <c r="H235" s="152">
        <f t="shared" ca="1" si="41"/>
        <v>4.09206438925544</v>
      </c>
      <c r="I235" s="152">
        <f t="shared" ca="1" si="42"/>
        <v>2.9672435922580625E-5</v>
      </c>
      <c r="J235" s="190">
        <f t="shared" ca="1" si="43"/>
        <v>1</v>
      </c>
      <c r="K235" s="187" t="str" cm="1">
        <f t="array" aca="1" ref="K235" ca="1">_xlfn.IFS(G235&lt;$B$11,"Fail",G235&lt;25,"Marginal",G235&lt;35,"Solid",TRUE,"Blowout")</f>
        <v>Solid</v>
      </c>
      <c r="L235" s="193">
        <f t="shared" ca="1" si="33"/>
        <v>1</v>
      </c>
      <c r="M235" s="184" t="str" cm="1">
        <f t="array" aca="1" ref="M235" ca="1">_xlfn.IFS(C235&lt;$B$11,"Fail",C235&lt;25,"Marginal",C235&lt;35,"Solid",TRUE,"Blowout")</f>
        <v>Blowout</v>
      </c>
    </row>
    <row r="236" spans="1:13" x14ac:dyDescent="0.25">
      <c r="A236" s="138">
        <f t="shared" ca="1" si="34"/>
        <v>-9.9645162875733426</v>
      </c>
      <c r="B236" s="137">
        <f t="shared" ca="1" si="35"/>
        <v>4.7404987374462406</v>
      </c>
      <c r="C236" s="137">
        <f t="shared" ca="1" si="36"/>
        <v>-14.705015025019584</v>
      </c>
      <c r="D236" s="152">
        <f t="shared" ca="1" si="37"/>
        <v>-1.8584382889605018</v>
      </c>
      <c r="E236" s="197">
        <f t="shared" ca="1" si="38"/>
        <v>0.96780219932775591</v>
      </c>
      <c r="F236" s="137">
        <f t="shared" ca="1" si="39"/>
        <v>39.492711674929829</v>
      </c>
      <c r="G236" s="137">
        <f t="shared" ca="1" si="40"/>
        <v>34.752212937483591</v>
      </c>
      <c r="H236" s="152">
        <f t="shared" ca="1" si="41"/>
        <v>4.3920283685015828</v>
      </c>
      <c r="I236" s="152">
        <f t="shared" ca="1" si="42"/>
        <v>8.5987888173008154E-6</v>
      </c>
      <c r="J236" s="190">
        <f t="shared" ca="1" si="43"/>
        <v>1</v>
      </c>
      <c r="K236" s="187" t="str" cm="1">
        <f t="array" aca="1" ref="K236" ca="1">_xlfn.IFS(G236&lt;$B$11,"Fail",G236&lt;25,"Marginal",G236&lt;35,"Solid",TRUE,"Blowout")</f>
        <v>Solid</v>
      </c>
      <c r="L236" s="193">
        <f t="shared" ca="1" si="33"/>
        <v>0</v>
      </c>
      <c r="M236" s="184" t="str" cm="1">
        <f t="array" aca="1" ref="M236" ca="1">_xlfn.IFS(C236&lt;$B$11,"Fail",C236&lt;25,"Marginal",C236&lt;35,"Solid",TRUE,"Blowout")</f>
        <v>Fail</v>
      </c>
    </row>
    <row r="237" spans="1:13" x14ac:dyDescent="0.25">
      <c r="A237" s="138">
        <f t="shared" ca="1" si="34"/>
        <v>42.32985273155272</v>
      </c>
      <c r="B237" s="137">
        <f t="shared" ca="1" si="35"/>
        <v>3.5575618804985143</v>
      </c>
      <c r="C237" s="137">
        <f t="shared" ca="1" si="36"/>
        <v>38.772290851054208</v>
      </c>
      <c r="D237" s="152">
        <f t="shared" ca="1" si="37"/>
        <v>4.9000908700680599</v>
      </c>
      <c r="E237" s="197">
        <f t="shared" ca="1" si="38"/>
        <v>9.0856638232092003E-7</v>
      </c>
      <c r="F237" s="137">
        <f t="shared" ca="1" si="39"/>
        <v>39.453966368119112</v>
      </c>
      <c r="G237" s="137">
        <f t="shared" ca="1" si="40"/>
        <v>35.8964044876206</v>
      </c>
      <c r="H237" s="152">
        <f t="shared" ca="1" si="41"/>
        <v>4.5366327353153357</v>
      </c>
      <c r="I237" s="152">
        <f t="shared" ca="1" si="42"/>
        <v>4.6218960692640005E-6</v>
      </c>
      <c r="J237" s="190">
        <f t="shared" ca="1" si="43"/>
        <v>1</v>
      </c>
      <c r="K237" s="187" t="str" cm="1">
        <f t="array" aca="1" ref="K237" ca="1">_xlfn.IFS(G237&lt;$B$11,"Fail",G237&lt;25,"Marginal",G237&lt;35,"Solid",TRUE,"Blowout")</f>
        <v>Blowout</v>
      </c>
      <c r="L237" s="193">
        <f t="shared" ca="1" si="33"/>
        <v>1</v>
      </c>
      <c r="M237" s="184" t="str" cm="1">
        <f t="array" aca="1" ref="M237" ca="1">_xlfn.IFS(C237&lt;$B$11,"Fail",C237&lt;25,"Marginal",C237&lt;35,"Solid",TRUE,"Blowout")</f>
        <v>Blowout</v>
      </c>
    </row>
    <row r="238" spans="1:13" x14ac:dyDescent="0.25">
      <c r="A238" s="138">
        <f t="shared" ca="1" si="34"/>
        <v>-9.6169487082217255</v>
      </c>
      <c r="B238" s="137">
        <f t="shared" ca="1" si="35"/>
        <v>1.3765428303090226</v>
      </c>
      <c r="C238" s="137">
        <f t="shared" ca="1" si="36"/>
        <v>-10.993491538530748</v>
      </c>
      <c r="D238" s="152">
        <f t="shared" ca="1" si="37"/>
        <v>-1.3893712838652219</v>
      </c>
      <c r="E238" s="197">
        <f t="shared" ca="1" si="38"/>
        <v>0.91696239299698479</v>
      </c>
      <c r="F238" s="137">
        <f t="shared" ca="1" si="39"/>
        <v>45.44783056576707</v>
      </c>
      <c r="G238" s="137">
        <f t="shared" ca="1" si="40"/>
        <v>44.07128773545805</v>
      </c>
      <c r="H238" s="152">
        <f t="shared" ca="1" si="41"/>
        <v>5.5697847592822525</v>
      </c>
      <c r="I238" s="152">
        <f t="shared" ca="1" si="42"/>
        <v>3.5766338527100787E-8</v>
      </c>
      <c r="J238" s="190">
        <f t="shared" ca="1" si="43"/>
        <v>1</v>
      </c>
      <c r="K238" s="187" t="str" cm="1">
        <f t="array" aca="1" ref="K238" ca="1">_xlfn.IFS(G238&lt;$B$11,"Fail",G238&lt;25,"Marginal",G238&lt;35,"Solid",TRUE,"Blowout")</f>
        <v>Blowout</v>
      </c>
      <c r="L238" s="193">
        <f t="shared" ca="1" si="33"/>
        <v>0</v>
      </c>
      <c r="M238" s="184" t="str" cm="1">
        <f t="array" aca="1" ref="M238" ca="1">_xlfn.IFS(C238&lt;$B$11,"Fail",C238&lt;25,"Marginal",C238&lt;35,"Solid",TRUE,"Blowout")</f>
        <v>Fail</v>
      </c>
    </row>
    <row r="239" spans="1:13" x14ac:dyDescent="0.25">
      <c r="A239" s="138">
        <f t="shared" ca="1" si="34"/>
        <v>24.037367961889444</v>
      </c>
      <c r="B239" s="137">
        <f t="shared" ca="1" si="35"/>
        <v>-1.0874267528548263</v>
      </c>
      <c r="C239" s="137">
        <f t="shared" ca="1" si="36"/>
        <v>25.124794714744269</v>
      </c>
      <c r="D239" s="152">
        <f t="shared" ca="1" si="37"/>
        <v>3.175303147987842</v>
      </c>
      <c r="E239" s="197">
        <f t="shared" ca="1" si="38"/>
        <v>8.5172737338212387E-4</v>
      </c>
      <c r="F239" s="137">
        <f t="shared" ca="1" si="39"/>
        <v>-5.6379487707216178</v>
      </c>
      <c r="G239" s="137">
        <f t="shared" ca="1" si="40"/>
        <v>-4.5505220178667916</v>
      </c>
      <c r="H239" s="152">
        <f t="shared" ca="1" si="41"/>
        <v>-0.57510069444830014</v>
      </c>
      <c r="I239" s="152">
        <f t="shared" ca="1" si="42"/>
        <v>0.71710486021333497</v>
      </c>
      <c r="J239" s="190">
        <f t="shared" ca="1" si="43"/>
        <v>0</v>
      </c>
      <c r="K239" s="187" t="str" cm="1">
        <f t="array" aca="1" ref="K239" ca="1">_xlfn.IFS(G239&lt;$B$11,"Fail",G239&lt;25,"Marginal",G239&lt;35,"Solid",TRUE,"Blowout")</f>
        <v>Fail</v>
      </c>
      <c r="L239" s="193">
        <f t="shared" ca="1" si="33"/>
        <v>1</v>
      </c>
      <c r="M239" s="184" t="str" cm="1">
        <f t="array" aca="1" ref="M239" ca="1">_xlfn.IFS(C239&lt;$B$11,"Fail",C239&lt;25,"Marginal",C239&lt;35,"Solid",TRUE,"Blowout")</f>
        <v>Solid</v>
      </c>
    </row>
    <row r="240" spans="1:13" x14ac:dyDescent="0.25">
      <c r="A240" s="138">
        <f t="shared" ca="1" si="34"/>
        <v>39.711107458505154</v>
      </c>
      <c r="B240" s="137">
        <f t="shared" ca="1" si="35"/>
        <v>2.0968309834441725</v>
      </c>
      <c r="C240" s="137">
        <f t="shared" ca="1" si="36"/>
        <v>37.614276475060983</v>
      </c>
      <c r="D240" s="152">
        <f t="shared" ca="1" si="37"/>
        <v>4.7537395571417642</v>
      </c>
      <c r="E240" s="197">
        <f t="shared" ca="1" si="38"/>
        <v>1.7689417018960756E-6</v>
      </c>
      <c r="F240" s="137">
        <f t="shared" ca="1" si="39"/>
        <v>13.176835763686912</v>
      </c>
      <c r="G240" s="137">
        <f t="shared" ca="1" si="40"/>
        <v>11.080004780242739</v>
      </c>
      <c r="H240" s="152">
        <f t="shared" ca="1" si="41"/>
        <v>1.4003049361346078</v>
      </c>
      <c r="I240" s="152">
        <f t="shared" ca="1" si="42"/>
        <v>8.1390686856673736E-2</v>
      </c>
      <c r="J240" s="190">
        <f t="shared" ca="1" si="43"/>
        <v>0</v>
      </c>
      <c r="K240" s="187" t="str" cm="1">
        <f t="array" aca="1" ref="K240" ca="1">_xlfn.IFS(G240&lt;$B$11,"Fail",G240&lt;25,"Marginal",G240&lt;35,"Solid",TRUE,"Blowout")</f>
        <v>Fail</v>
      </c>
      <c r="L240" s="193">
        <f t="shared" ca="1" si="33"/>
        <v>1</v>
      </c>
      <c r="M240" s="184" t="str" cm="1">
        <f t="array" aca="1" ref="M240" ca="1">_xlfn.IFS(C240&lt;$B$11,"Fail",C240&lt;25,"Marginal",C240&lt;35,"Solid",TRUE,"Blowout")</f>
        <v>Blowout</v>
      </c>
    </row>
    <row r="241" spans="1:13" x14ac:dyDescent="0.25">
      <c r="A241" s="138">
        <f t="shared" ca="1" si="34"/>
        <v>39.543862198534214</v>
      </c>
      <c r="B241" s="137">
        <f t="shared" ca="1" si="35"/>
        <v>1.2658938271226101</v>
      </c>
      <c r="C241" s="137">
        <f t="shared" ca="1" si="36"/>
        <v>38.277968371411603</v>
      </c>
      <c r="D241" s="152">
        <f t="shared" ca="1" si="37"/>
        <v>4.8376177735293169</v>
      </c>
      <c r="E241" s="197">
        <f t="shared" ca="1" si="38"/>
        <v>1.2096844701929076E-6</v>
      </c>
      <c r="F241" s="137">
        <f t="shared" ca="1" si="39"/>
        <v>32.567645338482968</v>
      </c>
      <c r="G241" s="137">
        <f t="shared" ca="1" si="40"/>
        <v>31.301751511360358</v>
      </c>
      <c r="H241" s="152">
        <f t="shared" ca="1" si="41"/>
        <v>3.9559547148549665</v>
      </c>
      <c r="I241" s="152">
        <f t="shared" ca="1" si="42"/>
        <v>5.090338027743916E-5</v>
      </c>
      <c r="J241" s="190">
        <f t="shared" ca="1" si="43"/>
        <v>1</v>
      </c>
      <c r="K241" s="187" t="str" cm="1">
        <f t="array" aca="1" ref="K241" ca="1">_xlfn.IFS(G241&lt;$B$11,"Fail",G241&lt;25,"Marginal",G241&lt;35,"Solid",TRUE,"Blowout")</f>
        <v>Solid</v>
      </c>
      <c r="L241" s="193">
        <f t="shared" ca="1" si="33"/>
        <v>1</v>
      </c>
      <c r="M241" s="184" t="str" cm="1">
        <f t="array" aca="1" ref="M241" ca="1">_xlfn.IFS(C241&lt;$B$11,"Fail",C241&lt;25,"Marginal",C241&lt;35,"Solid",TRUE,"Blowout")</f>
        <v>Blowout</v>
      </c>
    </row>
    <row r="242" spans="1:13" x14ac:dyDescent="0.25">
      <c r="A242" s="138">
        <f t="shared" ca="1" si="34"/>
        <v>44.274964951203735</v>
      </c>
      <c r="B242" s="137">
        <f t="shared" ca="1" si="35"/>
        <v>-0.1021912071716029</v>
      </c>
      <c r="C242" s="137">
        <f t="shared" ca="1" si="36"/>
        <v>44.377156158375335</v>
      </c>
      <c r="D242" s="152">
        <f t="shared" ca="1" si="37"/>
        <v>5.6084407951697566</v>
      </c>
      <c r="E242" s="197">
        <f t="shared" ca="1" si="38"/>
        <v>2.9408635074959327E-8</v>
      </c>
      <c r="F242" s="137">
        <f t="shared" ca="1" si="39"/>
        <v>10.162664389728667</v>
      </c>
      <c r="G242" s="137">
        <f t="shared" ca="1" si="40"/>
        <v>10.264855596900269</v>
      </c>
      <c r="H242" s="152">
        <f t="shared" ca="1" si="41"/>
        <v>1.2972853573745029</v>
      </c>
      <c r="I242" s="152">
        <f t="shared" ca="1" si="42"/>
        <v>9.7922072093167806E-2</v>
      </c>
      <c r="J242" s="190">
        <f t="shared" ca="1" si="43"/>
        <v>0</v>
      </c>
      <c r="K242" s="187" t="str" cm="1">
        <f t="array" aca="1" ref="K242" ca="1">_xlfn.IFS(G242&lt;$B$11,"Fail",G242&lt;25,"Marginal",G242&lt;35,"Solid",TRUE,"Blowout")</f>
        <v>Fail</v>
      </c>
      <c r="L242" s="193">
        <f t="shared" ca="1" si="33"/>
        <v>1</v>
      </c>
      <c r="M242" s="184" t="str" cm="1">
        <f t="array" aca="1" ref="M242" ca="1">_xlfn.IFS(C242&lt;$B$11,"Fail",C242&lt;25,"Marginal",C242&lt;35,"Solid",TRUE,"Blowout")</f>
        <v>Blowout</v>
      </c>
    </row>
    <row r="243" spans="1:13" x14ac:dyDescent="0.25">
      <c r="A243" s="138">
        <f t="shared" ca="1" si="34"/>
        <v>-3.8095135093583714</v>
      </c>
      <c r="B243" s="137">
        <f t="shared" ca="1" si="35"/>
        <v>-5.7560751109759707</v>
      </c>
      <c r="C243" s="137">
        <f t="shared" ca="1" si="36"/>
        <v>1.9465616016175993</v>
      </c>
      <c r="D243" s="152">
        <f t="shared" ca="1" si="37"/>
        <v>0.24600890282066254</v>
      </c>
      <c r="E243" s="197">
        <f t="shared" ca="1" si="38"/>
        <v>0.40294833096911281</v>
      </c>
      <c r="F243" s="137">
        <f t="shared" ca="1" si="39"/>
        <v>33.436338236663225</v>
      </c>
      <c r="G243" s="137">
        <f t="shared" ca="1" si="40"/>
        <v>39.192413347639196</v>
      </c>
      <c r="H243" s="152">
        <f t="shared" ca="1" si="41"/>
        <v>4.9531864794488589</v>
      </c>
      <c r="I243" s="152">
        <f t="shared" ca="1" si="42"/>
        <v>7.1084476519314776E-7</v>
      </c>
      <c r="J243" s="190">
        <f t="shared" ca="1" si="43"/>
        <v>1</v>
      </c>
      <c r="K243" s="187" t="str" cm="1">
        <f t="array" aca="1" ref="K243" ca="1">_xlfn.IFS(G243&lt;$B$11,"Fail",G243&lt;25,"Marginal",G243&lt;35,"Solid",TRUE,"Blowout")</f>
        <v>Blowout</v>
      </c>
      <c r="L243" s="193">
        <f t="shared" ca="1" si="33"/>
        <v>0</v>
      </c>
      <c r="M243" s="184" t="str" cm="1">
        <f t="array" aca="1" ref="M243" ca="1">_xlfn.IFS(C243&lt;$B$11,"Fail",C243&lt;25,"Marginal",C243&lt;35,"Solid",TRUE,"Blowout")</f>
        <v>Fail</v>
      </c>
    </row>
    <row r="244" spans="1:13" x14ac:dyDescent="0.25">
      <c r="A244" s="138">
        <f t="shared" ca="1" si="34"/>
        <v>17.148242577560548</v>
      </c>
      <c r="B244" s="137">
        <f t="shared" ca="1" si="35"/>
        <v>9.1681409585671467</v>
      </c>
      <c r="C244" s="137">
        <f t="shared" ca="1" si="36"/>
        <v>7.9801016189934018</v>
      </c>
      <c r="D244" s="152">
        <f t="shared" ca="1" si="37"/>
        <v>1.0085352767950182</v>
      </c>
      <c r="E244" s="197">
        <f t="shared" ca="1" si="38"/>
        <v>0.15713333726320611</v>
      </c>
      <c r="F244" s="137">
        <f t="shared" ca="1" si="39"/>
        <v>44.938707809153783</v>
      </c>
      <c r="G244" s="137">
        <f t="shared" ca="1" si="40"/>
        <v>35.770566850586633</v>
      </c>
      <c r="H244" s="152">
        <f t="shared" ca="1" si="41"/>
        <v>4.5207292165186299</v>
      </c>
      <c r="I244" s="152">
        <f t="shared" ca="1" si="42"/>
        <v>4.952174371412423E-6</v>
      </c>
      <c r="J244" s="190">
        <f t="shared" ca="1" si="43"/>
        <v>1</v>
      </c>
      <c r="K244" s="187" t="str" cm="1">
        <f t="array" aca="1" ref="K244" ca="1">_xlfn.IFS(G244&lt;$B$11,"Fail",G244&lt;25,"Marginal",G244&lt;35,"Solid",TRUE,"Blowout")</f>
        <v>Blowout</v>
      </c>
      <c r="L244" s="193">
        <f t="shared" ca="1" si="33"/>
        <v>0</v>
      </c>
      <c r="M244" s="184" t="str" cm="1">
        <f t="array" aca="1" ref="M244" ca="1">_xlfn.IFS(C244&lt;$B$11,"Fail",C244&lt;25,"Marginal",C244&lt;35,"Solid",TRUE,"Blowout")</f>
        <v>Fail</v>
      </c>
    </row>
    <row r="245" spans="1:13" x14ac:dyDescent="0.25">
      <c r="A245" s="138">
        <f t="shared" ca="1" si="34"/>
        <v>-9.5013863907276583</v>
      </c>
      <c r="B245" s="137">
        <f t="shared" ca="1" si="35"/>
        <v>10.508711906892966</v>
      </c>
      <c r="C245" s="137">
        <f t="shared" ca="1" si="36"/>
        <v>-20.010098297620623</v>
      </c>
      <c r="D245" s="152">
        <f t="shared" ca="1" si="37"/>
        <v>-2.528901383568086</v>
      </c>
      <c r="E245" s="197">
        <f t="shared" ca="1" si="38"/>
        <v>0.99394094570253189</v>
      </c>
      <c r="F245" s="137">
        <f t="shared" ca="1" si="39"/>
        <v>19.962870004280148</v>
      </c>
      <c r="G245" s="137">
        <f t="shared" ca="1" si="40"/>
        <v>9.4541580973871824</v>
      </c>
      <c r="H245" s="152">
        <f t="shared" ca="1" si="41"/>
        <v>1.1948283880143067</v>
      </c>
      <c r="I245" s="152">
        <f t="shared" ca="1" si="42"/>
        <v>0.11669774779236031</v>
      </c>
      <c r="J245" s="190">
        <f t="shared" ca="1" si="43"/>
        <v>0</v>
      </c>
      <c r="K245" s="187" t="str" cm="1">
        <f t="array" aca="1" ref="K245" ca="1">_xlfn.IFS(G245&lt;$B$11,"Fail",G245&lt;25,"Marginal",G245&lt;35,"Solid",TRUE,"Blowout")</f>
        <v>Fail</v>
      </c>
      <c r="L245" s="193">
        <f t="shared" ca="1" si="33"/>
        <v>0</v>
      </c>
      <c r="M245" s="184" t="str" cm="1">
        <f t="array" aca="1" ref="M245" ca="1">_xlfn.IFS(C245&lt;$B$11,"Fail",C245&lt;25,"Marginal",C245&lt;35,"Solid",TRUE,"Blowout")</f>
        <v>Fail</v>
      </c>
    </row>
    <row r="246" spans="1:13" x14ac:dyDescent="0.25">
      <c r="A246" s="138">
        <f t="shared" ca="1" si="34"/>
        <v>2.6791521663153812</v>
      </c>
      <c r="B246" s="137">
        <f t="shared" ca="1" si="35"/>
        <v>-7.2039257897221542</v>
      </c>
      <c r="C246" s="137">
        <f t="shared" ca="1" si="36"/>
        <v>9.8830779560375355</v>
      </c>
      <c r="D246" s="152">
        <f t="shared" ca="1" si="37"/>
        <v>1.249035819074737</v>
      </c>
      <c r="E246" s="197">
        <f t="shared" ca="1" si="38"/>
        <v>0.10646640771603123</v>
      </c>
      <c r="F246" s="137">
        <f t="shared" ca="1" si="39"/>
        <v>1.0281341720822963</v>
      </c>
      <c r="G246" s="137">
        <f t="shared" ca="1" si="40"/>
        <v>8.2320599618044508</v>
      </c>
      <c r="H246" s="152">
        <f t="shared" ca="1" si="41"/>
        <v>1.0403780889721153</v>
      </c>
      <c r="I246" s="152">
        <f t="shared" ca="1" si="42"/>
        <v>0.14963312619560704</v>
      </c>
      <c r="J246" s="190">
        <f t="shared" ca="1" si="43"/>
        <v>0</v>
      </c>
      <c r="K246" s="187" t="str" cm="1">
        <f t="array" aca="1" ref="K246" ca="1">_xlfn.IFS(G246&lt;$B$11,"Fail",G246&lt;25,"Marginal",G246&lt;35,"Solid",TRUE,"Blowout")</f>
        <v>Fail</v>
      </c>
      <c r="L246" s="193">
        <f t="shared" ca="1" si="33"/>
        <v>0</v>
      </c>
      <c r="M246" s="184" t="str" cm="1">
        <f t="array" aca="1" ref="M246" ca="1">_xlfn.IFS(C246&lt;$B$11,"Fail",C246&lt;25,"Marginal",C246&lt;35,"Solid",TRUE,"Blowout")</f>
        <v>Fail</v>
      </c>
    </row>
    <row r="247" spans="1:13" x14ac:dyDescent="0.25">
      <c r="A247" s="138">
        <f t="shared" ca="1" si="34"/>
        <v>-2.9606123919840579</v>
      </c>
      <c r="B247" s="137">
        <f t="shared" ca="1" si="35"/>
        <v>1.93513935916654</v>
      </c>
      <c r="C247" s="137">
        <f t="shared" ca="1" si="36"/>
        <v>-4.8957517511505984</v>
      </c>
      <c r="D247" s="152">
        <f t="shared" ca="1" si="37"/>
        <v>-0.61873126223287089</v>
      </c>
      <c r="E247" s="197">
        <f t="shared" ca="1" si="38"/>
        <v>0.73164446161904528</v>
      </c>
      <c r="F247" s="137">
        <f t="shared" ca="1" si="39"/>
        <v>9.9107831903997301</v>
      </c>
      <c r="G247" s="137">
        <f t="shared" ca="1" si="40"/>
        <v>7.9756438312331905</v>
      </c>
      <c r="H247" s="152">
        <f t="shared" ca="1" si="41"/>
        <v>1.0079718959726567</v>
      </c>
      <c r="I247" s="152">
        <f t="shared" ca="1" si="42"/>
        <v>0.15726823790977881</v>
      </c>
      <c r="J247" s="190">
        <f t="shared" ca="1" si="43"/>
        <v>0</v>
      </c>
      <c r="K247" s="187" t="str" cm="1">
        <f t="array" aca="1" ref="K247" ca="1">_xlfn.IFS(G247&lt;$B$11,"Fail",G247&lt;25,"Marginal",G247&lt;35,"Solid",TRUE,"Blowout")</f>
        <v>Fail</v>
      </c>
      <c r="L247" s="193">
        <f t="shared" ca="1" si="33"/>
        <v>0</v>
      </c>
      <c r="M247" s="184" t="str" cm="1">
        <f t="array" aca="1" ref="M247" ca="1">_xlfn.IFS(C247&lt;$B$11,"Fail",C247&lt;25,"Marginal",C247&lt;35,"Solid",TRUE,"Blowout")</f>
        <v>Fail</v>
      </c>
    </row>
    <row r="248" spans="1:13" x14ac:dyDescent="0.25">
      <c r="A248" s="138">
        <f t="shared" ca="1" si="34"/>
        <v>41.507986347142598</v>
      </c>
      <c r="B248" s="137">
        <f t="shared" ca="1" si="35"/>
        <v>-1.6153458786083421</v>
      </c>
      <c r="C248" s="137">
        <f t="shared" ca="1" si="36"/>
        <v>43.123332225750943</v>
      </c>
      <c r="D248" s="152">
        <f t="shared" ca="1" si="37"/>
        <v>5.4499809500053962</v>
      </c>
      <c r="E248" s="197">
        <f t="shared" ca="1" si="38"/>
        <v>6.5202326500629369E-8</v>
      </c>
      <c r="F248" s="137">
        <f t="shared" ca="1" si="39"/>
        <v>21.400468957742351</v>
      </c>
      <c r="G248" s="137">
        <f t="shared" ca="1" si="40"/>
        <v>23.015814836350692</v>
      </c>
      <c r="H248" s="152">
        <f t="shared" ca="1" si="41"/>
        <v>2.9087676191233505</v>
      </c>
      <c r="I248" s="152">
        <f t="shared" ca="1" si="42"/>
        <v>1.9936661380390085E-3</v>
      </c>
      <c r="J248" s="190">
        <f t="shared" ca="1" si="43"/>
        <v>1</v>
      </c>
      <c r="K248" s="187" t="str" cm="1">
        <f t="array" aca="1" ref="K248" ca="1">_xlfn.IFS(G248&lt;$B$11,"Fail",G248&lt;25,"Marginal",G248&lt;35,"Solid",TRUE,"Blowout")</f>
        <v>Marginal</v>
      </c>
      <c r="L248" s="193">
        <f t="shared" ca="1" si="33"/>
        <v>1</v>
      </c>
      <c r="M248" s="184" t="str" cm="1">
        <f t="array" aca="1" ref="M248" ca="1">_xlfn.IFS(C248&lt;$B$11,"Fail",C248&lt;25,"Marginal",C248&lt;35,"Solid",TRUE,"Blowout")</f>
        <v>Blowout</v>
      </c>
    </row>
    <row r="249" spans="1:13" x14ac:dyDescent="0.25">
      <c r="A249" s="138">
        <f t="shared" ca="1" si="34"/>
        <v>46.494830710254909</v>
      </c>
      <c r="B249" s="137">
        <f t="shared" ca="1" si="35"/>
        <v>5.1921505745040735</v>
      </c>
      <c r="C249" s="137">
        <f t="shared" ca="1" si="36"/>
        <v>41.302680135750833</v>
      </c>
      <c r="D249" s="152">
        <f t="shared" ca="1" si="37"/>
        <v>5.2198846495816795</v>
      </c>
      <c r="E249" s="197">
        <f t="shared" ca="1" si="38"/>
        <v>2.0124576091168666E-7</v>
      </c>
      <c r="F249" s="137">
        <f t="shared" ca="1" si="39"/>
        <v>18.35986328533108</v>
      </c>
      <c r="G249" s="137">
        <f t="shared" ca="1" si="40"/>
        <v>13.167712710827008</v>
      </c>
      <c r="H249" s="152">
        <f t="shared" ca="1" si="41"/>
        <v>1.6641520894875934</v>
      </c>
      <c r="I249" s="152">
        <f t="shared" ca="1" si="42"/>
        <v>4.872787543131428E-2</v>
      </c>
      <c r="J249" s="190">
        <f t="shared" ca="1" si="43"/>
        <v>0</v>
      </c>
      <c r="K249" s="187" t="str" cm="1">
        <f t="array" aca="1" ref="K249" ca="1">_xlfn.IFS(G249&lt;$B$11,"Fail",G249&lt;25,"Marginal",G249&lt;35,"Solid",TRUE,"Blowout")</f>
        <v>Fail</v>
      </c>
      <c r="L249" s="193">
        <f t="shared" ca="1" si="33"/>
        <v>1</v>
      </c>
      <c r="M249" s="184" t="str" cm="1">
        <f t="array" aca="1" ref="M249" ca="1">_xlfn.IFS(C249&lt;$B$11,"Fail",C249&lt;25,"Marginal",C249&lt;35,"Solid",TRUE,"Blowout")</f>
        <v>Blowout</v>
      </c>
    </row>
    <row r="250" spans="1:13" x14ac:dyDescent="0.25">
      <c r="A250" s="138">
        <f t="shared" ca="1" si="34"/>
        <v>16.808575322690555</v>
      </c>
      <c r="B250" s="137">
        <f t="shared" ca="1" si="35"/>
        <v>14.660316598634735</v>
      </c>
      <c r="C250" s="137">
        <f t="shared" ca="1" si="36"/>
        <v>2.14825872405582</v>
      </c>
      <c r="D250" s="152">
        <f t="shared" ca="1" si="37"/>
        <v>0.27149963876853989</v>
      </c>
      <c r="E250" s="197">
        <f t="shared" ca="1" si="38"/>
        <v>0.39312622114283147</v>
      </c>
      <c r="F250" s="137">
        <f t="shared" ca="1" si="39"/>
        <v>41.963887891043008</v>
      </c>
      <c r="G250" s="137">
        <f t="shared" ca="1" si="40"/>
        <v>27.303571292408272</v>
      </c>
      <c r="H250" s="152">
        <f t="shared" ca="1" si="41"/>
        <v>3.4506596714685593</v>
      </c>
      <c r="I250" s="152">
        <f t="shared" ca="1" si="42"/>
        <v>3.3310313013201303E-4</v>
      </c>
      <c r="J250" s="190">
        <f t="shared" ca="1" si="43"/>
        <v>1</v>
      </c>
      <c r="K250" s="187" t="str" cm="1">
        <f t="array" aca="1" ref="K250" ca="1">_xlfn.IFS(G250&lt;$B$11,"Fail",G250&lt;25,"Marginal",G250&lt;35,"Solid",TRUE,"Blowout")</f>
        <v>Solid</v>
      </c>
      <c r="L250" s="193">
        <f t="shared" ca="1" si="33"/>
        <v>0</v>
      </c>
      <c r="M250" s="184" t="str" cm="1">
        <f t="array" aca="1" ref="M250" ca="1">_xlfn.IFS(C250&lt;$B$11,"Fail",C250&lt;25,"Marginal",C250&lt;35,"Solid",TRUE,"Blowout")</f>
        <v>Fail</v>
      </c>
    </row>
    <row r="251" spans="1:13" x14ac:dyDescent="0.25">
      <c r="A251" s="138">
        <f t="shared" ca="1" si="34"/>
        <v>32.945592988366236</v>
      </c>
      <c r="B251" s="137">
        <f t="shared" ca="1" si="35"/>
        <v>8.8045713475440621</v>
      </c>
      <c r="C251" s="137">
        <f t="shared" ca="1" si="36"/>
        <v>24.141021640822174</v>
      </c>
      <c r="D251" s="152">
        <f t="shared" ca="1" si="37"/>
        <v>3.0509726699084592</v>
      </c>
      <c r="E251" s="197">
        <f t="shared" ca="1" si="38"/>
        <v>1.2755912858992487E-3</v>
      </c>
      <c r="F251" s="137">
        <f t="shared" ca="1" si="39"/>
        <v>30.031127833827089</v>
      </c>
      <c r="G251" s="137">
        <f t="shared" ca="1" si="40"/>
        <v>21.226556486283027</v>
      </c>
      <c r="H251" s="152">
        <f t="shared" ca="1" si="41"/>
        <v>2.6826388990268124</v>
      </c>
      <c r="I251" s="152">
        <f t="shared" ca="1" si="42"/>
        <v>3.919634209311771E-3</v>
      </c>
      <c r="J251" s="190">
        <f t="shared" ca="1" si="43"/>
        <v>1</v>
      </c>
      <c r="K251" s="187" t="str" cm="1">
        <f t="array" aca="1" ref="K251" ca="1">_xlfn.IFS(G251&lt;$B$11,"Fail",G251&lt;25,"Marginal",G251&lt;35,"Solid",TRUE,"Blowout")</f>
        <v>Marginal</v>
      </c>
      <c r="L251" s="193">
        <f t="shared" ca="1" si="33"/>
        <v>1</v>
      </c>
      <c r="M251" s="184" t="str" cm="1">
        <f t="array" aca="1" ref="M251" ca="1">_xlfn.IFS(C251&lt;$B$11,"Fail",C251&lt;25,"Marginal",C251&lt;35,"Solid",TRUE,"Blowout")</f>
        <v>Marginal</v>
      </c>
    </row>
    <row r="252" spans="1:13" x14ac:dyDescent="0.25">
      <c r="A252" s="138">
        <f t="shared" ca="1" si="34"/>
        <v>60.552359289380242</v>
      </c>
      <c r="B252" s="137">
        <f t="shared" ca="1" si="35"/>
        <v>1.9784700557248773</v>
      </c>
      <c r="C252" s="137">
        <f t="shared" ca="1" si="36"/>
        <v>58.573889233655365</v>
      </c>
      <c r="D252" s="152">
        <f t="shared" ca="1" si="37"/>
        <v>7.4026417722080131</v>
      </c>
      <c r="E252" s="197">
        <f t="shared" ca="1" si="38"/>
        <v>1.277508032126107E-12</v>
      </c>
      <c r="F252" s="137">
        <f t="shared" ca="1" si="39"/>
        <v>37.853338585652878</v>
      </c>
      <c r="G252" s="137">
        <f t="shared" ca="1" si="40"/>
        <v>35.874868529928001</v>
      </c>
      <c r="H252" s="152">
        <f t="shared" ca="1" si="41"/>
        <v>4.5339109939028139</v>
      </c>
      <c r="I252" s="152">
        <f t="shared" ca="1" si="42"/>
        <v>4.6768763910834129E-6</v>
      </c>
      <c r="J252" s="190">
        <f t="shared" ca="1" si="43"/>
        <v>1</v>
      </c>
      <c r="K252" s="187" t="str" cm="1">
        <f t="array" aca="1" ref="K252" ca="1">_xlfn.IFS(G252&lt;$B$11,"Fail",G252&lt;25,"Marginal",G252&lt;35,"Solid",TRUE,"Blowout")</f>
        <v>Blowout</v>
      </c>
      <c r="L252" s="193">
        <f t="shared" ca="1" si="33"/>
        <v>1</v>
      </c>
      <c r="M252" s="184" t="str" cm="1">
        <f t="array" aca="1" ref="M252" ca="1">_xlfn.IFS(C252&lt;$B$11,"Fail",C252&lt;25,"Marginal",C252&lt;35,"Solid",TRUE,"Blowout")</f>
        <v>Blowout</v>
      </c>
    </row>
    <row r="253" spans="1:13" x14ac:dyDescent="0.25">
      <c r="A253" s="138">
        <f t="shared" ca="1" si="34"/>
        <v>58.839682354796473</v>
      </c>
      <c r="B253" s="137">
        <f t="shared" ca="1" si="35"/>
        <v>5.7345544505353985</v>
      </c>
      <c r="C253" s="137">
        <f t="shared" ca="1" si="36"/>
        <v>53.105127904261074</v>
      </c>
      <c r="D253" s="152">
        <f t="shared" ca="1" si="37"/>
        <v>6.7114928389739683</v>
      </c>
      <c r="E253" s="197">
        <f t="shared" ca="1" si="38"/>
        <v>7.5458010545589971E-11</v>
      </c>
      <c r="F253" s="137">
        <f t="shared" ca="1" si="39"/>
        <v>29.889709652547388</v>
      </c>
      <c r="G253" s="137">
        <f t="shared" ca="1" si="40"/>
        <v>24.15515520201199</v>
      </c>
      <c r="H253" s="152">
        <f t="shared" ca="1" si="41"/>
        <v>3.0527588871431801</v>
      </c>
      <c r="I253" s="152">
        <f t="shared" ca="1" si="42"/>
        <v>1.2683234007086466E-3</v>
      </c>
      <c r="J253" s="190">
        <f t="shared" ca="1" si="43"/>
        <v>1</v>
      </c>
      <c r="K253" s="187" t="str" cm="1">
        <f t="array" aca="1" ref="K253" ca="1">_xlfn.IFS(G253&lt;$B$11,"Fail",G253&lt;25,"Marginal",G253&lt;35,"Solid",TRUE,"Blowout")</f>
        <v>Marginal</v>
      </c>
      <c r="L253" s="193">
        <f t="shared" ca="1" si="33"/>
        <v>1</v>
      </c>
      <c r="M253" s="184" t="str" cm="1">
        <f t="array" aca="1" ref="M253" ca="1">_xlfn.IFS(C253&lt;$B$11,"Fail",C253&lt;25,"Marginal",C253&lt;35,"Solid",TRUE,"Blowout")</f>
        <v>Blowout</v>
      </c>
    </row>
    <row r="254" spans="1:13" x14ac:dyDescent="0.25">
      <c r="A254" s="138">
        <f t="shared" ca="1" si="34"/>
        <v>46.321333265048359</v>
      </c>
      <c r="B254" s="137">
        <f t="shared" ca="1" si="35"/>
        <v>2.4089597760820158</v>
      </c>
      <c r="C254" s="137">
        <f t="shared" ca="1" si="36"/>
        <v>43.912373488966345</v>
      </c>
      <c r="D254" s="152">
        <f t="shared" ca="1" si="37"/>
        <v>5.5497009769917209</v>
      </c>
      <c r="E254" s="197">
        <f t="shared" ca="1" si="38"/>
        <v>3.957970217380218E-8</v>
      </c>
      <c r="F254" s="137">
        <f t="shared" ca="1" si="39"/>
        <v>13.020312433377434</v>
      </c>
      <c r="G254" s="137">
        <f t="shared" ca="1" si="40"/>
        <v>10.611352657295418</v>
      </c>
      <c r="H254" s="152">
        <f t="shared" ca="1" si="41"/>
        <v>1.3410760915529434</v>
      </c>
      <c r="I254" s="152">
        <f t="shared" ca="1" si="42"/>
        <v>9.0615092047869814E-2</v>
      </c>
      <c r="J254" s="190">
        <f t="shared" ca="1" si="43"/>
        <v>0</v>
      </c>
      <c r="K254" s="187" t="str" cm="1">
        <f t="array" aca="1" ref="K254" ca="1">_xlfn.IFS(G254&lt;$B$11,"Fail",G254&lt;25,"Marginal",G254&lt;35,"Solid",TRUE,"Blowout")</f>
        <v>Fail</v>
      </c>
      <c r="L254" s="193">
        <f t="shared" ca="1" si="33"/>
        <v>1</v>
      </c>
      <c r="M254" s="184" t="str" cm="1">
        <f t="array" aca="1" ref="M254" ca="1">_xlfn.IFS(C254&lt;$B$11,"Fail",C254&lt;25,"Marginal",C254&lt;35,"Solid",TRUE,"Blowout")</f>
        <v>Blowout</v>
      </c>
    </row>
    <row r="255" spans="1:13" x14ac:dyDescent="0.25">
      <c r="A255" s="138">
        <f t="shared" ca="1" si="34"/>
        <v>35.060766417829328</v>
      </c>
      <c r="B255" s="137">
        <f t="shared" ca="1" si="35"/>
        <v>-3.7733417243089367</v>
      </c>
      <c r="C255" s="137">
        <f t="shared" ca="1" si="36"/>
        <v>38.834108142138263</v>
      </c>
      <c r="D255" s="152">
        <f t="shared" ca="1" si="37"/>
        <v>4.9079034170443769</v>
      </c>
      <c r="E255" s="197">
        <f t="shared" ca="1" si="38"/>
        <v>8.7645045596923582E-7</v>
      </c>
      <c r="F255" s="137">
        <f t="shared" ca="1" si="39"/>
        <v>-5.7871246915371373</v>
      </c>
      <c r="G255" s="137">
        <f t="shared" ca="1" si="40"/>
        <v>-2.0137829672282006</v>
      </c>
      <c r="H255" s="152">
        <f t="shared" ca="1" si="41"/>
        <v>-0.25450442353073321</v>
      </c>
      <c r="I255" s="152">
        <f t="shared" ca="1" si="42"/>
        <v>0.60033235972430266</v>
      </c>
      <c r="J255" s="190">
        <f t="shared" ca="1" si="43"/>
        <v>0</v>
      </c>
      <c r="K255" s="187" t="str" cm="1">
        <f t="array" aca="1" ref="K255" ca="1">_xlfn.IFS(G255&lt;$B$11,"Fail",G255&lt;25,"Marginal",G255&lt;35,"Solid",TRUE,"Blowout")</f>
        <v>Fail</v>
      </c>
      <c r="L255" s="193">
        <f t="shared" ca="1" si="33"/>
        <v>1</v>
      </c>
      <c r="M255" s="184" t="str" cm="1">
        <f t="array" aca="1" ref="M255" ca="1">_xlfn.IFS(C255&lt;$B$11,"Fail",C255&lt;25,"Marginal",C255&lt;35,"Solid",TRUE,"Blowout")</f>
        <v>Blowout</v>
      </c>
    </row>
    <row r="256" spans="1:13" x14ac:dyDescent="0.25">
      <c r="A256" s="138">
        <f t="shared" ca="1" si="34"/>
        <v>35.95753205087869</v>
      </c>
      <c r="B256" s="137">
        <f t="shared" ca="1" si="35"/>
        <v>6.2558046936788987</v>
      </c>
      <c r="C256" s="137">
        <f t="shared" ca="1" si="36"/>
        <v>29.701727357199793</v>
      </c>
      <c r="D256" s="152">
        <f t="shared" ca="1" si="37"/>
        <v>3.753741650380408</v>
      </c>
      <c r="E256" s="197">
        <f t="shared" ca="1" si="38"/>
        <v>1.1056033353588671E-4</v>
      </c>
      <c r="F256" s="137">
        <f t="shared" ca="1" si="39"/>
        <v>20.105867018955983</v>
      </c>
      <c r="G256" s="137">
        <f t="shared" ca="1" si="40"/>
        <v>13.850062325277085</v>
      </c>
      <c r="H256" s="152">
        <f t="shared" ca="1" si="41"/>
        <v>1.7503882917487856</v>
      </c>
      <c r="I256" s="152">
        <f t="shared" ca="1" si="42"/>
        <v>4.0698207443317244E-2</v>
      </c>
      <c r="J256" s="190">
        <f t="shared" ca="1" si="43"/>
        <v>0</v>
      </c>
      <c r="K256" s="187" t="str" cm="1">
        <f t="array" aca="1" ref="K256" ca="1">_xlfn.IFS(G256&lt;$B$11,"Fail",G256&lt;25,"Marginal",G256&lt;35,"Solid",TRUE,"Blowout")</f>
        <v>Fail</v>
      </c>
      <c r="L256" s="193">
        <f t="shared" ca="1" si="33"/>
        <v>1</v>
      </c>
      <c r="M256" s="184" t="str" cm="1">
        <f t="array" aca="1" ref="M256" ca="1">_xlfn.IFS(C256&lt;$B$11,"Fail",C256&lt;25,"Marginal",C256&lt;35,"Solid",TRUE,"Blowout")</f>
        <v>Solid</v>
      </c>
    </row>
    <row r="257" spans="1:13" x14ac:dyDescent="0.25">
      <c r="A257" s="138">
        <f t="shared" ca="1" si="34"/>
        <v>18.975700416198112</v>
      </c>
      <c r="B257" s="137">
        <f t="shared" ca="1" si="35"/>
        <v>5.671253864346208</v>
      </c>
      <c r="C257" s="137">
        <f t="shared" ca="1" si="36"/>
        <v>13.304446551851903</v>
      </c>
      <c r="D257" s="152">
        <f t="shared" ca="1" si="37"/>
        <v>1.6814326842455689</v>
      </c>
      <c r="E257" s="197">
        <f t="shared" ca="1" si="38"/>
        <v>4.702405826861708E-2</v>
      </c>
      <c r="F257" s="137">
        <f t="shared" ca="1" si="39"/>
        <v>45.131765149092644</v>
      </c>
      <c r="G257" s="137">
        <f t="shared" ca="1" si="40"/>
        <v>39.460511284746438</v>
      </c>
      <c r="H257" s="152">
        <f t="shared" ca="1" si="41"/>
        <v>4.9870690338470487</v>
      </c>
      <c r="I257" s="152">
        <f t="shared" ca="1" si="42"/>
        <v>6.0718052364263623E-7</v>
      </c>
      <c r="J257" s="190">
        <f t="shared" ca="1" si="43"/>
        <v>1</v>
      </c>
      <c r="K257" s="187" t="str" cm="1">
        <f t="array" aca="1" ref="K257" ca="1">_xlfn.IFS(G257&lt;$B$11,"Fail",G257&lt;25,"Marginal",G257&lt;35,"Solid",TRUE,"Blowout")</f>
        <v>Blowout</v>
      </c>
      <c r="L257" s="193">
        <f t="shared" ca="1" si="33"/>
        <v>0</v>
      </c>
      <c r="M257" s="184" t="str" cm="1">
        <f t="array" aca="1" ref="M257" ca="1">_xlfn.IFS(C257&lt;$B$11,"Fail",C257&lt;25,"Marginal",C257&lt;35,"Solid",TRUE,"Blowout")</f>
        <v>Fail</v>
      </c>
    </row>
    <row r="258" spans="1:13" x14ac:dyDescent="0.25">
      <c r="A258" s="138">
        <f t="shared" ca="1" si="34"/>
        <v>44.170545070020587</v>
      </c>
      <c r="B258" s="137">
        <f t="shared" ca="1" si="35"/>
        <v>2.4323301348271542E-2</v>
      </c>
      <c r="C258" s="137">
        <f t="shared" ca="1" si="36"/>
        <v>44.146221768672319</v>
      </c>
      <c r="D258" s="152">
        <f t="shared" ca="1" si="37"/>
        <v>5.5792550166219899</v>
      </c>
      <c r="E258" s="197">
        <f t="shared" ca="1" si="38"/>
        <v>3.4094858445370231E-8</v>
      </c>
      <c r="F258" s="137">
        <f t="shared" ca="1" si="39"/>
        <v>9.4403699947129134</v>
      </c>
      <c r="G258" s="137">
        <f t="shared" ca="1" si="40"/>
        <v>9.4160466933646418</v>
      </c>
      <c r="H258" s="152">
        <f t="shared" ca="1" si="41"/>
        <v>1.1900118208526258</v>
      </c>
      <c r="I258" s="152">
        <f t="shared" ca="1" si="42"/>
        <v>0.1176396942652999</v>
      </c>
      <c r="J258" s="190">
        <f t="shared" ca="1" si="43"/>
        <v>0</v>
      </c>
      <c r="K258" s="187" t="str" cm="1">
        <f t="array" aca="1" ref="K258" ca="1">_xlfn.IFS(G258&lt;$B$11,"Fail",G258&lt;25,"Marginal",G258&lt;35,"Solid",TRUE,"Blowout")</f>
        <v>Fail</v>
      </c>
      <c r="L258" s="193">
        <f t="shared" ca="1" si="33"/>
        <v>1</v>
      </c>
      <c r="M258" s="184" t="str" cm="1">
        <f t="array" aca="1" ref="M258" ca="1">_xlfn.IFS(C258&lt;$B$11,"Fail",C258&lt;25,"Marginal",C258&lt;35,"Solid",TRUE,"Blowout")</f>
        <v>Blowout</v>
      </c>
    </row>
    <row r="259" spans="1:13" x14ac:dyDescent="0.25">
      <c r="A259" s="138">
        <f t="shared" ca="1" si="34"/>
        <v>28.720173637410394</v>
      </c>
      <c r="B259" s="137">
        <f t="shared" ca="1" si="35"/>
        <v>-3.113079099711511</v>
      </c>
      <c r="C259" s="137">
        <f t="shared" ca="1" si="36"/>
        <v>31.833252737121903</v>
      </c>
      <c r="D259" s="152">
        <f t="shared" ca="1" si="37"/>
        <v>4.0231265080768086</v>
      </c>
      <c r="E259" s="197">
        <f t="shared" ca="1" si="38"/>
        <v>3.9069227094828858E-5</v>
      </c>
      <c r="F259" s="137">
        <f t="shared" ca="1" si="39"/>
        <v>46.348314176607893</v>
      </c>
      <c r="G259" s="137">
        <f t="shared" ca="1" si="40"/>
        <v>49.461393276319406</v>
      </c>
      <c r="H259" s="152">
        <f t="shared" ca="1" si="41"/>
        <v>6.2509930750596485</v>
      </c>
      <c r="I259" s="152">
        <f t="shared" ca="1" si="42"/>
        <v>9.9273780498833558E-10</v>
      </c>
      <c r="J259" s="190">
        <f t="shared" ca="1" si="43"/>
        <v>1</v>
      </c>
      <c r="K259" s="187" t="str" cm="1">
        <f t="array" aca="1" ref="K259" ca="1">_xlfn.IFS(G259&lt;$B$11,"Fail",G259&lt;25,"Marginal",G259&lt;35,"Solid",TRUE,"Blowout")</f>
        <v>Blowout</v>
      </c>
      <c r="L259" s="193">
        <f t="shared" ca="1" si="33"/>
        <v>1</v>
      </c>
      <c r="M259" s="184" t="str" cm="1">
        <f t="array" aca="1" ref="M259" ca="1">_xlfn.IFS(C259&lt;$B$11,"Fail",C259&lt;25,"Marginal",C259&lt;35,"Solid",TRUE,"Blowout")</f>
        <v>Solid</v>
      </c>
    </row>
    <row r="260" spans="1:13" x14ac:dyDescent="0.25">
      <c r="A260" s="138">
        <f t="shared" ca="1" si="34"/>
        <v>29.163635897629156</v>
      </c>
      <c r="B260" s="137">
        <f t="shared" ca="1" si="35"/>
        <v>6.4534098813678096</v>
      </c>
      <c r="C260" s="137">
        <f t="shared" ca="1" si="36"/>
        <v>22.710226016261345</v>
      </c>
      <c r="D260" s="152">
        <f t="shared" ca="1" si="37"/>
        <v>2.870146919792814</v>
      </c>
      <c r="E260" s="197">
        <f t="shared" ca="1" si="38"/>
        <v>2.24432458849652E-3</v>
      </c>
      <c r="F260" s="137">
        <f t="shared" ca="1" si="39"/>
        <v>4.5928805201348046</v>
      </c>
      <c r="G260" s="137">
        <f t="shared" ca="1" si="40"/>
        <v>-1.8605293612330049</v>
      </c>
      <c r="H260" s="152">
        <f t="shared" ca="1" si="41"/>
        <v>-0.23513604010384453</v>
      </c>
      <c r="I260" s="152">
        <f t="shared" ca="1" si="42"/>
        <v>0.59284290274565565</v>
      </c>
      <c r="J260" s="190">
        <f t="shared" ca="1" si="43"/>
        <v>0</v>
      </c>
      <c r="K260" s="187" t="str" cm="1">
        <f t="array" aca="1" ref="K260" ca="1">_xlfn.IFS(G260&lt;$B$11,"Fail",G260&lt;25,"Marginal",G260&lt;35,"Solid",TRUE,"Blowout")</f>
        <v>Fail</v>
      </c>
      <c r="L260" s="193">
        <f t="shared" ca="1" si="33"/>
        <v>1</v>
      </c>
      <c r="M260" s="184" t="str" cm="1">
        <f t="array" aca="1" ref="M260" ca="1">_xlfn.IFS(C260&lt;$B$11,"Fail",C260&lt;25,"Marginal",C260&lt;35,"Solid",TRUE,"Blowout")</f>
        <v>Marginal</v>
      </c>
    </row>
    <row r="261" spans="1:13" x14ac:dyDescent="0.25">
      <c r="A261" s="138">
        <f t="shared" ca="1" si="34"/>
        <v>21.513688789230482</v>
      </c>
      <c r="B261" s="137">
        <f t="shared" ca="1" si="35"/>
        <v>3.4522744011321902</v>
      </c>
      <c r="C261" s="137">
        <f t="shared" ca="1" si="36"/>
        <v>18.061414388098292</v>
      </c>
      <c r="D261" s="152">
        <f t="shared" ca="1" si="37"/>
        <v>2.2826242608058318</v>
      </c>
      <c r="E261" s="197">
        <f t="shared" ca="1" si="38"/>
        <v>1.1687185024993963E-2</v>
      </c>
      <c r="F261" s="137">
        <f t="shared" ca="1" si="39"/>
        <v>14.131865098940771</v>
      </c>
      <c r="G261" s="137">
        <f t="shared" ca="1" si="40"/>
        <v>10.679590697808582</v>
      </c>
      <c r="H261" s="152">
        <f t="shared" ca="1" si="41"/>
        <v>1.3497001009155678</v>
      </c>
      <c r="I261" s="152">
        <f t="shared" ca="1" si="42"/>
        <v>8.9225371257765002E-2</v>
      </c>
      <c r="J261" s="190">
        <f t="shared" ca="1" si="43"/>
        <v>0</v>
      </c>
      <c r="K261" s="187" t="str" cm="1">
        <f t="array" aca="1" ref="K261" ca="1">_xlfn.IFS(G261&lt;$B$11,"Fail",G261&lt;25,"Marginal",G261&lt;35,"Solid",TRUE,"Blowout")</f>
        <v>Fail</v>
      </c>
      <c r="L261" s="193">
        <f t="shared" ca="1" si="33"/>
        <v>0</v>
      </c>
      <c r="M261" s="184" t="str" cm="1">
        <f t="array" aca="1" ref="M261" ca="1">_xlfn.IFS(C261&lt;$B$11,"Fail",C261&lt;25,"Marginal",C261&lt;35,"Solid",TRUE,"Blowout")</f>
        <v>Fail</v>
      </c>
    </row>
    <row r="262" spans="1:13" x14ac:dyDescent="0.25">
      <c r="A262" s="138">
        <f t="shared" ca="1" si="34"/>
        <v>29.332677809968725</v>
      </c>
      <c r="B262" s="137">
        <f t="shared" ca="1" si="35"/>
        <v>2.1144048182353226</v>
      </c>
      <c r="C262" s="137">
        <f t="shared" ca="1" si="36"/>
        <v>27.218272991733404</v>
      </c>
      <c r="D262" s="152">
        <f t="shared" ca="1" si="37"/>
        <v>3.4398795649751128</v>
      </c>
      <c r="E262" s="197">
        <f t="shared" ca="1" si="38"/>
        <v>3.4596776832574236E-4</v>
      </c>
      <c r="F262" s="137">
        <f t="shared" ca="1" si="39"/>
        <v>0.836926197167986</v>
      </c>
      <c r="G262" s="137">
        <f t="shared" ca="1" si="40"/>
        <v>-1.2774786210673366</v>
      </c>
      <c r="H262" s="152">
        <f t="shared" ca="1" si="41"/>
        <v>-0.16144935443320571</v>
      </c>
      <c r="I262" s="152">
        <f t="shared" ca="1" si="42"/>
        <v>0.56405876506389774</v>
      </c>
      <c r="J262" s="190">
        <f t="shared" ca="1" si="43"/>
        <v>0</v>
      </c>
      <c r="K262" s="187" t="str" cm="1">
        <f t="array" aca="1" ref="K262" ca="1">_xlfn.IFS(G262&lt;$B$11,"Fail",G262&lt;25,"Marginal",G262&lt;35,"Solid",TRUE,"Blowout")</f>
        <v>Fail</v>
      </c>
      <c r="L262" s="193">
        <f t="shared" ca="1" si="33"/>
        <v>1</v>
      </c>
      <c r="M262" s="184" t="str" cm="1">
        <f t="array" aca="1" ref="M262" ca="1">_xlfn.IFS(C262&lt;$B$11,"Fail",C262&lt;25,"Marginal",C262&lt;35,"Solid",TRUE,"Blowout")</f>
        <v>Solid</v>
      </c>
    </row>
    <row r="263" spans="1:13" x14ac:dyDescent="0.25">
      <c r="A263" s="138">
        <f t="shared" ca="1" si="34"/>
        <v>40.768136108516465</v>
      </c>
      <c r="B263" s="137">
        <f t="shared" ca="1" si="35"/>
        <v>2.7165925664303461</v>
      </c>
      <c r="C263" s="137">
        <f t="shared" ca="1" si="36"/>
        <v>38.051543542086122</v>
      </c>
      <c r="D263" s="152">
        <f t="shared" ca="1" si="37"/>
        <v>4.8090019188923874</v>
      </c>
      <c r="E263" s="197">
        <f t="shared" ca="1" si="38"/>
        <v>1.3779042758782841E-6</v>
      </c>
      <c r="F263" s="137">
        <f t="shared" ca="1" si="39"/>
        <v>21.659715347756837</v>
      </c>
      <c r="G263" s="137">
        <f t="shared" ca="1" si="40"/>
        <v>18.94312278132649</v>
      </c>
      <c r="H263" s="152">
        <f t="shared" ca="1" si="41"/>
        <v>2.3940556762029028</v>
      </c>
      <c r="I263" s="152">
        <f t="shared" ca="1" si="42"/>
        <v>8.7362836266661366E-3</v>
      </c>
      <c r="J263" s="190">
        <f t="shared" ca="1" si="43"/>
        <v>0</v>
      </c>
      <c r="K263" s="187" t="str" cm="1">
        <f t="array" aca="1" ref="K263" ca="1">_xlfn.IFS(G263&lt;$B$11,"Fail",G263&lt;25,"Marginal",G263&lt;35,"Solid",TRUE,"Blowout")</f>
        <v>Fail</v>
      </c>
      <c r="L263" s="193">
        <f t="shared" ca="1" si="33"/>
        <v>1</v>
      </c>
      <c r="M263" s="184" t="str" cm="1">
        <f t="array" aca="1" ref="M263" ca="1">_xlfn.IFS(C263&lt;$B$11,"Fail",C263&lt;25,"Marginal",C263&lt;35,"Solid",TRUE,"Blowout")</f>
        <v>Blowout</v>
      </c>
    </row>
    <row r="264" spans="1:13" x14ac:dyDescent="0.25">
      <c r="A264" s="138">
        <f t="shared" ca="1" si="34"/>
        <v>57.992362301646708</v>
      </c>
      <c r="B264" s="137">
        <f t="shared" ca="1" si="35"/>
        <v>15.292835898418273</v>
      </c>
      <c r="C264" s="137">
        <f t="shared" ca="1" si="36"/>
        <v>42.699526403228433</v>
      </c>
      <c r="D264" s="152">
        <f t="shared" ca="1" si="37"/>
        <v>5.3964198372611953</v>
      </c>
      <c r="E264" s="197">
        <f t="shared" ca="1" si="38"/>
        <v>8.502546761125927E-8</v>
      </c>
      <c r="F264" s="137">
        <f t="shared" ca="1" si="39"/>
        <v>40.741547945614002</v>
      </c>
      <c r="G264" s="137">
        <f t="shared" ca="1" si="40"/>
        <v>25.448712047195727</v>
      </c>
      <c r="H264" s="152">
        <f t="shared" ca="1" si="41"/>
        <v>3.2162402277569893</v>
      </c>
      <c r="I264" s="152">
        <f t="shared" ca="1" si="42"/>
        <v>7.4363021902580564E-4</v>
      </c>
      <c r="J264" s="190">
        <f t="shared" ca="1" si="43"/>
        <v>1</v>
      </c>
      <c r="K264" s="187" t="str" cm="1">
        <f t="array" aca="1" ref="K264" ca="1">_xlfn.IFS(G264&lt;$B$11,"Fail",G264&lt;25,"Marginal",G264&lt;35,"Solid",TRUE,"Blowout")</f>
        <v>Solid</v>
      </c>
      <c r="L264" s="193">
        <f t="shared" ca="1" si="33"/>
        <v>1</v>
      </c>
      <c r="M264" s="184" t="str" cm="1">
        <f t="array" aca="1" ref="M264" ca="1">_xlfn.IFS(C264&lt;$B$11,"Fail",C264&lt;25,"Marginal",C264&lt;35,"Solid",TRUE,"Blowout")</f>
        <v>Blowout</v>
      </c>
    </row>
    <row r="265" spans="1:13" x14ac:dyDescent="0.25">
      <c r="A265" s="138">
        <f t="shared" ca="1" si="34"/>
        <v>17.761122645992977</v>
      </c>
      <c r="B265" s="137">
        <f t="shared" ca="1" si="35"/>
        <v>0.71008549503266316</v>
      </c>
      <c r="C265" s="137">
        <f t="shared" ca="1" si="36"/>
        <v>17.051037150960312</v>
      </c>
      <c r="D265" s="152">
        <f t="shared" ca="1" si="37"/>
        <v>2.154931515127128</v>
      </c>
      <c r="E265" s="197">
        <f t="shared" ca="1" si="38"/>
        <v>1.6107498106460054E-2</v>
      </c>
      <c r="F265" s="137">
        <f t="shared" ca="1" si="39"/>
        <v>47.573242903118228</v>
      </c>
      <c r="G265" s="137">
        <f t="shared" ca="1" si="40"/>
        <v>46.863157408085563</v>
      </c>
      <c r="H265" s="152">
        <f t="shared" ca="1" si="41"/>
        <v>5.9226247590082428</v>
      </c>
      <c r="I265" s="152">
        <f t="shared" ca="1" si="42"/>
        <v>5.7877950935477674E-9</v>
      </c>
      <c r="J265" s="190">
        <f t="shared" ca="1" si="43"/>
        <v>1</v>
      </c>
      <c r="K265" s="187" t="str" cm="1">
        <f t="array" aca="1" ref="K265" ca="1">_xlfn.IFS(G265&lt;$B$11,"Fail",G265&lt;25,"Marginal",G265&lt;35,"Solid",TRUE,"Blowout")</f>
        <v>Blowout</v>
      </c>
      <c r="L265" s="193">
        <f t="shared" ca="1" si="33"/>
        <v>0</v>
      </c>
      <c r="M265" s="184" t="str" cm="1">
        <f t="array" aca="1" ref="M265" ca="1">_xlfn.IFS(C265&lt;$B$11,"Fail",C265&lt;25,"Marginal",C265&lt;35,"Solid",TRUE,"Blowout")</f>
        <v>Fail</v>
      </c>
    </row>
    <row r="266" spans="1:13" x14ac:dyDescent="0.25">
      <c r="A266" s="138">
        <f t="shared" ca="1" si="34"/>
        <v>56.53657398811665</v>
      </c>
      <c r="B266" s="137">
        <f t="shared" ca="1" si="35"/>
        <v>10.998412735148973</v>
      </c>
      <c r="C266" s="137">
        <f t="shared" ca="1" si="36"/>
        <v>45.538161252967676</v>
      </c>
      <c r="D266" s="152">
        <f t="shared" ca="1" si="37"/>
        <v>5.7551700788731406</v>
      </c>
      <c r="E266" s="197">
        <f t="shared" ca="1" si="38"/>
        <v>1.387072751460632E-8</v>
      </c>
      <c r="F266" s="137">
        <f t="shared" ca="1" si="39"/>
        <v>19.403410722095536</v>
      </c>
      <c r="G266" s="137">
        <f t="shared" ca="1" si="40"/>
        <v>8.4049979869465634</v>
      </c>
      <c r="H266" s="152">
        <f t="shared" ca="1" si="41"/>
        <v>1.0622342140419969</v>
      </c>
      <c r="I266" s="152">
        <f t="shared" ca="1" si="42"/>
        <v>0.14462659477077644</v>
      </c>
      <c r="J266" s="190">
        <f t="shared" ca="1" si="43"/>
        <v>0</v>
      </c>
      <c r="K266" s="187" t="str" cm="1">
        <f t="array" aca="1" ref="K266" ca="1">_xlfn.IFS(G266&lt;$B$11,"Fail",G266&lt;25,"Marginal",G266&lt;35,"Solid",TRUE,"Blowout")</f>
        <v>Fail</v>
      </c>
      <c r="L266" s="193">
        <f t="shared" ca="1" si="33"/>
        <v>1</v>
      </c>
      <c r="M266" s="184" t="str" cm="1">
        <f t="array" aca="1" ref="M266" ca="1">_xlfn.IFS(C266&lt;$B$11,"Fail",C266&lt;25,"Marginal",C266&lt;35,"Solid",TRUE,"Blowout")</f>
        <v>Blowout</v>
      </c>
    </row>
    <row r="267" spans="1:13" x14ac:dyDescent="0.25">
      <c r="A267" s="138">
        <f t="shared" ca="1" si="34"/>
        <v>24.721672080245199</v>
      </c>
      <c r="B267" s="137">
        <f t="shared" ca="1" si="35"/>
        <v>1.7843990006699135</v>
      </c>
      <c r="C267" s="137">
        <f t="shared" ca="1" si="36"/>
        <v>22.937273079575284</v>
      </c>
      <c r="D267" s="152">
        <f t="shared" ca="1" si="37"/>
        <v>2.898841413143602</v>
      </c>
      <c r="E267" s="197">
        <f t="shared" ca="1" si="38"/>
        <v>2.0555227823436466E-3</v>
      </c>
      <c r="F267" s="137">
        <f t="shared" ca="1" si="39"/>
        <v>9.8834538529738545</v>
      </c>
      <c r="G267" s="137">
        <f t="shared" ca="1" si="40"/>
        <v>8.0990548523039401</v>
      </c>
      <c r="H267" s="152">
        <f t="shared" ca="1" si="41"/>
        <v>1.0235687359927019</v>
      </c>
      <c r="I267" s="152">
        <f t="shared" ca="1" si="42"/>
        <v>0.15356189643010698</v>
      </c>
      <c r="J267" s="190">
        <f t="shared" ca="1" si="43"/>
        <v>0</v>
      </c>
      <c r="K267" s="187" t="str" cm="1">
        <f t="array" aca="1" ref="K267" ca="1">_xlfn.IFS(G267&lt;$B$11,"Fail",G267&lt;25,"Marginal",G267&lt;35,"Solid",TRUE,"Blowout")</f>
        <v>Fail</v>
      </c>
      <c r="L267" s="193">
        <f t="shared" ca="1" si="33"/>
        <v>1</v>
      </c>
      <c r="M267" s="184" t="str" cm="1">
        <f t="array" aca="1" ref="M267" ca="1">_xlfn.IFS(C267&lt;$B$11,"Fail",C267&lt;25,"Marginal",C267&lt;35,"Solid",TRUE,"Blowout")</f>
        <v>Marginal</v>
      </c>
    </row>
    <row r="268" spans="1:13" x14ac:dyDescent="0.25">
      <c r="A268" s="138">
        <f t="shared" ca="1" si="34"/>
        <v>37.689051065761213</v>
      </c>
      <c r="B268" s="137">
        <f t="shared" ca="1" si="35"/>
        <v>-5.0851542851830729</v>
      </c>
      <c r="C268" s="137">
        <f t="shared" ca="1" si="36"/>
        <v>42.774205350944285</v>
      </c>
      <c r="D268" s="152">
        <f t="shared" ca="1" si="37"/>
        <v>5.4058578565748983</v>
      </c>
      <c r="E268" s="197">
        <f t="shared" ca="1" si="38"/>
        <v>8.1150919254737807E-8</v>
      </c>
      <c r="F268" s="137">
        <f t="shared" ca="1" si="39"/>
        <v>35.490173320631435</v>
      </c>
      <c r="G268" s="137">
        <f t="shared" ca="1" si="40"/>
        <v>40.575327605814508</v>
      </c>
      <c r="H268" s="152">
        <f t="shared" ca="1" si="41"/>
        <v>5.1279609222746307</v>
      </c>
      <c r="I268" s="152">
        <f t="shared" ca="1" si="42"/>
        <v>3.1260275703715868E-7</v>
      </c>
      <c r="J268" s="190">
        <f t="shared" ca="1" si="43"/>
        <v>1</v>
      </c>
      <c r="K268" s="187" t="str" cm="1">
        <f t="array" aca="1" ref="K268" ca="1">_xlfn.IFS(G268&lt;$B$11,"Fail",G268&lt;25,"Marginal",G268&lt;35,"Solid",TRUE,"Blowout")</f>
        <v>Blowout</v>
      </c>
      <c r="L268" s="193">
        <f t="shared" ca="1" si="33"/>
        <v>1</v>
      </c>
      <c r="M268" s="184" t="str" cm="1">
        <f t="array" aca="1" ref="M268" ca="1">_xlfn.IFS(C268&lt;$B$11,"Fail",C268&lt;25,"Marginal",C268&lt;35,"Solid",TRUE,"Blowout")</f>
        <v>Blowout</v>
      </c>
    </row>
    <row r="269" spans="1:13" x14ac:dyDescent="0.25">
      <c r="A269" s="138">
        <f t="shared" ca="1" si="34"/>
        <v>1.3668245600258402</v>
      </c>
      <c r="B269" s="137">
        <f t="shared" ca="1" si="35"/>
        <v>4.803505904700927</v>
      </c>
      <c r="C269" s="137">
        <f t="shared" ca="1" si="36"/>
        <v>-3.4366813446750868</v>
      </c>
      <c r="D269" s="152">
        <f t="shared" ca="1" si="37"/>
        <v>-0.43433210962611302</v>
      </c>
      <c r="E269" s="197">
        <f t="shared" ca="1" si="38"/>
        <v>0.66777098090105891</v>
      </c>
      <c r="F269" s="137">
        <f t="shared" ca="1" si="39"/>
        <v>59.213345915371818</v>
      </c>
      <c r="G269" s="137">
        <f t="shared" ca="1" si="40"/>
        <v>54.409840010670891</v>
      </c>
      <c r="H269" s="152">
        <f t="shared" ca="1" si="41"/>
        <v>6.8763839955281645</v>
      </c>
      <c r="I269" s="152">
        <f t="shared" ca="1" si="42"/>
        <v>2.9157252551595442E-11</v>
      </c>
      <c r="J269" s="190">
        <f t="shared" ca="1" si="43"/>
        <v>1</v>
      </c>
      <c r="K269" s="187" t="str" cm="1">
        <f t="array" aca="1" ref="K269" ca="1">_xlfn.IFS(G269&lt;$B$11,"Fail",G269&lt;25,"Marginal",G269&lt;35,"Solid",TRUE,"Blowout")</f>
        <v>Blowout</v>
      </c>
      <c r="L269" s="193">
        <f t="shared" ca="1" si="33"/>
        <v>0</v>
      </c>
      <c r="M269" s="184" t="str" cm="1">
        <f t="array" aca="1" ref="M269" ca="1">_xlfn.IFS(C269&lt;$B$11,"Fail",C269&lt;25,"Marginal",C269&lt;35,"Solid",TRUE,"Blowout")</f>
        <v>Fail</v>
      </c>
    </row>
    <row r="270" spans="1:13" x14ac:dyDescent="0.25">
      <c r="A270" s="138">
        <f t="shared" ca="1" si="34"/>
        <v>11.284770275575731</v>
      </c>
      <c r="B270" s="137">
        <f t="shared" ca="1" si="35"/>
        <v>-4.4536336363709541</v>
      </c>
      <c r="C270" s="137">
        <f t="shared" ca="1" si="36"/>
        <v>15.738403911946685</v>
      </c>
      <c r="D270" s="152">
        <f t="shared" ca="1" si="37"/>
        <v>1.9890392758744233</v>
      </c>
      <c r="E270" s="197">
        <f t="shared" ca="1" si="38"/>
        <v>2.3946102567652949E-2</v>
      </c>
      <c r="F270" s="137">
        <f t="shared" ca="1" si="39"/>
        <v>-9.5568972930943268</v>
      </c>
      <c r="G270" s="137">
        <f t="shared" ca="1" si="40"/>
        <v>-5.1032636567233727</v>
      </c>
      <c r="H270" s="152">
        <f t="shared" ca="1" si="41"/>
        <v>-0.64495687778480648</v>
      </c>
      <c r="I270" s="152">
        <f t="shared" ca="1" si="42"/>
        <v>0.74019822061185447</v>
      </c>
      <c r="J270" s="190">
        <f t="shared" ca="1" si="43"/>
        <v>0</v>
      </c>
      <c r="K270" s="187" t="str" cm="1">
        <f t="array" aca="1" ref="K270" ca="1">_xlfn.IFS(G270&lt;$B$11,"Fail",G270&lt;25,"Marginal",G270&lt;35,"Solid",TRUE,"Blowout")</f>
        <v>Fail</v>
      </c>
      <c r="L270" s="193">
        <f t="shared" ca="1" si="33"/>
        <v>0</v>
      </c>
      <c r="M270" s="184" t="str" cm="1">
        <f t="array" aca="1" ref="M270" ca="1">_xlfn.IFS(C270&lt;$B$11,"Fail",C270&lt;25,"Marginal",C270&lt;35,"Solid",TRUE,"Blowout")</f>
        <v>Fail</v>
      </c>
    </row>
    <row r="271" spans="1:13" x14ac:dyDescent="0.25">
      <c r="A271" s="138">
        <f t="shared" ca="1" si="34"/>
        <v>26.926572155591025</v>
      </c>
      <c r="B271" s="137">
        <f t="shared" ca="1" si="35"/>
        <v>15.233938760205382</v>
      </c>
      <c r="C271" s="137">
        <f t="shared" ca="1" si="36"/>
        <v>11.692633395385643</v>
      </c>
      <c r="D271" s="152">
        <f t="shared" ca="1" si="37"/>
        <v>1.4777297108361152</v>
      </c>
      <c r="E271" s="197">
        <f t="shared" ca="1" si="38"/>
        <v>7.0430082381332734E-2</v>
      </c>
      <c r="F271" s="137">
        <f t="shared" ca="1" si="39"/>
        <v>43.033951151436845</v>
      </c>
      <c r="G271" s="137">
        <f t="shared" ca="1" si="40"/>
        <v>27.800012391231462</v>
      </c>
      <c r="H271" s="152">
        <f t="shared" ca="1" si="41"/>
        <v>3.5134005217632982</v>
      </c>
      <c r="I271" s="152">
        <f t="shared" ca="1" si="42"/>
        <v>2.6668829350870649E-4</v>
      </c>
      <c r="J271" s="190">
        <f t="shared" ca="1" si="43"/>
        <v>1</v>
      </c>
      <c r="K271" s="187" t="str" cm="1">
        <f t="array" aca="1" ref="K271" ca="1">_xlfn.IFS(G271&lt;$B$11,"Fail",G271&lt;25,"Marginal",G271&lt;35,"Solid",TRUE,"Blowout")</f>
        <v>Solid</v>
      </c>
      <c r="L271" s="193">
        <f t="shared" ca="1" si="33"/>
        <v>0</v>
      </c>
      <c r="M271" s="184" t="str" cm="1">
        <f t="array" aca="1" ref="M271" ca="1">_xlfn.IFS(C271&lt;$B$11,"Fail",C271&lt;25,"Marginal",C271&lt;35,"Solid",TRUE,"Blowout")</f>
        <v>Fail</v>
      </c>
    </row>
    <row r="272" spans="1:13" x14ac:dyDescent="0.25">
      <c r="A272" s="138">
        <f t="shared" ca="1" si="34"/>
        <v>32.06304604329091</v>
      </c>
      <c r="B272" s="137">
        <f t="shared" ca="1" si="35"/>
        <v>5.6343888258937262</v>
      </c>
      <c r="C272" s="137">
        <f t="shared" ca="1" si="36"/>
        <v>26.428657217397184</v>
      </c>
      <c r="D272" s="152">
        <f t="shared" ca="1" si="37"/>
        <v>3.3400869305509486</v>
      </c>
      <c r="E272" s="197">
        <f t="shared" ca="1" si="38"/>
        <v>4.8918322955801812E-4</v>
      </c>
      <c r="F272" s="137">
        <f t="shared" ca="1" si="39"/>
        <v>48.413470681939863</v>
      </c>
      <c r="G272" s="137">
        <f t="shared" ca="1" si="40"/>
        <v>42.779081856046133</v>
      </c>
      <c r="H272" s="152">
        <f t="shared" ca="1" si="41"/>
        <v>5.4064741554213915</v>
      </c>
      <c r="I272" s="152">
        <f t="shared" ca="1" si="42"/>
        <v>8.0903979258729441E-8</v>
      </c>
      <c r="J272" s="190">
        <f t="shared" ca="1" si="43"/>
        <v>1</v>
      </c>
      <c r="K272" s="187" t="str" cm="1">
        <f t="array" aca="1" ref="K272" ca="1">_xlfn.IFS(G272&lt;$B$11,"Fail",G272&lt;25,"Marginal",G272&lt;35,"Solid",TRUE,"Blowout")</f>
        <v>Blowout</v>
      </c>
      <c r="L272" s="193">
        <f t="shared" ref="L272:L335" ca="1" si="44">IF(AND(E272&lt;$B$10,C272&gt;=$B$11),1,0)</f>
        <v>1</v>
      </c>
      <c r="M272" s="184" t="str" cm="1">
        <f t="array" aca="1" ref="M272" ca="1">_xlfn.IFS(C272&lt;$B$11,"Fail",C272&lt;25,"Marginal",C272&lt;35,"Solid",TRUE,"Blowout")</f>
        <v>Solid</v>
      </c>
    </row>
    <row r="273" spans="1:13" x14ac:dyDescent="0.25">
      <c r="A273" s="138">
        <f t="shared" ref="A273:A336" ca="1" si="45">NORMINV(RAND(), MAX(0, NORMINV(RAND(), $B$6, $B$12)), $B$7/SQRT($B$9))</f>
        <v>40.506689936382415</v>
      </c>
      <c r="B273" s="137">
        <f t="shared" ref="B273:B336" ca="1" si="46">NORMINV(RAND(), $B$8, $B$7/SQRT($B$9))</f>
        <v>1.0780018627514347</v>
      </c>
      <c r="C273" s="137">
        <f t="shared" ref="C273:C336" ca="1" si="47">A273-B273</f>
        <v>39.42868807363098</v>
      </c>
      <c r="D273" s="152">
        <f t="shared" ref="D273:D336" ca="1" si="48">C273/($B$7*SQRT(2/$B$9))</f>
        <v>4.9830471764117439</v>
      </c>
      <c r="E273" s="197">
        <f t="shared" ref="E273:E336" ca="1" si="49">_xlfn.T.DIST.RT(D273, 2*$B$9-2)</f>
        <v>6.1867368243498618E-7</v>
      </c>
      <c r="F273" s="137">
        <f t="shared" ref="F273:F336" ca="1" si="50">NORMINV(RAND(), MAX(0, NORMINV(RAND(), $N$7, $N$8)), $B$7/SQRT($B$9))</f>
        <v>18.416002558280951</v>
      </c>
      <c r="G273" s="137">
        <f t="shared" ref="G273:G336" ca="1" si="51">F273-B273</f>
        <v>17.338000695529516</v>
      </c>
      <c r="H273" s="152">
        <f t="shared" ref="H273:H336" ca="1" si="52">G273/($B$7*SQRT(2/$B$9))</f>
        <v>2.1911983287179915</v>
      </c>
      <c r="I273" s="152">
        <f t="shared" ref="I273:I336" ca="1" si="53">_xlfn.T.DIST.RT(H273, 2*$B$9-2)</f>
        <v>1.4725085984794739E-2</v>
      </c>
      <c r="J273" s="190">
        <f t="shared" ref="J273:J336" ca="1" si="54">IF(AND(I273&lt;$B$10, G273&gt;=$B$11), 1, 0)</f>
        <v>0</v>
      </c>
      <c r="K273" s="187" t="str" cm="1">
        <f t="array" aca="1" ref="K273" ca="1">_xlfn.IFS(G273&lt;$B$11,"Fail",G273&lt;25,"Marginal",G273&lt;35,"Solid",TRUE,"Blowout")</f>
        <v>Fail</v>
      </c>
      <c r="L273" s="193">
        <f t="shared" ca="1" si="44"/>
        <v>1</v>
      </c>
      <c r="M273" s="184" t="str" cm="1">
        <f t="array" aca="1" ref="M273" ca="1">_xlfn.IFS(C273&lt;$B$11,"Fail",C273&lt;25,"Marginal",C273&lt;35,"Solid",TRUE,"Blowout")</f>
        <v>Blowout</v>
      </c>
    </row>
    <row r="274" spans="1:13" x14ac:dyDescent="0.25">
      <c r="A274" s="138">
        <f t="shared" ca="1" si="45"/>
        <v>18.743728457198237</v>
      </c>
      <c r="B274" s="137">
        <f t="shared" ca="1" si="46"/>
        <v>7.1849694559220012</v>
      </c>
      <c r="C274" s="137">
        <f t="shared" ca="1" si="47"/>
        <v>11.558759001276236</v>
      </c>
      <c r="D274" s="152">
        <f t="shared" ca="1" si="48"/>
        <v>1.4608104965747901</v>
      </c>
      <c r="E274" s="197">
        <f t="shared" ca="1" si="49"/>
        <v>7.2722065526325208E-2</v>
      </c>
      <c r="F274" s="137">
        <f t="shared" ca="1" si="50"/>
        <v>15.160170021848502</v>
      </c>
      <c r="G274" s="137">
        <f t="shared" ca="1" si="51"/>
        <v>7.9752005659265013</v>
      </c>
      <c r="H274" s="152">
        <f t="shared" ca="1" si="52"/>
        <v>1.0079158755458351</v>
      </c>
      <c r="I274" s="152">
        <f t="shared" ca="1" si="53"/>
        <v>0.15728165610067127</v>
      </c>
      <c r="J274" s="190">
        <f t="shared" ca="1" si="54"/>
        <v>0</v>
      </c>
      <c r="K274" s="187" t="str" cm="1">
        <f t="array" aca="1" ref="K274" ca="1">_xlfn.IFS(G274&lt;$B$11,"Fail",G274&lt;25,"Marginal",G274&lt;35,"Solid",TRUE,"Blowout")</f>
        <v>Fail</v>
      </c>
      <c r="L274" s="193">
        <f t="shared" ca="1" si="44"/>
        <v>0</v>
      </c>
      <c r="M274" s="184" t="str" cm="1">
        <f t="array" aca="1" ref="M274" ca="1">_xlfn.IFS(C274&lt;$B$11,"Fail",C274&lt;25,"Marginal",C274&lt;35,"Solid",TRUE,"Blowout")</f>
        <v>Fail</v>
      </c>
    </row>
    <row r="275" spans="1:13" x14ac:dyDescent="0.25">
      <c r="A275" s="138">
        <f t="shared" ca="1" si="45"/>
        <v>48.524583363185478</v>
      </c>
      <c r="B275" s="137">
        <f t="shared" ca="1" si="46"/>
        <v>12.996115217090896</v>
      </c>
      <c r="C275" s="137">
        <f t="shared" ca="1" si="47"/>
        <v>35.528468146094582</v>
      </c>
      <c r="D275" s="152">
        <f t="shared" ca="1" si="48"/>
        <v>4.490132477829806</v>
      </c>
      <c r="E275" s="197">
        <f t="shared" ca="1" si="49"/>
        <v>5.6525206836785101E-6</v>
      </c>
      <c r="F275" s="137">
        <f t="shared" ca="1" si="50"/>
        <v>49.414825509718739</v>
      </c>
      <c r="G275" s="137">
        <f t="shared" ca="1" si="51"/>
        <v>36.418710292627843</v>
      </c>
      <c r="H275" s="152">
        <f t="shared" ca="1" si="52"/>
        <v>4.6026423996999188</v>
      </c>
      <c r="I275" s="152">
        <f t="shared" ca="1" si="53"/>
        <v>3.4638071730350327E-6</v>
      </c>
      <c r="J275" s="190">
        <f t="shared" ca="1" si="54"/>
        <v>1</v>
      </c>
      <c r="K275" s="187" t="str" cm="1">
        <f t="array" aca="1" ref="K275" ca="1">_xlfn.IFS(G275&lt;$B$11,"Fail",G275&lt;25,"Marginal",G275&lt;35,"Solid",TRUE,"Blowout")</f>
        <v>Blowout</v>
      </c>
      <c r="L275" s="193">
        <f t="shared" ca="1" si="44"/>
        <v>1</v>
      </c>
      <c r="M275" s="184" t="str" cm="1">
        <f t="array" aca="1" ref="M275" ca="1">_xlfn.IFS(C275&lt;$B$11,"Fail",C275&lt;25,"Marginal",C275&lt;35,"Solid",TRUE,"Blowout")</f>
        <v>Blowout</v>
      </c>
    </row>
    <row r="276" spans="1:13" x14ac:dyDescent="0.25">
      <c r="A276" s="138">
        <f t="shared" ca="1" si="45"/>
        <v>11.861986500197265</v>
      </c>
      <c r="B276" s="137">
        <f t="shared" ca="1" si="46"/>
        <v>6.935230310466844</v>
      </c>
      <c r="C276" s="137">
        <f t="shared" ca="1" si="47"/>
        <v>4.9267561897304208</v>
      </c>
      <c r="D276" s="152">
        <f t="shared" ca="1" si="48"/>
        <v>0.6226496421655966</v>
      </c>
      <c r="E276" s="197">
        <f t="shared" ca="1" si="49"/>
        <v>0.26706851387732766</v>
      </c>
      <c r="F276" s="137">
        <f t="shared" ca="1" si="50"/>
        <v>16.289964651698654</v>
      </c>
      <c r="G276" s="137">
        <f t="shared" ca="1" si="51"/>
        <v>9.3547343412318096</v>
      </c>
      <c r="H276" s="152">
        <f t="shared" ca="1" si="52"/>
        <v>1.1822630886958743</v>
      </c>
      <c r="I276" s="152">
        <f t="shared" ca="1" si="53"/>
        <v>0.11916641158984638</v>
      </c>
      <c r="J276" s="190">
        <f t="shared" ca="1" si="54"/>
        <v>0</v>
      </c>
      <c r="K276" s="187" t="str" cm="1">
        <f t="array" aca="1" ref="K276" ca="1">_xlfn.IFS(G276&lt;$B$11,"Fail",G276&lt;25,"Marginal",G276&lt;35,"Solid",TRUE,"Blowout")</f>
        <v>Fail</v>
      </c>
      <c r="L276" s="193">
        <f t="shared" ca="1" si="44"/>
        <v>0</v>
      </c>
      <c r="M276" s="184" t="str" cm="1">
        <f t="array" aca="1" ref="M276" ca="1">_xlfn.IFS(C276&lt;$B$11,"Fail",C276&lt;25,"Marginal",C276&lt;35,"Solid",TRUE,"Blowout")</f>
        <v>Fail</v>
      </c>
    </row>
    <row r="277" spans="1:13" x14ac:dyDescent="0.25">
      <c r="A277" s="138">
        <f t="shared" ca="1" si="45"/>
        <v>9.0200357083516849</v>
      </c>
      <c r="B277" s="137">
        <f t="shared" ca="1" si="46"/>
        <v>8.0546954495488006</v>
      </c>
      <c r="C277" s="137">
        <f t="shared" ca="1" si="47"/>
        <v>0.96534025880288432</v>
      </c>
      <c r="D277" s="152">
        <f t="shared" ca="1" si="48"/>
        <v>0.12200091572717935</v>
      </c>
      <c r="E277" s="197">
        <f t="shared" ca="1" si="49"/>
        <v>0.45150287701752317</v>
      </c>
      <c r="F277" s="137">
        <f t="shared" ca="1" si="50"/>
        <v>45.184915594873736</v>
      </c>
      <c r="G277" s="137">
        <f t="shared" ca="1" si="51"/>
        <v>37.130220145324934</v>
      </c>
      <c r="H277" s="152">
        <f t="shared" ca="1" si="52"/>
        <v>4.6925639095368776</v>
      </c>
      <c r="I277" s="152">
        <f t="shared" ca="1" si="53"/>
        <v>2.3266104387605943E-6</v>
      </c>
      <c r="J277" s="190">
        <f t="shared" ca="1" si="54"/>
        <v>1</v>
      </c>
      <c r="K277" s="187" t="str" cm="1">
        <f t="array" aca="1" ref="K277" ca="1">_xlfn.IFS(G277&lt;$B$11,"Fail",G277&lt;25,"Marginal",G277&lt;35,"Solid",TRUE,"Blowout")</f>
        <v>Blowout</v>
      </c>
      <c r="L277" s="193">
        <f t="shared" ca="1" si="44"/>
        <v>0</v>
      </c>
      <c r="M277" s="184" t="str" cm="1">
        <f t="array" aca="1" ref="M277" ca="1">_xlfn.IFS(C277&lt;$B$11,"Fail",C277&lt;25,"Marginal",C277&lt;35,"Solid",TRUE,"Blowout")</f>
        <v>Fail</v>
      </c>
    </row>
    <row r="278" spans="1:13" x14ac:dyDescent="0.25">
      <c r="A278" s="138">
        <f t="shared" ca="1" si="45"/>
        <v>49.106779590164692</v>
      </c>
      <c r="B278" s="137">
        <f t="shared" ca="1" si="46"/>
        <v>-1.1321946268282783</v>
      </c>
      <c r="C278" s="137">
        <f t="shared" ca="1" si="47"/>
        <v>50.238974216992972</v>
      </c>
      <c r="D278" s="152">
        <f t="shared" ca="1" si="48"/>
        <v>6.3492647320729168</v>
      </c>
      <c r="E278" s="197">
        <f t="shared" ca="1" si="49"/>
        <v>5.7856878507196323E-10</v>
      </c>
      <c r="F278" s="137">
        <f t="shared" ca="1" si="50"/>
        <v>57.679028966627818</v>
      </c>
      <c r="G278" s="137">
        <f t="shared" ca="1" si="51"/>
        <v>58.811223593456099</v>
      </c>
      <c r="H278" s="152">
        <f t="shared" ca="1" si="52"/>
        <v>7.4326363870240577</v>
      </c>
      <c r="I278" s="152">
        <f t="shared" ca="1" si="53"/>
        <v>1.0645501413144647E-12</v>
      </c>
      <c r="J278" s="190">
        <f t="shared" ca="1" si="54"/>
        <v>1</v>
      </c>
      <c r="K278" s="187" t="str" cm="1">
        <f t="array" aca="1" ref="K278" ca="1">_xlfn.IFS(G278&lt;$B$11,"Fail",G278&lt;25,"Marginal",G278&lt;35,"Solid",TRUE,"Blowout")</f>
        <v>Blowout</v>
      </c>
      <c r="L278" s="193">
        <f t="shared" ca="1" si="44"/>
        <v>1</v>
      </c>
      <c r="M278" s="184" t="str" cm="1">
        <f t="array" aca="1" ref="M278" ca="1">_xlfn.IFS(C278&lt;$B$11,"Fail",C278&lt;25,"Marginal",C278&lt;35,"Solid",TRUE,"Blowout")</f>
        <v>Blowout</v>
      </c>
    </row>
    <row r="279" spans="1:13" x14ac:dyDescent="0.25">
      <c r="A279" s="138">
        <f t="shared" ca="1" si="45"/>
        <v>37.402558242061126</v>
      </c>
      <c r="B279" s="137">
        <f t="shared" ca="1" si="46"/>
        <v>-1.6319548408403408</v>
      </c>
      <c r="C279" s="137">
        <f t="shared" ca="1" si="47"/>
        <v>39.034513082901469</v>
      </c>
      <c r="D279" s="152">
        <f t="shared" ca="1" si="48"/>
        <v>4.9332308454473761</v>
      </c>
      <c r="E279" s="197">
        <f t="shared" ca="1" si="49"/>
        <v>7.797087043865682E-7</v>
      </c>
      <c r="F279" s="137">
        <f t="shared" ca="1" si="50"/>
        <v>8.1539882776450234</v>
      </c>
      <c r="G279" s="137">
        <f t="shared" ca="1" si="51"/>
        <v>9.7859431184853634</v>
      </c>
      <c r="H279" s="152">
        <f t="shared" ca="1" si="52"/>
        <v>1.2367597961674655</v>
      </c>
      <c r="I279" s="152">
        <f t="shared" ca="1" si="53"/>
        <v>0.10872433574249449</v>
      </c>
      <c r="J279" s="190">
        <f t="shared" ca="1" si="54"/>
        <v>0</v>
      </c>
      <c r="K279" s="187" t="str" cm="1">
        <f t="array" aca="1" ref="K279" ca="1">_xlfn.IFS(G279&lt;$B$11,"Fail",G279&lt;25,"Marginal",G279&lt;35,"Solid",TRUE,"Blowout")</f>
        <v>Fail</v>
      </c>
      <c r="L279" s="193">
        <f t="shared" ca="1" si="44"/>
        <v>1</v>
      </c>
      <c r="M279" s="184" t="str" cm="1">
        <f t="array" aca="1" ref="M279" ca="1">_xlfn.IFS(C279&lt;$B$11,"Fail",C279&lt;25,"Marginal",C279&lt;35,"Solid",TRUE,"Blowout")</f>
        <v>Blowout</v>
      </c>
    </row>
    <row r="280" spans="1:13" x14ac:dyDescent="0.25">
      <c r="A280" s="138">
        <f t="shared" ca="1" si="45"/>
        <v>19.755035676260505</v>
      </c>
      <c r="B280" s="137">
        <f t="shared" ca="1" si="46"/>
        <v>13.15569958946538</v>
      </c>
      <c r="C280" s="137">
        <f t="shared" ca="1" si="47"/>
        <v>6.599336086795125</v>
      </c>
      <c r="D280" s="152">
        <f t="shared" ca="1" si="48"/>
        <v>0.83403239266003348</v>
      </c>
      <c r="E280" s="197">
        <f t="shared" ca="1" si="49"/>
        <v>0.20256783989007471</v>
      </c>
      <c r="F280" s="137">
        <f t="shared" ca="1" si="50"/>
        <v>28.131951303792874</v>
      </c>
      <c r="G280" s="137">
        <f t="shared" ca="1" si="51"/>
        <v>14.976251714327494</v>
      </c>
      <c r="H280" s="152">
        <f t="shared" ca="1" si="52"/>
        <v>1.8927175228084818</v>
      </c>
      <c r="I280" s="152">
        <f t="shared" ca="1" si="53"/>
        <v>2.9831079727661396E-2</v>
      </c>
      <c r="J280" s="190">
        <f t="shared" ca="1" si="54"/>
        <v>0</v>
      </c>
      <c r="K280" s="187" t="str" cm="1">
        <f t="array" aca="1" ref="K280" ca="1">_xlfn.IFS(G280&lt;$B$11,"Fail",G280&lt;25,"Marginal",G280&lt;35,"Solid",TRUE,"Blowout")</f>
        <v>Fail</v>
      </c>
      <c r="L280" s="193">
        <f t="shared" ca="1" si="44"/>
        <v>0</v>
      </c>
      <c r="M280" s="184" t="str" cm="1">
        <f t="array" aca="1" ref="M280" ca="1">_xlfn.IFS(C280&lt;$B$11,"Fail",C280&lt;25,"Marginal",C280&lt;35,"Solid",TRUE,"Blowout")</f>
        <v>Fail</v>
      </c>
    </row>
    <row r="281" spans="1:13" x14ac:dyDescent="0.25">
      <c r="A281" s="138">
        <f t="shared" ca="1" si="45"/>
        <v>20.279280284768166</v>
      </c>
      <c r="B281" s="137">
        <f t="shared" ca="1" si="46"/>
        <v>7.6924245912133609</v>
      </c>
      <c r="C281" s="137">
        <f t="shared" ca="1" si="47"/>
        <v>12.586855693554806</v>
      </c>
      <c r="D281" s="152">
        <f t="shared" ca="1" si="48"/>
        <v>1.5907426492746199</v>
      </c>
      <c r="E281" s="197">
        <f t="shared" ca="1" si="49"/>
        <v>5.6526530803931545E-2</v>
      </c>
      <c r="F281" s="137">
        <f t="shared" ca="1" si="50"/>
        <v>18.083137403589355</v>
      </c>
      <c r="G281" s="137">
        <f t="shared" ca="1" si="51"/>
        <v>10.390712812375995</v>
      </c>
      <c r="H281" s="152">
        <f t="shared" ca="1" si="52"/>
        <v>1.313191350519296</v>
      </c>
      <c r="I281" s="152">
        <f t="shared" ca="1" si="53"/>
        <v>9.521926908137851E-2</v>
      </c>
      <c r="J281" s="190">
        <f t="shared" ca="1" si="54"/>
        <v>0</v>
      </c>
      <c r="K281" s="187" t="str" cm="1">
        <f t="array" aca="1" ref="K281" ca="1">_xlfn.IFS(G281&lt;$B$11,"Fail",G281&lt;25,"Marginal",G281&lt;35,"Solid",TRUE,"Blowout")</f>
        <v>Fail</v>
      </c>
      <c r="L281" s="193">
        <f t="shared" ca="1" si="44"/>
        <v>0</v>
      </c>
      <c r="M281" s="184" t="str" cm="1">
        <f t="array" aca="1" ref="M281" ca="1">_xlfn.IFS(C281&lt;$B$11,"Fail",C281&lt;25,"Marginal",C281&lt;35,"Solid",TRUE,"Blowout")</f>
        <v>Fail</v>
      </c>
    </row>
    <row r="282" spans="1:13" x14ac:dyDescent="0.25">
      <c r="A282" s="138">
        <f t="shared" ca="1" si="45"/>
        <v>51.789774382995944</v>
      </c>
      <c r="B282" s="137">
        <f t="shared" ca="1" si="46"/>
        <v>-0.92168483530898371</v>
      </c>
      <c r="C282" s="137">
        <f t="shared" ca="1" si="47"/>
        <v>52.711459218304924</v>
      </c>
      <c r="D282" s="152">
        <f t="shared" ca="1" si="48"/>
        <v>6.6617404954434862</v>
      </c>
      <c r="E282" s="197">
        <f t="shared" ca="1" si="49"/>
        <v>1.0024637653679633E-10</v>
      </c>
      <c r="F282" s="137">
        <f t="shared" ca="1" si="50"/>
        <v>58.650235600585198</v>
      </c>
      <c r="G282" s="137">
        <f t="shared" ca="1" si="51"/>
        <v>59.571920435894185</v>
      </c>
      <c r="H282" s="152">
        <f t="shared" ca="1" si="52"/>
        <v>7.528774210472247</v>
      </c>
      <c r="I282" s="152">
        <f t="shared" ca="1" si="53"/>
        <v>5.9167867502278342E-13</v>
      </c>
      <c r="J282" s="190">
        <f t="shared" ca="1" si="54"/>
        <v>1</v>
      </c>
      <c r="K282" s="187" t="str" cm="1">
        <f t="array" aca="1" ref="K282" ca="1">_xlfn.IFS(G282&lt;$B$11,"Fail",G282&lt;25,"Marginal",G282&lt;35,"Solid",TRUE,"Blowout")</f>
        <v>Blowout</v>
      </c>
      <c r="L282" s="193">
        <f t="shared" ca="1" si="44"/>
        <v>1</v>
      </c>
      <c r="M282" s="184" t="str" cm="1">
        <f t="array" aca="1" ref="M282" ca="1">_xlfn.IFS(C282&lt;$B$11,"Fail",C282&lt;25,"Marginal",C282&lt;35,"Solid",TRUE,"Blowout")</f>
        <v>Blowout</v>
      </c>
    </row>
    <row r="283" spans="1:13" x14ac:dyDescent="0.25">
      <c r="A283" s="138">
        <f t="shared" ca="1" si="45"/>
        <v>23.637791271480467</v>
      </c>
      <c r="B283" s="137">
        <f t="shared" ca="1" si="46"/>
        <v>13.908919169220876</v>
      </c>
      <c r="C283" s="137">
        <f t="shared" ca="1" si="47"/>
        <v>9.7288721022595901</v>
      </c>
      <c r="D283" s="152">
        <f t="shared" ca="1" si="48"/>
        <v>1.2295470893757072</v>
      </c>
      <c r="E283" s="197">
        <f t="shared" ca="1" si="49"/>
        <v>0.11006702879469492</v>
      </c>
      <c r="F283" s="137">
        <f t="shared" ca="1" si="50"/>
        <v>33.318967736751382</v>
      </c>
      <c r="G283" s="137">
        <f t="shared" ca="1" si="51"/>
        <v>19.410048567530506</v>
      </c>
      <c r="H283" s="152">
        <f t="shared" ca="1" si="52"/>
        <v>2.4530663441762508</v>
      </c>
      <c r="I283" s="152">
        <f t="shared" ca="1" si="53"/>
        <v>7.4573651823390437E-3</v>
      </c>
      <c r="J283" s="190">
        <f t="shared" ca="1" si="54"/>
        <v>0</v>
      </c>
      <c r="K283" s="187" t="str" cm="1">
        <f t="array" aca="1" ref="K283" ca="1">_xlfn.IFS(G283&lt;$B$11,"Fail",G283&lt;25,"Marginal",G283&lt;35,"Solid",TRUE,"Blowout")</f>
        <v>Fail</v>
      </c>
      <c r="L283" s="193">
        <f t="shared" ca="1" si="44"/>
        <v>0</v>
      </c>
      <c r="M283" s="184" t="str" cm="1">
        <f t="array" aca="1" ref="M283" ca="1">_xlfn.IFS(C283&lt;$B$11,"Fail",C283&lt;25,"Marginal",C283&lt;35,"Solid",TRUE,"Blowout")</f>
        <v>Fail</v>
      </c>
    </row>
    <row r="284" spans="1:13" x14ac:dyDescent="0.25">
      <c r="A284" s="138">
        <f t="shared" ca="1" si="45"/>
        <v>1.9685942176269737</v>
      </c>
      <c r="B284" s="137">
        <f t="shared" ca="1" si="46"/>
        <v>1.8064834707482254</v>
      </c>
      <c r="C284" s="137">
        <f t="shared" ca="1" si="47"/>
        <v>0.16211074687874838</v>
      </c>
      <c r="D284" s="152">
        <f t="shared" ca="1" si="48"/>
        <v>2.0487760028728628E-2</v>
      </c>
      <c r="E284" s="197">
        <f t="shared" ca="1" si="49"/>
        <v>0.49183609709126219</v>
      </c>
      <c r="F284" s="137">
        <f t="shared" ca="1" si="50"/>
        <v>3.5200099711902206</v>
      </c>
      <c r="G284" s="137">
        <f t="shared" ca="1" si="51"/>
        <v>1.7135265004419953</v>
      </c>
      <c r="H284" s="152">
        <f t="shared" ca="1" si="52"/>
        <v>0.21655763371555325</v>
      </c>
      <c r="I284" s="152">
        <f t="shared" ca="1" si="53"/>
        <v>0.41437337198361196</v>
      </c>
      <c r="J284" s="190">
        <f t="shared" ca="1" si="54"/>
        <v>0</v>
      </c>
      <c r="K284" s="187" t="str" cm="1">
        <f t="array" aca="1" ref="K284" ca="1">_xlfn.IFS(G284&lt;$B$11,"Fail",G284&lt;25,"Marginal",G284&lt;35,"Solid",TRUE,"Blowout")</f>
        <v>Fail</v>
      </c>
      <c r="L284" s="193">
        <f t="shared" ca="1" si="44"/>
        <v>0</v>
      </c>
      <c r="M284" s="184" t="str" cm="1">
        <f t="array" aca="1" ref="M284" ca="1">_xlfn.IFS(C284&lt;$B$11,"Fail",C284&lt;25,"Marginal",C284&lt;35,"Solid",TRUE,"Blowout")</f>
        <v>Fail</v>
      </c>
    </row>
    <row r="285" spans="1:13" x14ac:dyDescent="0.25">
      <c r="A285" s="138">
        <f t="shared" ca="1" si="45"/>
        <v>52.634292494237606</v>
      </c>
      <c r="B285" s="137">
        <f t="shared" ca="1" si="46"/>
        <v>-7.5621293440658874</v>
      </c>
      <c r="C285" s="137">
        <f t="shared" ca="1" si="47"/>
        <v>60.196421838303493</v>
      </c>
      <c r="D285" s="152">
        <f t="shared" ca="1" si="48"/>
        <v>7.6076994829573348</v>
      </c>
      <c r="E285" s="197">
        <f t="shared" ca="1" si="49"/>
        <v>3.6415157085565597E-13</v>
      </c>
      <c r="F285" s="137">
        <f t="shared" ca="1" si="50"/>
        <v>5.1900337542142081</v>
      </c>
      <c r="G285" s="137">
        <f t="shared" ca="1" si="51"/>
        <v>12.752163098280096</v>
      </c>
      <c r="H285" s="152">
        <f t="shared" ca="1" si="52"/>
        <v>1.611634406941475</v>
      </c>
      <c r="I285" s="152">
        <f t="shared" ca="1" si="53"/>
        <v>5.4212459524476321E-2</v>
      </c>
      <c r="J285" s="190">
        <f t="shared" ca="1" si="54"/>
        <v>0</v>
      </c>
      <c r="K285" s="187" t="str" cm="1">
        <f t="array" aca="1" ref="K285" ca="1">_xlfn.IFS(G285&lt;$B$11,"Fail",G285&lt;25,"Marginal",G285&lt;35,"Solid",TRUE,"Blowout")</f>
        <v>Fail</v>
      </c>
      <c r="L285" s="193">
        <f t="shared" ca="1" si="44"/>
        <v>1</v>
      </c>
      <c r="M285" s="184" t="str" cm="1">
        <f t="array" aca="1" ref="M285" ca="1">_xlfn.IFS(C285&lt;$B$11,"Fail",C285&lt;25,"Marginal",C285&lt;35,"Solid",TRUE,"Blowout")</f>
        <v>Blowout</v>
      </c>
    </row>
    <row r="286" spans="1:13" x14ac:dyDescent="0.25">
      <c r="A286" s="138">
        <f t="shared" ca="1" si="45"/>
        <v>8.8220461610251668</v>
      </c>
      <c r="B286" s="137">
        <f t="shared" ca="1" si="46"/>
        <v>-0.34882317089551318</v>
      </c>
      <c r="C286" s="137">
        <f t="shared" ca="1" si="47"/>
        <v>9.1708693319206809</v>
      </c>
      <c r="D286" s="152">
        <f t="shared" ca="1" si="48"/>
        <v>1.1590259976271131</v>
      </c>
      <c r="E286" s="197">
        <f t="shared" ca="1" si="49"/>
        <v>0.12382901367940947</v>
      </c>
      <c r="F286" s="137">
        <f t="shared" ca="1" si="50"/>
        <v>-1.7329717806642404</v>
      </c>
      <c r="G286" s="137">
        <f t="shared" ca="1" si="51"/>
        <v>-1.3841486097687272</v>
      </c>
      <c r="H286" s="152">
        <f t="shared" ca="1" si="52"/>
        <v>-0.17493044173222291</v>
      </c>
      <c r="I286" s="152">
        <f t="shared" ca="1" si="53"/>
        <v>0.56935523357712081</v>
      </c>
      <c r="J286" s="190">
        <f t="shared" ca="1" si="54"/>
        <v>0</v>
      </c>
      <c r="K286" s="187" t="str" cm="1">
        <f t="array" aca="1" ref="K286" ca="1">_xlfn.IFS(G286&lt;$B$11,"Fail",G286&lt;25,"Marginal",G286&lt;35,"Solid",TRUE,"Blowout")</f>
        <v>Fail</v>
      </c>
      <c r="L286" s="193">
        <f t="shared" ca="1" si="44"/>
        <v>0</v>
      </c>
      <c r="M286" s="184" t="str" cm="1">
        <f t="array" aca="1" ref="M286" ca="1">_xlfn.IFS(C286&lt;$B$11,"Fail",C286&lt;25,"Marginal",C286&lt;35,"Solid",TRUE,"Blowout")</f>
        <v>Fail</v>
      </c>
    </row>
    <row r="287" spans="1:13" x14ac:dyDescent="0.25">
      <c r="A287" s="138">
        <f t="shared" ca="1" si="45"/>
        <v>26.087027953646739</v>
      </c>
      <c r="B287" s="137">
        <f t="shared" ca="1" si="46"/>
        <v>-10.399180465857974</v>
      </c>
      <c r="C287" s="137">
        <f t="shared" ca="1" si="47"/>
        <v>36.486208419504713</v>
      </c>
      <c r="D287" s="152">
        <f t="shared" ca="1" si="48"/>
        <v>4.6111728978468207</v>
      </c>
      <c r="E287" s="197">
        <f t="shared" ca="1" si="49"/>
        <v>3.3363066938019485E-6</v>
      </c>
      <c r="F287" s="137">
        <f t="shared" ca="1" si="50"/>
        <v>5.459646405151978</v>
      </c>
      <c r="G287" s="137">
        <f t="shared" ca="1" si="51"/>
        <v>15.858826871009953</v>
      </c>
      <c r="H287" s="152">
        <f t="shared" ca="1" si="52"/>
        <v>2.0042584808607713</v>
      </c>
      <c r="I287" s="152">
        <f t="shared" ca="1" si="53"/>
        <v>2.3112662038258253E-2</v>
      </c>
      <c r="J287" s="190">
        <f t="shared" ca="1" si="54"/>
        <v>0</v>
      </c>
      <c r="K287" s="187" t="str" cm="1">
        <f t="array" aca="1" ref="K287" ca="1">_xlfn.IFS(G287&lt;$B$11,"Fail",G287&lt;25,"Marginal",G287&lt;35,"Solid",TRUE,"Blowout")</f>
        <v>Fail</v>
      </c>
      <c r="L287" s="193">
        <f t="shared" ca="1" si="44"/>
        <v>1</v>
      </c>
      <c r="M287" s="184" t="str" cm="1">
        <f t="array" aca="1" ref="M287" ca="1">_xlfn.IFS(C287&lt;$B$11,"Fail",C287&lt;25,"Marginal",C287&lt;35,"Solid",TRUE,"Blowout")</f>
        <v>Blowout</v>
      </c>
    </row>
    <row r="288" spans="1:13" x14ac:dyDescent="0.25">
      <c r="A288" s="138">
        <f t="shared" ca="1" si="45"/>
        <v>25.837279633088741</v>
      </c>
      <c r="B288" s="137">
        <f t="shared" ca="1" si="46"/>
        <v>-0.56136838559188718</v>
      </c>
      <c r="C288" s="137">
        <f t="shared" ca="1" si="47"/>
        <v>26.398648018680628</v>
      </c>
      <c r="D288" s="152">
        <f t="shared" ca="1" si="48"/>
        <v>3.3362943302835579</v>
      </c>
      <c r="E288" s="197">
        <f t="shared" ca="1" si="49"/>
        <v>4.955879820069415E-4</v>
      </c>
      <c r="F288" s="137">
        <f t="shared" ca="1" si="50"/>
        <v>27.270066393346792</v>
      </c>
      <c r="G288" s="137">
        <f t="shared" ca="1" si="51"/>
        <v>27.831434778938679</v>
      </c>
      <c r="H288" s="152">
        <f t="shared" ca="1" si="52"/>
        <v>3.5173717226322738</v>
      </c>
      <c r="I288" s="152">
        <f t="shared" ca="1" si="53"/>
        <v>2.6293334865550841E-4</v>
      </c>
      <c r="J288" s="190">
        <f t="shared" ca="1" si="54"/>
        <v>1</v>
      </c>
      <c r="K288" s="187" t="str" cm="1">
        <f t="array" aca="1" ref="K288" ca="1">_xlfn.IFS(G288&lt;$B$11,"Fail",G288&lt;25,"Marginal",G288&lt;35,"Solid",TRUE,"Blowout")</f>
        <v>Solid</v>
      </c>
      <c r="L288" s="193">
        <f t="shared" ca="1" si="44"/>
        <v>1</v>
      </c>
      <c r="M288" s="184" t="str" cm="1">
        <f t="array" aca="1" ref="M288" ca="1">_xlfn.IFS(C288&lt;$B$11,"Fail",C288&lt;25,"Marginal",C288&lt;35,"Solid",TRUE,"Blowout")</f>
        <v>Solid</v>
      </c>
    </row>
    <row r="289" spans="1:13" x14ac:dyDescent="0.25">
      <c r="A289" s="138">
        <f t="shared" ca="1" si="45"/>
        <v>-4.3721938087675856</v>
      </c>
      <c r="B289" s="137">
        <f t="shared" ca="1" si="46"/>
        <v>2.5567500828248293</v>
      </c>
      <c r="C289" s="137">
        <f t="shared" ca="1" si="47"/>
        <v>-6.9289438915924144</v>
      </c>
      <c r="D289" s="152">
        <f t="shared" ca="1" si="48"/>
        <v>-0.87568864147945191</v>
      </c>
      <c r="E289" s="197">
        <f t="shared" ca="1" si="49"/>
        <v>0.80893953868121626</v>
      </c>
      <c r="F289" s="137">
        <f t="shared" ca="1" si="50"/>
        <v>3.9516731717060427</v>
      </c>
      <c r="G289" s="137">
        <f t="shared" ca="1" si="51"/>
        <v>1.3949230888812134</v>
      </c>
      <c r="H289" s="152">
        <f t="shared" ca="1" si="52"/>
        <v>0.17629213395029822</v>
      </c>
      <c r="I289" s="152">
        <f t="shared" ca="1" si="53"/>
        <v>0.43011046393131663</v>
      </c>
      <c r="J289" s="190">
        <f t="shared" ca="1" si="54"/>
        <v>0</v>
      </c>
      <c r="K289" s="187" t="str" cm="1">
        <f t="array" aca="1" ref="K289" ca="1">_xlfn.IFS(G289&lt;$B$11,"Fail",G289&lt;25,"Marginal",G289&lt;35,"Solid",TRUE,"Blowout")</f>
        <v>Fail</v>
      </c>
      <c r="L289" s="193">
        <f t="shared" ca="1" si="44"/>
        <v>0</v>
      </c>
      <c r="M289" s="184" t="str" cm="1">
        <f t="array" aca="1" ref="M289" ca="1">_xlfn.IFS(C289&lt;$B$11,"Fail",C289&lt;25,"Marginal",C289&lt;35,"Solid",TRUE,"Blowout")</f>
        <v>Fail</v>
      </c>
    </row>
    <row r="290" spans="1:13" x14ac:dyDescent="0.25">
      <c r="A290" s="138">
        <f t="shared" ca="1" si="45"/>
        <v>55.922492179243207</v>
      </c>
      <c r="B290" s="137">
        <f t="shared" ca="1" si="46"/>
        <v>0.73232001424856552</v>
      </c>
      <c r="C290" s="137">
        <f t="shared" ca="1" si="47"/>
        <v>55.190172164994642</v>
      </c>
      <c r="D290" s="152">
        <f t="shared" ca="1" si="48"/>
        <v>6.9750033543819221</v>
      </c>
      <c r="E290" s="197">
        <f t="shared" ca="1" si="49"/>
        <v>1.6398403733078648E-11</v>
      </c>
      <c r="F290" s="137">
        <f t="shared" ca="1" si="50"/>
        <v>12.98362979505705</v>
      </c>
      <c r="G290" s="137">
        <f t="shared" ca="1" si="51"/>
        <v>12.251309780808484</v>
      </c>
      <c r="H290" s="152">
        <f t="shared" ca="1" si="52"/>
        <v>1.5483359349060206</v>
      </c>
      <c r="I290" s="152">
        <f t="shared" ca="1" si="53"/>
        <v>6.1464171154290426E-2</v>
      </c>
      <c r="J290" s="190">
        <f t="shared" ca="1" si="54"/>
        <v>0</v>
      </c>
      <c r="K290" s="187" t="str" cm="1">
        <f t="array" aca="1" ref="K290" ca="1">_xlfn.IFS(G290&lt;$B$11,"Fail",G290&lt;25,"Marginal",G290&lt;35,"Solid",TRUE,"Blowout")</f>
        <v>Fail</v>
      </c>
      <c r="L290" s="193">
        <f t="shared" ca="1" si="44"/>
        <v>1</v>
      </c>
      <c r="M290" s="184" t="str" cm="1">
        <f t="array" aca="1" ref="M290" ca="1">_xlfn.IFS(C290&lt;$B$11,"Fail",C290&lt;25,"Marginal",C290&lt;35,"Solid",TRUE,"Blowout")</f>
        <v>Blowout</v>
      </c>
    </row>
    <row r="291" spans="1:13" x14ac:dyDescent="0.25">
      <c r="A291" s="138">
        <f t="shared" ca="1" si="45"/>
        <v>17.117890949704211</v>
      </c>
      <c r="B291" s="137">
        <f t="shared" ca="1" si="46"/>
        <v>-2.5474217912840658E-2</v>
      </c>
      <c r="C291" s="137">
        <f t="shared" ca="1" si="47"/>
        <v>17.143365167617052</v>
      </c>
      <c r="D291" s="152">
        <f t="shared" ca="1" si="48"/>
        <v>2.1666000459655343</v>
      </c>
      <c r="E291" s="197">
        <f t="shared" ca="1" si="49"/>
        <v>1.5650980608126152E-2</v>
      </c>
      <c r="F291" s="137">
        <f t="shared" ca="1" si="50"/>
        <v>-4.6395593751720519</v>
      </c>
      <c r="G291" s="137">
        <f t="shared" ca="1" si="51"/>
        <v>-4.6140851572592112</v>
      </c>
      <c r="H291" s="152">
        <f t="shared" ca="1" si="52"/>
        <v>-0.58313388392906018</v>
      </c>
      <c r="I291" s="152">
        <f t="shared" ca="1" si="53"/>
        <v>0.71981024648044645</v>
      </c>
      <c r="J291" s="190">
        <f t="shared" ca="1" si="54"/>
        <v>0</v>
      </c>
      <c r="K291" s="187" t="str" cm="1">
        <f t="array" aca="1" ref="K291" ca="1">_xlfn.IFS(G291&lt;$B$11,"Fail",G291&lt;25,"Marginal",G291&lt;35,"Solid",TRUE,"Blowout")</f>
        <v>Fail</v>
      </c>
      <c r="L291" s="193">
        <f t="shared" ca="1" si="44"/>
        <v>0</v>
      </c>
      <c r="M291" s="184" t="str" cm="1">
        <f t="array" aca="1" ref="M291" ca="1">_xlfn.IFS(C291&lt;$B$11,"Fail",C291&lt;25,"Marginal",C291&lt;35,"Solid",TRUE,"Blowout")</f>
        <v>Fail</v>
      </c>
    </row>
    <row r="292" spans="1:13" x14ac:dyDescent="0.25">
      <c r="A292" s="138">
        <f t="shared" ca="1" si="45"/>
        <v>87.658828798037021</v>
      </c>
      <c r="B292" s="137">
        <f t="shared" ca="1" si="46"/>
        <v>14.48120832134752</v>
      </c>
      <c r="C292" s="137">
        <f t="shared" ca="1" si="47"/>
        <v>73.177620476689498</v>
      </c>
      <c r="D292" s="152">
        <f t="shared" ca="1" si="48"/>
        <v>9.2482796894468802</v>
      </c>
      <c r="E292" s="197">
        <f t="shared" ca="1" si="49"/>
        <v>8.4585668979523737E-18</v>
      </c>
      <c r="F292" s="137">
        <f t="shared" ca="1" si="50"/>
        <v>3.3084097883426287</v>
      </c>
      <c r="G292" s="137">
        <f t="shared" ca="1" si="51"/>
        <v>-11.17279853300489</v>
      </c>
      <c r="H292" s="152">
        <f t="shared" ca="1" si="52"/>
        <v>-1.4120323272876329</v>
      </c>
      <c r="I292" s="152">
        <f t="shared" ca="1" si="53"/>
        <v>0.92034809989427613</v>
      </c>
      <c r="J292" s="190">
        <f t="shared" ca="1" si="54"/>
        <v>0</v>
      </c>
      <c r="K292" s="187" t="str" cm="1">
        <f t="array" aca="1" ref="K292" ca="1">_xlfn.IFS(G292&lt;$B$11,"Fail",G292&lt;25,"Marginal",G292&lt;35,"Solid",TRUE,"Blowout")</f>
        <v>Fail</v>
      </c>
      <c r="L292" s="193">
        <f t="shared" ca="1" si="44"/>
        <v>1</v>
      </c>
      <c r="M292" s="184" t="str" cm="1">
        <f t="array" aca="1" ref="M292" ca="1">_xlfn.IFS(C292&lt;$B$11,"Fail",C292&lt;25,"Marginal",C292&lt;35,"Solid",TRUE,"Blowout")</f>
        <v>Blowout</v>
      </c>
    </row>
    <row r="293" spans="1:13" x14ac:dyDescent="0.25">
      <c r="A293" s="138">
        <f t="shared" ca="1" si="45"/>
        <v>39.268773083428293</v>
      </c>
      <c r="B293" s="137">
        <f t="shared" ca="1" si="46"/>
        <v>-1.9496278606086648</v>
      </c>
      <c r="C293" s="137">
        <f t="shared" ca="1" si="47"/>
        <v>41.218400944036958</v>
      </c>
      <c r="D293" s="152">
        <f t="shared" ca="1" si="48"/>
        <v>5.2092333393601518</v>
      </c>
      <c r="E293" s="197">
        <f t="shared" ca="1" si="49"/>
        <v>2.1184355539245477E-7</v>
      </c>
      <c r="F293" s="137">
        <f t="shared" ca="1" si="50"/>
        <v>24.875288997538355</v>
      </c>
      <c r="G293" s="137">
        <f t="shared" ca="1" si="51"/>
        <v>26.82491685814702</v>
      </c>
      <c r="H293" s="152">
        <f t="shared" ca="1" si="52"/>
        <v>3.3901667222061254</v>
      </c>
      <c r="I293" s="152">
        <f t="shared" ca="1" si="53"/>
        <v>4.1153614187982608E-4</v>
      </c>
      <c r="J293" s="190">
        <f t="shared" ca="1" si="54"/>
        <v>1</v>
      </c>
      <c r="K293" s="187" t="str" cm="1">
        <f t="array" aca="1" ref="K293" ca="1">_xlfn.IFS(G293&lt;$B$11,"Fail",G293&lt;25,"Marginal",G293&lt;35,"Solid",TRUE,"Blowout")</f>
        <v>Solid</v>
      </c>
      <c r="L293" s="193">
        <f t="shared" ca="1" si="44"/>
        <v>1</v>
      </c>
      <c r="M293" s="184" t="str" cm="1">
        <f t="array" aca="1" ref="M293" ca="1">_xlfn.IFS(C293&lt;$B$11,"Fail",C293&lt;25,"Marginal",C293&lt;35,"Solid",TRUE,"Blowout")</f>
        <v>Blowout</v>
      </c>
    </row>
    <row r="294" spans="1:13" x14ac:dyDescent="0.25">
      <c r="A294" s="138">
        <f t="shared" ca="1" si="45"/>
        <v>12.213605220128992</v>
      </c>
      <c r="B294" s="137">
        <f t="shared" ca="1" si="46"/>
        <v>13.687695515043965</v>
      </c>
      <c r="C294" s="137">
        <f t="shared" ca="1" si="47"/>
        <v>-1.4740902949149728</v>
      </c>
      <c r="D294" s="152">
        <f t="shared" ca="1" si="48"/>
        <v>-0.18629738499375761</v>
      </c>
      <c r="E294" s="197">
        <f t="shared" ca="1" si="49"/>
        <v>0.57381139675303783</v>
      </c>
      <c r="F294" s="137">
        <f t="shared" ca="1" si="50"/>
        <v>34.647068958949603</v>
      </c>
      <c r="G294" s="137">
        <f t="shared" ca="1" si="51"/>
        <v>20.95937344390564</v>
      </c>
      <c r="H294" s="152">
        <f t="shared" ca="1" si="52"/>
        <v>2.6488719701749712</v>
      </c>
      <c r="I294" s="152">
        <f t="shared" ca="1" si="53"/>
        <v>4.3203506999634237E-3</v>
      </c>
      <c r="J294" s="190">
        <f t="shared" ca="1" si="54"/>
        <v>1</v>
      </c>
      <c r="K294" s="187" t="str" cm="1">
        <f t="array" aca="1" ref="K294" ca="1">_xlfn.IFS(G294&lt;$B$11,"Fail",G294&lt;25,"Marginal",G294&lt;35,"Solid",TRUE,"Blowout")</f>
        <v>Marginal</v>
      </c>
      <c r="L294" s="193">
        <f t="shared" ca="1" si="44"/>
        <v>0</v>
      </c>
      <c r="M294" s="184" t="str" cm="1">
        <f t="array" aca="1" ref="M294" ca="1">_xlfn.IFS(C294&lt;$B$11,"Fail",C294&lt;25,"Marginal",C294&lt;35,"Solid",TRUE,"Blowout")</f>
        <v>Fail</v>
      </c>
    </row>
    <row r="295" spans="1:13" x14ac:dyDescent="0.25">
      <c r="A295" s="138">
        <f t="shared" ca="1" si="45"/>
        <v>15.068554981687186</v>
      </c>
      <c r="B295" s="137">
        <f t="shared" ca="1" si="46"/>
        <v>4.1308784326863908</v>
      </c>
      <c r="C295" s="137">
        <f t="shared" ca="1" si="47"/>
        <v>10.937676549000795</v>
      </c>
      <c r="D295" s="152">
        <f t="shared" ca="1" si="48"/>
        <v>1.3823173153066106</v>
      </c>
      <c r="E295" s="197">
        <f t="shared" ca="1" si="49"/>
        <v>8.4113448184337872E-2</v>
      </c>
      <c r="F295" s="137">
        <f t="shared" ca="1" si="50"/>
        <v>9.5141777551168332</v>
      </c>
      <c r="G295" s="137">
        <f t="shared" ca="1" si="51"/>
        <v>5.3832993224304424</v>
      </c>
      <c r="H295" s="152">
        <f t="shared" ca="1" si="52"/>
        <v>0.68034813733395261</v>
      </c>
      <c r="I295" s="152">
        <f t="shared" ca="1" si="53"/>
        <v>0.24848715906922975</v>
      </c>
      <c r="J295" s="190">
        <f t="shared" ca="1" si="54"/>
        <v>0</v>
      </c>
      <c r="K295" s="187" t="str" cm="1">
        <f t="array" aca="1" ref="K295" ca="1">_xlfn.IFS(G295&lt;$B$11,"Fail",G295&lt;25,"Marginal",G295&lt;35,"Solid",TRUE,"Blowout")</f>
        <v>Fail</v>
      </c>
      <c r="L295" s="193">
        <f t="shared" ca="1" si="44"/>
        <v>0</v>
      </c>
      <c r="M295" s="184" t="str" cm="1">
        <f t="array" aca="1" ref="M295" ca="1">_xlfn.IFS(C295&lt;$B$11,"Fail",C295&lt;25,"Marginal",C295&lt;35,"Solid",TRUE,"Blowout")</f>
        <v>Fail</v>
      </c>
    </row>
    <row r="296" spans="1:13" x14ac:dyDescent="0.25">
      <c r="A296" s="138">
        <f t="shared" ca="1" si="45"/>
        <v>47.129805593863694</v>
      </c>
      <c r="B296" s="137">
        <f t="shared" ca="1" si="46"/>
        <v>0.26087523081355535</v>
      </c>
      <c r="C296" s="137">
        <f t="shared" ca="1" si="47"/>
        <v>46.86893036305014</v>
      </c>
      <c r="D296" s="152">
        <f t="shared" ca="1" si="48"/>
        <v>5.9233543523155845</v>
      </c>
      <c r="E296" s="197">
        <f t="shared" ca="1" si="49"/>
        <v>5.7655795566993979E-9</v>
      </c>
      <c r="F296" s="137">
        <f t="shared" ca="1" si="50"/>
        <v>26.182021121287512</v>
      </c>
      <c r="G296" s="137">
        <f t="shared" ca="1" si="51"/>
        <v>25.921145890473959</v>
      </c>
      <c r="H296" s="152">
        <f t="shared" ca="1" si="52"/>
        <v>3.2759470109092126</v>
      </c>
      <c r="I296" s="152">
        <f t="shared" ca="1" si="53"/>
        <v>6.0860721403857283E-4</v>
      </c>
      <c r="J296" s="190">
        <f t="shared" ca="1" si="54"/>
        <v>1</v>
      </c>
      <c r="K296" s="187" t="str" cm="1">
        <f t="array" aca="1" ref="K296" ca="1">_xlfn.IFS(G296&lt;$B$11,"Fail",G296&lt;25,"Marginal",G296&lt;35,"Solid",TRUE,"Blowout")</f>
        <v>Solid</v>
      </c>
      <c r="L296" s="193">
        <f t="shared" ca="1" si="44"/>
        <v>1</v>
      </c>
      <c r="M296" s="184" t="str" cm="1">
        <f t="array" aca="1" ref="M296" ca="1">_xlfn.IFS(C296&lt;$B$11,"Fail",C296&lt;25,"Marginal",C296&lt;35,"Solid",TRUE,"Blowout")</f>
        <v>Blowout</v>
      </c>
    </row>
    <row r="297" spans="1:13" x14ac:dyDescent="0.25">
      <c r="A297" s="138">
        <f t="shared" ca="1" si="45"/>
        <v>39.841864263716971</v>
      </c>
      <c r="B297" s="137">
        <f t="shared" ca="1" si="46"/>
        <v>14.189245932573872</v>
      </c>
      <c r="C297" s="137">
        <f t="shared" ca="1" si="47"/>
        <v>25.652618331143099</v>
      </c>
      <c r="D297" s="152">
        <f t="shared" ca="1" si="48"/>
        <v>3.2420101603141949</v>
      </c>
      <c r="E297" s="197">
        <f t="shared" ca="1" si="49"/>
        <v>6.8226208579067545E-4</v>
      </c>
      <c r="F297" s="137">
        <f t="shared" ca="1" si="50"/>
        <v>0.57132751657705771</v>
      </c>
      <c r="G297" s="137">
        <f t="shared" ca="1" si="51"/>
        <v>-13.617918415996815</v>
      </c>
      <c r="H297" s="152">
        <f t="shared" ca="1" si="52"/>
        <v>-1.7210496525959942</v>
      </c>
      <c r="I297" s="152">
        <f t="shared" ca="1" si="53"/>
        <v>0.95670082466870765</v>
      </c>
      <c r="J297" s="190">
        <f t="shared" ca="1" si="54"/>
        <v>0</v>
      </c>
      <c r="K297" s="187" t="str" cm="1">
        <f t="array" aca="1" ref="K297" ca="1">_xlfn.IFS(G297&lt;$B$11,"Fail",G297&lt;25,"Marginal",G297&lt;35,"Solid",TRUE,"Blowout")</f>
        <v>Fail</v>
      </c>
      <c r="L297" s="193">
        <f t="shared" ca="1" si="44"/>
        <v>1</v>
      </c>
      <c r="M297" s="184" t="str" cm="1">
        <f t="array" aca="1" ref="M297" ca="1">_xlfn.IFS(C297&lt;$B$11,"Fail",C297&lt;25,"Marginal",C297&lt;35,"Solid",TRUE,"Blowout")</f>
        <v>Solid</v>
      </c>
    </row>
    <row r="298" spans="1:13" x14ac:dyDescent="0.25">
      <c r="A298" s="138">
        <f t="shared" ca="1" si="45"/>
        <v>9.3901897944733328</v>
      </c>
      <c r="B298" s="137">
        <f t="shared" ca="1" si="46"/>
        <v>-0.19184096843020626</v>
      </c>
      <c r="C298" s="137">
        <f t="shared" ca="1" si="47"/>
        <v>9.5820307629035391</v>
      </c>
      <c r="D298" s="152">
        <f t="shared" ca="1" si="48"/>
        <v>1.2109890962694634</v>
      </c>
      <c r="E298" s="197">
        <f t="shared" ca="1" si="49"/>
        <v>0.11357666170703626</v>
      </c>
      <c r="F298" s="137">
        <f t="shared" ca="1" si="50"/>
        <v>2.3638601723539034</v>
      </c>
      <c r="G298" s="137">
        <f t="shared" ca="1" si="51"/>
        <v>2.5557011407841097</v>
      </c>
      <c r="H298" s="152">
        <f t="shared" ca="1" si="52"/>
        <v>0.32299272371310606</v>
      </c>
      <c r="I298" s="152">
        <f t="shared" ca="1" si="53"/>
        <v>0.37349838637944477</v>
      </c>
      <c r="J298" s="190">
        <f t="shared" ca="1" si="54"/>
        <v>0</v>
      </c>
      <c r="K298" s="187" t="str" cm="1">
        <f t="array" aca="1" ref="K298" ca="1">_xlfn.IFS(G298&lt;$B$11,"Fail",G298&lt;25,"Marginal",G298&lt;35,"Solid",TRUE,"Blowout")</f>
        <v>Fail</v>
      </c>
      <c r="L298" s="193">
        <f t="shared" ca="1" si="44"/>
        <v>0</v>
      </c>
      <c r="M298" s="184" t="str" cm="1">
        <f t="array" aca="1" ref="M298" ca="1">_xlfn.IFS(C298&lt;$B$11,"Fail",C298&lt;25,"Marginal",C298&lt;35,"Solid",TRUE,"Blowout")</f>
        <v>Fail</v>
      </c>
    </row>
    <row r="299" spans="1:13" x14ac:dyDescent="0.25">
      <c r="A299" s="138">
        <f t="shared" ca="1" si="45"/>
        <v>20.947998984646663</v>
      </c>
      <c r="B299" s="137">
        <f t="shared" ca="1" si="46"/>
        <v>6.4675046065987996</v>
      </c>
      <c r="C299" s="137">
        <f t="shared" ca="1" si="47"/>
        <v>14.480494378047863</v>
      </c>
      <c r="D299" s="152">
        <f t="shared" ca="1" si="48"/>
        <v>1.8300630872837613</v>
      </c>
      <c r="E299" s="197">
        <f t="shared" ca="1" si="49"/>
        <v>3.4273059842112263E-2</v>
      </c>
      <c r="F299" s="137">
        <f t="shared" ca="1" si="50"/>
        <v>34.983588473927313</v>
      </c>
      <c r="G299" s="137">
        <f t="shared" ca="1" si="51"/>
        <v>28.516083867328511</v>
      </c>
      <c r="H299" s="152">
        <f t="shared" ca="1" si="52"/>
        <v>3.6038985353013326</v>
      </c>
      <c r="I299" s="152">
        <f t="shared" ca="1" si="53"/>
        <v>1.9245262436063231E-4</v>
      </c>
      <c r="J299" s="190">
        <f t="shared" ca="1" si="54"/>
        <v>1</v>
      </c>
      <c r="K299" s="187" t="str" cm="1">
        <f t="array" aca="1" ref="K299" ca="1">_xlfn.IFS(G299&lt;$B$11,"Fail",G299&lt;25,"Marginal",G299&lt;35,"Solid",TRUE,"Blowout")</f>
        <v>Solid</v>
      </c>
      <c r="L299" s="193">
        <f t="shared" ca="1" si="44"/>
        <v>0</v>
      </c>
      <c r="M299" s="184" t="str" cm="1">
        <f t="array" aca="1" ref="M299" ca="1">_xlfn.IFS(C299&lt;$B$11,"Fail",C299&lt;25,"Marginal",C299&lt;35,"Solid",TRUE,"Blowout")</f>
        <v>Fail</v>
      </c>
    </row>
    <row r="300" spans="1:13" x14ac:dyDescent="0.25">
      <c r="A300" s="138">
        <f t="shared" ca="1" si="45"/>
        <v>17.34515349802507</v>
      </c>
      <c r="B300" s="137">
        <f t="shared" ca="1" si="46"/>
        <v>11.873032140328348</v>
      </c>
      <c r="C300" s="137">
        <f t="shared" ca="1" si="47"/>
        <v>5.4721213576967216</v>
      </c>
      <c r="D300" s="152">
        <f t="shared" ca="1" si="48"/>
        <v>0.69157357783580842</v>
      </c>
      <c r="E300" s="197">
        <f t="shared" ca="1" si="49"/>
        <v>0.24495437813840615</v>
      </c>
      <c r="F300" s="137">
        <f t="shared" ca="1" si="50"/>
        <v>28.093775845897461</v>
      </c>
      <c r="G300" s="137">
        <f t="shared" ca="1" si="51"/>
        <v>16.220743705569113</v>
      </c>
      <c r="H300" s="152">
        <f t="shared" ca="1" si="52"/>
        <v>2.0499979854868964</v>
      </c>
      <c r="I300" s="152">
        <f t="shared" ca="1" si="53"/>
        <v>2.075438078201761E-2</v>
      </c>
      <c r="J300" s="190">
        <f t="shared" ca="1" si="54"/>
        <v>0</v>
      </c>
      <c r="K300" s="187" t="str" cm="1">
        <f t="array" aca="1" ref="K300" ca="1">_xlfn.IFS(G300&lt;$B$11,"Fail",G300&lt;25,"Marginal",G300&lt;35,"Solid",TRUE,"Blowout")</f>
        <v>Fail</v>
      </c>
      <c r="L300" s="193">
        <f t="shared" ca="1" si="44"/>
        <v>0</v>
      </c>
      <c r="M300" s="184" t="str" cm="1">
        <f t="array" aca="1" ref="M300" ca="1">_xlfn.IFS(C300&lt;$B$11,"Fail",C300&lt;25,"Marginal",C300&lt;35,"Solid",TRUE,"Blowout")</f>
        <v>Fail</v>
      </c>
    </row>
    <row r="301" spans="1:13" x14ac:dyDescent="0.25">
      <c r="A301" s="138">
        <f t="shared" ca="1" si="45"/>
        <v>20.973828875921718</v>
      </c>
      <c r="B301" s="137">
        <f t="shared" ca="1" si="46"/>
        <v>-2.4343603076469211</v>
      </c>
      <c r="C301" s="137">
        <f t="shared" ca="1" si="47"/>
        <v>23.408189183568638</v>
      </c>
      <c r="D301" s="152">
        <f t="shared" ca="1" si="48"/>
        <v>2.9583563824965959</v>
      </c>
      <c r="E301" s="197">
        <f t="shared" ca="1" si="49"/>
        <v>1.7093693088759473E-3</v>
      </c>
      <c r="F301" s="137">
        <f t="shared" ca="1" si="50"/>
        <v>19.992236309093332</v>
      </c>
      <c r="G301" s="137">
        <f t="shared" ca="1" si="51"/>
        <v>22.426596616740255</v>
      </c>
      <c r="H301" s="152">
        <f t="shared" ca="1" si="52"/>
        <v>2.8343014796454882</v>
      </c>
      <c r="I301" s="152">
        <f t="shared" ca="1" si="53"/>
        <v>2.5023512325556062E-3</v>
      </c>
      <c r="J301" s="190">
        <f t="shared" ca="1" si="54"/>
        <v>1</v>
      </c>
      <c r="K301" s="187" t="str" cm="1">
        <f t="array" aca="1" ref="K301" ca="1">_xlfn.IFS(G301&lt;$B$11,"Fail",G301&lt;25,"Marginal",G301&lt;35,"Solid",TRUE,"Blowout")</f>
        <v>Marginal</v>
      </c>
      <c r="L301" s="193">
        <f t="shared" ca="1" si="44"/>
        <v>1</v>
      </c>
      <c r="M301" s="184" t="str" cm="1">
        <f t="array" aca="1" ref="M301" ca="1">_xlfn.IFS(C301&lt;$B$11,"Fail",C301&lt;25,"Marginal",C301&lt;35,"Solid",TRUE,"Blowout")</f>
        <v>Marginal</v>
      </c>
    </row>
    <row r="302" spans="1:13" x14ac:dyDescent="0.25">
      <c r="A302" s="138">
        <f t="shared" ca="1" si="45"/>
        <v>3.406944802818014</v>
      </c>
      <c r="B302" s="137">
        <f t="shared" ca="1" si="46"/>
        <v>10.200203487851301</v>
      </c>
      <c r="C302" s="137">
        <f t="shared" ca="1" si="47"/>
        <v>-6.7932586850332868</v>
      </c>
      <c r="D302" s="152">
        <f t="shared" ca="1" si="48"/>
        <v>-0.85854057446381404</v>
      </c>
      <c r="E302" s="197">
        <f t="shared" ca="1" si="49"/>
        <v>0.80425214845157678</v>
      </c>
      <c r="F302" s="137">
        <f t="shared" ca="1" si="50"/>
        <v>1.2866005894182422</v>
      </c>
      <c r="G302" s="137">
        <f t="shared" ca="1" si="51"/>
        <v>-8.9136028984330586</v>
      </c>
      <c r="H302" s="152">
        <f t="shared" ca="1" si="52"/>
        <v>-1.1265123422759129</v>
      </c>
      <c r="I302" s="152">
        <f t="shared" ca="1" si="53"/>
        <v>0.86943350931021457</v>
      </c>
      <c r="J302" s="190">
        <f t="shared" ca="1" si="54"/>
        <v>0</v>
      </c>
      <c r="K302" s="187" t="str" cm="1">
        <f t="array" aca="1" ref="K302" ca="1">_xlfn.IFS(G302&lt;$B$11,"Fail",G302&lt;25,"Marginal",G302&lt;35,"Solid",TRUE,"Blowout")</f>
        <v>Fail</v>
      </c>
      <c r="L302" s="193">
        <f t="shared" ca="1" si="44"/>
        <v>0</v>
      </c>
      <c r="M302" s="184" t="str" cm="1">
        <f t="array" aca="1" ref="M302" ca="1">_xlfn.IFS(C302&lt;$B$11,"Fail",C302&lt;25,"Marginal",C302&lt;35,"Solid",TRUE,"Blowout")</f>
        <v>Fail</v>
      </c>
    </row>
    <row r="303" spans="1:13" x14ac:dyDescent="0.25">
      <c r="A303" s="138">
        <f t="shared" ca="1" si="45"/>
        <v>9.0897597644248265</v>
      </c>
      <c r="B303" s="137">
        <f t="shared" ca="1" si="46"/>
        <v>6.3193100077910405</v>
      </c>
      <c r="C303" s="137">
        <f t="shared" ca="1" si="47"/>
        <v>2.770449756633786</v>
      </c>
      <c r="D303" s="152">
        <f t="shared" ca="1" si="48"/>
        <v>0.35013292380928218</v>
      </c>
      <c r="E303" s="197">
        <f t="shared" ca="1" si="49"/>
        <v>0.36328108823754224</v>
      </c>
      <c r="F303" s="137">
        <f t="shared" ca="1" si="50"/>
        <v>16.379544865612058</v>
      </c>
      <c r="G303" s="137">
        <f t="shared" ca="1" si="51"/>
        <v>10.060234857821017</v>
      </c>
      <c r="H303" s="152">
        <f t="shared" ca="1" si="52"/>
        <v>1.271425131079374</v>
      </c>
      <c r="I303" s="152">
        <f t="shared" ca="1" si="53"/>
        <v>0.10243646219435293</v>
      </c>
      <c r="J303" s="190">
        <f t="shared" ca="1" si="54"/>
        <v>0</v>
      </c>
      <c r="K303" s="187" t="str" cm="1">
        <f t="array" aca="1" ref="K303" ca="1">_xlfn.IFS(G303&lt;$B$11,"Fail",G303&lt;25,"Marginal",G303&lt;35,"Solid",TRUE,"Blowout")</f>
        <v>Fail</v>
      </c>
      <c r="L303" s="193">
        <f t="shared" ca="1" si="44"/>
        <v>0</v>
      </c>
      <c r="M303" s="184" t="str" cm="1">
        <f t="array" aca="1" ref="M303" ca="1">_xlfn.IFS(C303&lt;$B$11,"Fail",C303&lt;25,"Marginal",C303&lt;35,"Solid",TRUE,"Blowout")</f>
        <v>Fail</v>
      </c>
    </row>
    <row r="304" spans="1:13" x14ac:dyDescent="0.25">
      <c r="A304" s="138">
        <f t="shared" ca="1" si="45"/>
        <v>54.526153401481572</v>
      </c>
      <c r="B304" s="137">
        <f t="shared" ca="1" si="46"/>
        <v>2.7717322841221144</v>
      </c>
      <c r="C304" s="137">
        <f t="shared" ca="1" si="47"/>
        <v>51.754421117359456</v>
      </c>
      <c r="D304" s="152">
        <f t="shared" ca="1" si="48"/>
        <v>6.5407888168654678</v>
      </c>
      <c r="E304" s="197">
        <f t="shared" ca="1" si="49"/>
        <v>1.9885440060883122E-10</v>
      </c>
      <c r="F304" s="137">
        <f t="shared" ca="1" si="50"/>
        <v>13.197127321233056</v>
      </c>
      <c r="G304" s="137">
        <f t="shared" ca="1" si="51"/>
        <v>10.425395037110942</v>
      </c>
      <c r="H304" s="152">
        <f t="shared" ca="1" si="52"/>
        <v>1.3175745336907578</v>
      </c>
      <c r="I304" s="152">
        <f t="shared" ca="1" si="53"/>
        <v>9.4484272439229647E-2</v>
      </c>
      <c r="J304" s="190">
        <f t="shared" ca="1" si="54"/>
        <v>0</v>
      </c>
      <c r="K304" s="187" t="str" cm="1">
        <f t="array" aca="1" ref="K304" ca="1">_xlfn.IFS(G304&lt;$B$11,"Fail",G304&lt;25,"Marginal",G304&lt;35,"Solid",TRUE,"Blowout")</f>
        <v>Fail</v>
      </c>
      <c r="L304" s="193">
        <f t="shared" ca="1" si="44"/>
        <v>1</v>
      </c>
      <c r="M304" s="184" t="str" cm="1">
        <f t="array" aca="1" ref="M304" ca="1">_xlfn.IFS(C304&lt;$B$11,"Fail",C304&lt;25,"Marginal",C304&lt;35,"Solid",TRUE,"Blowout")</f>
        <v>Blowout</v>
      </c>
    </row>
    <row r="305" spans="1:13" x14ac:dyDescent="0.25">
      <c r="A305" s="138">
        <f t="shared" ca="1" si="45"/>
        <v>46.788176894510578</v>
      </c>
      <c r="B305" s="137">
        <f t="shared" ca="1" si="46"/>
        <v>4.6280961094872648</v>
      </c>
      <c r="C305" s="137">
        <f t="shared" ca="1" si="47"/>
        <v>42.160080785023311</v>
      </c>
      <c r="D305" s="152">
        <f t="shared" ca="1" si="48"/>
        <v>5.3282440217330489</v>
      </c>
      <c r="E305" s="197">
        <f t="shared" ca="1" si="49"/>
        <v>1.1888098999385406E-7</v>
      </c>
      <c r="F305" s="137">
        <f t="shared" ca="1" si="50"/>
        <v>42.766601088085253</v>
      </c>
      <c r="G305" s="137">
        <f t="shared" ca="1" si="51"/>
        <v>38.138504978597986</v>
      </c>
      <c r="H305" s="152">
        <f t="shared" ca="1" si="52"/>
        <v>4.8199922145841416</v>
      </c>
      <c r="I305" s="152">
        <f t="shared" ca="1" si="53"/>
        <v>1.3107834744274782E-6</v>
      </c>
      <c r="J305" s="190">
        <f t="shared" ca="1" si="54"/>
        <v>1</v>
      </c>
      <c r="K305" s="187" t="str" cm="1">
        <f t="array" aca="1" ref="K305" ca="1">_xlfn.IFS(G305&lt;$B$11,"Fail",G305&lt;25,"Marginal",G305&lt;35,"Solid",TRUE,"Blowout")</f>
        <v>Blowout</v>
      </c>
      <c r="L305" s="193">
        <f t="shared" ca="1" si="44"/>
        <v>1</v>
      </c>
      <c r="M305" s="184" t="str" cm="1">
        <f t="array" aca="1" ref="M305" ca="1">_xlfn.IFS(C305&lt;$B$11,"Fail",C305&lt;25,"Marginal",C305&lt;35,"Solid",TRUE,"Blowout")</f>
        <v>Blowout</v>
      </c>
    </row>
    <row r="306" spans="1:13" x14ac:dyDescent="0.25">
      <c r="A306" s="138">
        <f t="shared" ca="1" si="45"/>
        <v>17.397254388711147</v>
      </c>
      <c r="B306" s="137">
        <f t="shared" ca="1" si="46"/>
        <v>5.1756832697790118</v>
      </c>
      <c r="C306" s="137">
        <f t="shared" ca="1" si="47"/>
        <v>12.221571118932136</v>
      </c>
      <c r="D306" s="152">
        <f t="shared" ca="1" si="48"/>
        <v>1.544577525424669</v>
      </c>
      <c r="E306" s="197">
        <f t="shared" ca="1" si="49"/>
        <v>6.1917656623948845E-2</v>
      </c>
      <c r="F306" s="137">
        <f t="shared" ca="1" si="50"/>
        <v>4.5505436961140209</v>
      </c>
      <c r="G306" s="137">
        <f t="shared" ca="1" si="51"/>
        <v>-0.62513957366499096</v>
      </c>
      <c r="H306" s="152">
        <f t="shared" ca="1" si="52"/>
        <v>-7.9005925370818589E-2</v>
      </c>
      <c r="I306" s="152">
        <f t="shared" ca="1" si="53"/>
        <v>0.53145139672416075</v>
      </c>
      <c r="J306" s="190">
        <f t="shared" ca="1" si="54"/>
        <v>0</v>
      </c>
      <c r="K306" s="187" t="str" cm="1">
        <f t="array" aca="1" ref="K306" ca="1">_xlfn.IFS(G306&lt;$B$11,"Fail",G306&lt;25,"Marginal",G306&lt;35,"Solid",TRUE,"Blowout")</f>
        <v>Fail</v>
      </c>
      <c r="L306" s="193">
        <f t="shared" ca="1" si="44"/>
        <v>0</v>
      </c>
      <c r="M306" s="184" t="str" cm="1">
        <f t="array" aca="1" ref="M306" ca="1">_xlfn.IFS(C306&lt;$B$11,"Fail",C306&lt;25,"Marginal",C306&lt;35,"Solid",TRUE,"Blowout")</f>
        <v>Fail</v>
      </c>
    </row>
    <row r="307" spans="1:13" x14ac:dyDescent="0.25">
      <c r="A307" s="138">
        <f t="shared" ca="1" si="45"/>
        <v>32.871157053382504</v>
      </c>
      <c r="B307" s="137">
        <f t="shared" ca="1" si="46"/>
        <v>15.942048816406137</v>
      </c>
      <c r="C307" s="137">
        <f t="shared" ca="1" si="47"/>
        <v>16.929108236976369</v>
      </c>
      <c r="D307" s="152">
        <f t="shared" ca="1" si="48"/>
        <v>2.1395219856643157</v>
      </c>
      <c r="E307" s="197">
        <f t="shared" ca="1" si="49"/>
        <v>1.6727944314639746E-2</v>
      </c>
      <c r="F307" s="137">
        <f t="shared" ca="1" si="50"/>
        <v>37.378072482443429</v>
      </c>
      <c r="G307" s="137">
        <f t="shared" ca="1" si="51"/>
        <v>21.436023666037293</v>
      </c>
      <c r="H307" s="152">
        <f t="shared" ca="1" si="52"/>
        <v>2.7091116245883682</v>
      </c>
      <c r="I307" s="152">
        <f t="shared" ca="1" si="53"/>
        <v>3.6292620775365955E-3</v>
      </c>
      <c r="J307" s="190">
        <f t="shared" ca="1" si="54"/>
        <v>1</v>
      </c>
      <c r="K307" s="187" t="str" cm="1">
        <f t="array" aca="1" ref="K307" ca="1">_xlfn.IFS(G307&lt;$B$11,"Fail",G307&lt;25,"Marginal",G307&lt;35,"Solid",TRUE,"Blowout")</f>
        <v>Marginal</v>
      </c>
      <c r="L307" s="193">
        <f t="shared" ca="1" si="44"/>
        <v>0</v>
      </c>
      <c r="M307" s="184" t="str" cm="1">
        <f t="array" aca="1" ref="M307" ca="1">_xlfn.IFS(C307&lt;$B$11,"Fail",C307&lt;25,"Marginal",C307&lt;35,"Solid",TRUE,"Blowout")</f>
        <v>Fail</v>
      </c>
    </row>
    <row r="308" spans="1:13" x14ac:dyDescent="0.25">
      <c r="A308" s="138">
        <f t="shared" ca="1" si="45"/>
        <v>30.647645940020045</v>
      </c>
      <c r="B308" s="137">
        <f t="shared" ca="1" si="46"/>
        <v>13.799167093612127</v>
      </c>
      <c r="C308" s="137">
        <f t="shared" ca="1" si="47"/>
        <v>16.848478846407918</v>
      </c>
      <c r="D308" s="152">
        <f t="shared" ca="1" si="48"/>
        <v>2.1293319419008103</v>
      </c>
      <c r="E308" s="197">
        <f t="shared" ca="1" si="49"/>
        <v>1.7149446123649412E-2</v>
      </c>
      <c r="F308" s="137">
        <f t="shared" ca="1" si="50"/>
        <v>60.675885859115006</v>
      </c>
      <c r="G308" s="137">
        <f t="shared" ca="1" si="51"/>
        <v>46.876718765502879</v>
      </c>
      <c r="H308" s="152">
        <f t="shared" ca="1" si="52"/>
        <v>5.9243386604107053</v>
      </c>
      <c r="I308" s="152">
        <f t="shared" ca="1" si="53"/>
        <v>5.7357402760921898E-9</v>
      </c>
      <c r="J308" s="190">
        <f t="shared" ca="1" si="54"/>
        <v>1</v>
      </c>
      <c r="K308" s="187" t="str" cm="1">
        <f t="array" aca="1" ref="K308" ca="1">_xlfn.IFS(G308&lt;$B$11,"Fail",G308&lt;25,"Marginal",G308&lt;35,"Solid",TRUE,"Blowout")</f>
        <v>Blowout</v>
      </c>
      <c r="L308" s="193">
        <f t="shared" ca="1" si="44"/>
        <v>0</v>
      </c>
      <c r="M308" s="184" t="str" cm="1">
        <f t="array" aca="1" ref="M308" ca="1">_xlfn.IFS(C308&lt;$B$11,"Fail",C308&lt;25,"Marginal",C308&lt;35,"Solid",TRUE,"Blowout")</f>
        <v>Fail</v>
      </c>
    </row>
    <row r="309" spans="1:13" x14ac:dyDescent="0.25">
      <c r="A309" s="138">
        <f t="shared" ca="1" si="45"/>
        <v>5.1516589227384229</v>
      </c>
      <c r="B309" s="137">
        <f t="shared" ca="1" si="46"/>
        <v>10.553821310407123</v>
      </c>
      <c r="C309" s="137">
        <f t="shared" ca="1" si="47"/>
        <v>-5.4021623876687004</v>
      </c>
      <c r="D309" s="152">
        <f t="shared" ca="1" si="48"/>
        <v>-0.68273207523719803</v>
      </c>
      <c r="E309" s="197">
        <f t="shared" ca="1" si="49"/>
        <v>0.75226537331663512</v>
      </c>
      <c r="F309" s="137">
        <f t="shared" ca="1" si="50"/>
        <v>32.323006282627979</v>
      </c>
      <c r="G309" s="137">
        <f t="shared" ca="1" si="51"/>
        <v>21.769184972220856</v>
      </c>
      <c r="H309" s="152">
        <f t="shared" ca="1" si="52"/>
        <v>2.7512169693811597</v>
      </c>
      <c r="I309" s="152">
        <f t="shared" ca="1" si="53"/>
        <v>3.2072688068087198E-3</v>
      </c>
      <c r="J309" s="190">
        <f t="shared" ca="1" si="54"/>
        <v>1</v>
      </c>
      <c r="K309" s="187" t="str" cm="1">
        <f t="array" aca="1" ref="K309" ca="1">_xlfn.IFS(G309&lt;$B$11,"Fail",G309&lt;25,"Marginal",G309&lt;35,"Solid",TRUE,"Blowout")</f>
        <v>Marginal</v>
      </c>
      <c r="L309" s="193">
        <f t="shared" ca="1" si="44"/>
        <v>0</v>
      </c>
      <c r="M309" s="184" t="str" cm="1">
        <f t="array" aca="1" ref="M309" ca="1">_xlfn.IFS(C309&lt;$B$11,"Fail",C309&lt;25,"Marginal",C309&lt;35,"Solid",TRUE,"Blowout")</f>
        <v>Fail</v>
      </c>
    </row>
    <row r="310" spans="1:13" x14ac:dyDescent="0.25">
      <c r="A310" s="138">
        <f t="shared" ca="1" si="45"/>
        <v>14.734840945433977</v>
      </c>
      <c r="B310" s="137">
        <f t="shared" ca="1" si="46"/>
        <v>-8.0048439063216321</v>
      </c>
      <c r="C310" s="137">
        <f t="shared" ca="1" si="47"/>
        <v>22.739684851755609</v>
      </c>
      <c r="D310" s="152">
        <f t="shared" ca="1" si="48"/>
        <v>2.8738699644641441</v>
      </c>
      <c r="E310" s="197">
        <f t="shared" ca="1" si="49"/>
        <v>2.218965672669825E-3</v>
      </c>
      <c r="F310" s="137">
        <f t="shared" ca="1" si="50"/>
        <v>37.011321310605169</v>
      </c>
      <c r="G310" s="137">
        <f t="shared" ca="1" si="51"/>
        <v>45.016165216926801</v>
      </c>
      <c r="H310" s="152">
        <f t="shared" ca="1" si="52"/>
        <v>5.6891995634800301</v>
      </c>
      <c r="I310" s="152">
        <f t="shared" ca="1" si="53"/>
        <v>1.9479056512562705E-8</v>
      </c>
      <c r="J310" s="190">
        <f t="shared" ca="1" si="54"/>
        <v>1</v>
      </c>
      <c r="K310" s="187" t="str" cm="1">
        <f t="array" aca="1" ref="K310" ca="1">_xlfn.IFS(G310&lt;$B$11,"Fail",G310&lt;25,"Marginal",G310&lt;35,"Solid",TRUE,"Blowout")</f>
        <v>Blowout</v>
      </c>
      <c r="L310" s="193">
        <f t="shared" ca="1" si="44"/>
        <v>1</v>
      </c>
      <c r="M310" s="184" t="str" cm="1">
        <f t="array" aca="1" ref="M310" ca="1">_xlfn.IFS(C310&lt;$B$11,"Fail",C310&lt;25,"Marginal",C310&lt;35,"Solid",TRUE,"Blowout")</f>
        <v>Marginal</v>
      </c>
    </row>
    <row r="311" spans="1:13" x14ac:dyDescent="0.25">
      <c r="A311" s="138">
        <f t="shared" ca="1" si="45"/>
        <v>67.359956123496161</v>
      </c>
      <c r="B311" s="137">
        <f t="shared" ca="1" si="46"/>
        <v>-5.8953363518753683</v>
      </c>
      <c r="C311" s="137">
        <f t="shared" ca="1" si="47"/>
        <v>73.255292475371533</v>
      </c>
      <c r="D311" s="152">
        <f t="shared" ca="1" si="48"/>
        <v>9.258095974305153</v>
      </c>
      <c r="E311" s="197">
        <f t="shared" ca="1" si="49"/>
        <v>7.9121361560738904E-18</v>
      </c>
      <c r="F311" s="137">
        <f t="shared" ca="1" si="50"/>
        <v>-2.9109780086770871</v>
      </c>
      <c r="G311" s="137">
        <f t="shared" ca="1" si="51"/>
        <v>2.9843583431982812</v>
      </c>
      <c r="H311" s="152">
        <f t="shared" ca="1" si="52"/>
        <v>0.37716695994814364</v>
      </c>
      <c r="I311" s="152">
        <f t="shared" ca="1" si="53"/>
        <v>0.35320017574347085</v>
      </c>
      <c r="J311" s="190">
        <f t="shared" ca="1" si="54"/>
        <v>0</v>
      </c>
      <c r="K311" s="187" t="str" cm="1">
        <f t="array" aca="1" ref="K311" ca="1">_xlfn.IFS(G311&lt;$B$11,"Fail",G311&lt;25,"Marginal",G311&lt;35,"Solid",TRUE,"Blowout")</f>
        <v>Fail</v>
      </c>
      <c r="L311" s="193">
        <f t="shared" ca="1" si="44"/>
        <v>1</v>
      </c>
      <c r="M311" s="184" t="str" cm="1">
        <f t="array" aca="1" ref="M311" ca="1">_xlfn.IFS(C311&lt;$B$11,"Fail",C311&lt;25,"Marginal",C311&lt;35,"Solid",TRUE,"Blowout")</f>
        <v>Blowout</v>
      </c>
    </row>
    <row r="312" spans="1:13" x14ac:dyDescent="0.25">
      <c r="A312" s="138">
        <f t="shared" ca="1" si="45"/>
        <v>52.158251539273209</v>
      </c>
      <c r="B312" s="137">
        <f t="shared" ca="1" si="46"/>
        <v>1.8170869985774996</v>
      </c>
      <c r="C312" s="137">
        <f t="shared" ca="1" si="47"/>
        <v>50.341164540695708</v>
      </c>
      <c r="D312" s="152">
        <f t="shared" ca="1" si="48"/>
        <v>6.3621796736766694</v>
      </c>
      <c r="E312" s="197">
        <f t="shared" ca="1" si="49"/>
        <v>5.3871733602591819E-10</v>
      </c>
      <c r="F312" s="137">
        <f t="shared" ca="1" si="50"/>
        <v>9.7797895698305872</v>
      </c>
      <c r="G312" s="137">
        <f t="shared" ca="1" si="51"/>
        <v>7.9627025712530877</v>
      </c>
      <c r="H312" s="152">
        <f t="shared" ca="1" si="52"/>
        <v>1.0063363632640199</v>
      </c>
      <c r="I312" s="152">
        <f t="shared" ca="1" si="53"/>
        <v>0.15766029773386858</v>
      </c>
      <c r="J312" s="190">
        <f t="shared" ca="1" si="54"/>
        <v>0</v>
      </c>
      <c r="K312" s="187" t="str" cm="1">
        <f t="array" aca="1" ref="K312" ca="1">_xlfn.IFS(G312&lt;$B$11,"Fail",G312&lt;25,"Marginal",G312&lt;35,"Solid",TRUE,"Blowout")</f>
        <v>Fail</v>
      </c>
      <c r="L312" s="193">
        <f t="shared" ca="1" si="44"/>
        <v>1</v>
      </c>
      <c r="M312" s="184" t="str" cm="1">
        <f t="array" aca="1" ref="M312" ca="1">_xlfn.IFS(C312&lt;$B$11,"Fail",C312&lt;25,"Marginal",C312&lt;35,"Solid",TRUE,"Blowout")</f>
        <v>Blowout</v>
      </c>
    </row>
    <row r="313" spans="1:13" x14ac:dyDescent="0.25">
      <c r="A313" s="138">
        <f t="shared" ca="1" si="45"/>
        <v>32.514150905173025</v>
      </c>
      <c r="B313" s="137">
        <f t="shared" ca="1" si="46"/>
        <v>4.8766738772474927</v>
      </c>
      <c r="C313" s="137">
        <f t="shared" ca="1" si="47"/>
        <v>27.637477027925534</v>
      </c>
      <c r="D313" s="152">
        <f t="shared" ca="1" si="48"/>
        <v>3.4928590981765897</v>
      </c>
      <c r="E313" s="197">
        <f t="shared" ca="1" si="49"/>
        <v>2.8692722720314966E-4</v>
      </c>
      <c r="F313" s="137">
        <f t="shared" ca="1" si="50"/>
        <v>32.123496140657068</v>
      </c>
      <c r="G313" s="137">
        <f t="shared" ca="1" si="51"/>
        <v>27.246822263409577</v>
      </c>
      <c r="H313" s="152">
        <f t="shared" ca="1" si="52"/>
        <v>3.4434876578274265</v>
      </c>
      <c r="I313" s="152">
        <f t="shared" ca="1" si="53"/>
        <v>3.4161110814303399E-4</v>
      </c>
      <c r="J313" s="190">
        <f t="shared" ca="1" si="54"/>
        <v>1</v>
      </c>
      <c r="K313" s="187" t="str" cm="1">
        <f t="array" aca="1" ref="K313" ca="1">_xlfn.IFS(G313&lt;$B$11,"Fail",G313&lt;25,"Marginal",G313&lt;35,"Solid",TRUE,"Blowout")</f>
        <v>Solid</v>
      </c>
      <c r="L313" s="193">
        <f t="shared" ca="1" si="44"/>
        <v>1</v>
      </c>
      <c r="M313" s="184" t="str" cm="1">
        <f t="array" aca="1" ref="M313" ca="1">_xlfn.IFS(C313&lt;$B$11,"Fail",C313&lt;25,"Marginal",C313&lt;35,"Solid",TRUE,"Blowout")</f>
        <v>Solid</v>
      </c>
    </row>
    <row r="314" spans="1:13" x14ac:dyDescent="0.25">
      <c r="A314" s="138">
        <f t="shared" ca="1" si="45"/>
        <v>28.714597155379497</v>
      </c>
      <c r="B314" s="137">
        <f t="shared" ca="1" si="46"/>
        <v>4.0351589335245865</v>
      </c>
      <c r="C314" s="137">
        <f t="shared" ca="1" si="47"/>
        <v>24.679438221854909</v>
      </c>
      <c r="D314" s="152">
        <f t="shared" ca="1" si="48"/>
        <v>3.1190184344248477</v>
      </c>
      <c r="E314" s="197">
        <f t="shared" ca="1" si="49"/>
        <v>1.0241960067078437E-3</v>
      </c>
      <c r="F314" s="137">
        <f t="shared" ca="1" si="50"/>
        <v>13.324965732279352</v>
      </c>
      <c r="G314" s="137">
        <f t="shared" ca="1" si="51"/>
        <v>9.2898067987547659</v>
      </c>
      <c r="H314" s="152">
        <f t="shared" ca="1" si="52"/>
        <v>1.1740574642376778</v>
      </c>
      <c r="I314" s="152">
        <f t="shared" ca="1" si="53"/>
        <v>0.12079844124563084</v>
      </c>
      <c r="J314" s="190">
        <f t="shared" ca="1" si="54"/>
        <v>0</v>
      </c>
      <c r="K314" s="187" t="str" cm="1">
        <f t="array" aca="1" ref="K314" ca="1">_xlfn.IFS(G314&lt;$B$11,"Fail",G314&lt;25,"Marginal",G314&lt;35,"Solid",TRUE,"Blowout")</f>
        <v>Fail</v>
      </c>
      <c r="L314" s="193">
        <f t="shared" ca="1" si="44"/>
        <v>1</v>
      </c>
      <c r="M314" s="184" t="str" cm="1">
        <f t="array" aca="1" ref="M314" ca="1">_xlfn.IFS(C314&lt;$B$11,"Fail",C314&lt;25,"Marginal",C314&lt;35,"Solid",TRUE,"Blowout")</f>
        <v>Marginal</v>
      </c>
    </row>
    <row r="315" spans="1:13" x14ac:dyDescent="0.25">
      <c r="A315" s="138">
        <f t="shared" ca="1" si="45"/>
        <v>24.919331101468121</v>
      </c>
      <c r="B315" s="137">
        <f t="shared" ca="1" si="46"/>
        <v>14.060161480676026</v>
      </c>
      <c r="C315" s="137">
        <f t="shared" ca="1" si="47"/>
        <v>10.859169620792095</v>
      </c>
      <c r="D315" s="152">
        <f t="shared" ca="1" si="48"/>
        <v>1.3723955110049162</v>
      </c>
      <c r="E315" s="197">
        <f t="shared" ca="1" si="49"/>
        <v>8.5644461108806816E-2</v>
      </c>
      <c r="F315" s="137">
        <f t="shared" ca="1" si="50"/>
        <v>56.04748654818394</v>
      </c>
      <c r="G315" s="137">
        <f t="shared" ca="1" si="51"/>
        <v>41.987325067507911</v>
      </c>
      <c r="H315" s="152">
        <f t="shared" ca="1" si="52"/>
        <v>5.3064109369302646</v>
      </c>
      <c r="I315" s="152">
        <f t="shared" ca="1" si="53"/>
        <v>1.3226580872947117E-7</v>
      </c>
      <c r="J315" s="190">
        <f t="shared" ca="1" si="54"/>
        <v>1</v>
      </c>
      <c r="K315" s="187" t="str" cm="1">
        <f t="array" aca="1" ref="K315" ca="1">_xlfn.IFS(G315&lt;$B$11,"Fail",G315&lt;25,"Marginal",G315&lt;35,"Solid",TRUE,"Blowout")</f>
        <v>Blowout</v>
      </c>
      <c r="L315" s="193">
        <f t="shared" ca="1" si="44"/>
        <v>0</v>
      </c>
      <c r="M315" s="184" t="str" cm="1">
        <f t="array" aca="1" ref="M315" ca="1">_xlfn.IFS(C315&lt;$B$11,"Fail",C315&lt;25,"Marginal",C315&lt;35,"Solid",TRUE,"Blowout")</f>
        <v>Fail</v>
      </c>
    </row>
    <row r="316" spans="1:13" x14ac:dyDescent="0.25">
      <c r="A316" s="138">
        <f t="shared" ca="1" si="45"/>
        <v>37.527267766874644</v>
      </c>
      <c r="B316" s="137">
        <f t="shared" ca="1" si="46"/>
        <v>0.39700760946886415</v>
      </c>
      <c r="C316" s="137">
        <f t="shared" ca="1" si="47"/>
        <v>37.130260157405779</v>
      </c>
      <c r="D316" s="152">
        <f t="shared" ca="1" si="48"/>
        <v>4.6925689663139662</v>
      </c>
      <c r="E316" s="197">
        <f t="shared" ca="1" si="49"/>
        <v>2.3265579939004526E-6</v>
      </c>
      <c r="F316" s="137">
        <f t="shared" ca="1" si="50"/>
        <v>10.60891029496848</v>
      </c>
      <c r="G316" s="137">
        <f t="shared" ca="1" si="51"/>
        <v>10.211902685499616</v>
      </c>
      <c r="H316" s="152">
        <f t="shared" ca="1" si="52"/>
        <v>1.2905931018486523</v>
      </c>
      <c r="I316" s="152">
        <f t="shared" ca="1" si="53"/>
        <v>9.907600766216805E-2</v>
      </c>
      <c r="J316" s="190">
        <f t="shared" ca="1" si="54"/>
        <v>0</v>
      </c>
      <c r="K316" s="187" t="str" cm="1">
        <f t="array" aca="1" ref="K316" ca="1">_xlfn.IFS(G316&lt;$B$11,"Fail",G316&lt;25,"Marginal",G316&lt;35,"Solid",TRUE,"Blowout")</f>
        <v>Fail</v>
      </c>
      <c r="L316" s="193">
        <f t="shared" ca="1" si="44"/>
        <v>1</v>
      </c>
      <c r="M316" s="184" t="str" cm="1">
        <f t="array" aca="1" ref="M316" ca="1">_xlfn.IFS(C316&lt;$B$11,"Fail",C316&lt;25,"Marginal",C316&lt;35,"Solid",TRUE,"Blowout")</f>
        <v>Blowout</v>
      </c>
    </row>
    <row r="317" spans="1:13" x14ac:dyDescent="0.25">
      <c r="A317" s="138">
        <f t="shared" ca="1" si="45"/>
        <v>21.183584945777991</v>
      </c>
      <c r="B317" s="137">
        <f t="shared" ca="1" si="46"/>
        <v>3.8523095190294434</v>
      </c>
      <c r="C317" s="137">
        <f t="shared" ca="1" si="47"/>
        <v>17.331275426748547</v>
      </c>
      <c r="D317" s="152">
        <f t="shared" ca="1" si="48"/>
        <v>2.1903483807930937</v>
      </c>
      <c r="E317" s="197">
        <f t="shared" ca="1" si="49"/>
        <v>1.4756269484447646E-2</v>
      </c>
      <c r="F317" s="137">
        <f t="shared" ca="1" si="50"/>
        <v>2.1425267074724208</v>
      </c>
      <c r="G317" s="137">
        <f t="shared" ca="1" si="51"/>
        <v>-1.7097828115570226</v>
      </c>
      <c r="H317" s="152">
        <f t="shared" ca="1" si="52"/>
        <v>-0.21608450160695281</v>
      </c>
      <c r="I317" s="152">
        <f t="shared" ca="1" si="53"/>
        <v>0.58544246119074805</v>
      </c>
      <c r="J317" s="190">
        <f t="shared" ca="1" si="54"/>
        <v>0</v>
      </c>
      <c r="K317" s="187" t="str" cm="1">
        <f t="array" aca="1" ref="K317" ca="1">_xlfn.IFS(G317&lt;$B$11,"Fail",G317&lt;25,"Marginal",G317&lt;35,"Solid",TRUE,"Blowout")</f>
        <v>Fail</v>
      </c>
      <c r="L317" s="193">
        <f t="shared" ca="1" si="44"/>
        <v>0</v>
      </c>
      <c r="M317" s="184" t="str" cm="1">
        <f t="array" aca="1" ref="M317" ca="1">_xlfn.IFS(C317&lt;$B$11,"Fail",C317&lt;25,"Marginal",C317&lt;35,"Solid",TRUE,"Blowout")</f>
        <v>Fail</v>
      </c>
    </row>
    <row r="318" spans="1:13" x14ac:dyDescent="0.25">
      <c r="A318" s="138">
        <f t="shared" ca="1" si="45"/>
        <v>72.582936672420715</v>
      </c>
      <c r="B318" s="137">
        <f t="shared" ca="1" si="46"/>
        <v>1.1971931329397347</v>
      </c>
      <c r="C318" s="137">
        <f t="shared" ca="1" si="47"/>
        <v>71.385743539480984</v>
      </c>
      <c r="D318" s="152">
        <f t="shared" ca="1" si="48"/>
        <v>9.0218200290148669</v>
      </c>
      <c r="E318" s="197">
        <f t="shared" ca="1" si="49"/>
        <v>3.9140701477168198E-17</v>
      </c>
      <c r="F318" s="137">
        <f t="shared" ca="1" si="50"/>
        <v>3.2653173897142724</v>
      </c>
      <c r="G318" s="137">
        <f t="shared" ca="1" si="51"/>
        <v>2.0681242567745377</v>
      </c>
      <c r="H318" s="152">
        <f t="shared" ca="1" si="52"/>
        <v>0.26137214403238346</v>
      </c>
      <c r="I318" s="152">
        <f t="shared" ca="1" si="53"/>
        <v>0.39702074257228498</v>
      </c>
      <c r="J318" s="190">
        <f t="shared" ca="1" si="54"/>
        <v>0</v>
      </c>
      <c r="K318" s="187" t="str" cm="1">
        <f t="array" aca="1" ref="K318" ca="1">_xlfn.IFS(G318&lt;$B$11,"Fail",G318&lt;25,"Marginal",G318&lt;35,"Solid",TRUE,"Blowout")</f>
        <v>Fail</v>
      </c>
      <c r="L318" s="193">
        <f t="shared" ca="1" si="44"/>
        <v>1</v>
      </c>
      <c r="M318" s="184" t="str" cm="1">
        <f t="array" aca="1" ref="M318" ca="1">_xlfn.IFS(C318&lt;$B$11,"Fail",C318&lt;25,"Marginal",C318&lt;35,"Solid",TRUE,"Blowout")</f>
        <v>Blowout</v>
      </c>
    </row>
    <row r="319" spans="1:13" x14ac:dyDescent="0.25">
      <c r="A319" s="138">
        <f t="shared" ca="1" si="45"/>
        <v>35.35694790870771</v>
      </c>
      <c r="B319" s="137">
        <f t="shared" ca="1" si="46"/>
        <v>7.8892674351169152</v>
      </c>
      <c r="C319" s="137">
        <f t="shared" ca="1" si="47"/>
        <v>27.467680473590796</v>
      </c>
      <c r="D319" s="152">
        <f t="shared" ca="1" si="48"/>
        <v>3.4713999961374324</v>
      </c>
      <c r="E319" s="197">
        <f t="shared" ca="1" si="49"/>
        <v>3.0960203066748013E-4</v>
      </c>
      <c r="F319" s="137">
        <f t="shared" ca="1" si="50"/>
        <v>36.378179008772015</v>
      </c>
      <c r="G319" s="137">
        <f t="shared" ca="1" si="51"/>
        <v>28.488911573655102</v>
      </c>
      <c r="H319" s="152">
        <f t="shared" ca="1" si="52"/>
        <v>3.600464466660422</v>
      </c>
      <c r="I319" s="152">
        <f t="shared" ca="1" si="53"/>
        <v>1.9487279267220352E-4</v>
      </c>
      <c r="J319" s="190">
        <f t="shared" ca="1" si="54"/>
        <v>1</v>
      </c>
      <c r="K319" s="187" t="str" cm="1">
        <f t="array" aca="1" ref="K319" ca="1">_xlfn.IFS(G319&lt;$B$11,"Fail",G319&lt;25,"Marginal",G319&lt;35,"Solid",TRUE,"Blowout")</f>
        <v>Solid</v>
      </c>
      <c r="L319" s="193">
        <f t="shared" ca="1" si="44"/>
        <v>1</v>
      </c>
      <c r="M319" s="184" t="str" cm="1">
        <f t="array" aca="1" ref="M319" ca="1">_xlfn.IFS(C319&lt;$B$11,"Fail",C319&lt;25,"Marginal",C319&lt;35,"Solid",TRUE,"Blowout")</f>
        <v>Solid</v>
      </c>
    </row>
    <row r="320" spans="1:13" x14ac:dyDescent="0.25">
      <c r="A320" s="138">
        <f t="shared" ca="1" si="45"/>
        <v>50.402252041560303</v>
      </c>
      <c r="B320" s="137">
        <f t="shared" ca="1" si="46"/>
        <v>17.34620003883299</v>
      </c>
      <c r="C320" s="137">
        <f t="shared" ca="1" si="47"/>
        <v>33.056052002727313</v>
      </c>
      <c r="D320" s="152">
        <f t="shared" ca="1" si="48"/>
        <v>4.1776654168128671</v>
      </c>
      <c r="E320" s="197">
        <f t="shared" ca="1" si="49"/>
        <v>2.0980816695078226E-5</v>
      </c>
      <c r="F320" s="137">
        <f t="shared" ca="1" si="50"/>
        <v>22.492609808110799</v>
      </c>
      <c r="G320" s="137">
        <f t="shared" ca="1" si="51"/>
        <v>5.1464097692778097</v>
      </c>
      <c r="H320" s="152">
        <f t="shared" ca="1" si="52"/>
        <v>0.65040973774139521</v>
      </c>
      <c r="I320" s="152">
        <f t="shared" ca="1" si="53"/>
        <v>0.25804122054051237</v>
      </c>
      <c r="J320" s="190">
        <f t="shared" ca="1" si="54"/>
        <v>0</v>
      </c>
      <c r="K320" s="187" t="str" cm="1">
        <f t="array" aca="1" ref="K320" ca="1">_xlfn.IFS(G320&lt;$B$11,"Fail",G320&lt;25,"Marginal",G320&lt;35,"Solid",TRUE,"Blowout")</f>
        <v>Fail</v>
      </c>
      <c r="L320" s="193">
        <f t="shared" ca="1" si="44"/>
        <v>1</v>
      </c>
      <c r="M320" s="184" t="str" cm="1">
        <f t="array" aca="1" ref="M320" ca="1">_xlfn.IFS(C320&lt;$B$11,"Fail",C320&lt;25,"Marginal",C320&lt;35,"Solid",TRUE,"Blowout")</f>
        <v>Solid</v>
      </c>
    </row>
    <row r="321" spans="1:13" x14ac:dyDescent="0.25">
      <c r="A321" s="138">
        <f t="shared" ca="1" si="45"/>
        <v>22.881075655459679</v>
      </c>
      <c r="B321" s="137">
        <f t="shared" ca="1" si="46"/>
        <v>7.8178611636153263</v>
      </c>
      <c r="C321" s="137">
        <f t="shared" ca="1" si="47"/>
        <v>15.063214491844352</v>
      </c>
      <c r="D321" s="152">
        <f t="shared" ca="1" si="48"/>
        <v>1.9037079879781333</v>
      </c>
      <c r="E321" s="197">
        <f t="shared" ca="1" si="49"/>
        <v>2.9103733141417593E-2</v>
      </c>
      <c r="F321" s="137">
        <f t="shared" ca="1" si="50"/>
        <v>33.19944256920774</v>
      </c>
      <c r="G321" s="137">
        <f t="shared" ca="1" si="51"/>
        <v>25.381581405592414</v>
      </c>
      <c r="H321" s="152">
        <f t="shared" ca="1" si="52"/>
        <v>3.207756172861036</v>
      </c>
      <c r="I321" s="152">
        <f t="shared" ca="1" si="53"/>
        <v>7.6492889082265176E-4</v>
      </c>
      <c r="J321" s="190">
        <f t="shared" ca="1" si="54"/>
        <v>1</v>
      </c>
      <c r="K321" s="187" t="str" cm="1">
        <f t="array" aca="1" ref="K321" ca="1">_xlfn.IFS(G321&lt;$B$11,"Fail",G321&lt;25,"Marginal",G321&lt;35,"Solid",TRUE,"Blowout")</f>
        <v>Solid</v>
      </c>
      <c r="L321" s="193">
        <f t="shared" ca="1" si="44"/>
        <v>0</v>
      </c>
      <c r="M321" s="184" t="str" cm="1">
        <f t="array" aca="1" ref="M321" ca="1">_xlfn.IFS(C321&lt;$B$11,"Fail",C321&lt;25,"Marginal",C321&lt;35,"Solid",TRUE,"Blowout")</f>
        <v>Fail</v>
      </c>
    </row>
    <row r="322" spans="1:13" x14ac:dyDescent="0.25">
      <c r="A322" s="138">
        <f t="shared" ca="1" si="45"/>
        <v>30.28447314074316</v>
      </c>
      <c r="B322" s="137">
        <f t="shared" ca="1" si="46"/>
        <v>3.0855666859404183</v>
      </c>
      <c r="C322" s="137">
        <f t="shared" ca="1" si="47"/>
        <v>27.198906454802742</v>
      </c>
      <c r="D322" s="152">
        <f t="shared" ca="1" si="48"/>
        <v>3.4374319976863159</v>
      </c>
      <c r="E322" s="197">
        <f t="shared" ca="1" si="49"/>
        <v>3.4895266094373581E-4</v>
      </c>
      <c r="F322" s="137">
        <f t="shared" ca="1" si="50"/>
        <v>41.253703056217695</v>
      </c>
      <c r="G322" s="137">
        <f t="shared" ca="1" si="51"/>
        <v>38.168136370277274</v>
      </c>
      <c r="H322" s="152">
        <f t="shared" ca="1" si="52"/>
        <v>4.8237370671231075</v>
      </c>
      <c r="I322" s="152">
        <f t="shared" ca="1" si="53"/>
        <v>1.2886426756689798E-6</v>
      </c>
      <c r="J322" s="190">
        <f t="shared" ca="1" si="54"/>
        <v>1</v>
      </c>
      <c r="K322" s="187" t="str" cm="1">
        <f t="array" aca="1" ref="K322" ca="1">_xlfn.IFS(G322&lt;$B$11,"Fail",G322&lt;25,"Marginal",G322&lt;35,"Solid",TRUE,"Blowout")</f>
        <v>Blowout</v>
      </c>
      <c r="L322" s="193">
        <f t="shared" ca="1" si="44"/>
        <v>1</v>
      </c>
      <c r="M322" s="184" t="str" cm="1">
        <f t="array" aca="1" ref="M322" ca="1">_xlfn.IFS(C322&lt;$B$11,"Fail",C322&lt;25,"Marginal",C322&lt;35,"Solid",TRUE,"Blowout")</f>
        <v>Solid</v>
      </c>
    </row>
    <row r="323" spans="1:13" x14ac:dyDescent="0.25">
      <c r="A323" s="138">
        <f t="shared" ca="1" si="45"/>
        <v>6.5121123075943341</v>
      </c>
      <c r="B323" s="137">
        <f t="shared" ca="1" si="46"/>
        <v>1.0299270202685831</v>
      </c>
      <c r="C323" s="137">
        <f t="shared" ca="1" si="47"/>
        <v>5.4821852873257511</v>
      </c>
      <c r="D323" s="152">
        <f t="shared" ca="1" si="48"/>
        <v>0.69284546991671891</v>
      </c>
      <c r="E323" s="197">
        <f t="shared" ca="1" si="49"/>
        <v>0.24455582112980662</v>
      </c>
      <c r="F323" s="137">
        <f t="shared" ca="1" si="50"/>
        <v>38.835649544265657</v>
      </c>
      <c r="G323" s="137">
        <f t="shared" ca="1" si="51"/>
        <v>37.805722523997076</v>
      </c>
      <c r="H323" s="152">
        <f t="shared" ca="1" si="52"/>
        <v>4.7779347495307345</v>
      </c>
      <c r="I323" s="152">
        <f t="shared" ca="1" si="53"/>
        <v>1.5860872393816708E-6</v>
      </c>
      <c r="J323" s="190">
        <f t="shared" ca="1" si="54"/>
        <v>1</v>
      </c>
      <c r="K323" s="187" t="str" cm="1">
        <f t="array" aca="1" ref="K323" ca="1">_xlfn.IFS(G323&lt;$B$11,"Fail",G323&lt;25,"Marginal",G323&lt;35,"Solid",TRUE,"Blowout")</f>
        <v>Blowout</v>
      </c>
      <c r="L323" s="193">
        <f t="shared" ca="1" si="44"/>
        <v>0</v>
      </c>
      <c r="M323" s="184" t="str" cm="1">
        <f t="array" aca="1" ref="M323" ca="1">_xlfn.IFS(C323&lt;$B$11,"Fail",C323&lt;25,"Marginal",C323&lt;35,"Solid",TRUE,"Blowout")</f>
        <v>Fail</v>
      </c>
    </row>
    <row r="324" spans="1:13" x14ac:dyDescent="0.25">
      <c r="A324" s="138">
        <f t="shared" ca="1" si="45"/>
        <v>14.397060113849584</v>
      </c>
      <c r="B324" s="137">
        <f t="shared" ca="1" si="46"/>
        <v>-1.5257453267872814</v>
      </c>
      <c r="C324" s="137">
        <f t="shared" ca="1" si="47"/>
        <v>15.922805440636864</v>
      </c>
      <c r="D324" s="152">
        <f t="shared" ca="1" si="48"/>
        <v>2.0123441729369285</v>
      </c>
      <c r="E324" s="197">
        <f t="shared" ca="1" si="49"/>
        <v>2.2679960104487744E-2</v>
      </c>
      <c r="F324" s="137">
        <f t="shared" ca="1" si="50"/>
        <v>-2.173317847434904</v>
      </c>
      <c r="G324" s="137">
        <f t="shared" ca="1" si="51"/>
        <v>-0.64757252064762261</v>
      </c>
      <c r="H324" s="152">
        <f t="shared" ca="1" si="52"/>
        <v>-8.1841029417690392E-2</v>
      </c>
      <c r="I324" s="152">
        <f t="shared" ca="1" si="53"/>
        <v>0.53257753595893864</v>
      </c>
      <c r="J324" s="190">
        <f t="shared" ca="1" si="54"/>
        <v>0</v>
      </c>
      <c r="K324" s="187" t="str" cm="1">
        <f t="array" aca="1" ref="K324" ca="1">_xlfn.IFS(G324&lt;$B$11,"Fail",G324&lt;25,"Marginal",G324&lt;35,"Solid",TRUE,"Blowout")</f>
        <v>Fail</v>
      </c>
      <c r="L324" s="193">
        <f t="shared" ca="1" si="44"/>
        <v>0</v>
      </c>
      <c r="M324" s="184" t="str" cm="1">
        <f t="array" aca="1" ref="M324" ca="1">_xlfn.IFS(C324&lt;$B$11,"Fail",C324&lt;25,"Marginal",C324&lt;35,"Solid",TRUE,"Blowout")</f>
        <v>Fail</v>
      </c>
    </row>
    <row r="325" spans="1:13" x14ac:dyDescent="0.25">
      <c r="A325" s="138">
        <f t="shared" ca="1" si="45"/>
        <v>15.992634326345382</v>
      </c>
      <c r="B325" s="137">
        <f t="shared" ca="1" si="46"/>
        <v>-3.9926497096213307</v>
      </c>
      <c r="C325" s="137">
        <f t="shared" ca="1" si="47"/>
        <v>19.985284035966714</v>
      </c>
      <c r="D325" s="152">
        <f t="shared" ca="1" si="48"/>
        <v>2.5257653259787913</v>
      </c>
      <c r="E325" s="197">
        <f t="shared" ca="1" si="49"/>
        <v>6.1118845767732036E-3</v>
      </c>
      <c r="F325" s="137">
        <f t="shared" ca="1" si="50"/>
        <v>29.276566173239591</v>
      </c>
      <c r="G325" s="137">
        <f t="shared" ca="1" si="51"/>
        <v>33.269215882860919</v>
      </c>
      <c r="H325" s="152">
        <f t="shared" ca="1" si="52"/>
        <v>4.2046053360165985</v>
      </c>
      <c r="I325" s="152">
        <f t="shared" ca="1" si="53"/>
        <v>1.8791165124269225E-5</v>
      </c>
      <c r="J325" s="190">
        <f t="shared" ca="1" si="54"/>
        <v>1</v>
      </c>
      <c r="K325" s="187" t="str" cm="1">
        <f t="array" aca="1" ref="K325" ca="1">_xlfn.IFS(G325&lt;$B$11,"Fail",G325&lt;25,"Marginal",G325&lt;35,"Solid",TRUE,"Blowout")</f>
        <v>Solid</v>
      </c>
      <c r="L325" s="193">
        <f t="shared" ca="1" si="44"/>
        <v>0</v>
      </c>
      <c r="M325" s="184" t="str" cm="1">
        <f t="array" aca="1" ref="M325" ca="1">_xlfn.IFS(C325&lt;$B$11,"Fail",C325&lt;25,"Marginal",C325&lt;35,"Solid",TRUE,"Blowout")</f>
        <v>Fail</v>
      </c>
    </row>
    <row r="326" spans="1:13" x14ac:dyDescent="0.25">
      <c r="A326" s="138">
        <f t="shared" ca="1" si="45"/>
        <v>35.67498273885105</v>
      </c>
      <c r="B326" s="137">
        <f t="shared" ca="1" si="46"/>
        <v>6.5593293253110847</v>
      </c>
      <c r="C326" s="137">
        <f t="shared" ca="1" si="47"/>
        <v>29.115653413539967</v>
      </c>
      <c r="D326" s="152">
        <f t="shared" ca="1" si="48"/>
        <v>3.6796728884507992</v>
      </c>
      <c r="E326" s="197">
        <f t="shared" ca="1" si="49"/>
        <v>1.4572832589676739E-4</v>
      </c>
      <c r="F326" s="137">
        <f t="shared" ca="1" si="50"/>
        <v>55.108723505814197</v>
      </c>
      <c r="G326" s="137">
        <f t="shared" ca="1" si="51"/>
        <v>48.549394180503114</v>
      </c>
      <c r="H326" s="152">
        <f t="shared" ca="1" si="52"/>
        <v>6.135733482581939</v>
      </c>
      <c r="I326" s="152">
        <f t="shared" ca="1" si="53"/>
        <v>1.8567414204890805E-9</v>
      </c>
      <c r="J326" s="190">
        <f t="shared" ca="1" si="54"/>
        <v>1</v>
      </c>
      <c r="K326" s="187" t="str" cm="1">
        <f t="array" aca="1" ref="K326" ca="1">_xlfn.IFS(G326&lt;$B$11,"Fail",G326&lt;25,"Marginal",G326&lt;35,"Solid",TRUE,"Blowout")</f>
        <v>Blowout</v>
      </c>
      <c r="L326" s="193">
        <f t="shared" ca="1" si="44"/>
        <v>1</v>
      </c>
      <c r="M326" s="184" t="str" cm="1">
        <f t="array" aca="1" ref="M326" ca="1">_xlfn.IFS(C326&lt;$B$11,"Fail",C326&lt;25,"Marginal",C326&lt;35,"Solid",TRUE,"Blowout")</f>
        <v>Solid</v>
      </c>
    </row>
    <row r="327" spans="1:13" x14ac:dyDescent="0.25">
      <c r="A327" s="138">
        <f t="shared" ca="1" si="45"/>
        <v>7.9100512378891974</v>
      </c>
      <c r="B327" s="137">
        <f t="shared" ca="1" si="46"/>
        <v>2.2462915792551836</v>
      </c>
      <c r="C327" s="137">
        <f t="shared" ca="1" si="47"/>
        <v>5.6637596586340138</v>
      </c>
      <c r="D327" s="152">
        <f t="shared" ca="1" si="48"/>
        <v>0.71579306727442771</v>
      </c>
      <c r="E327" s="197">
        <f t="shared" ca="1" si="49"/>
        <v>0.23742577862774572</v>
      </c>
      <c r="F327" s="137">
        <f t="shared" ca="1" si="50"/>
        <v>43.275175501677005</v>
      </c>
      <c r="G327" s="137">
        <f t="shared" ca="1" si="51"/>
        <v>41.028883922421819</v>
      </c>
      <c r="H327" s="152">
        <f t="shared" ca="1" si="52"/>
        <v>5.1852819398695651</v>
      </c>
      <c r="I327" s="152">
        <f t="shared" ca="1" si="53"/>
        <v>2.3769190630727061E-7</v>
      </c>
      <c r="J327" s="190">
        <f t="shared" ca="1" si="54"/>
        <v>1</v>
      </c>
      <c r="K327" s="187" t="str" cm="1">
        <f t="array" aca="1" ref="K327" ca="1">_xlfn.IFS(G327&lt;$B$11,"Fail",G327&lt;25,"Marginal",G327&lt;35,"Solid",TRUE,"Blowout")</f>
        <v>Blowout</v>
      </c>
      <c r="L327" s="193">
        <f t="shared" ca="1" si="44"/>
        <v>0</v>
      </c>
      <c r="M327" s="184" t="str" cm="1">
        <f t="array" aca="1" ref="M327" ca="1">_xlfn.IFS(C327&lt;$B$11,"Fail",C327&lt;25,"Marginal",C327&lt;35,"Solid",TRUE,"Blowout")</f>
        <v>Fail</v>
      </c>
    </row>
    <row r="328" spans="1:13" x14ac:dyDescent="0.25">
      <c r="A328" s="138">
        <f t="shared" ca="1" si="45"/>
        <v>28.553925930655961</v>
      </c>
      <c r="B328" s="137">
        <f t="shared" ca="1" si="46"/>
        <v>3.7754008639644718</v>
      </c>
      <c r="C328" s="137">
        <f t="shared" ca="1" si="47"/>
        <v>24.77852506669149</v>
      </c>
      <c r="D328" s="152">
        <f t="shared" ca="1" si="48"/>
        <v>3.131541154467179</v>
      </c>
      <c r="E328" s="197">
        <f t="shared" ca="1" si="49"/>
        <v>9.8324525781916857E-4</v>
      </c>
      <c r="F328" s="137">
        <f t="shared" ca="1" si="50"/>
        <v>11.492596073016694</v>
      </c>
      <c r="G328" s="137">
        <f t="shared" ca="1" si="51"/>
        <v>7.717195209052222</v>
      </c>
      <c r="H328" s="152">
        <f t="shared" ca="1" si="52"/>
        <v>0.97530883412790614</v>
      </c>
      <c r="I328" s="152">
        <f t="shared" ca="1" si="53"/>
        <v>0.16522036585654154</v>
      </c>
      <c r="J328" s="190">
        <f t="shared" ca="1" si="54"/>
        <v>0</v>
      </c>
      <c r="K328" s="187" t="str" cm="1">
        <f t="array" aca="1" ref="K328" ca="1">_xlfn.IFS(G328&lt;$B$11,"Fail",G328&lt;25,"Marginal",G328&lt;35,"Solid",TRUE,"Blowout")</f>
        <v>Fail</v>
      </c>
      <c r="L328" s="193">
        <f t="shared" ca="1" si="44"/>
        <v>1</v>
      </c>
      <c r="M328" s="184" t="str" cm="1">
        <f t="array" aca="1" ref="M328" ca="1">_xlfn.IFS(C328&lt;$B$11,"Fail",C328&lt;25,"Marginal",C328&lt;35,"Solid",TRUE,"Blowout")</f>
        <v>Marginal</v>
      </c>
    </row>
    <row r="329" spans="1:13" x14ac:dyDescent="0.25">
      <c r="A329" s="138">
        <f t="shared" ca="1" si="45"/>
        <v>49.468598036497333</v>
      </c>
      <c r="B329" s="137">
        <f t="shared" ca="1" si="46"/>
        <v>6.4288388301477886</v>
      </c>
      <c r="C329" s="137">
        <f t="shared" ca="1" si="47"/>
        <v>43.039759206349544</v>
      </c>
      <c r="D329" s="152">
        <f t="shared" ca="1" si="48"/>
        <v>5.439418886728661</v>
      </c>
      <c r="E329" s="197">
        <f t="shared" ca="1" si="49"/>
        <v>6.871654350323886E-8</v>
      </c>
      <c r="F329" s="137">
        <f t="shared" ca="1" si="50"/>
        <v>7.3555995439837876</v>
      </c>
      <c r="G329" s="137">
        <f t="shared" ca="1" si="51"/>
        <v>0.92676071383599901</v>
      </c>
      <c r="H329" s="152">
        <f t="shared" ca="1" si="52"/>
        <v>0.11712518432431139</v>
      </c>
      <c r="I329" s="152">
        <f t="shared" ca="1" si="53"/>
        <v>0.45343198042144051</v>
      </c>
      <c r="J329" s="190">
        <f t="shared" ca="1" si="54"/>
        <v>0</v>
      </c>
      <c r="K329" s="187" t="str" cm="1">
        <f t="array" aca="1" ref="K329" ca="1">_xlfn.IFS(G329&lt;$B$11,"Fail",G329&lt;25,"Marginal",G329&lt;35,"Solid",TRUE,"Blowout")</f>
        <v>Fail</v>
      </c>
      <c r="L329" s="193">
        <f t="shared" ca="1" si="44"/>
        <v>1</v>
      </c>
      <c r="M329" s="184" t="str" cm="1">
        <f t="array" aca="1" ref="M329" ca="1">_xlfn.IFS(C329&lt;$B$11,"Fail",C329&lt;25,"Marginal",C329&lt;35,"Solid",TRUE,"Blowout")</f>
        <v>Blowout</v>
      </c>
    </row>
    <row r="330" spans="1:13" x14ac:dyDescent="0.25">
      <c r="A330" s="138">
        <f t="shared" ca="1" si="45"/>
        <v>31.050711661525554</v>
      </c>
      <c r="B330" s="137">
        <f t="shared" ca="1" si="46"/>
        <v>4.7785112125995139</v>
      </c>
      <c r="C330" s="137">
        <f t="shared" ca="1" si="47"/>
        <v>26.272200448926039</v>
      </c>
      <c r="D330" s="152">
        <f t="shared" ca="1" si="48"/>
        <v>3.3203137274226902</v>
      </c>
      <c r="E330" s="197">
        <f t="shared" ca="1" si="49"/>
        <v>5.2344314714779954E-4</v>
      </c>
      <c r="F330" s="137">
        <f t="shared" ca="1" si="50"/>
        <v>40.177613638857913</v>
      </c>
      <c r="G330" s="137">
        <f t="shared" ca="1" si="51"/>
        <v>35.399102426258402</v>
      </c>
      <c r="H330" s="152">
        <f t="shared" ca="1" si="52"/>
        <v>4.4737830754923422</v>
      </c>
      <c r="I330" s="152">
        <f t="shared" ca="1" si="53"/>
        <v>6.0648141056860211E-6</v>
      </c>
      <c r="J330" s="190">
        <f t="shared" ca="1" si="54"/>
        <v>1</v>
      </c>
      <c r="K330" s="187" t="str" cm="1">
        <f t="array" aca="1" ref="K330" ca="1">_xlfn.IFS(G330&lt;$B$11,"Fail",G330&lt;25,"Marginal",G330&lt;35,"Solid",TRUE,"Blowout")</f>
        <v>Blowout</v>
      </c>
      <c r="L330" s="193">
        <f t="shared" ca="1" si="44"/>
        <v>1</v>
      </c>
      <c r="M330" s="184" t="str" cm="1">
        <f t="array" aca="1" ref="M330" ca="1">_xlfn.IFS(C330&lt;$B$11,"Fail",C330&lt;25,"Marginal",C330&lt;35,"Solid",TRUE,"Blowout")</f>
        <v>Solid</v>
      </c>
    </row>
    <row r="331" spans="1:13" x14ac:dyDescent="0.25">
      <c r="A331" s="138">
        <f t="shared" ca="1" si="45"/>
        <v>45.479073905706123</v>
      </c>
      <c r="B331" s="137">
        <f t="shared" ca="1" si="46"/>
        <v>7.0552062244490887</v>
      </c>
      <c r="C331" s="137">
        <f t="shared" ca="1" si="47"/>
        <v>38.423867681257036</v>
      </c>
      <c r="D331" s="152">
        <f t="shared" ca="1" si="48"/>
        <v>4.8560567117615001</v>
      </c>
      <c r="E331" s="197">
        <f t="shared" ca="1" si="49"/>
        <v>1.111996654307829E-6</v>
      </c>
      <c r="F331" s="137">
        <f t="shared" ca="1" si="50"/>
        <v>6.8591431871072022</v>
      </c>
      <c r="G331" s="137">
        <f t="shared" ca="1" si="51"/>
        <v>-0.19606303734188657</v>
      </c>
      <c r="H331" s="152">
        <f t="shared" ca="1" si="52"/>
        <v>-2.4778693189099234E-2</v>
      </c>
      <c r="I331" s="152">
        <f t="shared" ca="1" si="53"/>
        <v>0.50987342043713324</v>
      </c>
      <c r="J331" s="190">
        <f t="shared" ca="1" si="54"/>
        <v>0</v>
      </c>
      <c r="K331" s="187" t="str" cm="1">
        <f t="array" aca="1" ref="K331" ca="1">_xlfn.IFS(G331&lt;$B$11,"Fail",G331&lt;25,"Marginal",G331&lt;35,"Solid",TRUE,"Blowout")</f>
        <v>Fail</v>
      </c>
      <c r="L331" s="193">
        <f t="shared" ca="1" si="44"/>
        <v>1</v>
      </c>
      <c r="M331" s="184" t="str" cm="1">
        <f t="array" aca="1" ref="M331" ca="1">_xlfn.IFS(C331&lt;$B$11,"Fail",C331&lt;25,"Marginal",C331&lt;35,"Solid",TRUE,"Blowout")</f>
        <v>Blowout</v>
      </c>
    </row>
    <row r="332" spans="1:13" x14ac:dyDescent="0.25">
      <c r="A332" s="138">
        <f t="shared" ca="1" si="45"/>
        <v>5.8942255426611734</v>
      </c>
      <c r="B332" s="137">
        <f t="shared" ca="1" si="46"/>
        <v>1.3101673078212346</v>
      </c>
      <c r="C332" s="137">
        <f t="shared" ca="1" si="47"/>
        <v>4.5840582348399384</v>
      </c>
      <c r="D332" s="152">
        <f t="shared" ca="1" si="48"/>
        <v>0.57933904371783451</v>
      </c>
      <c r="E332" s="197">
        <f t="shared" ca="1" si="49"/>
        <v>0.28146619189088723</v>
      </c>
      <c r="F332" s="137">
        <f t="shared" ca="1" si="50"/>
        <v>15.422394368005611</v>
      </c>
      <c r="G332" s="137">
        <f t="shared" ca="1" si="51"/>
        <v>14.112227060184376</v>
      </c>
      <c r="H332" s="152">
        <f t="shared" ca="1" si="52"/>
        <v>1.7835210005925319</v>
      </c>
      <c r="I332" s="152">
        <f t="shared" ca="1" si="53"/>
        <v>3.7915820862403332E-2</v>
      </c>
      <c r="J332" s="190">
        <f t="shared" ca="1" si="54"/>
        <v>0</v>
      </c>
      <c r="K332" s="187" t="str" cm="1">
        <f t="array" aca="1" ref="K332" ca="1">_xlfn.IFS(G332&lt;$B$11,"Fail",G332&lt;25,"Marginal",G332&lt;35,"Solid",TRUE,"Blowout")</f>
        <v>Fail</v>
      </c>
      <c r="L332" s="193">
        <f t="shared" ca="1" si="44"/>
        <v>0</v>
      </c>
      <c r="M332" s="184" t="str" cm="1">
        <f t="array" aca="1" ref="M332" ca="1">_xlfn.IFS(C332&lt;$B$11,"Fail",C332&lt;25,"Marginal",C332&lt;35,"Solid",TRUE,"Blowout")</f>
        <v>Fail</v>
      </c>
    </row>
    <row r="333" spans="1:13" x14ac:dyDescent="0.25">
      <c r="A333" s="138">
        <f t="shared" ca="1" si="45"/>
        <v>17.534968108575615</v>
      </c>
      <c r="B333" s="137">
        <f t="shared" ca="1" si="46"/>
        <v>9.7792982794123269</v>
      </c>
      <c r="C333" s="137">
        <f t="shared" ca="1" si="47"/>
        <v>7.7556698291632884</v>
      </c>
      <c r="D333" s="152">
        <f t="shared" ca="1" si="48"/>
        <v>0.98017130499556315</v>
      </c>
      <c r="E333" s="197">
        <f t="shared" ca="1" si="49"/>
        <v>0.16402023444013447</v>
      </c>
      <c r="F333" s="137">
        <f t="shared" ca="1" si="50"/>
        <v>3.002957977890957</v>
      </c>
      <c r="G333" s="137">
        <f t="shared" ca="1" si="51"/>
        <v>-6.7763403015213699</v>
      </c>
      <c r="H333" s="152">
        <f t="shared" ca="1" si="52"/>
        <v>-0.85640240788238797</v>
      </c>
      <c r="I333" s="152">
        <f t="shared" ca="1" si="53"/>
        <v>0.80366279744806879</v>
      </c>
      <c r="J333" s="190">
        <f t="shared" ca="1" si="54"/>
        <v>0</v>
      </c>
      <c r="K333" s="187" t="str" cm="1">
        <f t="array" aca="1" ref="K333" ca="1">_xlfn.IFS(G333&lt;$B$11,"Fail",G333&lt;25,"Marginal",G333&lt;35,"Solid",TRUE,"Blowout")</f>
        <v>Fail</v>
      </c>
      <c r="L333" s="193">
        <f t="shared" ca="1" si="44"/>
        <v>0</v>
      </c>
      <c r="M333" s="184" t="str" cm="1">
        <f t="array" aca="1" ref="M333" ca="1">_xlfn.IFS(C333&lt;$B$11,"Fail",C333&lt;25,"Marginal",C333&lt;35,"Solid",TRUE,"Blowout")</f>
        <v>Fail</v>
      </c>
    </row>
    <row r="334" spans="1:13" x14ac:dyDescent="0.25">
      <c r="A334" s="138">
        <f t="shared" ca="1" si="45"/>
        <v>30.48940267379421</v>
      </c>
      <c r="B334" s="137">
        <f t="shared" ca="1" si="46"/>
        <v>1.1895084878861408</v>
      </c>
      <c r="C334" s="137">
        <f t="shared" ca="1" si="47"/>
        <v>29.299894185908069</v>
      </c>
      <c r="D334" s="152">
        <f t="shared" ca="1" si="48"/>
        <v>3.7029574689271851</v>
      </c>
      <c r="E334" s="197">
        <f t="shared" ca="1" si="49"/>
        <v>1.336711922909872E-4</v>
      </c>
      <c r="F334" s="137">
        <f t="shared" ca="1" si="50"/>
        <v>30.870784586638006</v>
      </c>
      <c r="G334" s="137">
        <f t="shared" ca="1" si="51"/>
        <v>29.681276098751866</v>
      </c>
      <c r="H334" s="152">
        <f t="shared" ca="1" si="52"/>
        <v>3.7511569946223293</v>
      </c>
      <c r="I334" s="152">
        <f t="shared" ca="1" si="53"/>
        <v>1.1163903875844346E-4</v>
      </c>
      <c r="J334" s="190">
        <f t="shared" ca="1" si="54"/>
        <v>1</v>
      </c>
      <c r="K334" s="187" t="str" cm="1">
        <f t="array" aca="1" ref="K334" ca="1">_xlfn.IFS(G334&lt;$B$11,"Fail",G334&lt;25,"Marginal",G334&lt;35,"Solid",TRUE,"Blowout")</f>
        <v>Solid</v>
      </c>
      <c r="L334" s="193">
        <f t="shared" ca="1" si="44"/>
        <v>1</v>
      </c>
      <c r="M334" s="184" t="str" cm="1">
        <f t="array" aca="1" ref="M334" ca="1">_xlfn.IFS(C334&lt;$B$11,"Fail",C334&lt;25,"Marginal",C334&lt;35,"Solid",TRUE,"Blowout")</f>
        <v>Solid</v>
      </c>
    </row>
    <row r="335" spans="1:13" x14ac:dyDescent="0.25">
      <c r="A335" s="138">
        <f t="shared" ca="1" si="45"/>
        <v>48.817322008068423</v>
      </c>
      <c r="B335" s="137">
        <f t="shared" ca="1" si="46"/>
        <v>4.3489303120970586</v>
      </c>
      <c r="C335" s="137">
        <f t="shared" ca="1" si="47"/>
        <v>44.468391695971363</v>
      </c>
      <c r="D335" s="152">
        <f t="shared" ca="1" si="48"/>
        <v>5.6199712571307856</v>
      </c>
      <c r="E335" s="197">
        <f t="shared" ca="1" si="49"/>
        <v>2.7735811998550747E-8</v>
      </c>
      <c r="F335" s="137">
        <f t="shared" ca="1" si="50"/>
        <v>16.307928741897292</v>
      </c>
      <c r="G335" s="137">
        <f t="shared" ca="1" si="51"/>
        <v>11.958998429800234</v>
      </c>
      <c r="H335" s="152">
        <f t="shared" ca="1" si="52"/>
        <v>1.5113932588130543</v>
      </c>
      <c r="I335" s="152">
        <f t="shared" ca="1" si="53"/>
        <v>6.60365100925039E-2</v>
      </c>
      <c r="J335" s="190">
        <f t="shared" ca="1" si="54"/>
        <v>0</v>
      </c>
      <c r="K335" s="187" t="str" cm="1">
        <f t="array" aca="1" ref="K335" ca="1">_xlfn.IFS(G335&lt;$B$11,"Fail",G335&lt;25,"Marginal",G335&lt;35,"Solid",TRUE,"Blowout")</f>
        <v>Fail</v>
      </c>
      <c r="L335" s="193">
        <f t="shared" ca="1" si="44"/>
        <v>1</v>
      </c>
      <c r="M335" s="184" t="str" cm="1">
        <f t="array" aca="1" ref="M335" ca="1">_xlfn.IFS(C335&lt;$B$11,"Fail",C335&lt;25,"Marginal",C335&lt;35,"Solid",TRUE,"Blowout")</f>
        <v>Blowout</v>
      </c>
    </row>
    <row r="336" spans="1:13" x14ac:dyDescent="0.25">
      <c r="A336" s="138">
        <f t="shared" ca="1" si="45"/>
        <v>10.589779741366229</v>
      </c>
      <c r="B336" s="137">
        <f t="shared" ca="1" si="46"/>
        <v>9.7118037722339441</v>
      </c>
      <c r="C336" s="137">
        <f t="shared" ca="1" si="47"/>
        <v>0.87797596913228482</v>
      </c>
      <c r="D336" s="152">
        <f t="shared" ca="1" si="48"/>
        <v>0.11095970694667609</v>
      </c>
      <c r="E336" s="197">
        <f t="shared" ca="1" si="49"/>
        <v>0.45587295603689504</v>
      </c>
      <c r="F336" s="137">
        <f t="shared" ca="1" si="50"/>
        <v>0.56857081508506191</v>
      </c>
      <c r="G336" s="137">
        <f t="shared" ca="1" si="51"/>
        <v>-9.1432329571488822</v>
      </c>
      <c r="H336" s="152">
        <f t="shared" ca="1" si="52"/>
        <v>-1.1555332778334517</v>
      </c>
      <c r="I336" s="152">
        <f t="shared" ca="1" si="53"/>
        <v>0.8754591957243939</v>
      </c>
      <c r="J336" s="190">
        <f t="shared" ca="1" si="54"/>
        <v>0</v>
      </c>
      <c r="K336" s="187" t="str" cm="1">
        <f t="array" aca="1" ref="K336" ca="1">_xlfn.IFS(G336&lt;$B$11,"Fail",G336&lt;25,"Marginal",G336&lt;35,"Solid",TRUE,"Blowout")</f>
        <v>Fail</v>
      </c>
      <c r="L336" s="193">
        <f t="shared" ref="L336:L399" ca="1" si="55">IF(AND(E336&lt;$B$10,C336&gt;=$B$11),1,0)</f>
        <v>0</v>
      </c>
      <c r="M336" s="184" t="str" cm="1">
        <f t="array" aca="1" ref="M336" ca="1">_xlfn.IFS(C336&lt;$B$11,"Fail",C336&lt;25,"Marginal",C336&lt;35,"Solid",TRUE,"Blowout")</f>
        <v>Fail</v>
      </c>
    </row>
    <row r="337" spans="1:13" x14ac:dyDescent="0.25">
      <c r="A337" s="138">
        <f t="shared" ref="A337:A400" ca="1" si="56">NORMINV(RAND(), MAX(0, NORMINV(RAND(), $B$6, $B$12)), $B$7/SQRT($B$9))</f>
        <v>10.549975624463718</v>
      </c>
      <c r="B337" s="137">
        <f t="shared" ref="B337:B400" ca="1" si="57">NORMINV(RAND(), $B$8, $B$7/SQRT($B$9))</f>
        <v>-5.8699148944218962</v>
      </c>
      <c r="C337" s="137">
        <f t="shared" ref="C337:C400" ca="1" si="58">A337-B337</f>
        <v>16.419890518885616</v>
      </c>
      <c r="D337" s="152">
        <f t="shared" ref="D337:D400" ca="1" si="59">C337/($B$7*SQRT(2/$B$9))</f>
        <v>2.0751664101612102</v>
      </c>
      <c r="E337" s="197">
        <f t="shared" ref="E337:E400" ca="1" si="60">_xlfn.T.DIST.RT(D337, 2*$B$9-2)</f>
        <v>1.9546491289799555E-2</v>
      </c>
      <c r="F337" s="137">
        <f t="shared" ref="F337:F400" ca="1" si="61">NORMINV(RAND(), MAX(0, NORMINV(RAND(), $N$7, $N$8)), $B$7/SQRT($B$9))</f>
        <v>31.274649348363329</v>
      </c>
      <c r="G337" s="137">
        <f t="shared" ref="G337:G400" ca="1" si="62">F337-B337</f>
        <v>37.144564242785222</v>
      </c>
      <c r="H337" s="152">
        <f t="shared" ref="H337:H400" ca="1" si="63">G337/($B$7*SQRT(2/$B$9))</f>
        <v>4.6943767346101897</v>
      </c>
      <c r="I337" s="152">
        <f t="shared" ref="I337:I400" ca="1" si="64">_xlfn.T.DIST.RT(H337, 2*$B$9-2)</f>
        <v>2.3078821224281524E-6</v>
      </c>
      <c r="J337" s="190">
        <f t="shared" ref="J337:J400" ca="1" si="65">IF(AND(I337&lt;$B$10, G337&gt;=$B$11), 1, 0)</f>
        <v>1</v>
      </c>
      <c r="K337" s="187" t="str" cm="1">
        <f t="array" aca="1" ref="K337" ca="1">_xlfn.IFS(G337&lt;$B$11,"Fail",G337&lt;25,"Marginal",G337&lt;35,"Solid",TRUE,"Blowout")</f>
        <v>Blowout</v>
      </c>
      <c r="L337" s="193">
        <f t="shared" ca="1" si="55"/>
        <v>0</v>
      </c>
      <c r="M337" s="184" t="str" cm="1">
        <f t="array" aca="1" ref="M337" ca="1">_xlfn.IFS(C337&lt;$B$11,"Fail",C337&lt;25,"Marginal",C337&lt;35,"Solid",TRUE,"Blowout")</f>
        <v>Fail</v>
      </c>
    </row>
    <row r="338" spans="1:13" x14ac:dyDescent="0.25">
      <c r="A338" s="138">
        <f t="shared" ca="1" si="56"/>
        <v>5.3814854017315819</v>
      </c>
      <c r="B338" s="137">
        <f t="shared" ca="1" si="57"/>
        <v>-0.80004199661855591</v>
      </c>
      <c r="C338" s="137">
        <f t="shared" ca="1" si="58"/>
        <v>6.1815273983501378</v>
      </c>
      <c r="D338" s="152">
        <f t="shared" ca="1" si="59"/>
        <v>0.7812292052613522</v>
      </c>
      <c r="E338" s="197">
        <f t="shared" ca="1" si="60"/>
        <v>0.21773906194554976</v>
      </c>
      <c r="F338" s="137">
        <f t="shared" ca="1" si="61"/>
        <v>6.8394146917778214</v>
      </c>
      <c r="G338" s="137">
        <f t="shared" ca="1" si="62"/>
        <v>7.6394566883963773</v>
      </c>
      <c r="H338" s="152">
        <f t="shared" ca="1" si="63"/>
        <v>0.96548414213893785</v>
      </c>
      <c r="I338" s="152">
        <f t="shared" ca="1" si="64"/>
        <v>0.16766265979743378</v>
      </c>
      <c r="J338" s="190">
        <f t="shared" ca="1" si="65"/>
        <v>0</v>
      </c>
      <c r="K338" s="187" t="str" cm="1">
        <f t="array" aca="1" ref="K338" ca="1">_xlfn.IFS(G338&lt;$B$11,"Fail",G338&lt;25,"Marginal",G338&lt;35,"Solid",TRUE,"Blowout")</f>
        <v>Fail</v>
      </c>
      <c r="L338" s="193">
        <f t="shared" ca="1" si="55"/>
        <v>0</v>
      </c>
      <c r="M338" s="184" t="str" cm="1">
        <f t="array" aca="1" ref="M338" ca="1">_xlfn.IFS(C338&lt;$B$11,"Fail",C338&lt;25,"Marginal",C338&lt;35,"Solid",TRUE,"Blowout")</f>
        <v>Fail</v>
      </c>
    </row>
    <row r="339" spans="1:13" x14ac:dyDescent="0.25">
      <c r="A339" s="138">
        <f t="shared" ca="1" si="56"/>
        <v>42.343480089550539</v>
      </c>
      <c r="B339" s="137">
        <f t="shared" ca="1" si="57"/>
        <v>-1.8326476837299683</v>
      </c>
      <c r="C339" s="137">
        <f t="shared" ca="1" si="58"/>
        <v>44.176127773280506</v>
      </c>
      <c r="D339" s="152">
        <f t="shared" ca="1" si="59"/>
        <v>5.5830345750882078</v>
      </c>
      <c r="E339" s="197">
        <f t="shared" ca="1" si="60"/>
        <v>3.3449256250636526E-8</v>
      </c>
      <c r="F339" s="137">
        <f t="shared" ca="1" si="61"/>
        <v>-0.67066299994348666</v>
      </c>
      <c r="G339" s="137">
        <f t="shared" ca="1" si="62"/>
        <v>1.1619846837864816</v>
      </c>
      <c r="H339" s="152">
        <f t="shared" ca="1" si="63"/>
        <v>0.1468530854174753</v>
      </c>
      <c r="I339" s="152">
        <f t="shared" ca="1" si="64"/>
        <v>0.44168887553132552</v>
      </c>
      <c r="J339" s="190">
        <f t="shared" ca="1" si="65"/>
        <v>0</v>
      </c>
      <c r="K339" s="187" t="str" cm="1">
        <f t="array" aca="1" ref="K339" ca="1">_xlfn.IFS(G339&lt;$B$11,"Fail",G339&lt;25,"Marginal",G339&lt;35,"Solid",TRUE,"Blowout")</f>
        <v>Fail</v>
      </c>
      <c r="L339" s="193">
        <f t="shared" ca="1" si="55"/>
        <v>1</v>
      </c>
      <c r="M339" s="184" t="str" cm="1">
        <f t="array" aca="1" ref="M339" ca="1">_xlfn.IFS(C339&lt;$B$11,"Fail",C339&lt;25,"Marginal",C339&lt;35,"Solid",TRUE,"Blowout")</f>
        <v>Blowout</v>
      </c>
    </row>
    <row r="340" spans="1:13" x14ac:dyDescent="0.25">
      <c r="A340" s="138">
        <f t="shared" ca="1" si="56"/>
        <v>41.399444334153181</v>
      </c>
      <c r="B340" s="137">
        <f t="shared" ca="1" si="57"/>
        <v>-3.2607940631497279</v>
      </c>
      <c r="C340" s="137">
        <f t="shared" ca="1" si="58"/>
        <v>44.660238397302905</v>
      </c>
      <c r="D340" s="152">
        <f t="shared" ca="1" si="59"/>
        <v>5.6442170844732731</v>
      </c>
      <c r="E340" s="197">
        <f t="shared" ca="1" si="60"/>
        <v>2.4515443167000226E-8</v>
      </c>
      <c r="F340" s="137">
        <f t="shared" ca="1" si="61"/>
        <v>43.005872727834898</v>
      </c>
      <c r="G340" s="137">
        <f t="shared" ca="1" si="62"/>
        <v>46.26666679098463</v>
      </c>
      <c r="H340" s="152">
        <f t="shared" ca="1" si="63"/>
        <v>5.8472395247912123</v>
      </c>
      <c r="I340" s="152">
        <f t="shared" ca="1" si="64"/>
        <v>8.596541440414379E-9</v>
      </c>
      <c r="J340" s="190">
        <f t="shared" ca="1" si="65"/>
        <v>1</v>
      </c>
      <c r="K340" s="187" t="str" cm="1">
        <f t="array" aca="1" ref="K340" ca="1">_xlfn.IFS(G340&lt;$B$11,"Fail",G340&lt;25,"Marginal",G340&lt;35,"Solid",TRUE,"Blowout")</f>
        <v>Blowout</v>
      </c>
      <c r="L340" s="193">
        <f t="shared" ca="1" si="55"/>
        <v>1</v>
      </c>
      <c r="M340" s="184" t="str" cm="1">
        <f t="array" aca="1" ref="M340" ca="1">_xlfn.IFS(C340&lt;$B$11,"Fail",C340&lt;25,"Marginal",C340&lt;35,"Solid",TRUE,"Blowout")</f>
        <v>Blowout</v>
      </c>
    </row>
    <row r="341" spans="1:13" x14ac:dyDescent="0.25">
      <c r="A341" s="138">
        <f t="shared" ca="1" si="56"/>
        <v>25.129617011676615</v>
      </c>
      <c r="B341" s="137">
        <f t="shared" ca="1" si="57"/>
        <v>1.0325897877355206</v>
      </c>
      <c r="C341" s="137">
        <f t="shared" ca="1" si="58"/>
        <v>24.097027223941094</v>
      </c>
      <c r="D341" s="152">
        <f t="shared" ca="1" si="59"/>
        <v>3.0454126001844108</v>
      </c>
      <c r="E341" s="197">
        <f t="shared" ca="1" si="60"/>
        <v>1.2984606014987932E-3</v>
      </c>
      <c r="F341" s="137">
        <f t="shared" ca="1" si="61"/>
        <v>50.377687124151514</v>
      </c>
      <c r="G341" s="137">
        <f t="shared" ca="1" si="62"/>
        <v>49.345097336415996</v>
      </c>
      <c r="H341" s="152">
        <f t="shared" ca="1" si="63"/>
        <v>6.2362954479440411</v>
      </c>
      <c r="I341" s="152">
        <f t="shared" ca="1" si="64"/>
        <v>1.0757114472023108E-9</v>
      </c>
      <c r="J341" s="190">
        <f t="shared" ca="1" si="65"/>
        <v>1</v>
      </c>
      <c r="K341" s="187" t="str" cm="1">
        <f t="array" aca="1" ref="K341" ca="1">_xlfn.IFS(G341&lt;$B$11,"Fail",G341&lt;25,"Marginal",G341&lt;35,"Solid",TRUE,"Blowout")</f>
        <v>Blowout</v>
      </c>
      <c r="L341" s="193">
        <f t="shared" ca="1" si="55"/>
        <v>1</v>
      </c>
      <c r="M341" s="184" t="str" cm="1">
        <f t="array" aca="1" ref="M341" ca="1">_xlfn.IFS(C341&lt;$B$11,"Fail",C341&lt;25,"Marginal",C341&lt;35,"Solid",TRUE,"Blowout")</f>
        <v>Marginal</v>
      </c>
    </row>
    <row r="342" spans="1:13" x14ac:dyDescent="0.25">
      <c r="A342" s="138">
        <f t="shared" ca="1" si="56"/>
        <v>8.623430924817665</v>
      </c>
      <c r="B342" s="137">
        <f t="shared" ca="1" si="57"/>
        <v>-5.9170662665128173</v>
      </c>
      <c r="C342" s="137">
        <f t="shared" ca="1" si="58"/>
        <v>14.540497191330482</v>
      </c>
      <c r="D342" s="152">
        <f t="shared" ca="1" si="59"/>
        <v>1.8376463182740077</v>
      </c>
      <c r="E342" s="197">
        <f t="shared" ca="1" si="60"/>
        <v>3.3707897451718941E-2</v>
      </c>
      <c r="F342" s="137">
        <f t="shared" ca="1" si="61"/>
        <v>29.0128738201551</v>
      </c>
      <c r="G342" s="137">
        <f t="shared" ca="1" si="62"/>
        <v>34.929940086667919</v>
      </c>
      <c r="H342" s="152">
        <f t="shared" ca="1" si="63"/>
        <v>4.4144897490897677</v>
      </c>
      <c r="I342" s="152">
        <f t="shared" ca="1" si="64"/>
        <v>7.8161471236572759E-6</v>
      </c>
      <c r="J342" s="190">
        <f t="shared" ca="1" si="65"/>
        <v>1</v>
      </c>
      <c r="K342" s="187" t="str" cm="1">
        <f t="array" aca="1" ref="K342" ca="1">_xlfn.IFS(G342&lt;$B$11,"Fail",G342&lt;25,"Marginal",G342&lt;35,"Solid",TRUE,"Blowout")</f>
        <v>Solid</v>
      </c>
      <c r="L342" s="193">
        <f t="shared" ca="1" si="55"/>
        <v>0</v>
      </c>
      <c r="M342" s="184" t="str" cm="1">
        <f t="array" aca="1" ref="M342" ca="1">_xlfn.IFS(C342&lt;$B$11,"Fail",C342&lt;25,"Marginal",C342&lt;35,"Solid",TRUE,"Blowout")</f>
        <v>Fail</v>
      </c>
    </row>
    <row r="343" spans="1:13" x14ac:dyDescent="0.25">
      <c r="A343" s="138">
        <f t="shared" ca="1" si="56"/>
        <v>43.090240889255718</v>
      </c>
      <c r="B343" s="137">
        <f t="shared" ca="1" si="57"/>
        <v>2.7396615786569547</v>
      </c>
      <c r="C343" s="137">
        <f t="shared" ca="1" si="58"/>
        <v>40.350579310598761</v>
      </c>
      <c r="D343" s="152">
        <f t="shared" ca="1" si="59"/>
        <v>5.0995569501265656</v>
      </c>
      <c r="E343" s="197">
        <f t="shared" ca="1" si="60"/>
        <v>3.5776032450213723E-7</v>
      </c>
      <c r="F343" s="137">
        <f t="shared" ca="1" si="61"/>
        <v>31.47542115074415</v>
      </c>
      <c r="G343" s="137">
        <f t="shared" ca="1" si="62"/>
        <v>28.735759572087197</v>
      </c>
      <c r="H343" s="152">
        <f t="shared" ca="1" si="63"/>
        <v>3.6316614270891554</v>
      </c>
      <c r="I343" s="152">
        <f t="shared" ca="1" si="64"/>
        <v>1.7389948457832604E-4</v>
      </c>
      <c r="J343" s="190">
        <f t="shared" ca="1" si="65"/>
        <v>1</v>
      </c>
      <c r="K343" s="187" t="str" cm="1">
        <f t="array" aca="1" ref="K343" ca="1">_xlfn.IFS(G343&lt;$B$11,"Fail",G343&lt;25,"Marginal",G343&lt;35,"Solid",TRUE,"Blowout")</f>
        <v>Solid</v>
      </c>
      <c r="L343" s="193">
        <f t="shared" ca="1" si="55"/>
        <v>1</v>
      </c>
      <c r="M343" s="184" t="str" cm="1">
        <f t="array" aca="1" ref="M343" ca="1">_xlfn.IFS(C343&lt;$B$11,"Fail",C343&lt;25,"Marginal",C343&lt;35,"Solid",TRUE,"Blowout")</f>
        <v>Blowout</v>
      </c>
    </row>
    <row r="344" spans="1:13" x14ac:dyDescent="0.25">
      <c r="A344" s="138">
        <f t="shared" ca="1" si="56"/>
        <v>35.886913269767859</v>
      </c>
      <c r="B344" s="137">
        <f t="shared" ca="1" si="57"/>
        <v>1.3095303046251785</v>
      </c>
      <c r="C344" s="137">
        <f t="shared" ca="1" si="58"/>
        <v>34.577382965142682</v>
      </c>
      <c r="D344" s="152">
        <f t="shared" ca="1" si="59"/>
        <v>4.3699331367657814</v>
      </c>
      <c r="E344" s="197">
        <f t="shared" ca="1" si="60"/>
        <v>9.4416795389584845E-6</v>
      </c>
      <c r="F344" s="137">
        <f t="shared" ca="1" si="61"/>
        <v>12.145176778644963</v>
      </c>
      <c r="G344" s="137">
        <f t="shared" ca="1" si="62"/>
        <v>10.835646474019784</v>
      </c>
      <c r="H344" s="152">
        <f t="shared" ca="1" si="63"/>
        <v>1.3694226261378066</v>
      </c>
      <c r="I344" s="152">
        <f t="shared" ca="1" si="64"/>
        <v>8.6107265629577504E-2</v>
      </c>
      <c r="J344" s="190">
        <f t="shared" ca="1" si="65"/>
        <v>0</v>
      </c>
      <c r="K344" s="187" t="str" cm="1">
        <f t="array" aca="1" ref="K344" ca="1">_xlfn.IFS(G344&lt;$B$11,"Fail",G344&lt;25,"Marginal",G344&lt;35,"Solid",TRUE,"Blowout")</f>
        <v>Fail</v>
      </c>
      <c r="L344" s="193">
        <f t="shared" ca="1" si="55"/>
        <v>1</v>
      </c>
      <c r="M344" s="184" t="str" cm="1">
        <f t="array" aca="1" ref="M344" ca="1">_xlfn.IFS(C344&lt;$B$11,"Fail",C344&lt;25,"Marginal",C344&lt;35,"Solid",TRUE,"Blowout")</f>
        <v>Solid</v>
      </c>
    </row>
    <row r="345" spans="1:13" x14ac:dyDescent="0.25">
      <c r="A345" s="138">
        <f t="shared" ca="1" si="56"/>
        <v>28.245272670184093</v>
      </c>
      <c r="B345" s="137">
        <f t="shared" ca="1" si="57"/>
        <v>9.7100639802969404</v>
      </c>
      <c r="C345" s="137">
        <f t="shared" ca="1" si="58"/>
        <v>18.535208689887153</v>
      </c>
      <c r="D345" s="152">
        <f t="shared" ca="1" si="59"/>
        <v>2.3425029804152704</v>
      </c>
      <c r="E345" s="197">
        <f t="shared" ca="1" si="60"/>
        <v>1.0008138479529279E-2</v>
      </c>
      <c r="F345" s="137">
        <f t="shared" ca="1" si="61"/>
        <v>13.8765265976843</v>
      </c>
      <c r="G345" s="137">
        <f t="shared" ca="1" si="62"/>
        <v>4.16646261738736</v>
      </c>
      <c r="H345" s="152">
        <f t="shared" ca="1" si="63"/>
        <v>0.52656278449908944</v>
      </c>
      <c r="I345" s="152">
        <f t="shared" ca="1" si="64"/>
        <v>0.29950455964333811</v>
      </c>
      <c r="J345" s="190">
        <f t="shared" ca="1" si="65"/>
        <v>0</v>
      </c>
      <c r="K345" s="187" t="str" cm="1">
        <f t="array" aca="1" ref="K345" ca="1">_xlfn.IFS(G345&lt;$B$11,"Fail",G345&lt;25,"Marginal",G345&lt;35,"Solid",TRUE,"Blowout")</f>
        <v>Fail</v>
      </c>
      <c r="L345" s="193">
        <f t="shared" ca="1" si="55"/>
        <v>0</v>
      </c>
      <c r="M345" s="184" t="str" cm="1">
        <f t="array" aca="1" ref="M345" ca="1">_xlfn.IFS(C345&lt;$B$11,"Fail",C345&lt;25,"Marginal",C345&lt;35,"Solid",TRUE,"Blowout")</f>
        <v>Fail</v>
      </c>
    </row>
    <row r="346" spans="1:13" x14ac:dyDescent="0.25">
      <c r="A346" s="138">
        <f t="shared" ca="1" si="56"/>
        <v>49.714279473170642</v>
      </c>
      <c r="B346" s="137">
        <f t="shared" ca="1" si="57"/>
        <v>14.598966239043023</v>
      </c>
      <c r="C346" s="137">
        <f t="shared" ca="1" si="58"/>
        <v>35.115313234127619</v>
      </c>
      <c r="D346" s="152">
        <f t="shared" ca="1" si="59"/>
        <v>4.43791744055408</v>
      </c>
      <c r="E346" s="197">
        <f t="shared" ca="1" si="60"/>
        <v>7.0728449692560659E-6</v>
      </c>
      <c r="F346" s="137">
        <f t="shared" ca="1" si="61"/>
        <v>9.3143900780839601</v>
      </c>
      <c r="G346" s="137">
        <f t="shared" ca="1" si="62"/>
        <v>-5.2845761609590625</v>
      </c>
      <c r="H346" s="152">
        <f t="shared" ca="1" si="63"/>
        <v>-0.6678713800526116</v>
      </c>
      <c r="I346" s="152">
        <f t="shared" ca="1" si="64"/>
        <v>0.74755441065502359</v>
      </c>
      <c r="J346" s="190">
        <f t="shared" ca="1" si="65"/>
        <v>0</v>
      </c>
      <c r="K346" s="187" t="str" cm="1">
        <f t="array" aca="1" ref="K346" ca="1">_xlfn.IFS(G346&lt;$B$11,"Fail",G346&lt;25,"Marginal",G346&lt;35,"Solid",TRUE,"Blowout")</f>
        <v>Fail</v>
      </c>
      <c r="L346" s="193">
        <f t="shared" ca="1" si="55"/>
        <v>1</v>
      </c>
      <c r="M346" s="184" t="str" cm="1">
        <f t="array" aca="1" ref="M346" ca="1">_xlfn.IFS(C346&lt;$B$11,"Fail",C346&lt;25,"Marginal",C346&lt;35,"Solid",TRUE,"Blowout")</f>
        <v>Blowout</v>
      </c>
    </row>
    <row r="347" spans="1:13" x14ac:dyDescent="0.25">
      <c r="A347" s="138">
        <f t="shared" ca="1" si="56"/>
        <v>8.6869600061598611</v>
      </c>
      <c r="B347" s="137">
        <f t="shared" ca="1" si="57"/>
        <v>11.161543950737105</v>
      </c>
      <c r="C347" s="137">
        <f t="shared" ca="1" si="58"/>
        <v>-2.474583944577244</v>
      </c>
      <c r="D347" s="152">
        <f t="shared" ca="1" si="59"/>
        <v>-0.31274103045965013</v>
      </c>
      <c r="E347" s="197">
        <f t="shared" ca="1" si="60"/>
        <v>0.62261835789415043</v>
      </c>
      <c r="F347" s="137">
        <f t="shared" ca="1" si="61"/>
        <v>53.80012155675071</v>
      </c>
      <c r="G347" s="137">
        <f t="shared" ca="1" si="62"/>
        <v>42.638577606013605</v>
      </c>
      <c r="H347" s="152">
        <f t="shared" ca="1" si="63"/>
        <v>5.3887170516321161</v>
      </c>
      <c r="I347" s="152">
        <f t="shared" ca="1" si="64"/>
        <v>8.8320548730759678E-8</v>
      </c>
      <c r="J347" s="190">
        <f t="shared" ca="1" si="65"/>
        <v>1</v>
      </c>
      <c r="K347" s="187" t="str" cm="1">
        <f t="array" aca="1" ref="K347" ca="1">_xlfn.IFS(G347&lt;$B$11,"Fail",G347&lt;25,"Marginal",G347&lt;35,"Solid",TRUE,"Blowout")</f>
        <v>Blowout</v>
      </c>
      <c r="L347" s="193">
        <f t="shared" ca="1" si="55"/>
        <v>0</v>
      </c>
      <c r="M347" s="184" t="str" cm="1">
        <f t="array" aca="1" ref="M347" ca="1">_xlfn.IFS(C347&lt;$B$11,"Fail",C347&lt;25,"Marginal",C347&lt;35,"Solid",TRUE,"Blowout")</f>
        <v>Fail</v>
      </c>
    </row>
    <row r="348" spans="1:13" x14ac:dyDescent="0.25">
      <c r="A348" s="138">
        <f t="shared" ca="1" si="56"/>
        <v>-3.7847316069120569</v>
      </c>
      <c r="B348" s="137">
        <f t="shared" ca="1" si="57"/>
        <v>9.4243068661333993</v>
      </c>
      <c r="C348" s="137">
        <f t="shared" ca="1" si="58"/>
        <v>-13.209038473045457</v>
      </c>
      <c r="D348" s="152">
        <f t="shared" ca="1" si="59"/>
        <v>-1.6693748912798099</v>
      </c>
      <c r="E348" s="197">
        <f t="shared" ca="1" si="60"/>
        <v>0.95179223695633963</v>
      </c>
      <c r="F348" s="137">
        <f t="shared" ca="1" si="61"/>
        <v>29.772918096563863</v>
      </c>
      <c r="G348" s="137">
        <f t="shared" ca="1" si="62"/>
        <v>20.348611230430464</v>
      </c>
      <c r="H348" s="152">
        <f t="shared" ca="1" si="63"/>
        <v>2.5716830736630465</v>
      </c>
      <c r="I348" s="152">
        <f t="shared" ca="1" si="64"/>
        <v>5.3779643767773548E-3</v>
      </c>
      <c r="J348" s="190">
        <f t="shared" ca="1" si="65"/>
        <v>1</v>
      </c>
      <c r="K348" s="187" t="str" cm="1">
        <f t="array" aca="1" ref="K348" ca="1">_xlfn.IFS(G348&lt;$B$11,"Fail",G348&lt;25,"Marginal",G348&lt;35,"Solid",TRUE,"Blowout")</f>
        <v>Marginal</v>
      </c>
      <c r="L348" s="193">
        <f t="shared" ca="1" si="55"/>
        <v>0</v>
      </c>
      <c r="M348" s="184" t="str" cm="1">
        <f t="array" aca="1" ref="M348" ca="1">_xlfn.IFS(C348&lt;$B$11,"Fail",C348&lt;25,"Marginal",C348&lt;35,"Solid",TRUE,"Blowout")</f>
        <v>Fail</v>
      </c>
    </row>
    <row r="349" spans="1:13" x14ac:dyDescent="0.25">
      <c r="A349" s="138">
        <f t="shared" ca="1" si="56"/>
        <v>14.417552889514248</v>
      </c>
      <c r="B349" s="137">
        <f t="shared" ca="1" si="57"/>
        <v>5.5205139129054714</v>
      </c>
      <c r="C349" s="137">
        <f t="shared" ca="1" si="58"/>
        <v>8.8970389766087763</v>
      </c>
      <c r="D349" s="152">
        <f t="shared" ca="1" si="59"/>
        <v>1.1244189730082705</v>
      </c>
      <c r="E349" s="197">
        <f t="shared" ca="1" si="60"/>
        <v>0.13100885836333248</v>
      </c>
      <c r="F349" s="137">
        <f t="shared" ca="1" si="61"/>
        <v>37.102344863970586</v>
      </c>
      <c r="G349" s="137">
        <f t="shared" ca="1" si="62"/>
        <v>31.581830951065115</v>
      </c>
      <c r="H349" s="152">
        <f t="shared" ca="1" si="63"/>
        <v>3.9913515066169816</v>
      </c>
      <c r="I349" s="152">
        <f t="shared" ca="1" si="64"/>
        <v>4.4297473462922642E-5</v>
      </c>
      <c r="J349" s="190">
        <f t="shared" ca="1" si="65"/>
        <v>1</v>
      </c>
      <c r="K349" s="187" t="str" cm="1">
        <f t="array" aca="1" ref="K349" ca="1">_xlfn.IFS(G349&lt;$B$11,"Fail",G349&lt;25,"Marginal",G349&lt;35,"Solid",TRUE,"Blowout")</f>
        <v>Solid</v>
      </c>
      <c r="L349" s="193">
        <f t="shared" ca="1" si="55"/>
        <v>0</v>
      </c>
      <c r="M349" s="184" t="str" cm="1">
        <f t="array" aca="1" ref="M349" ca="1">_xlfn.IFS(C349&lt;$B$11,"Fail",C349&lt;25,"Marginal",C349&lt;35,"Solid",TRUE,"Blowout")</f>
        <v>Fail</v>
      </c>
    </row>
    <row r="350" spans="1:13" x14ac:dyDescent="0.25">
      <c r="A350" s="138">
        <f t="shared" ca="1" si="56"/>
        <v>22.112729620776481</v>
      </c>
      <c r="B350" s="137">
        <f t="shared" ca="1" si="57"/>
        <v>5.8426178166746761</v>
      </c>
      <c r="C350" s="137">
        <f t="shared" ca="1" si="58"/>
        <v>16.270111804101806</v>
      </c>
      <c r="D350" s="152">
        <f t="shared" ca="1" si="59"/>
        <v>2.0562371878549479</v>
      </c>
      <c r="E350" s="197">
        <f t="shared" ca="1" si="60"/>
        <v>2.0449165153724636E-2</v>
      </c>
      <c r="F350" s="137">
        <f t="shared" ca="1" si="61"/>
        <v>16.968588316616991</v>
      </c>
      <c r="G350" s="137">
        <f t="shared" ca="1" si="62"/>
        <v>11.125970499942316</v>
      </c>
      <c r="H350" s="152">
        <f t="shared" ca="1" si="63"/>
        <v>1.4061141415875757</v>
      </c>
      <c r="I350" s="152">
        <f t="shared" ca="1" si="64"/>
        <v>8.0525803876494897E-2</v>
      </c>
      <c r="J350" s="190">
        <f t="shared" ca="1" si="65"/>
        <v>0</v>
      </c>
      <c r="K350" s="187" t="str" cm="1">
        <f t="array" aca="1" ref="K350" ca="1">_xlfn.IFS(G350&lt;$B$11,"Fail",G350&lt;25,"Marginal",G350&lt;35,"Solid",TRUE,"Blowout")</f>
        <v>Fail</v>
      </c>
      <c r="L350" s="193">
        <f t="shared" ca="1" si="55"/>
        <v>0</v>
      </c>
      <c r="M350" s="184" t="str" cm="1">
        <f t="array" aca="1" ref="M350" ca="1">_xlfn.IFS(C350&lt;$B$11,"Fail",C350&lt;25,"Marginal",C350&lt;35,"Solid",TRUE,"Blowout")</f>
        <v>Fail</v>
      </c>
    </row>
    <row r="351" spans="1:13" x14ac:dyDescent="0.25">
      <c r="A351" s="138">
        <f t="shared" ca="1" si="56"/>
        <v>31.727931458905555</v>
      </c>
      <c r="B351" s="137">
        <f t="shared" ca="1" si="57"/>
        <v>1.283360570906495</v>
      </c>
      <c r="C351" s="137">
        <f t="shared" ca="1" si="58"/>
        <v>30.44457088799906</v>
      </c>
      <c r="D351" s="152">
        <f t="shared" ca="1" si="59"/>
        <v>3.8476231498549134</v>
      </c>
      <c r="E351" s="197">
        <f t="shared" ca="1" si="60"/>
        <v>7.7430383113257423E-5</v>
      </c>
      <c r="F351" s="137">
        <f t="shared" ca="1" si="61"/>
        <v>38.667230076639242</v>
      </c>
      <c r="G351" s="137">
        <f t="shared" ca="1" si="62"/>
        <v>37.383869505732747</v>
      </c>
      <c r="H351" s="152">
        <f t="shared" ca="1" si="63"/>
        <v>4.7246204346441409</v>
      </c>
      <c r="I351" s="152">
        <f t="shared" ca="1" si="64"/>
        <v>2.016067979491302E-6</v>
      </c>
      <c r="J351" s="190">
        <f t="shared" ca="1" si="65"/>
        <v>1</v>
      </c>
      <c r="K351" s="187" t="str" cm="1">
        <f t="array" aca="1" ref="K351" ca="1">_xlfn.IFS(G351&lt;$B$11,"Fail",G351&lt;25,"Marginal",G351&lt;35,"Solid",TRUE,"Blowout")</f>
        <v>Blowout</v>
      </c>
      <c r="L351" s="193">
        <f t="shared" ca="1" si="55"/>
        <v>1</v>
      </c>
      <c r="M351" s="184" t="str" cm="1">
        <f t="array" aca="1" ref="M351" ca="1">_xlfn.IFS(C351&lt;$B$11,"Fail",C351&lt;25,"Marginal",C351&lt;35,"Solid",TRUE,"Blowout")</f>
        <v>Solid</v>
      </c>
    </row>
    <row r="352" spans="1:13" x14ac:dyDescent="0.25">
      <c r="A352" s="138">
        <f t="shared" ca="1" si="56"/>
        <v>5.7278892058144981</v>
      </c>
      <c r="B352" s="137">
        <f t="shared" ca="1" si="57"/>
        <v>10.617380962941775</v>
      </c>
      <c r="C352" s="137">
        <f t="shared" ca="1" si="58"/>
        <v>-4.8894917571272769</v>
      </c>
      <c r="D352" s="152">
        <f t="shared" ca="1" si="59"/>
        <v>-0.61794011631688162</v>
      </c>
      <c r="E352" s="197">
        <f t="shared" ca="1" si="60"/>
        <v>0.73138422267597969</v>
      </c>
      <c r="F352" s="137">
        <f t="shared" ca="1" si="61"/>
        <v>2.5490142381842187</v>
      </c>
      <c r="G352" s="137">
        <f t="shared" ca="1" si="62"/>
        <v>-8.0683667247575563</v>
      </c>
      <c r="H352" s="152">
        <f t="shared" ca="1" si="63"/>
        <v>-1.0196903318461119</v>
      </c>
      <c r="I352" s="152">
        <f t="shared" ca="1" si="64"/>
        <v>0.84552194652093593</v>
      </c>
      <c r="J352" s="190">
        <f t="shared" ca="1" si="65"/>
        <v>0</v>
      </c>
      <c r="K352" s="187" t="str" cm="1">
        <f t="array" aca="1" ref="K352" ca="1">_xlfn.IFS(G352&lt;$B$11,"Fail",G352&lt;25,"Marginal",G352&lt;35,"Solid",TRUE,"Blowout")</f>
        <v>Fail</v>
      </c>
      <c r="L352" s="193">
        <f t="shared" ca="1" si="55"/>
        <v>0</v>
      </c>
      <c r="M352" s="184" t="str" cm="1">
        <f t="array" aca="1" ref="M352" ca="1">_xlfn.IFS(C352&lt;$B$11,"Fail",C352&lt;25,"Marginal",C352&lt;35,"Solid",TRUE,"Blowout")</f>
        <v>Fail</v>
      </c>
    </row>
    <row r="353" spans="1:13" x14ac:dyDescent="0.25">
      <c r="A353" s="138">
        <f t="shared" ca="1" si="56"/>
        <v>31.574061897560895</v>
      </c>
      <c r="B353" s="137">
        <f t="shared" ca="1" si="57"/>
        <v>-8.7241271482356115</v>
      </c>
      <c r="C353" s="137">
        <f t="shared" ca="1" si="58"/>
        <v>40.298189045796505</v>
      </c>
      <c r="D353" s="152">
        <f t="shared" ca="1" si="59"/>
        <v>5.0929358025852922</v>
      </c>
      <c r="E353" s="197">
        <f t="shared" ca="1" si="60"/>
        <v>3.6916277401605504E-7</v>
      </c>
      <c r="F353" s="137">
        <f t="shared" ca="1" si="61"/>
        <v>26.064099821418736</v>
      </c>
      <c r="G353" s="137">
        <f t="shared" ca="1" si="62"/>
        <v>34.788226969654346</v>
      </c>
      <c r="H353" s="152">
        <f t="shared" ca="1" si="63"/>
        <v>4.3965798671713978</v>
      </c>
      <c r="I353" s="152">
        <f t="shared" ca="1" si="64"/>
        <v>8.4343590370489039E-6</v>
      </c>
      <c r="J353" s="190">
        <f t="shared" ca="1" si="65"/>
        <v>1</v>
      </c>
      <c r="K353" s="187" t="str" cm="1">
        <f t="array" aca="1" ref="K353" ca="1">_xlfn.IFS(G353&lt;$B$11,"Fail",G353&lt;25,"Marginal",G353&lt;35,"Solid",TRUE,"Blowout")</f>
        <v>Solid</v>
      </c>
      <c r="L353" s="193">
        <f t="shared" ca="1" si="55"/>
        <v>1</v>
      </c>
      <c r="M353" s="184" t="str" cm="1">
        <f t="array" aca="1" ref="M353" ca="1">_xlfn.IFS(C353&lt;$B$11,"Fail",C353&lt;25,"Marginal",C353&lt;35,"Solid",TRUE,"Blowout")</f>
        <v>Blowout</v>
      </c>
    </row>
    <row r="354" spans="1:13" x14ac:dyDescent="0.25">
      <c r="A354" s="138">
        <f t="shared" ca="1" si="56"/>
        <v>6.343709190343346</v>
      </c>
      <c r="B354" s="137">
        <f t="shared" ca="1" si="57"/>
        <v>12.401020681181318</v>
      </c>
      <c r="C354" s="137">
        <f t="shared" ca="1" si="58"/>
        <v>-6.0573114908379724</v>
      </c>
      <c r="D354" s="152">
        <f t="shared" ca="1" si="59"/>
        <v>-0.76553064268077586</v>
      </c>
      <c r="E354" s="197">
        <f t="shared" ca="1" si="60"/>
        <v>0.77762632160204204</v>
      </c>
      <c r="F354" s="137">
        <f t="shared" ca="1" si="61"/>
        <v>18.62640522887579</v>
      </c>
      <c r="G354" s="137">
        <f t="shared" ca="1" si="62"/>
        <v>6.2253845476944711</v>
      </c>
      <c r="H354" s="152">
        <f t="shared" ca="1" si="63"/>
        <v>0.78677192694150633</v>
      </c>
      <c r="I354" s="152">
        <f t="shared" ca="1" si="64"/>
        <v>0.21611620343962623</v>
      </c>
      <c r="J354" s="190">
        <f t="shared" ca="1" si="65"/>
        <v>0</v>
      </c>
      <c r="K354" s="187" t="str" cm="1">
        <f t="array" aca="1" ref="K354" ca="1">_xlfn.IFS(G354&lt;$B$11,"Fail",G354&lt;25,"Marginal",G354&lt;35,"Solid",TRUE,"Blowout")</f>
        <v>Fail</v>
      </c>
      <c r="L354" s="193">
        <f t="shared" ca="1" si="55"/>
        <v>0</v>
      </c>
      <c r="M354" s="184" t="str" cm="1">
        <f t="array" aca="1" ref="M354" ca="1">_xlfn.IFS(C354&lt;$B$11,"Fail",C354&lt;25,"Marginal",C354&lt;35,"Solid",TRUE,"Blowout")</f>
        <v>Fail</v>
      </c>
    </row>
    <row r="355" spans="1:13" x14ac:dyDescent="0.25">
      <c r="A355" s="138">
        <f t="shared" ca="1" si="56"/>
        <v>29.53348744438199</v>
      </c>
      <c r="B355" s="137">
        <f t="shared" ca="1" si="57"/>
        <v>8.8405820376753681</v>
      </c>
      <c r="C355" s="137">
        <f t="shared" ca="1" si="58"/>
        <v>20.692905406706622</v>
      </c>
      <c r="D355" s="152">
        <f t="shared" ca="1" si="59"/>
        <v>2.6151954045766201</v>
      </c>
      <c r="E355" s="197">
        <f t="shared" ca="1" si="60"/>
        <v>4.7563339484456629E-3</v>
      </c>
      <c r="F355" s="137">
        <f t="shared" ca="1" si="61"/>
        <v>9.1239444082709049</v>
      </c>
      <c r="G355" s="137">
        <f t="shared" ca="1" si="62"/>
        <v>0.28336237059553682</v>
      </c>
      <c r="H355" s="152">
        <f t="shared" ca="1" si="63"/>
        <v>3.5811692695952191E-2</v>
      </c>
      <c r="I355" s="152">
        <f t="shared" ca="1" si="64"/>
        <v>0.48573192154894385</v>
      </c>
      <c r="J355" s="190">
        <f t="shared" ca="1" si="65"/>
        <v>0</v>
      </c>
      <c r="K355" s="187" t="str" cm="1">
        <f t="array" aca="1" ref="K355" ca="1">_xlfn.IFS(G355&lt;$B$11,"Fail",G355&lt;25,"Marginal",G355&lt;35,"Solid",TRUE,"Blowout")</f>
        <v>Fail</v>
      </c>
      <c r="L355" s="193">
        <f t="shared" ca="1" si="55"/>
        <v>1</v>
      </c>
      <c r="M355" s="184" t="str" cm="1">
        <f t="array" aca="1" ref="M355" ca="1">_xlfn.IFS(C355&lt;$B$11,"Fail",C355&lt;25,"Marginal",C355&lt;35,"Solid",TRUE,"Blowout")</f>
        <v>Marginal</v>
      </c>
    </row>
    <row r="356" spans="1:13" x14ac:dyDescent="0.25">
      <c r="A356" s="138">
        <f t="shared" ca="1" si="56"/>
        <v>28.880907267104647</v>
      </c>
      <c r="B356" s="137">
        <f t="shared" ca="1" si="57"/>
        <v>11.959192344150637</v>
      </c>
      <c r="C356" s="137">
        <f t="shared" ca="1" si="58"/>
        <v>16.92171492295401</v>
      </c>
      <c r="D356" s="152">
        <f t="shared" ca="1" si="59"/>
        <v>2.138587609341811</v>
      </c>
      <c r="E356" s="197">
        <f t="shared" ca="1" si="60"/>
        <v>1.6766218863537179E-2</v>
      </c>
      <c r="F356" s="137">
        <f t="shared" ca="1" si="61"/>
        <v>52.212387673830591</v>
      </c>
      <c r="G356" s="137">
        <f t="shared" ca="1" si="62"/>
        <v>40.253195329679954</v>
      </c>
      <c r="H356" s="152">
        <f t="shared" ca="1" si="63"/>
        <v>5.0872494401673451</v>
      </c>
      <c r="I356" s="152">
        <f t="shared" ca="1" si="64"/>
        <v>3.792360332850942E-7</v>
      </c>
      <c r="J356" s="190">
        <f t="shared" ca="1" si="65"/>
        <v>1</v>
      </c>
      <c r="K356" s="187" t="str" cm="1">
        <f t="array" aca="1" ref="K356" ca="1">_xlfn.IFS(G356&lt;$B$11,"Fail",G356&lt;25,"Marginal",G356&lt;35,"Solid",TRUE,"Blowout")</f>
        <v>Blowout</v>
      </c>
      <c r="L356" s="193">
        <f t="shared" ca="1" si="55"/>
        <v>0</v>
      </c>
      <c r="M356" s="184" t="str" cm="1">
        <f t="array" aca="1" ref="M356" ca="1">_xlfn.IFS(C356&lt;$B$11,"Fail",C356&lt;25,"Marginal",C356&lt;35,"Solid",TRUE,"Blowout")</f>
        <v>Fail</v>
      </c>
    </row>
    <row r="357" spans="1:13" x14ac:dyDescent="0.25">
      <c r="A357" s="138">
        <f t="shared" ca="1" si="56"/>
        <v>34.884410334981666</v>
      </c>
      <c r="B357" s="137">
        <f t="shared" ca="1" si="57"/>
        <v>10.699738792689187</v>
      </c>
      <c r="C357" s="137">
        <f t="shared" ca="1" si="58"/>
        <v>24.184671542292477</v>
      </c>
      <c r="D357" s="152">
        <f t="shared" ca="1" si="59"/>
        <v>3.0564891993416996</v>
      </c>
      <c r="E357" s="197">
        <f t="shared" ca="1" si="60"/>
        <v>1.2532680368251264E-3</v>
      </c>
      <c r="F357" s="137">
        <f t="shared" ca="1" si="61"/>
        <v>31.303495281608338</v>
      </c>
      <c r="G357" s="137">
        <f t="shared" ca="1" si="62"/>
        <v>20.603756488919153</v>
      </c>
      <c r="H357" s="152">
        <f t="shared" ca="1" si="63"/>
        <v>2.6039286522507141</v>
      </c>
      <c r="I357" s="152">
        <f t="shared" ca="1" si="64"/>
        <v>4.9107794880124895E-3</v>
      </c>
      <c r="J357" s="190">
        <f t="shared" ca="1" si="65"/>
        <v>1</v>
      </c>
      <c r="K357" s="187" t="str" cm="1">
        <f t="array" aca="1" ref="K357" ca="1">_xlfn.IFS(G357&lt;$B$11,"Fail",G357&lt;25,"Marginal",G357&lt;35,"Solid",TRUE,"Blowout")</f>
        <v>Marginal</v>
      </c>
      <c r="L357" s="193">
        <f t="shared" ca="1" si="55"/>
        <v>1</v>
      </c>
      <c r="M357" s="184" t="str" cm="1">
        <f t="array" aca="1" ref="M357" ca="1">_xlfn.IFS(C357&lt;$B$11,"Fail",C357&lt;25,"Marginal",C357&lt;35,"Solid",TRUE,"Blowout")</f>
        <v>Marginal</v>
      </c>
    </row>
    <row r="358" spans="1:13" x14ac:dyDescent="0.25">
      <c r="A358" s="138">
        <f t="shared" ca="1" si="56"/>
        <v>60.026010219079069</v>
      </c>
      <c r="B358" s="137">
        <f t="shared" ca="1" si="57"/>
        <v>6.9418989110848983E-2</v>
      </c>
      <c r="C358" s="137">
        <f t="shared" ca="1" si="58"/>
        <v>59.956591229968218</v>
      </c>
      <c r="D358" s="152">
        <f t="shared" ca="1" si="59"/>
        <v>7.5773893891127102</v>
      </c>
      <c r="E358" s="197">
        <f t="shared" ca="1" si="60"/>
        <v>4.3892010360570929E-13</v>
      </c>
      <c r="F358" s="137">
        <f t="shared" ca="1" si="61"/>
        <v>5.0177434086609871</v>
      </c>
      <c r="G358" s="137">
        <f t="shared" ca="1" si="62"/>
        <v>4.9483244195501381</v>
      </c>
      <c r="H358" s="152">
        <f t="shared" ca="1" si="63"/>
        <v>0.62537546217012319</v>
      </c>
      <c r="I358" s="152">
        <f t="shared" ca="1" si="64"/>
        <v>0.26617504955293425</v>
      </c>
      <c r="J358" s="190">
        <f t="shared" ca="1" si="65"/>
        <v>0</v>
      </c>
      <c r="K358" s="187" t="str" cm="1">
        <f t="array" aca="1" ref="K358" ca="1">_xlfn.IFS(G358&lt;$B$11,"Fail",G358&lt;25,"Marginal",G358&lt;35,"Solid",TRUE,"Blowout")</f>
        <v>Fail</v>
      </c>
      <c r="L358" s="193">
        <f t="shared" ca="1" si="55"/>
        <v>1</v>
      </c>
      <c r="M358" s="184" t="str" cm="1">
        <f t="array" aca="1" ref="M358" ca="1">_xlfn.IFS(C358&lt;$B$11,"Fail",C358&lt;25,"Marginal",C358&lt;35,"Solid",TRUE,"Blowout")</f>
        <v>Blowout</v>
      </c>
    </row>
    <row r="359" spans="1:13" x14ac:dyDescent="0.25">
      <c r="A359" s="138">
        <f t="shared" ca="1" si="56"/>
        <v>25.09292252369881</v>
      </c>
      <c r="B359" s="137">
        <f t="shared" ca="1" si="57"/>
        <v>11.515469291732011</v>
      </c>
      <c r="C359" s="137">
        <f t="shared" ca="1" si="58"/>
        <v>13.5774532319668</v>
      </c>
      <c r="D359" s="152">
        <f t="shared" ca="1" si="59"/>
        <v>1.7159356117573237</v>
      </c>
      <c r="E359" s="197">
        <f t="shared" ca="1" si="60"/>
        <v>4.3766091743662139E-2</v>
      </c>
      <c r="F359" s="137">
        <f t="shared" ca="1" si="61"/>
        <v>19.485346512052072</v>
      </c>
      <c r="G359" s="137">
        <f t="shared" ca="1" si="62"/>
        <v>7.9698772203200612</v>
      </c>
      <c r="H359" s="152">
        <f t="shared" ca="1" si="63"/>
        <v>1.0072431044345138</v>
      </c>
      <c r="I359" s="152">
        <f t="shared" ca="1" si="64"/>
        <v>0.15744285956102297</v>
      </c>
      <c r="J359" s="190">
        <f t="shared" ca="1" si="65"/>
        <v>0</v>
      </c>
      <c r="K359" s="187" t="str" cm="1">
        <f t="array" aca="1" ref="K359" ca="1">_xlfn.IFS(G359&lt;$B$11,"Fail",G359&lt;25,"Marginal",G359&lt;35,"Solid",TRUE,"Blowout")</f>
        <v>Fail</v>
      </c>
      <c r="L359" s="193">
        <f t="shared" ca="1" si="55"/>
        <v>0</v>
      </c>
      <c r="M359" s="184" t="str" cm="1">
        <f t="array" aca="1" ref="M359" ca="1">_xlfn.IFS(C359&lt;$B$11,"Fail",C359&lt;25,"Marginal",C359&lt;35,"Solid",TRUE,"Blowout")</f>
        <v>Fail</v>
      </c>
    </row>
    <row r="360" spans="1:13" x14ac:dyDescent="0.25">
      <c r="A360" s="138">
        <f t="shared" ca="1" si="56"/>
        <v>29.670623855510563</v>
      </c>
      <c r="B360" s="137">
        <f t="shared" ca="1" si="57"/>
        <v>3.8912438922731849</v>
      </c>
      <c r="C360" s="137">
        <f t="shared" ca="1" si="58"/>
        <v>25.779379963237378</v>
      </c>
      <c r="D360" s="152">
        <f t="shared" ca="1" si="59"/>
        <v>3.2580304547684551</v>
      </c>
      <c r="E360" s="197">
        <f t="shared" ca="1" si="60"/>
        <v>6.465176319662276E-4</v>
      </c>
      <c r="F360" s="137">
        <f t="shared" ca="1" si="61"/>
        <v>7.745028793847875</v>
      </c>
      <c r="G360" s="137">
        <f t="shared" ca="1" si="62"/>
        <v>3.8537849015746901</v>
      </c>
      <c r="H360" s="152">
        <f t="shared" ca="1" si="63"/>
        <v>0.4870461816134557</v>
      </c>
      <c r="I360" s="152">
        <f t="shared" ca="1" si="64"/>
        <v>0.31334675442639892</v>
      </c>
      <c r="J360" s="190">
        <f t="shared" ca="1" si="65"/>
        <v>0</v>
      </c>
      <c r="K360" s="187" t="str" cm="1">
        <f t="array" aca="1" ref="K360" ca="1">_xlfn.IFS(G360&lt;$B$11,"Fail",G360&lt;25,"Marginal",G360&lt;35,"Solid",TRUE,"Blowout")</f>
        <v>Fail</v>
      </c>
      <c r="L360" s="193">
        <f t="shared" ca="1" si="55"/>
        <v>1</v>
      </c>
      <c r="M360" s="184" t="str" cm="1">
        <f t="array" aca="1" ref="M360" ca="1">_xlfn.IFS(C360&lt;$B$11,"Fail",C360&lt;25,"Marginal",C360&lt;35,"Solid",TRUE,"Blowout")</f>
        <v>Solid</v>
      </c>
    </row>
    <row r="361" spans="1:13" x14ac:dyDescent="0.25">
      <c r="A361" s="138">
        <f t="shared" ca="1" si="56"/>
        <v>10.382233274283539</v>
      </c>
      <c r="B361" s="137">
        <f t="shared" ca="1" si="57"/>
        <v>13.424666081966354</v>
      </c>
      <c r="C361" s="137">
        <f t="shared" ca="1" si="58"/>
        <v>-3.0424328076828147</v>
      </c>
      <c r="D361" s="152">
        <f t="shared" ca="1" si="59"/>
        <v>-0.38450648379258051</v>
      </c>
      <c r="E361" s="197">
        <f t="shared" ca="1" si="60"/>
        <v>0.64951925837994007</v>
      </c>
      <c r="F361" s="137">
        <f t="shared" ca="1" si="61"/>
        <v>58.45436128799502</v>
      </c>
      <c r="G361" s="137">
        <f t="shared" ca="1" si="62"/>
        <v>45.029695206028663</v>
      </c>
      <c r="H361" s="152">
        <f t="shared" ca="1" si="63"/>
        <v>5.6909095005153434</v>
      </c>
      <c r="I361" s="152">
        <f t="shared" ca="1" si="64"/>
        <v>1.9309033086777323E-8</v>
      </c>
      <c r="J361" s="190">
        <f t="shared" ca="1" si="65"/>
        <v>1</v>
      </c>
      <c r="K361" s="187" t="str" cm="1">
        <f t="array" aca="1" ref="K361" ca="1">_xlfn.IFS(G361&lt;$B$11,"Fail",G361&lt;25,"Marginal",G361&lt;35,"Solid",TRUE,"Blowout")</f>
        <v>Blowout</v>
      </c>
      <c r="L361" s="193">
        <f t="shared" ca="1" si="55"/>
        <v>0</v>
      </c>
      <c r="M361" s="184" t="str" cm="1">
        <f t="array" aca="1" ref="M361" ca="1">_xlfn.IFS(C361&lt;$B$11,"Fail",C361&lt;25,"Marginal",C361&lt;35,"Solid",TRUE,"Blowout")</f>
        <v>Fail</v>
      </c>
    </row>
    <row r="362" spans="1:13" x14ac:dyDescent="0.25">
      <c r="A362" s="138">
        <f t="shared" ca="1" si="56"/>
        <v>31.163786784061333</v>
      </c>
      <c r="B362" s="137">
        <f t="shared" ca="1" si="57"/>
        <v>13.595722990578661</v>
      </c>
      <c r="C362" s="137">
        <f t="shared" ca="1" si="58"/>
        <v>17.568063793482672</v>
      </c>
      <c r="D362" s="152">
        <f t="shared" ca="1" si="59"/>
        <v>2.2202739923188481</v>
      </c>
      <c r="E362" s="197">
        <f t="shared" ca="1" si="60"/>
        <v>1.3692158181473376E-2</v>
      </c>
      <c r="F362" s="137">
        <f t="shared" ca="1" si="61"/>
        <v>52.152446023884927</v>
      </c>
      <c r="G362" s="137">
        <f t="shared" ca="1" si="62"/>
        <v>38.55672303330627</v>
      </c>
      <c r="H362" s="152">
        <f t="shared" ca="1" si="63"/>
        <v>4.8728471382059162</v>
      </c>
      <c r="I362" s="152">
        <f t="shared" ca="1" si="64"/>
        <v>1.0297089031423666E-6</v>
      </c>
      <c r="J362" s="190">
        <f t="shared" ca="1" si="65"/>
        <v>1</v>
      </c>
      <c r="K362" s="187" t="str" cm="1">
        <f t="array" aca="1" ref="K362" ca="1">_xlfn.IFS(G362&lt;$B$11,"Fail",G362&lt;25,"Marginal",G362&lt;35,"Solid",TRUE,"Blowout")</f>
        <v>Blowout</v>
      </c>
      <c r="L362" s="193">
        <f t="shared" ca="1" si="55"/>
        <v>0</v>
      </c>
      <c r="M362" s="184" t="str" cm="1">
        <f t="array" aca="1" ref="M362" ca="1">_xlfn.IFS(C362&lt;$B$11,"Fail",C362&lt;25,"Marginal",C362&lt;35,"Solid",TRUE,"Blowout")</f>
        <v>Fail</v>
      </c>
    </row>
    <row r="363" spans="1:13" x14ac:dyDescent="0.25">
      <c r="A363" s="138">
        <f t="shared" ca="1" si="56"/>
        <v>28.722443808864092</v>
      </c>
      <c r="B363" s="137">
        <f t="shared" ca="1" si="57"/>
        <v>8.5265084563811637</v>
      </c>
      <c r="C363" s="137">
        <f t="shared" ca="1" si="58"/>
        <v>20.195935352482927</v>
      </c>
      <c r="D363" s="152">
        <f t="shared" ca="1" si="59"/>
        <v>2.5523877042332566</v>
      </c>
      <c r="E363" s="197">
        <f t="shared" ca="1" si="60"/>
        <v>5.6761810415119187E-3</v>
      </c>
      <c r="F363" s="137">
        <f t="shared" ca="1" si="61"/>
        <v>-1.735623193864483</v>
      </c>
      <c r="G363" s="137">
        <f t="shared" ca="1" si="62"/>
        <v>-10.262131650245646</v>
      </c>
      <c r="H363" s="152">
        <f t="shared" ca="1" si="63"/>
        <v>-1.2969411015711989</v>
      </c>
      <c r="I363" s="152">
        <f t="shared" ca="1" si="64"/>
        <v>0.90201881133791229</v>
      </c>
      <c r="J363" s="190">
        <f t="shared" ca="1" si="65"/>
        <v>0</v>
      </c>
      <c r="K363" s="187" t="str" cm="1">
        <f t="array" aca="1" ref="K363" ca="1">_xlfn.IFS(G363&lt;$B$11,"Fail",G363&lt;25,"Marginal",G363&lt;35,"Solid",TRUE,"Blowout")</f>
        <v>Fail</v>
      </c>
      <c r="L363" s="193">
        <f t="shared" ca="1" si="55"/>
        <v>1</v>
      </c>
      <c r="M363" s="184" t="str" cm="1">
        <f t="array" aca="1" ref="M363" ca="1">_xlfn.IFS(C363&lt;$B$11,"Fail",C363&lt;25,"Marginal",C363&lt;35,"Solid",TRUE,"Blowout")</f>
        <v>Marginal</v>
      </c>
    </row>
    <row r="364" spans="1:13" x14ac:dyDescent="0.25">
      <c r="A364" s="138">
        <f t="shared" ca="1" si="56"/>
        <v>13.805225469047924</v>
      </c>
      <c r="B364" s="137">
        <f t="shared" ca="1" si="57"/>
        <v>14.007305204411553</v>
      </c>
      <c r="C364" s="137">
        <f t="shared" ca="1" si="58"/>
        <v>-0.202079735363629</v>
      </c>
      <c r="D364" s="152">
        <f t="shared" ca="1" si="59"/>
        <v>-2.5539091050488304E-2</v>
      </c>
      <c r="E364" s="197">
        <f t="shared" ca="1" si="60"/>
        <v>0.51017634653685451</v>
      </c>
      <c r="F364" s="137">
        <f t="shared" ca="1" si="61"/>
        <v>33.073802377070862</v>
      </c>
      <c r="G364" s="137">
        <f t="shared" ca="1" si="62"/>
        <v>19.066497172659311</v>
      </c>
      <c r="H364" s="152">
        <f t="shared" ca="1" si="63"/>
        <v>2.4096478869106104</v>
      </c>
      <c r="I364" s="152">
        <f t="shared" ca="1" si="64"/>
        <v>8.3807975894728201E-3</v>
      </c>
      <c r="J364" s="190">
        <f t="shared" ca="1" si="65"/>
        <v>0</v>
      </c>
      <c r="K364" s="187" t="str" cm="1">
        <f t="array" aca="1" ref="K364" ca="1">_xlfn.IFS(G364&lt;$B$11,"Fail",G364&lt;25,"Marginal",G364&lt;35,"Solid",TRUE,"Blowout")</f>
        <v>Fail</v>
      </c>
      <c r="L364" s="193">
        <f t="shared" ca="1" si="55"/>
        <v>0</v>
      </c>
      <c r="M364" s="184" t="str" cm="1">
        <f t="array" aca="1" ref="M364" ca="1">_xlfn.IFS(C364&lt;$B$11,"Fail",C364&lt;25,"Marginal",C364&lt;35,"Solid",TRUE,"Blowout")</f>
        <v>Fail</v>
      </c>
    </row>
    <row r="365" spans="1:13" x14ac:dyDescent="0.25">
      <c r="A365" s="138">
        <f t="shared" ca="1" si="56"/>
        <v>42.470838358993866</v>
      </c>
      <c r="B365" s="137">
        <f t="shared" ca="1" si="57"/>
        <v>1.1726207858835473</v>
      </c>
      <c r="C365" s="137">
        <f t="shared" ca="1" si="58"/>
        <v>41.298217573110321</v>
      </c>
      <c r="D365" s="152">
        <f t="shared" ca="1" si="59"/>
        <v>5.2193206653039415</v>
      </c>
      <c r="E365" s="197">
        <f t="shared" ca="1" si="60"/>
        <v>2.0179376315838677E-7</v>
      </c>
      <c r="F365" s="137">
        <f t="shared" ca="1" si="61"/>
        <v>8.5859221076906245</v>
      </c>
      <c r="G365" s="137">
        <f t="shared" ca="1" si="62"/>
        <v>7.4133013218070776</v>
      </c>
      <c r="H365" s="152">
        <f t="shared" ca="1" si="63"/>
        <v>0.9369023425414299</v>
      </c>
      <c r="I365" s="152">
        <f t="shared" ca="1" si="64"/>
        <v>0.17490006594135682</v>
      </c>
      <c r="J365" s="190">
        <f t="shared" ca="1" si="65"/>
        <v>0</v>
      </c>
      <c r="K365" s="187" t="str" cm="1">
        <f t="array" aca="1" ref="K365" ca="1">_xlfn.IFS(G365&lt;$B$11,"Fail",G365&lt;25,"Marginal",G365&lt;35,"Solid",TRUE,"Blowout")</f>
        <v>Fail</v>
      </c>
      <c r="L365" s="193">
        <f t="shared" ca="1" si="55"/>
        <v>1</v>
      </c>
      <c r="M365" s="184" t="str" cm="1">
        <f t="array" aca="1" ref="M365" ca="1">_xlfn.IFS(C365&lt;$B$11,"Fail",C365&lt;25,"Marginal",C365&lt;35,"Solid",TRUE,"Blowout")</f>
        <v>Blowout</v>
      </c>
    </row>
    <row r="366" spans="1:13" x14ac:dyDescent="0.25">
      <c r="A366" s="138">
        <f t="shared" ca="1" si="56"/>
        <v>68.380309953796328</v>
      </c>
      <c r="B366" s="137">
        <f t="shared" ca="1" si="57"/>
        <v>9.846069502244962</v>
      </c>
      <c r="C366" s="137">
        <f t="shared" ca="1" si="58"/>
        <v>58.534240451551369</v>
      </c>
      <c r="D366" s="152">
        <f t="shared" ca="1" si="59"/>
        <v>7.3976309092712977</v>
      </c>
      <c r="E366" s="197">
        <f t="shared" ca="1" si="60"/>
        <v>1.3169709955758766E-12</v>
      </c>
      <c r="F366" s="137">
        <f t="shared" ca="1" si="61"/>
        <v>28.28900158717277</v>
      </c>
      <c r="G366" s="137">
        <f t="shared" ca="1" si="62"/>
        <v>18.442932084927808</v>
      </c>
      <c r="H366" s="152">
        <f t="shared" ca="1" si="63"/>
        <v>2.3308409470518257</v>
      </c>
      <c r="I366" s="152">
        <f t="shared" ca="1" si="64"/>
        <v>1.0317468464622507E-2</v>
      </c>
      <c r="J366" s="190">
        <f t="shared" ca="1" si="65"/>
        <v>0</v>
      </c>
      <c r="K366" s="187" t="str" cm="1">
        <f t="array" aca="1" ref="K366" ca="1">_xlfn.IFS(G366&lt;$B$11,"Fail",G366&lt;25,"Marginal",G366&lt;35,"Solid",TRUE,"Blowout")</f>
        <v>Fail</v>
      </c>
      <c r="L366" s="193">
        <f t="shared" ca="1" si="55"/>
        <v>1</v>
      </c>
      <c r="M366" s="184" t="str" cm="1">
        <f t="array" aca="1" ref="M366" ca="1">_xlfn.IFS(C366&lt;$B$11,"Fail",C366&lt;25,"Marginal",C366&lt;35,"Solid",TRUE,"Blowout")</f>
        <v>Blowout</v>
      </c>
    </row>
    <row r="367" spans="1:13" x14ac:dyDescent="0.25">
      <c r="A367" s="138">
        <f t="shared" ca="1" si="56"/>
        <v>36.212969477117205</v>
      </c>
      <c r="B367" s="137">
        <f t="shared" ca="1" si="57"/>
        <v>0.62107986508432322</v>
      </c>
      <c r="C367" s="137">
        <f t="shared" ca="1" si="58"/>
        <v>35.59188961203288</v>
      </c>
      <c r="D367" s="152">
        <f t="shared" ca="1" si="59"/>
        <v>4.4981477624412936</v>
      </c>
      <c r="E367" s="197">
        <f t="shared" ca="1" si="60"/>
        <v>5.4603663134930523E-6</v>
      </c>
      <c r="F367" s="137">
        <f t="shared" ca="1" si="61"/>
        <v>-5.4609412381938718</v>
      </c>
      <c r="G367" s="137">
        <f t="shared" ca="1" si="62"/>
        <v>-6.082021103278195</v>
      </c>
      <c r="H367" s="152">
        <f t="shared" ca="1" si="63"/>
        <v>-0.7686534745708592</v>
      </c>
      <c r="I367" s="152">
        <f t="shared" ca="1" si="64"/>
        <v>0.77855274881421976</v>
      </c>
      <c r="J367" s="190">
        <f t="shared" ca="1" si="65"/>
        <v>0</v>
      </c>
      <c r="K367" s="187" t="str" cm="1">
        <f t="array" aca="1" ref="K367" ca="1">_xlfn.IFS(G367&lt;$B$11,"Fail",G367&lt;25,"Marginal",G367&lt;35,"Solid",TRUE,"Blowout")</f>
        <v>Fail</v>
      </c>
      <c r="L367" s="193">
        <f t="shared" ca="1" si="55"/>
        <v>1</v>
      </c>
      <c r="M367" s="184" t="str" cm="1">
        <f t="array" aca="1" ref="M367" ca="1">_xlfn.IFS(C367&lt;$B$11,"Fail",C367&lt;25,"Marginal",C367&lt;35,"Solid",TRUE,"Blowout")</f>
        <v>Blowout</v>
      </c>
    </row>
    <row r="368" spans="1:13" x14ac:dyDescent="0.25">
      <c r="A368" s="138">
        <f t="shared" ca="1" si="56"/>
        <v>31.542841356299252</v>
      </c>
      <c r="B368" s="137">
        <f t="shared" ca="1" si="57"/>
        <v>10.296063514242917</v>
      </c>
      <c r="C368" s="137">
        <f t="shared" ca="1" si="58"/>
        <v>21.246777842056336</v>
      </c>
      <c r="D368" s="152">
        <f t="shared" ca="1" si="59"/>
        <v>2.6851944993957932</v>
      </c>
      <c r="E368" s="197">
        <f t="shared" ca="1" si="60"/>
        <v>3.8907158304550601E-3</v>
      </c>
      <c r="F368" s="137">
        <f t="shared" ca="1" si="61"/>
        <v>51.391005195859712</v>
      </c>
      <c r="G368" s="137">
        <f t="shared" ca="1" si="62"/>
        <v>41.094941681616795</v>
      </c>
      <c r="H368" s="152">
        <f t="shared" ca="1" si="63"/>
        <v>5.1936304025377096</v>
      </c>
      <c r="I368" s="152">
        <f t="shared" ca="1" si="64"/>
        <v>2.283524899752207E-7</v>
      </c>
      <c r="J368" s="190">
        <f t="shared" ca="1" si="65"/>
        <v>1</v>
      </c>
      <c r="K368" s="187" t="str" cm="1">
        <f t="array" aca="1" ref="K368" ca="1">_xlfn.IFS(G368&lt;$B$11,"Fail",G368&lt;25,"Marginal",G368&lt;35,"Solid",TRUE,"Blowout")</f>
        <v>Blowout</v>
      </c>
      <c r="L368" s="193">
        <f t="shared" ca="1" si="55"/>
        <v>1</v>
      </c>
      <c r="M368" s="184" t="str" cm="1">
        <f t="array" aca="1" ref="M368" ca="1">_xlfn.IFS(C368&lt;$B$11,"Fail",C368&lt;25,"Marginal",C368&lt;35,"Solid",TRUE,"Blowout")</f>
        <v>Marginal</v>
      </c>
    </row>
    <row r="369" spans="1:13" x14ac:dyDescent="0.25">
      <c r="A369" s="138">
        <f t="shared" ca="1" si="56"/>
        <v>21.34939064510905</v>
      </c>
      <c r="B369" s="137">
        <f t="shared" ca="1" si="57"/>
        <v>-1.9977013721666728</v>
      </c>
      <c r="C369" s="137">
        <f t="shared" ca="1" si="58"/>
        <v>23.347092017275724</v>
      </c>
      <c r="D369" s="152">
        <f t="shared" ca="1" si="59"/>
        <v>2.9506348457968681</v>
      </c>
      <c r="E369" s="197">
        <f t="shared" ca="1" si="60"/>
        <v>1.7510450706253011E-3</v>
      </c>
      <c r="F369" s="137">
        <f t="shared" ca="1" si="61"/>
        <v>1.7384925225304033</v>
      </c>
      <c r="G369" s="137">
        <f t="shared" ca="1" si="62"/>
        <v>3.7361938946970761</v>
      </c>
      <c r="H369" s="152">
        <f t="shared" ca="1" si="63"/>
        <v>0.47218488230522976</v>
      </c>
      <c r="I369" s="152">
        <f t="shared" ca="1" si="64"/>
        <v>0.3186232207644949</v>
      </c>
      <c r="J369" s="190">
        <f t="shared" ca="1" si="65"/>
        <v>0</v>
      </c>
      <c r="K369" s="187" t="str" cm="1">
        <f t="array" aca="1" ref="K369" ca="1">_xlfn.IFS(G369&lt;$B$11,"Fail",G369&lt;25,"Marginal",G369&lt;35,"Solid",TRUE,"Blowout")</f>
        <v>Fail</v>
      </c>
      <c r="L369" s="193">
        <f t="shared" ca="1" si="55"/>
        <v>1</v>
      </c>
      <c r="M369" s="184" t="str" cm="1">
        <f t="array" aca="1" ref="M369" ca="1">_xlfn.IFS(C369&lt;$B$11,"Fail",C369&lt;25,"Marginal",C369&lt;35,"Solid",TRUE,"Blowout")</f>
        <v>Marginal</v>
      </c>
    </row>
    <row r="370" spans="1:13" x14ac:dyDescent="0.25">
      <c r="A370" s="138">
        <f t="shared" ca="1" si="56"/>
        <v>-6.8279966970155392</v>
      </c>
      <c r="B370" s="137">
        <f t="shared" ca="1" si="57"/>
        <v>-2.7880173958287617</v>
      </c>
      <c r="C370" s="137">
        <f t="shared" ca="1" si="58"/>
        <v>-4.0399793011867775</v>
      </c>
      <c r="D370" s="152">
        <f t="shared" ca="1" si="59"/>
        <v>-0.51057766395742932</v>
      </c>
      <c r="E370" s="197">
        <f t="shared" ca="1" si="60"/>
        <v>0.69492960077400301</v>
      </c>
      <c r="F370" s="137">
        <f t="shared" ca="1" si="61"/>
        <v>34.332055016698916</v>
      </c>
      <c r="G370" s="137">
        <f t="shared" ca="1" si="62"/>
        <v>37.120072412527676</v>
      </c>
      <c r="H370" s="152">
        <f t="shared" ca="1" si="63"/>
        <v>4.6912814263061922</v>
      </c>
      <c r="I370" s="152">
        <f t="shared" ca="1" si="64"/>
        <v>2.3399482002940604E-6</v>
      </c>
      <c r="J370" s="190">
        <f t="shared" ca="1" si="65"/>
        <v>1</v>
      </c>
      <c r="K370" s="187" t="str" cm="1">
        <f t="array" aca="1" ref="K370" ca="1">_xlfn.IFS(G370&lt;$B$11,"Fail",G370&lt;25,"Marginal",G370&lt;35,"Solid",TRUE,"Blowout")</f>
        <v>Blowout</v>
      </c>
      <c r="L370" s="193">
        <f t="shared" ca="1" si="55"/>
        <v>0</v>
      </c>
      <c r="M370" s="184" t="str" cm="1">
        <f t="array" aca="1" ref="M370" ca="1">_xlfn.IFS(C370&lt;$B$11,"Fail",C370&lt;25,"Marginal",C370&lt;35,"Solid",TRUE,"Blowout")</f>
        <v>Fail</v>
      </c>
    </row>
    <row r="371" spans="1:13" x14ac:dyDescent="0.25">
      <c r="A371" s="138">
        <f t="shared" ca="1" si="56"/>
        <v>49.335610183810736</v>
      </c>
      <c r="B371" s="137">
        <f t="shared" ca="1" si="57"/>
        <v>5.3352498510863304</v>
      </c>
      <c r="C371" s="137">
        <f t="shared" ca="1" si="58"/>
        <v>44.000360332724405</v>
      </c>
      <c r="D371" s="152">
        <f t="shared" ca="1" si="59"/>
        <v>5.560820864940597</v>
      </c>
      <c r="E371" s="197">
        <f t="shared" ca="1" si="60"/>
        <v>3.7421893677313576E-8</v>
      </c>
      <c r="F371" s="137">
        <f t="shared" ca="1" si="61"/>
        <v>0.24225373594384103</v>
      </c>
      <c r="G371" s="137">
        <f t="shared" ca="1" si="62"/>
        <v>-5.0929961151424896</v>
      </c>
      <c r="H371" s="152">
        <f t="shared" ca="1" si="63"/>
        <v>-0.64365925296939885</v>
      </c>
      <c r="I371" s="152">
        <f t="shared" ca="1" si="64"/>
        <v>0.73977834080854143</v>
      </c>
      <c r="J371" s="190">
        <f t="shared" ca="1" si="65"/>
        <v>0</v>
      </c>
      <c r="K371" s="187" t="str" cm="1">
        <f t="array" aca="1" ref="K371" ca="1">_xlfn.IFS(G371&lt;$B$11,"Fail",G371&lt;25,"Marginal",G371&lt;35,"Solid",TRUE,"Blowout")</f>
        <v>Fail</v>
      </c>
      <c r="L371" s="193">
        <f t="shared" ca="1" si="55"/>
        <v>1</v>
      </c>
      <c r="M371" s="184" t="str" cm="1">
        <f t="array" aca="1" ref="M371" ca="1">_xlfn.IFS(C371&lt;$B$11,"Fail",C371&lt;25,"Marginal",C371&lt;35,"Solid",TRUE,"Blowout")</f>
        <v>Blowout</v>
      </c>
    </row>
    <row r="372" spans="1:13" x14ac:dyDescent="0.25">
      <c r="A372" s="138">
        <f t="shared" ca="1" si="56"/>
        <v>23.246671444935128</v>
      </c>
      <c r="B372" s="137">
        <f t="shared" ca="1" si="57"/>
        <v>11.187871675741469</v>
      </c>
      <c r="C372" s="137">
        <f t="shared" ca="1" si="58"/>
        <v>12.058799769193659</v>
      </c>
      <c r="D372" s="152">
        <f t="shared" ca="1" si="59"/>
        <v>1.5240062775758851</v>
      </c>
      <c r="E372" s="197">
        <f t="shared" ca="1" si="60"/>
        <v>6.4446485288207178E-2</v>
      </c>
      <c r="F372" s="137">
        <f t="shared" ca="1" si="61"/>
        <v>58.844563971456353</v>
      </c>
      <c r="G372" s="137">
        <f t="shared" ca="1" si="62"/>
        <v>47.656692295714883</v>
      </c>
      <c r="H372" s="152">
        <f t="shared" ca="1" si="63"/>
        <v>6.0229126958982855</v>
      </c>
      <c r="I372" s="152">
        <f t="shared" ca="1" si="64"/>
        <v>3.4011263479562699E-9</v>
      </c>
      <c r="J372" s="190">
        <f t="shared" ca="1" si="65"/>
        <v>1</v>
      </c>
      <c r="K372" s="187" t="str" cm="1">
        <f t="array" aca="1" ref="K372" ca="1">_xlfn.IFS(G372&lt;$B$11,"Fail",G372&lt;25,"Marginal",G372&lt;35,"Solid",TRUE,"Blowout")</f>
        <v>Blowout</v>
      </c>
      <c r="L372" s="193">
        <f t="shared" ca="1" si="55"/>
        <v>0</v>
      </c>
      <c r="M372" s="184" t="str" cm="1">
        <f t="array" aca="1" ref="M372" ca="1">_xlfn.IFS(C372&lt;$B$11,"Fail",C372&lt;25,"Marginal",C372&lt;35,"Solid",TRUE,"Blowout")</f>
        <v>Fail</v>
      </c>
    </row>
    <row r="373" spans="1:13" x14ac:dyDescent="0.25">
      <c r="A373" s="138">
        <f t="shared" ca="1" si="56"/>
        <v>44.045532457857718</v>
      </c>
      <c r="B373" s="137">
        <f t="shared" ca="1" si="57"/>
        <v>6.2563281267702857</v>
      </c>
      <c r="C373" s="137">
        <f t="shared" ca="1" si="58"/>
        <v>37.789204331087433</v>
      </c>
      <c r="D373" s="152">
        <f t="shared" ca="1" si="59"/>
        <v>4.7758471595408238</v>
      </c>
      <c r="E373" s="197">
        <f t="shared" ca="1" si="60"/>
        <v>1.6011156498101979E-6</v>
      </c>
      <c r="F373" s="137">
        <f t="shared" ca="1" si="61"/>
        <v>64.431710945484312</v>
      </c>
      <c r="G373" s="137">
        <f t="shared" ca="1" si="62"/>
        <v>58.175382818714027</v>
      </c>
      <c r="H373" s="152">
        <f t="shared" ca="1" si="63"/>
        <v>7.3522780304054187</v>
      </c>
      <c r="I373" s="152">
        <f t="shared" ca="1" si="64"/>
        <v>1.7335068581088343E-12</v>
      </c>
      <c r="J373" s="190">
        <f t="shared" ca="1" si="65"/>
        <v>1</v>
      </c>
      <c r="K373" s="187" t="str" cm="1">
        <f t="array" aca="1" ref="K373" ca="1">_xlfn.IFS(G373&lt;$B$11,"Fail",G373&lt;25,"Marginal",G373&lt;35,"Solid",TRUE,"Blowout")</f>
        <v>Blowout</v>
      </c>
      <c r="L373" s="193">
        <f t="shared" ca="1" si="55"/>
        <v>1</v>
      </c>
      <c r="M373" s="184" t="str" cm="1">
        <f t="array" aca="1" ref="M373" ca="1">_xlfn.IFS(C373&lt;$B$11,"Fail",C373&lt;25,"Marginal",C373&lt;35,"Solid",TRUE,"Blowout")</f>
        <v>Blowout</v>
      </c>
    </row>
    <row r="374" spans="1:13" x14ac:dyDescent="0.25">
      <c r="A374" s="138">
        <f t="shared" ca="1" si="56"/>
        <v>6.3562025779534892</v>
      </c>
      <c r="B374" s="137">
        <f t="shared" ca="1" si="57"/>
        <v>5.1354351967789302</v>
      </c>
      <c r="C374" s="137">
        <f t="shared" ca="1" si="58"/>
        <v>1.220767381174559</v>
      </c>
      <c r="D374" s="152">
        <f t="shared" ca="1" si="59"/>
        <v>0.15428211662679472</v>
      </c>
      <c r="E374" s="197">
        <f t="shared" ca="1" si="60"/>
        <v>0.43876188804528282</v>
      </c>
      <c r="F374" s="137">
        <f t="shared" ca="1" si="61"/>
        <v>30.337257615304015</v>
      </c>
      <c r="G374" s="137">
        <f t="shared" ca="1" si="62"/>
        <v>25.201822418525083</v>
      </c>
      <c r="H374" s="152">
        <f t="shared" ca="1" si="63"/>
        <v>3.1850380060463621</v>
      </c>
      <c r="I374" s="152">
        <f t="shared" ca="1" si="64"/>
        <v>8.2477785455543071E-4</v>
      </c>
      <c r="J374" s="190">
        <f t="shared" ca="1" si="65"/>
        <v>1</v>
      </c>
      <c r="K374" s="187" t="str" cm="1">
        <f t="array" aca="1" ref="K374" ca="1">_xlfn.IFS(G374&lt;$B$11,"Fail",G374&lt;25,"Marginal",G374&lt;35,"Solid",TRUE,"Blowout")</f>
        <v>Solid</v>
      </c>
      <c r="L374" s="193">
        <f t="shared" ca="1" si="55"/>
        <v>0</v>
      </c>
      <c r="M374" s="184" t="str" cm="1">
        <f t="array" aca="1" ref="M374" ca="1">_xlfn.IFS(C374&lt;$B$11,"Fail",C374&lt;25,"Marginal",C374&lt;35,"Solid",TRUE,"Blowout")</f>
        <v>Fail</v>
      </c>
    </row>
    <row r="375" spans="1:13" x14ac:dyDescent="0.25">
      <c r="A375" s="138">
        <f t="shared" ca="1" si="56"/>
        <v>1.4094019632373307</v>
      </c>
      <c r="B375" s="137">
        <f t="shared" ca="1" si="57"/>
        <v>6.6866355220679186</v>
      </c>
      <c r="C375" s="137">
        <f t="shared" ca="1" si="58"/>
        <v>-5.2772335588305879</v>
      </c>
      <c r="D375" s="152">
        <f t="shared" ca="1" si="59"/>
        <v>-0.66694341276302072</v>
      </c>
      <c r="E375" s="197">
        <f t="shared" ca="1" si="60"/>
        <v>0.74725866892908033</v>
      </c>
      <c r="F375" s="137">
        <f t="shared" ca="1" si="61"/>
        <v>65.677188038242193</v>
      </c>
      <c r="G375" s="137">
        <f t="shared" ca="1" si="62"/>
        <v>58.990552516174276</v>
      </c>
      <c r="H375" s="152">
        <f t="shared" ca="1" si="63"/>
        <v>7.4553002017655228</v>
      </c>
      <c r="I375" s="152">
        <f t="shared" ca="1" si="64"/>
        <v>9.2726165759895424E-13</v>
      </c>
      <c r="J375" s="190">
        <f t="shared" ca="1" si="65"/>
        <v>1</v>
      </c>
      <c r="K375" s="187" t="str" cm="1">
        <f t="array" aca="1" ref="K375" ca="1">_xlfn.IFS(G375&lt;$B$11,"Fail",G375&lt;25,"Marginal",G375&lt;35,"Solid",TRUE,"Blowout")</f>
        <v>Blowout</v>
      </c>
      <c r="L375" s="193">
        <f t="shared" ca="1" si="55"/>
        <v>0</v>
      </c>
      <c r="M375" s="184" t="str" cm="1">
        <f t="array" aca="1" ref="M375" ca="1">_xlfn.IFS(C375&lt;$B$11,"Fail",C375&lt;25,"Marginal",C375&lt;35,"Solid",TRUE,"Blowout")</f>
        <v>Fail</v>
      </c>
    </row>
    <row r="376" spans="1:13" x14ac:dyDescent="0.25">
      <c r="A376" s="138">
        <f t="shared" ca="1" si="56"/>
        <v>24.923393432512846</v>
      </c>
      <c r="B376" s="137">
        <f t="shared" ca="1" si="57"/>
        <v>-1.9472758176384373</v>
      </c>
      <c r="C376" s="137">
        <f t="shared" ca="1" si="58"/>
        <v>26.870669250151284</v>
      </c>
      <c r="D376" s="152">
        <f t="shared" ca="1" si="59"/>
        <v>3.3959489670367216</v>
      </c>
      <c r="E376" s="197">
        <f t="shared" ca="1" si="60"/>
        <v>4.0335284689915264E-4</v>
      </c>
      <c r="F376" s="137">
        <f t="shared" ca="1" si="61"/>
        <v>45.645208502345248</v>
      </c>
      <c r="G376" s="137">
        <f t="shared" ca="1" si="62"/>
        <v>47.592484319983683</v>
      </c>
      <c r="H376" s="152">
        <f t="shared" ca="1" si="63"/>
        <v>6.0147980111902131</v>
      </c>
      <c r="I376" s="152">
        <f t="shared" ca="1" si="64"/>
        <v>3.5514267123236265E-9</v>
      </c>
      <c r="J376" s="190">
        <f t="shared" ca="1" si="65"/>
        <v>1</v>
      </c>
      <c r="K376" s="187" t="str" cm="1">
        <f t="array" aca="1" ref="K376" ca="1">_xlfn.IFS(G376&lt;$B$11,"Fail",G376&lt;25,"Marginal",G376&lt;35,"Solid",TRUE,"Blowout")</f>
        <v>Blowout</v>
      </c>
      <c r="L376" s="193">
        <f t="shared" ca="1" si="55"/>
        <v>1</v>
      </c>
      <c r="M376" s="184" t="str" cm="1">
        <f t="array" aca="1" ref="M376" ca="1">_xlfn.IFS(C376&lt;$B$11,"Fail",C376&lt;25,"Marginal",C376&lt;35,"Solid",TRUE,"Blowout")</f>
        <v>Solid</v>
      </c>
    </row>
    <row r="377" spans="1:13" x14ac:dyDescent="0.25">
      <c r="A377" s="138">
        <f t="shared" ca="1" si="56"/>
        <v>1.9500425741643159</v>
      </c>
      <c r="B377" s="137">
        <f t="shared" ca="1" si="57"/>
        <v>-1.0676148915976693</v>
      </c>
      <c r="C377" s="137">
        <f t="shared" ca="1" si="58"/>
        <v>3.0176574657619852</v>
      </c>
      <c r="D377" s="152">
        <f t="shared" ca="1" si="59"/>
        <v>0.38137534492808989</v>
      </c>
      <c r="E377" s="197">
        <f t="shared" ca="1" si="60"/>
        <v>0.35163995497909373</v>
      </c>
      <c r="F377" s="137">
        <f t="shared" ca="1" si="61"/>
        <v>32.052657541827486</v>
      </c>
      <c r="G377" s="137">
        <f t="shared" ca="1" si="62"/>
        <v>33.120272433425157</v>
      </c>
      <c r="H377" s="152">
        <f t="shared" ca="1" si="63"/>
        <v>4.1857816755952859</v>
      </c>
      <c r="I377" s="152">
        <f t="shared" ca="1" si="64"/>
        <v>2.0296712977180496E-5</v>
      </c>
      <c r="J377" s="190">
        <f t="shared" ca="1" si="65"/>
        <v>1</v>
      </c>
      <c r="K377" s="187" t="str" cm="1">
        <f t="array" aca="1" ref="K377" ca="1">_xlfn.IFS(G377&lt;$B$11,"Fail",G377&lt;25,"Marginal",G377&lt;35,"Solid",TRUE,"Blowout")</f>
        <v>Solid</v>
      </c>
      <c r="L377" s="193">
        <f t="shared" ca="1" si="55"/>
        <v>0</v>
      </c>
      <c r="M377" s="184" t="str" cm="1">
        <f t="array" aca="1" ref="M377" ca="1">_xlfn.IFS(C377&lt;$B$11,"Fail",C377&lt;25,"Marginal",C377&lt;35,"Solid",TRUE,"Blowout")</f>
        <v>Fail</v>
      </c>
    </row>
    <row r="378" spans="1:13" x14ac:dyDescent="0.25">
      <c r="A378" s="138">
        <f t="shared" ca="1" si="56"/>
        <v>3.8728952530277239</v>
      </c>
      <c r="B378" s="137">
        <f t="shared" ca="1" si="57"/>
        <v>10.962818200037463</v>
      </c>
      <c r="C378" s="137">
        <f t="shared" ca="1" si="58"/>
        <v>-7.0899229470097387</v>
      </c>
      <c r="D378" s="152">
        <f t="shared" ca="1" si="59"/>
        <v>-0.89603337691829588</v>
      </c>
      <c r="E378" s="197">
        <f t="shared" ca="1" si="60"/>
        <v>0.81441000810041375</v>
      </c>
      <c r="F378" s="137">
        <f t="shared" ca="1" si="61"/>
        <v>50.758683298170396</v>
      </c>
      <c r="G378" s="137">
        <f t="shared" ca="1" si="62"/>
        <v>39.795865098132936</v>
      </c>
      <c r="H378" s="152">
        <f t="shared" ca="1" si="63"/>
        <v>5.0294514704570066</v>
      </c>
      <c r="I378" s="152">
        <f t="shared" ca="1" si="64"/>
        <v>4.979717177642929E-7</v>
      </c>
      <c r="J378" s="190">
        <f t="shared" ca="1" si="65"/>
        <v>1</v>
      </c>
      <c r="K378" s="187" t="str" cm="1">
        <f t="array" aca="1" ref="K378" ca="1">_xlfn.IFS(G378&lt;$B$11,"Fail",G378&lt;25,"Marginal",G378&lt;35,"Solid",TRUE,"Blowout")</f>
        <v>Blowout</v>
      </c>
      <c r="L378" s="193">
        <f t="shared" ca="1" si="55"/>
        <v>0</v>
      </c>
      <c r="M378" s="184" t="str" cm="1">
        <f t="array" aca="1" ref="M378" ca="1">_xlfn.IFS(C378&lt;$B$11,"Fail",C378&lt;25,"Marginal",C378&lt;35,"Solid",TRUE,"Blowout")</f>
        <v>Fail</v>
      </c>
    </row>
    <row r="379" spans="1:13" x14ac:dyDescent="0.25">
      <c r="A379" s="138">
        <f t="shared" ca="1" si="56"/>
        <v>46.667234661656281</v>
      </c>
      <c r="B379" s="137">
        <f t="shared" ca="1" si="57"/>
        <v>9.0892406813756921</v>
      </c>
      <c r="C379" s="137">
        <f t="shared" ca="1" si="58"/>
        <v>37.577993980280588</v>
      </c>
      <c r="D379" s="152">
        <f t="shared" ca="1" si="59"/>
        <v>4.7491541298297779</v>
      </c>
      <c r="E379" s="197">
        <f t="shared" ca="1" si="60"/>
        <v>1.8058175437891356E-6</v>
      </c>
      <c r="F379" s="137">
        <f t="shared" ca="1" si="61"/>
        <v>25.75174621995599</v>
      </c>
      <c r="G379" s="137">
        <f t="shared" ca="1" si="62"/>
        <v>16.662505538580298</v>
      </c>
      <c r="H379" s="152">
        <f t="shared" ca="1" si="63"/>
        <v>2.1058284014145583</v>
      </c>
      <c r="I379" s="152">
        <f t="shared" ca="1" si="64"/>
        <v>1.8156617899047579E-2</v>
      </c>
      <c r="J379" s="190">
        <f t="shared" ca="1" si="65"/>
        <v>0</v>
      </c>
      <c r="K379" s="187" t="str" cm="1">
        <f t="array" aca="1" ref="K379" ca="1">_xlfn.IFS(G379&lt;$B$11,"Fail",G379&lt;25,"Marginal",G379&lt;35,"Solid",TRUE,"Blowout")</f>
        <v>Fail</v>
      </c>
      <c r="L379" s="193">
        <f t="shared" ca="1" si="55"/>
        <v>1</v>
      </c>
      <c r="M379" s="184" t="str" cm="1">
        <f t="array" aca="1" ref="M379" ca="1">_xlfn.IFS(C379&lt;$B$11,"Fail",C379&lt;25,"Marginal",C379&lt;35,"Solid",TRUE,"Blowout")</f>
        <v>Blowout</v>
      </c>
    </row>
    <row r="380" spans="1:13" x14ac:dyDescent="0.25">
      <c r="A380" s="138">
        <f t="shared" ca="1" si="56"/>
        <v>13.610718803037097</v>
      </c>
      <c r="B380" s="137">
        <f t="shared" ca="1" si="57"/>
        <v>15.035207153316527</v>
      </c>
      <c r="C380" s="137">
        <f t="shared" ca="1" si="58"/>
        <v>-1.4244883502794305</v>
      </c>
      <c r="D380" s="152">
        <f t="shared" ca="1" si="59"/>
        <v>-0.18002862886118998</v>
      </c>
      <c r="E380" s="197">
        <f t="shared" ca="1" si="60"/>
        <v>0.57135500215135915</v>
      </c>
      <c r="F380" s="137">
        <f t="shared" ca="1" si="61"/>
        <v>29.687553056456704</v>
      </c>
      <c r="G380" s="137">
        <f t="shared" ca="1" si="62"/>
        <v>14.652345903140176</v>
      </c>
      <c r="H380" s="152">
        <f t="shared" ca="1" si="63"/>
        <v>1.8517818991111832</v>
      </c>
      <c r="I380" s="152">
        <f t="shared" ca="1" si="64"/>
        <v>3.2675008300455818E-2</v>
      </c>
      <c r="J380" s="190">
        <f t="shared" ca="1" si="65"/>
        <v>0</v>
      </c>
      <c r="K380" s="187" t="str" cm="1">
        <f t="array" aca="1" ref="K380" ca="1">_xlfn.IFS(G380&lt;$B$11,"Fail",G380&lt;25,"Marginal",G380&lt;35,"Solid",TRUE,"Blowout")</f>
        <v>Fail</v>
      </c>
      <c r="L380" s="193">
        <f t="shared" ca="1" si="55"/>
        <v>0</v>
      </c>
      <c r="M380" s="184" t="str" cm="1">
        <f t="array" aca="1" ref="M380" ca="1">_xlfn.IFS(C380&lt;$B$11,"Fail",C380&lt;25,"Marginal",C380&lt;35,"Solid",TRUE,"Blowout")</f>
        <v>Fail</v>
      </c>
    </row>
    <row r="381" spans="1:13" x14ac:dyDescent="0.25">
      <c r="A381" s="138">
        <f t="shared" ca="1" si="56"/>
        <v>50.423798450267093</v>
      </c>
      <c r="B381" s="137">
        <f t="shared" ca="1" si="57"/>
        <v>8.2203704086381038</v>
      </c>
      <c r="C381" s="137">
        <f t="shared" ca="1" si="58"/>
        <v>42.203428041628989</v>
      </c>
      <c r="D381" s="152">
        <f t="shared" ca="1" si="59"/>
        <v>5.333722302527752</v>
      </c>
      <c r="E381" s="197">
        <f t="shared" ca="1" si="60"/>
        <v>1.1573499560664087E-7</v>
      </c>
      <c r="F381" s="137">
        <f t="shared" ca="1" si="61"/>
        <v>29.199801648456184</v>
      </c>
      <c r="G381" s="137">
        <f t="shared" ca="1" si="62"/>
        <v>20.97943123981808</v>
      </c>
      <c r="H381" s="152">
        <f t="shared" ca="1" si="63"/>
        <v>2.6514068996430753</v>
      </c>
      <c r="I381" s="152">
        <f t="shared" ca="1" si="64"/>
        <v>4.2890356605920959E-3</v>
      </c>
      <c r="J381" s="190">
        <f t="shared" ca="1" si="65"/>
        <v>1</v>
      </c>
      <c r="K381" s="187" t="str" cm="1">
        <f t="array" aca="1" ref="K381" ca="1">_xlfn.IFS(G381&lt;$B$11,"Fail",G381&lt;25,"Marginal",G381&lt;35,"Solid",TRUE,"Blowout")</f>
        <v>Marginal</v>
      </c>
      <c r="L381" s="193">
        <f t="shared" ca="1" si="55"/>
        <v>1</v>
      </c>
      <c r="M381" s="184" t="str" cm="1">
        <f t="array" aca="1" ref="M381" ca="1">_xlfn.IFS(C381&lt;$B$11,"Fail",C381&lt;25,"Marginal",C381&lt;35,"Solid",TRUE,"Blowout")</f>
        <v>Blowout</v>
      </c>
    </row>
    <row r="382" spans="1:13" x14ac:dyDescent="0.25">
      <c r="A382" s="138">
        <f t="shared" ca="1" si="56"/>
        <v>24.275215829483763</v>
      </c>
      <c r="B382" s="137">
        <f t="shared" ca="1" si="57"/>
        <v>2.4440231068702416</v>
      </c>
      <c r="C382" s="137">
        <f t="shared" ca="1" si="58"/>
        <v>21.831192722613523</v>
      </c>
      <c r="D382" s="152">
        <f t="shared" ca="1" si="59"/>
        <v>2.7590535868443835</v>
      </c>
      <c r="E382" s="197">
        <f t="shared" ca="1" si="60"/>
        <v>3.1338195726729433E-3</v>
      </c>
      <c r="F382" s="137">
        <f t="shared" ca="1" si="61"/>
        <v>14.547818439746274</v>
      </c>
      <c r="G382" s="137">
        <f t="shared" ca="1" si="62"/>
        <v>12.103795332876032</v>
      </c>
      <c r="H382" s="152">
        <f t="shared" ca="1" si="63"/>
        <v>1.5296928734915241</v>
      </c>
      <c r="I382" s="152">
        <f t="shared" ca="1" si="64"/>
        <v>6.373948470299054E-2</v>
      </c>
      <c r="J382" s="190">
        <f t="shared" ca="1" si="65"/>
        <v>0</v>
      </c>
      <c r="K382" s="187" t="str" cm="1">
        <f t="array" aca="1" ref="K382" ca="1">_xlfn.IFS(G382&lt;$B$11,"Fail",G382&lt;25,"Marginal",G382&lt;35,"Solid",TRUE,"Blowout")</f>
        <v>Fail</v>
      </c>
      <c r="L382" s="193">
        <f t="shared" ca="1" si="55"/>
        <v>1</v>
      </c>
      <c r="M382" s="184" t="str" cm="1">
        <f t="array" aca="1" ref="M382" ca="1">_xlfn.IFS(C382&lt;$B$11,"Fail",C382&lt;25,"Marginal",C382&lt;35,"Solid",TRUE,"Blowout")</f>
        <v>Marginal</v>
      </c>
    </row>
    <row r="383" spans="1:13" x14ac:dyDescent="0.25">
      <c r="A383" s="138">
        <f t="shared" ca="1" si="56"/>
        <v>8.0699313911115773</v>
      </c>
      <c r="B383" s="137">
        <f t="shared" ca="1" si="57"/>
        <v>5.3726172113104553</v>
      </c>
      <c r="C383" s="137">
        <f t="shared" ca="1" si="58"/>
        <v>2.697314179801122</v>
      </c>
      <c r="D383" s="152">
        <f t="shared" ca="1" si="59"/>
        <v>0.340889957648433</v>
      </c>
      <c r="E383" s="197">
        <f t="shared" ca="1" si="60"/>
        <v>0.36675016849081521</v>
      </c>
      <c r="F383" s="137">
        <f t="shared" ca="1" si="61"/>
        <v>42.740517488208489</v>
      </c>
      <c r="G383" s="137">
        <f t="shared" ca="1" si="62"/>
        <v>37.367900276898034</v>
      </c>
      <c r="H383" s="152">
        <f t="shared" ca="1" si="63"/>
        <v>4.7226022234242881</v>
      </c>
      <c r="I383" s="152">
        <f t="shared" ca="1" si="64"/>
        <v>2.0343780669972206E-6</v>
      </c>
      <c r="J383" s="190">
        <f t="shared" ca="1" si="65"/>
        <v>1</v>
      </c>
      <c r="K383" s="187" t="str" cm="1">
        <f t="array" aca="1" ref="K383" ca="1">_xlfn.IFS(G383&lt;$B$11,"Fail",G383&lt;25,"Marginal",G383&lt;35,"Solid",TRUE,"Blowout")</f>
        <v>Blowout</v>
      </c>
      <c r="L383" s="193">
        <f t="shared" ca="1" si="55"/>
        <v>0</v>
      </c>
      <c r="M383" s="184" t="str" cm="1">
        <f t="array" aca="1" ref="M383" ca="1">_xlfn.IFS(C383&lt;$B$11,"Fail",C383&lt;25,"Marginal",C383&lt;35,"Solid",TRUE,"Blowout")</f>
        <v>Fail</v>
      </c>
    </row>
    <row r="384" spans="1:13" x14ac:dyDescent="0.25">
      <c r="A384" s="138">
        <f t="shared" ca="1" si="56"/>
        <v>30.40953638870916</v>
      </c>
      <c r="B384" s="137">
        <f t="shared" ca="1" si="57"/>
        <v>17.130542172631642</v>
      </c>
      <c r="C384" s="137">
        <f t="shared" ca="1" si="58"/>
        <v>13.278994216077518</v>
      </c>
      <c r="D384" s="152">
        <f t="shared" ca="1" si="59"/>
        <v>1.678215986046613</v>
      </c>
      <c r="E384" s="197">
        <f t="shared" ca="1" si="60"/>
        <v>4.7337521142025801E-2</v>
      </c>
      <c r="F384" s="137">
        <f t="shared" ca="1" si="61"/>
        <v>47.769594144281612</v>
      </c>
      <c r="G384" s="137">
        <f t="shared" ca="1" si="62"/>
        <v>30.63905197164997</v>
      </c>
      <c r="H384" s="152">
        <f t="shared" ca="1" si="63"/>
        <v>3.8722019137473969</v>
      </c>
      <c r="I384" s="152">
        <f t="shared" ca="1" si="64"/>
        <v>7.045706817676311E-5</v>
      </c>
      <c r="J384" s="190">
        <f t="shared" ca="1" si="65"/>
        <v>1</v>
      </c>
      <c r="K384" s="187" t="str" cm="1">
        <f t="array" aca="1" ref="K384" ca="1">_xlfn.IFS(G384&lt;$B$11,"Fail",G384&lt;25,"Marginal",G384&lt;35,"Solid",TRUE,"Blowout")</f>
        <v>Solid</v>
      </c>
      <c r="L384" s="193">
        <f t="shared" ca="1" si="55"/>
        <v>0</v>
      </c>
      <c r="M384" s="184" t="str" cm="1">
        <f t="array" aca="1" ref="M384" ca="1">_xlfn.IFS(C384&lt;$B$11,"Fail",C384&lt;25,"Marginal",C384&lt;35,"Solid",TRUE,"Blowout")</f>
        <v>Fail</v>
      </c>
    </row>
    <row r="385" spans="1:13" x14ac:dyDescent="0.25">
      <c r="A385" s="138">
        <f t="shared" ca="1" si="56"/>
        <v>21.663341232973369</v>
      </c>
      <c r="B385" s="137">
        <f t="shared" ca="1" si="57"/>
        <v>11.782668153177633</v>
      </c>
      <c r="C385" s="137">
        <f t="shared" ca="1" si="58"/>
        <v>9.8806730797957361</v>
      </c>
      <c r="D385" s="152">
        <f t="shared" ca="1" si="59"/>
        <v>1.2487318877914051</v>
      </c>
      <c r="E385" s="197">
        <f t="shared" ca="1" si="60"/>
        <v>0.10652189521394147</v>
      </c>
      <c r="F385" s="137">
        <f t="shared" ca="1" si="61"/>
        <v>46.746358000075631</v>
      </c>
      <c r="G385" s="137">
        <f t="shared" ca="1" si="62"/>
        <v>34.963689846897999</v>
      </c>
      <c r="H385" s="152">
        <f t="shared" ca="1" si="63"/>
        <v>4.418755086224623</v>
      </c>
      <c r="I385" s="152">
        <f t="shared" ca="1" si="64"/>
        <v>7.6754597970426305E-6</v>
      </c>
      <c r="J385" s="190">
        <f t="shared" ca="1" si="65"/>
        <v>1</v>
      </c>
      <c r="K385" s="187" t="str" cm="1">
        <f t="array" aca="1" ref="K385" ca="1">_xlfn.IFS(G385&lt;$B$11,"Fail",G385&lt;25,"Marginal",G385&lt;35,"Solid",TRUE,"Blowout")</f>
        <v>Solid</v>
      </c>
      <c r="L385" s="193">
        <f t="shared" ca="1" si="55"/>
        <v>0</v>
      </c>
      <c r="M385" s="184" t="str" cm="1">
        <f t="array" aca="1" ref="M385" ca="1">_xlfn.IFS(C385&lt;$B$11,"Fail",C385&lt;25,"Marginal",C385&lt;35,"Solid",TRUE,"Blowout")</f>
        <v>Fail</v>
      </c>
    </row>
    <row r="386" spans="1:13" x14ac:dyDescent="0.25">
      <c r="A386" s="138">
        <f t="shared" ca="1" si="56"/>
        <v>6.5683382292116121E-2</v>
      </c>
      <c r="B386" s="137">
        <f t="shared" ca="1" si="57"/>
        <v>2.5091082716345761</v>
      </c>
      <c r="C386" s="137">
        <f t="shared" ca="1" si="58"/>
        <v>-2.4434248893424599</v>
      </c>
      <c r="D386" s="152">
        <f t="shared" ca="1" si="59"/>
        <v>-0.30880310987965531</v>
      </c>
      <c r="E386" s="197">
        <f t="shared" ca="1" si="60"/>
        <v>0.62112335814458208</v>
      </c>
      <c r="F386" s="137">
        <f t="shared" ca="1" si="61"/>
        <v>19.561013161748381</v>
      </c>
      <c r="G386" s="137">
        <f t="shared" ca="1" si="62"/>
        <v>17.051904890113804</v>
      </c>
      <c r="H386" s="152">
        <f t="shared" ca="1" si="63"/>
        <v>2.1550411810924421</v>
      </c>
      <c r="I386" s="152">
        <f t="shared" ca="1" si="64"/>
        <v>1.610315465076206E-2</v>
      </c>
      <c r="J386" s="190">
        <f t="shared" ca="1" si="65"/>
        <v>0</v>
      </c>
      <c r="K386" s="187" t="str" cm="1">
        <f t="array" aca="1" ref="K386" ca="1">_xlfn.IFS(G386&lt;$B$11,"Fail",G386&lt;25,"Marginal",G386&lt;35,"Solid",TRUE,"Blowout")</f>
        <v>Fail</v>
      </c>
      <c r="L386" s="193">
        <f t="shared" ca="1" si="55"/>
        <v>0</v>
      </c>
      <c r="M386" s="184" t="str" cm="1">
        <f t="array" aca="1" ref="M386" ca="1">_xlfn.IFS(C386&lt;$B$11,"Fail",C386&lt;25,"Marginal",C386&lt;35,"Solid",TRUE,"Blowout")</f>
        <v>Fail</v>
      </c>
    </row>
    <row r="387" spans="1:13" x14ac:dyDescent="0.25">
      <c r="A387" s="138">
        <f t="shared" ca="1" si="56"/>
        <v>71.938237477662355</v>
      </c>
      <c r="B387" s="137">
        <f t="shared" ca="1" si="57"/>
        <v>1.0212038815190225</v>
      </c>
      <c r="C387" s="137">
        <f t="shared" ca="1" si="58"/>
        <v>70.917033596143327</v>
      </c>
      <c r="D387" s="152">
        <f t="shared" ca="1" si="59"/>
        <v>8.9625838770195685</v>
      </c>
      <c r="E387" s="197">
        <f t="shared" ca="1" si="60"/>
        <v>5.826982189746262E-17</v>
      </c>
      <c r="F387" s="137">
        <f t="shared" ca="1" si="61"/>
        <v>28.375450973486764</v>
      </c>
      <c r="G387" s="137">
        <f t="shared" ca="1" si="62"/>
        <v>27.354247091967743</v>
      </c>
      <c r="H387" s="152">
        <f t="shared" ca="1" si="63"/>
        <v>3.4570641427366793</v>
      </c>
      <c r="I387" s="152">
        <f t="shared" ca="1" si="64"/>
        <v>3.2567367799909768E-4</v>
      </c>
      <c r="J387" s="190">
        <f t="shared" ca="1" si="65"/>
        <v>1</v>
      </c>
      <c r="K387" s="187" t="str" cm="1">
        <f t="array" aca="1" ref="K387" ca="1">_xlfn.IFS(G387&lt;$B$11,"Fail",G387&lt;25,"Marginal",G387&lt;35,"Solid",TRUE,"Blowout")</f>
        <v>Solid</v>
      </c>
      <c r="L387" s="193">
        <f t="shared" ca="1" si="55"/>
        <v>1</v>
      </c>
      <c r="M387" s="184" t="str" cm="1">
        <f t="array" aca="1" ref="M387" ca="1">_xlfn.IFS(C387&lt;$B$11,"Fail",C387&lt;25,"Marginal",C387&lt;35,"Solid",TRUE,"Blowout")</f>
        <v>Blowout</v>
      </c>
    </row>
    <row r="388" spans="1:13" x14ac:dyDescent="0.25">
      <c r="A388" s="138">
        <f t="shared" ca="1" si="56"/>
        <v>45.711107187568786</v>
      </c>
      <c r="B388" s="137">
        <f t="shared" ca="1" si="57"/>
        <v>-3.5913003206367602</v>
      </c>
      <c r="C388" s="137">
        <f t="shared" ca="1" si="58"/>
        <v>49.302407508205548</v>
      </c>
      <c r="D388" s="152">
        <f t="shared" ca="1" si="59"/>
        <v>6.2309002537765776</v>
      </c>
      <c r="E388" s="197">
        <f t="shared" ca="1" si="60"/>
        <v>1.1078449265775423E-9</v>
      </c>
      <c r="F388" s="137">
        <f t="shared" ca="1" si="61"/>
        <v>26.816894584337735</v>
      </c>
      <c r="G388" s="137">
        <f t="shared" ca="1" si="62"/>
        <v>30.408194904974494</v>
      </c>
      <c r="H388" s="152">
        <f t="shared" ca="1" si="63"/>
        <v>3.8430259073810764</v>
      </c>
      <c r="I388" s="152">
        <f t="shared" ca="1" si="64"/>
        <v>7.8805255977300231E-5</v>
      </c>
      <c r="J388" s="190">
        <f t="shared" ca="1" si="65"/>
        <v>1</v>
      </c>
      <c r="K388" s="187" t="str" cm="1">
        <f t="array" aca="1" ref="K388" ca="1">_xlfn.IFS(G388&lt;$B$11,"Fail",G388&lt;25,"Marginal",G388&lt;35,"Solid",TRUE,"Blowout")</f>
        <v>Solid</v>
      </c>
      <c r="L388" s="193">
        <f t="shared" ca="1" si="55"/>
        <v>1</v>
      </c>
      <c r="M388" s="184" t="str" cm="1">
        <f t="array" aca="1" ref="M388" ca="1">_xlfn.IFS(C388&lt;$B$11,"Fail",C388&lt;25,"Marginal",C388&lt;35,"Solid",TRUE,"Blowout")</f>
        <v>Blowout</v>
      </c>
    </row>
    <row r="389" spans="1:13" x14ac:dyDescent="0.25">
      <c r="A389" s="138">
        <f t="shared" ca="1" si="56"/>
        <v>23.837223685695058</v>
      </c>
      <c r="B389" s="137">
        <f t="shared" ca="1" si="57"/>
        <v>15.374234211749082</v>
      </c>
      <c r="C389" s="137">
        <f t="shared" ca="1" si="58"/>
        <v>8.4629894739459761</v>
      </c>
      <c r="D389" s="152">
        <f t="shared" ca="1" si="59"/>
        <v>1.0695632510875284</v>
      </c>
      <c r="E389" s="197">
        <f t="shared" ca="1" si="60"/>
        <v>0.14297347426096471</v>
      </c>
      <c r="F389" s="137">
        <f t="shared" ca="1" si="61"/>
        <v>24.162662201536968</v>
      </c>
      <c r="G389" s="137">
        <f t="shared" ca="1" si="62"/>
        <v>8.7884279897878859</v>
      </c>
      <c r="H389" s="152">
        <f t="shared" ca="1" si="63"/>
        <v>1.1106925799262983</v>
      </c>
      <c r="I389" s="152">
        <f t="shared" ca="1" si="64"/>
        <v>0.13393532198647623</v>
      </c>
      <c r="J389" s="190">
        <f t="shared" ca="1" si="65"/>
        <v>0</v>
      </c>
      <c r="K389" s="187" t="str" cm="1">
        <f t="array" aca="1" ref="K389" ca="1">_xlfn.IFS(G389&lt;$B$11,"Fail",G389&lt;25,"Marginal",G389&lt;35,"Solid",TRUE,"Blowout")</f>
        <v>Fail</v>
      </c>
      <c r="L389" s="193">
        <f t="shared" ca="1" si="55"/>
        <v>0</v>
      </c>
      <c r="M389" s="184" t="str" cm="1">
        <f t="array" aca="1" ref="M389" ca="1">_xlfn.IFS(C389&lt;$B$11,"Fail",C389&lt;25,"Marginal",C389&lt;35,"Solid",TRUE,"Blowout")</f>
        <v>Fail</v>
      </c>
    </row>
    <row r="390" spans="1:13" x14ac:dyDescent="0.25">
      <c r="A390" s="138">
        <f t="shared" ca="1" si="56"/>
        <v>15.609137983244265</v>
      </c>
      <c r="B390" s="137">
        <f t="shared" ca="1" si="57"/>
        <v>-1.1328434584516378</v>
      </c>
      <c r="C390" s="137">
        <f t="shared" ca="1" si="58"/>
        <v>16.741981441695902</v>
      </c>
      <c r="D390" s="152">
        <f t="shared" ca="1" si="59"/>
        <v>2.1158726659833773</v>
      </c>
      <c r="E390" s="197">
        <f t="shared" ca="1" si="60"/>
        <v>1.7720154919345497E-2</v>
      </c>
      <c r="F390" s="137">
        <f t="shared" ca="1" si="61"/>
        <v>23.925898624217382</v>
      </c>
      <c r="G390" s="137">
        <f t="shared" ca="1" si="62"/>
        <v>25.058742082669021</v>
      </c>
      <c r="H390" s="152">
        <f t="shared" ca="1" si="63"/>
        <v>3.1669553332915359</v>
      </c>
      <c r="I390" s="152">
        <f t="shared" ca="1" si="64"/>
        <v>8.7548395724934829E-4</v>
      </c>
      <c r="J390" s="190">
        <f t="shared" ca="1" si="65"/>
        <v>1</v>
      </c>
      <c r="K390" s="187" t="str" cm="1">
        <f t="array" aca="1" ref="K390" ca="1">_xlfn.IFS(G390&lt;$B$11,"Fail",G390&lt;25,"Marginal",G390&lt;35,"Solid",TRUE,"Blowout")</f>
        <v>Solid</v>
      </c>
      <c r="L390" s="193">
        <f t="shared" ca="1" si="55"/>
        <v>0</v>
      </c>
      <c r="M390" s="184" t="str" cm="1">
        <f t="array" aca="1" ref="M390" ca="1">_xlfn.IFS(C390&lt;$B$11,"Fail",C390&lt;25,"Marginal",C390&lt;35,"Solid",TRUE,"Blowout")</f>
        <v>Fail</v>
      </c>
    </row>
    <row r="391" spans="1:13" x14ac:dyDescent="0.25">
      <c r="A391" s="138">
        <f t="shared" ca="1" si="56"/>
        <v>48.019767263084631</v>
      </c>
      <c r="B391" s="137">
        <f t="shared" ca="1" si="57"/>
        <v>15.263913454411874</v>
      </c>
      <c r="C391" s="137">
        <f t="shared" ca="1" si="58"/>
        <v>32.755853808672754</v>
      </c>
      <c r="D391" s="152">
        <f t="shared" ca="1" si="59"/>
        <v>4.1397259915787847</v>
      </c>
      <c r="E391" s="197">
        <f t="shared" ca="1" si="60"/>
        <v>2.4481326134491464E-5</v>
      </c>
      <c r="F391" s="137">
        <f t="shared" ca="1" si="61"/>
        <v>29.252998864330912</v>
      </c>
      <c r="G391" s="137">
        <f t="shared" ca="1" si="62"/>
        <v>13.989085409919038</v>
      </c>
      <c r="H391" s="152">
        <f t="shared" ca="1" si="63"/>
        <v>1.7679582039935817</v>
      </c>
      <c r="I391" s="152">
        <f t="shared" ca="1" si="64"/>
        <v>3.920264776422562E-2</v>
      </c>
      <c r="J391" s="190">
        <f t="shared" ca="1" si="65"/>
        <v>0</v>
      </c>
      <c r="K391" s="187" t="str" cm="1">
        <f t="array" aca="1" ref="K391" ca="1">_xlfn.IFS(G391&lt;$B$11,"Fail",G391&lt;25,"Marginal",G391&lt;35,"Solid",TRUE,"Blowout")</f>
        <v>Fail</v>
      </c>
      <c r="L391" s="193">
        <f t="shared" ca="1" si="55"/>
        <v>1</v>
      </c>
      <c r="M391" s="184" t="str" cm="1">
        <f t="array" aca="1" ref="M391" ca="1">_xlfn.IFS(C391&lt;$B$11,"Fail",C391&lt;25,"Marginal",C391&lt;35,"Solid",TRUE,"Blowout")</f>
        <v>Solid</v>
      </c>
    </row>
    <row r="392" spans="1:13" x14ac:dyDescent="0.25">
      <c r="A392" s="138">
        <f t="shared" ca="1" si="56"/>
        <v>44.235378646804726</v>
      </c>
      <c r="B392" s="137">
        <f t="shared" ca="1" si="57"/>
        <v>13.337780155609224</v>
      </c>
      <c r="C392" s="137">
        <f t="shared" ca="1" si="58"/>
        <v>30.897598491195502</v>
      </c>
      <c r="D392" s="152">
        <f t="shared" ca="1" si="59"/>
        <v>3.9048773479841774</v>
      </c>
      <c r="E392" s="197">
        <f t="shared" ca="1" si="60"/>
        <v>6.2104533029745329E-5</v>
      </c>
      <c r="F392" s="137">
        <f t="shared" ca="1" si="61"/>
        <v>43.860142240266079</v>
      </c>
      <c r="G392" s="137">
        <f t="shared" ca="1" si="62"/>
        <v>30.522362084656855</v>
      </c>
      <c r="H392" s="152">
        <f t="shared" ca="1" si="63"/>
        <v>3.8574544991032429</v>
      </c>
      <c r="I392" s="152">
        <f t="shared" ca="1" si="64"/>
        <v>7.4566059694090441E-5</v>
      </c>
      <c r="J392" s="190">
        <f t="shared" ca="1" si="65"/>
        <v>1</v>
      </c>
      <c r="K392" s="187" t="str" cm="1">
        <f t="array" aca="1" ref="K392" ca="1">_xlfn.IFS(G392&lt;$B$11,"Fail",G392&lt;25,"Marginal",G392&lt;35,"Solid",TRUE,"Blowout")</f>
        <v>Solid</v>
      </c>
      <c r="L392" s="193">
        <f t="shared" ca="1" si="55"/>
        <v>1</v>
      </c>
      <c r="M392" s="184" t="str" cm="1">
        <f t="array" aca="1" ref="M392" ca="1">_xlfn.IFS(C392&lt;$B$11,"Fail",C392&lt;25,"Marginal",C392&lt;35,"Solid",TRUE,"Blowout")</f>
        <v>Solid</v>
      </c>
    </row>
    <row r="393" spans="1:13" x14ac:dyDescent="0.25">
      <c r="A393" s="138">
        <f t="shared" ca="1" si="56"/>
        <v>22.637937682789708</v>
      </c>
      <c r="B393" s="137">
        <f t="shared" ca="1" si="57"/>
        <v>19.980415140827454</v>
      </c>
      <c r="C393" s="137">
        <f t="shared" ca="1" si="58"/>
        <v>2.6575225419622548</v>
      </c>
      <c r="D393" s="152">
        <f t="shared" ca="1" si="59"/>
        <v>0.33586104042431736</v>
      </c>
      <c r="E393" s="197">
        <f t="shared" ca="1" si="60"/>
        <v>0.36864226048655513</v>
      </c>
      <c r="F393" s="137">
        <f t="shared" ca="1" si="61"/>
        <v>15.986000547714919</v>
      </c>
      <c r="G393" s="137">
        <f t="shared" ca="1" si="62"/>
        <v>-3.9944145931125341</v>
      </c>
      <c r="H393" s="152">
        <f t="shared" ca="1" si="63"/>
        <v>-0.50481913885790342</v>
      </c>
      <c r="I393" s="152">
        <f t="shared" ca="1" si="64"/>
        <v>0.69291328018462295</v>
      </c>
      <c r="J393" s="190">
        <f t="shared" ca="1" si="65"/>
        <v>0</v>
      </c>
      <c r="K393" s="187" t="str" cm="1">
        <f t="array" aca="1" ref="K393" ca="1">_xlfn.IFS(G393&lt;$B$11,"Fail",G393&lt;25,"Marginal",G393&lt;35,"Solid",TRUE,"Blowout")</f>
        <v>Fail</v>
      </c>
      <c r="L393" s="193">
        <f t="shared" ca="1" si="55"/>
        <v>0</v>
      </c>
      <c r="M393" s="184" t="str" cm="1">
        <f t="array" aca="1" ref="M393" ca="1">_xlfn.IFS(C393&lt;$B$11,"Fail",C393&lt;25,"Marginal",C393&lt;35,"Solid",TRUE,"Blowout")</f>
        <v>Fail</v>
      </c>
    </row>
    <row r="394" spans="1:13" x14ac:dyDescent="0.25">
      <c r="A394" s="138">
        <f t="shared" ca="1" si="56"/>
        <v>42.609703109987294</v>
      </c>
      <c r="B394" s="137">
        <f t="shared" ca="1" si="57"/>
        <v>4.8526607475157748</v>
      </c>
      <c r="C394" s="137">
        <f t="shared" ca="1" si="58"/>
        <v>37.757042362471516</v>
      </c>
      <c r="D394" s="152">
        <f t="shared" ca="1" si="59"/>
        <v>4.7717824895066574</v>
      </c>
      <c r="E394" s="197">
        <f t="shared" ca="1" si="60"/>
        <v>1.6307723036280395E-6</v>
      </c>
      <c r="F394" s="137">
        <f t="shared" ca="1" si="61"/>
        <v>0.36111665205436938</v>
      </c>
      <c r="G394" s="137">
        <f t="shared" ca="1" si="62"/>
        <v>-4.4915440954614052</v>
      </c>
      <c r="H394" s="152">
        <f t="shared" ca="1" si="63"/>
        <v>-0.56764699045581712</v>
      </c>
      <c r="I394" s="152">
        <f t="shared" ca="1" si="64"/>
        <v>0.71458339086388223</v>
      </c>
      <c r="J394" s="190">
        <f t="shared" ca="1" si="65"/>
        <v>0</v>
      </c>
      <c r="K394" s="187" t="str" cm="1">
        <f t="array" aca="1" ref="K394" ca="1">_xlfn.IFS(G394&lt;$B$11,"Fail",G394&lt;25,"Marginal",G394&lt;35,"Solid",TRUE,"Blowout")</f>
        <v>Fail</v>
      </c>
      <c r="L394" s="193">
        <f t="shared" ca="1" si="55"/>
        <v>1</v>
      </c>
      <c r="M394" s="184" t="str" cm="1">
        <f t="array" aca="1" ref="M394" ca="1">_xlfn.IFS(C394&lt;$B$11,"Fail",C394&lt;25,"Marginal",C394&lt;35,"Solid",TRUE,"Blowout")</f>
        <v>Blowout</v>
      </c>
    </row>
    <row r="395" spans="1:13" x14ac:dyDescent="0.25">
      <c r="A395" s="138">
        <f t="shared" ca="1" si="56"/>
        <v>42.572903458604337</v>
      </c>
      <c r="B395" s="137">
        <f t="shared" ca="1" si="57"/>
        <v>12.003114132795769</v>
      </c>
      <c r="C395" s="137">
        <f t="shared" ca="1" si="58"/>
        <v>30.569789325808568</v>
      </c>
      <c r="D395" s="152">
        <f t="shared" ca="1" si="59"/>
        <v>3.8634484134750502</v>
      </c>
      <c r="E395" s="197">
        <f t="shared" ca="1" si="60"/>
        <v>7.2869338986536171E-5</v>
      </c>
      <c r="F395" s="137">
        <f t="shared" ca="1" si="61"/>
        <v>7.5262716052907424</v>
      </c>
      <c r="G395" s="137">
        <f t="shared" ca="1" si="62"/>
        <v>-4.4768425275050268</v>
      </c>
      <c r="H395" s="152">
        <f t="shared" ca="1" si="63"/>
        <v>-0.56578898781172582</v>
      </c>
      <c r="I395" s="152">
        <f t="shared" ca="1" si="64"/>
        <v>0.71395318485875769</v>
      </c>
      <c r="J395" s="190">
        <f t="shared" ca="1" si="65"/>
        <v>0</v>
      </c>
      <c r="K395" s="187" t="str" cm="1">
        <f t="array" aca="1" ref="K395" ca="1">_xlfn.IFS(G395&lt;$B$11,"Fail",G395&lt;25,"Marginal",G395&lt;35,"Solid",TRUE,"Blowout")</f>
        <v>Fail</v>
      </c>
      <c r="L395" s="193">
        <f t="shared" ca="1" si="55"/>
        <v>1</v>
      </c>
      <c r="M395" s="184" t="str" cm="1">
        <f t="array" aca="1" ref="M395" ca="1">_xlfn.IFS(C395&lt;$B$11,"Fail",C395&lt;25,"Marginal",C395&lt;35,"Solid",TRUE,"Blowout")</f>
        <v>Solid</v>
      </c>
    </row>
    <row r="396" spans="1:13" x14ac:dyDescent="0.25">
      <c r="A396" s="138">
        <f t="shared" ca="1" si="56"/>
        <v>32.935904717582339</v>
      </c>
      <c r="B396" s="137">
        <f t="shared" ca="1" si="57"/>
        <v>0.77736923671485592</v>
      </c>
      <c r="C396" s="137">
        <f t="shared" ca="1" si="58"/>
        <v>32.158535480867485</v>
      </c>
      <c r="D396" s="152">
        <f t="shared" ca="1" si="59"/>
        <v>4.0642361502421762</v>
      </c>
      <c r="E396" s="197">
        <f t="shared" ca="1" si="60"/>
        <v>3.3172079622762654E-5</v>
      </c>
      <c r="F396" s="137">
        <f t="shared" ca="1" si="61"/>
        <v>18.691815945084713</v>
      </c>
      <c r="G396" s="137">
        <f t="shared" ca="1" si="62"/>
        <v>17.914446708369859</v>
      </c>
      <c r="H396" s="152">
        <f t="shared" ca="1" si="63"/>
        <v>2.2640503006444659</v>
      </c>
      <c r="I396" s="152">
        <f t="shared" ca="1" si="64"/>
        <v>1.2255770573362476E-2</v>
      </c>
      <c r="J396" s="190">
        <f t="shared" ca="1" si="65"/>
        <v>0</v>
      </c>
      <c r="K396" s="187" t="str" cm="1">
        <f t="array" aca="1" ref="K396" ca="1">_xlfn.IFS(G396&lt;$B$11,"Fail",G396&lt;25,"Marginal",G396&lt;35,"Solid",TRUE,"Blowout")</f>
        <v>Fail</v>
      </c>
      <c r="L396" s="193">
        <f t="shared" ca="1" si="55"/>
        <v>1</v>
      </c>
      <c r="M396" s="184" t="str" cm="1">
        <f t="array" aca="1" ref="M396" ca="1">_xlfn.IFS(C396&lt;$B$11,"Fail",C396&lt;25,"Marginal",C396&lt;35,"Solid",TRUE,"Blowout")</f>
        <v>Solid</v>
      </c>
    </row>
    <row r="397" spans="1:13" x14ac:dyDescent="0.25">
      <c r="A397" s="138">
        <f t="shared" ca="1" si="56"/>
        <v>11.184815195630661</v>
      </c>
      <c r="B397" s="137">
        <f t="shared" ca="1" si="57"/>
        <v>11.422634684071383</v>
      </c>
      <c r="C397" s="137">
        <f t="shared" ca="1" si="58"/>
        <v>-0.23781948844072254</v>
      </c>
      <c r="D397" s="152">
        <f t="shared" ca="1" si="59"/>
        <v>-3.005592598356761E-2</v>
      </c>
      <c r="E397" s="197">
        <f t="shared" ca="1" si="60"/>
        <v>0.51197562835230559</v>
      </c>
      <c r="F397" s="137">
        <f t="shared" ca="1" si="61"/>
        <v>19.24826909212074</v>
      </c>
      <c r="G397" s="137">
        <f t="shared" ca="1" si="62"/>
        <v>7.8256344080493569</v>
      </c>
      <c r="H397" s="152">
        <f t="shared" ca="1" si="63"/>
        <v>0.98901351644870605</v>
      </c>
      <c r="I397" s="152">
        <f t="shared" ca="1" si="64"/>
        <v>0.16185246888546784</v>
      </c>
      <c r="J397" s="190">
        <f t="shared" ca="1" si="65"/>
        <v>0</v>
      </c>
      <c r="K397" s="187" t="str" cm="1">
        <f t="array" aca="1" ref="K397" ca="1">_xlfn.IFS(G397&lt;$B$11,"Fail",G397&lt;25,"Marginal",G397&lt;35,"Solid",TRUE,"Blowout")</f>
        <v>Fail</v>
      </c>
      <c r="L397" s="193">
        <f t="shared" ca="1" si="55"/>
        <v>0</v>
      </c>
      <c r="M397" s="184" t="str" cm="1">
        <f t="array" aca="1" ref="M397" ca="1">_xlfn.IFS(C397&lt;$B$11,"Fail",C397&lt;25,"Marginal",C397&lt;35,"Solid",TRUE,"Blowout")</f>
        <v>Fail</v>
      </c>
    </row>
    <row r="398" spans="1:13" x14ac:dyDescent="0.25">
      <c r="A398" s="138">
        <f t="shared" ca="1" si="56"/>
        <v>40.657079669277344</v>
      </c>
      <c r="B398" s="137">
        <f t="shared" ca="1" si="57"/>
        <v>0.12935155393511</v>
      </c>
      <c r="C398" s="137">
        <f t="shared" ca="1" si="58"/>
        <v>40.527728115342235</v>
      </c>
      <c r="D398" s="152">
        <f t="shared" ca="1" si="59"/>
        <v>5.121945238817105</v>
      </c>
      <c r="E398" s="197">
        <f t="shared" ca="1" si="60"/>
        <v>3.2167950726862138E-7</v>
      </c>
      <c r="F398" s="137">
        <f t="shared" ca="1" si="61"/>
        <v>36.28696991411671</v>
      </c>
      <c r="G398" s="137">
        <f t="shared" ca="1" si="62"/>
        <v>36.157618360181601</v>
      </c>
      <c r="H398" s="152">
        <f t="shared" ca="1" si="63"/>
        <v>4.5696452729801429</v>
      </c>
      <c r="I398" s="152">
        <f t="shared" ca="1" si="64"/>
        <v>4.0026064681692861E-6</v>
      </c>
      <c r="J398" s="190">
        <f t="shared" ca="1" si="65"/>
        <v>1</v>
      </c>
      <c r="K398" s="187" t="str" cm="1">
        <f t="array" aca="1" ref="K398" ca="1">_xlfn.IFS(G398&lt;$B$11,"Fail",G398&lt;25,"Marginal",G398&lt;35,"Solid",TRUE,"Blowout")</f>
        <v>Blowout</v>
      </c>
      <c r="L398" s="193">
        <f t="shared" ca="1" si="55"/>
        <v>1</v>
      </c>
      <c r="M398" s="184" t="str" cm="1">
        <f t="array" aca="1" ref="M398" ca="1">_xlfn.IFS(C398&lt;$B$11,"Fail",C398&lt;25,"Marginal",C398&lt;35,"Solid",TRUE,"Blowout")</f>
        <v>Blowout</v>
      </c>
    </row>
    <row r="399" spans="1:13" x14ac:dyDescent="0.25">
      <c r="A399" s="138">
        <f t="shared" ca="1" si="56"/>
        <v>9.7041548304925236</v>
      </c>
      <c r="B399" s="137">
        <f t="shared" ca="1" si="57"/>
        <v>8.7983673579397603</v>
      </c>
      <c r="C399" s="137">
        <f t="shared" ca="1" si="58"/>
        <v>0.90578747255276326</v>
      </c>
      <c r="D399" s="152">
        <f t="shared" ca="1" si="59"/>
        <v>0.11447455971916445</v>
      </c>
      <c r="E399" s="197">
        <f t="shared" ca="1" si="60"/>
        <v>0.45448117834207846</v>
      </c>
      <c r="F399" s="137">
        <f t="shared" ca="1" si="61"/>
        <v>11.75477955986805</v>
      </c>
      <c r="G399" s="137">
        <f t="shared" ca="1" si="62"/>
        <v>2.9564122019282895</v>
      </c>
      <c r="H399" s="152">
        <f t="shared" ca="1" si="63"/>
        <v>0.37363509147494006</v>
      </c>
      <c r="I399" s="152">
        <f t="shared" ca="1" si="64"/>
        <v>0.35451150513461444</v>
      </c>
      <c r="J399" s="190">
        <f t="shared" ca="1" si="65"/>
        <v>0</v>
      </c>
      <c r="K399" s="187" t="str" cm="1">
        <f t="array" aca="1" ref="K399" ca="1">_xlfn.IFS(G399&lt;$B$11,"Fail",G399&lt;25,"Marginal",G399&lt;35,"Solid",TRUE,"Blowout")</f>
        <v>Fail</v>
      </c>
      <c r="L399" s="193">
        <f t="shared" ca="1" si="55"/>
        <v>0</v>
      </c>
      <c r="M399" s="184" t="str" cm="1">
        <f t="array" aca="1" ref="M399" ca="1">_xlfn.IFS(C399&lt;$B$11,"Fail",C399&lt;25,"Marginal",C399&lt;35,"Solid",TRUE,"Blowout")</f>
        <v>Fail</v>
      </c>
    </row>
    <row r="400" spans="1:13" x14ac:dyDescent="0.25">
      <c r="A400" s="138">
        <f t="shared" ca="1" si="56"/>
        <v>58.394109307562104</v>
      </c>
      <c r="B400" s="137">
        <f t="shared" ca="1" si="57"/>
        <v>-1.2037448703531179</v>
      </c>
      <c r="C400" s="137">
        <f t="shared" ca="1" si="58"/>
        <v>59.597854177915224</v>
      </c>
      <c r="D400" s="152">
        <f t="shared" ca="1" si="59"/>
        <v>7.5320517493979748</v>
      </c>
      <c r="E400" s="197">
        <f t="shared" ca="1" si="60"/>
        <v>5.7990477812251443E-13</v>
      </c>
      <c r="F400" s="137">
        <f t="shared" ca="1" si="61"/>
        <v>51.475551439123251</v>
      </c>
      <c r="G400" s="137">
        <f t="shared" ca="1" si="62"/>
        <v>52.679296309476371</v>
      </c>
      <c r="H400" s="152">
        <f t="shared" ca="1" si="63"/>
        <v>6.6576757065840644</v>
      </c>
      <c r="I400" s="152">
        <f t="shared" ca="1" si="64"/>
        <v>1.0259397328716443E-10</v>
      </c>
      <c r="J400" s="190">
        <f t="shared" ca="1" si="65"/>
        <v>1</v>
      </c>
      <c r="K400" s="187" t="str" cm="1">
        <f t="array" aca="1" ref="K400" ca="1">_xlfn.IFS(G400&lt;$B$11,"Fail",G400&lt;25,"Marginal",G400&lt;35,"Solid",TRUE,"Blowout")</f>
        <v>Blowout</v>
      </c>
      <c r="L400" s="193">
        <f t="shared" ref="L400:L463" ca="1" si="66">IF(AND(E400&lt;$B$10,C400&gt;=$B$11),1,0)</f>
        <v>1</v>
      </c>
      <c r="M400" s="184" t="str" cm="1">
        <f t="array" aca="1" ref="M400" ca="1">_xlfn.IFS(C400&lt;$B$11,"Fail",C400&lt;25,"Marginal",C400&lt;35,"Solid",TRUE,"Blowout")</f>
        <v>Blowout</v>
      </c>
    </row>
    <row r="401" spans="1:13" x14ac:dyDescent="0.25">
      <c r="A401" s="138">
        <f t="shared" ref="A401:A464" ca="1" si="67">NORMINV(RAND(), MAX(0, NORMINV(RAND(), $B$6, $B$12)), $B$7/SQRT($B$9))</f>
        <v>51.454946753354228</v>
      </c>
      <c r="B401" s="137">
        <f t="shared" ref="B401:B464" ca="1" si="68">NORMINV(RAND(), $B$8, $B$7/SQRT($B$9))</f>
        <v>2.4661176045887823</v>
      </c>
      <c r="C401" s="137">
        <f t="shared" ref="C401:C464" ca="1" si="69">A401-B401</f>
        <v>48.988829148765447</v>
      </c>
      <c r="D401" s="152">
        <f t="shared" ref="D401:D464" ca="1" si="70">C401/($B$7*SQRT(2/$B$9))</f>
        <v>6.1912698264168391</v>
      </c>
      <c r="E401" s="197">
        <f t="shared" ref="E401:E464" ca="1" si="71">_xlfn.T.DIST.RT(D401, 2*$B$9-2)</f>
        <v>1.3745245773201694E-9</v>
      </c>
      <c r="F401" s="137">
        <f t="shared" ref="F401:F464" ca="1" si="72">NORMINV(RAND(), MAX(0, NORMINV(RAND(), $N$7, $N$8)), $B$7/SQRT($B$9))</f>
        <v>28.659716428479328</v>
      </c>
      <c r="G401" s="137">
        <f t="shared" ref="G401:G464" ca="1" si="73">F401-B401</f>
        <v>26.193598823890547</v>
      </c>
      <c r="H401" s="152">
        <f t="shared" ref="H401:H464" ca="1" si="74">G401/($B$7*SQRT(2/$B$9))</f>
        <v>3.3103799552169537</v>
      </c>
      <c r="I401" s="152">
        <f t="shared" ref="I401:I464" ca="1" si="75">_xlfn.T.DIST.RT(H401, 2*$B$9-2)</f>
        <v>5.4148612740080604E-4</v>
      </c>
      <c r="J401" s="190">
        <f t="shared" ref="J401:J464" ca="1" si="76">IF(AND(I401&lt;$B$10, G401&gt;=$B$11), 1, 0)</f>
        <v>1</v>
      </c>
      <c r="K401" s="187" t="str" cm="1">
        <f t="array" aca="1" ref="K401" ca="1">_xlfn.IFS(G401&lt;$B$11,"Fail",G401&lt;25,"Marginal",G401&lt;35,"Solid",TRUE,"Blowout")</f>
        <v>Solid</v>
      </c>
      <c r="L401" s="193">
        <f t="shared" ca="1" si="66"/>
        <v>1</v>
      </c>
      <c r="M401" s="184" t="str" cm="1">
        <f t="array" aca="1" ref="M401" ca="1">_xlfn.IFS(C401&lt;$B$11,"Fail",C401&lt;25,"Marginal",C401&lt;35,"Solid",TRUE,"Blowout")</f>
        <v>Blowout</v>
      </c>
    </row>
    <row r="402" spans="1:13" x14ac:dyDescent="0.25">
      <c r="A402" s="138">
        <f t="shared" ca="1" si="67"/>
        <v>74.593703156701693</v>
      </c>
      <c r="B402" s="137">
        <f t="shared" ca="1" si="68"/>
        <v>11.135989484448849</v>
      </c>
      <c r="C402" s="137">
        <f t="shared" ca="1" si="69"/>
        <v>63.457713672252844</v>
      </c>
      <c r="D402" s="152">
        <f t="shared" ca="1" si="70"/>
        <v>8.0198656456830086</v>
      </c>
      <c r="E402" s="197">
        <f t="shared" ca="1" si="71"/>
        <v>2.7591107832478266E-14</v>
      </c>
      <c r="F402" s="137">
        <f t="shared" ca="1" si="72"/>
        <v>15.002094433253198</v>
      </c>
      <c r="G402" s="137">
        <f t="shared" ca="1" si="73"/>
        <v>3.8661049488043489</v>
      </c>
      <c r="H402" s="152">
        <f t="shared" ca="1" si="74"/>
        <v>0.48860320467357793</v>
      </c>
      <c r="I402" s="152">
        <f t="shared" ca="1" si="75"/>
        <v>0.31279613169705511</v>
      </c>
      <c r="J402" s="190">
        <f t="shared" ca="1" si="76"/>
        <v>0</v>
      </c>
      <c r="K402" s="187" t="str" cm="1">
        <f t="array" aca="1" ref="K402" ca="1">_xlfn.IFS(G402&lt;$B$11,"Fail",G402&lt;25,"Marginal",G402&lt;35,"Solid",TRUE,"Blowout")</f>
        <v>Fail</v>
      </c>
      <c r="L402" s="193">
        <f t="shared" ca="1" si="66"/>
        <v>1</v>
      </c>
      <c r="M402" s="184" t="str" cm="1">
        <f t="array" aca="1" ref="M402" ca="1">_xlfn.IFS(C402&lt;$B$11,"Fail",C402&lt;25,"Marginal",C402&lt;35,"Solid",TRUE,"Blowout")</f>
        <v>Blowout</v>
      </c>
    </row>
    <row r="403" spans="1:13" x14ac:dyDescent="0.25">
      <c r="A403" s="138">
        <f t="shared" ca="1" si="67"/>
        <v>54.683472478375514</v>
      </c>
      <c r="B403" s="137">
        <f t="shared" ca="1" si="68"/>
        <v>14.769957477540091</v>
      </c>
      <c r="C403" s="137">
        <f t="shared" ca="1" si="69"/>
        <v>39.913515000835424</v>
      </c>
      <c r="D403" s="152">
        <f t="shared" ca="1" si="70"/>
        <v>5.044320213093636</v>
      </c>
      <c r="E403" s="197">
        <f t="shared" ca="1" si="71"/>
        <v>4.6437354092613476E-7</v>
      </c>
      <c r="F403" s="137">
        <f t="shared" ca="1" si="72"/>
        <v>16.814692286214321</v>
      </c>
      <c r="G403" s="137">
        <f t="shared" ca="1" si="73"/>
        <v>2.0447348086742299</v>
      </c>
      <c r="H403" s="152">
        <f t="shared" ca="1" si="74"/>
        <v>0.25841615617155439</v>
      </c>
      <c r="I403" s="152">
        <f t="shared" ca="1" si="75"/>
        <v>0.39815943652362135</v>
      </c>
      <c r="J403" s="190">
        <f t="shared" ca="1" si="76"/>
        <v>0</v>
      </c>
      <c r="K403" s="187" t="str" cm="1">
        <f t="array" aca="1" ref="K403" ca="1">_xlfn.IFS(G403&lt;$B$11,"Fail",G403&lt;25,"Marginal",G403&lt;35,"Solid",TRUE,"Blowout")</f>
        <v>Fail</v>
      </c>
      <c r="L403" s="193">
        <f t="shared" ca="1" si="66"/>
        <v>1</v>
      </c>
      <c r="M403" s="184" t="str" cm="1">
        <f t="array" aca="1" ref="M403" ca="1">_xlfn.IFS(C403&lt;$B$11,"Fail",C403&lt;25,"Marginal",C403&lt;35,"Solid",TRUE,"Blowout")</f>
        <v>Blowout</v>
      </c>
    </row>
    <row r="404" spans="1:13" x14ac:dyDescent="0.25">
      <c r="A404" s="138">
        <f t="shared" ca="1" si="67"/>
        <v>2.3170161191568308</v>
      </c>
      <c r="B404" s="137">
        <f t="shared" ca="1" si="68"/>
        <v>-7.8382832437733612</v>
      </c>
      <c r="C404" s="137">
        <f t="shared" ca="1" si="69"/>
        <v>10.155299362930192</v>
      </c>
      <c r="D404" s="152">
        <f t="shared" ca="1" si="70"/>
        <v>1.283439502769262</v>
      </c>
      <c r="E404" s="197">
        <f t="shared" ca="1" si="71"/>
        <v>0.10032052915286356</v>
      </c>
      <c r="F404" s="137">
        <f t="shared" ca="1" si="72"/>
        <v>26.910028239224349</v>
      </c>
      <c r="G404" s="137">
        <f t="shared" ca="1" si="73"/>
        <v>34.748311482997707</v>
      </c>
      <c r="H404" s="152">
        <f t="shared" ca="1" si="74"/>
        <v>4.3915352977779643</v>
      </c>
      <c r="I404" s="152">
        <f t="shared" ca="1" si="75"/>
        <v>8.616785213798862E-6</v>
      </c>
      <c r="J404" s="190">
        <f t="shared" ca="1" si="76"/>
        <v>1</v>
      </c>
      <c r="K404" s="187" t="str" cm="1">
        <f t="array" aca="1" ref="K404" ca="1">_xlfn.IFS(G404&lt;$B$11,"Fail",G404&lt;25,"Marginal",G404&lt;35,"Solid",TRUE,"Blowout")</f>
        <v>Solid</v>
      </c>
      <c r="L404" s="193">
        <f t="shared" ca="1" si="66"/>
        <v>0</v>
      </c>
      <c r="M404" s="184" t="str" cm="1">
        <f t="array" aca="1" ref="M404" ca="1">_xlfn.IFS(C404&lt;$B$11,"Fail",C404&lt;25,"Marginal",C404&lt;35,"Solid",TRUE,"Blowout")</f>
        <v>Fail</v>
      </c>
    </row>
    <row r="405" spans="1:13" x14ac:dyDescent="0.25">
      <c r="A405" s="138">
        <f t="shared" ca="1" si="67"/>
        <v>17.848952406201981</v>
      </c>
      <c r="B405" s="137">
        <f t="shared" ca="1" si="68"/>
        <v>3.0736217066591909</v>
      </c>
      <c r="C405" s="137">
        <f t="shared" ca="1" si="69"/>
        <v>14.77533069954279</v>
      </c>
      <c r="D405" s="152">
        <f t="shared" ca="1" si="70"/>
        <v>1.8673248723217342</v>
      </c>
      <c r="E405" s="197">
        <f t="shared" ca="1" si="71"/>
        <v>3.1569746291081058E-2</v>
      </c>
      <c r="F405" s="137">
        <f t="shared" ca="1" si="72"/>
        <v>22.410874691490623</v>
      </c>
      <c r="G405" s="137">
        <f t="shared" ca="1" si="73"/>
        <v>19.33725298483143</v>
      </c>
      <c r="H405" s="152">
        <f t="shared" ca="1" si="74"/>
        <v>2.4438663469015136</v>
      </c>
      <c r="I405" s="152">
        <f t="shared" ca="1" si="75"/>
        <v>7.6451318341447926E-3</v>
      </c>
      <c r="J405" s="190">
        <f t="shared" ca="1" si="76"/>
        <v>0</v>
      </c>
      <c r="K405" s="187" t="str" cm="1">
        <f t="array" aca="1" ref="K405" ca="1">_xlfn.IFS(G405&lt;$B$11,"Fail",G405&lt;25,"Marginal",G405&lt;35,"Solid",TRUE,"Blowout")</f>
        <v>Fail</v>
      </c>
      <c r="L405" s="193">
        <f t="shared" ca="1" si="66"/>
        <v>0</v>
      </c>
      <c r="M405" s="184" t="str" cm="1">
        <f t="array" aca="1" ref="M405" ca="1">_xlfn.IFS(C405&lt;$B$11,"Fail",C405&lt;25,"Marginal",C405&lt;35,"Solid",TRUE,"Blowout")</f>
        <v>Fail</v>
      </c>
    </row>
    <row r="406" spans="1:13" x14ac:dyDescent="0.25">
      <c r="A406" s="138">
        <f t="shared" ca="1" si="67"/>
        <v>12.548457255644298</v>
      </c>
      <c r="B406" s="137">
        <f t="shared" ca="1" si="68"/>
        <v>6.1076180174803216</v>
      </c>
      <c r="C406" s="137">
        <f t="shared" ca="1" si="69"/>
        <v>6.4408392381639761</v>
      </c>
      <c r="D406" s="152">
        <f t="shared" ca="1" si="70"/>
        <v>0.81400136163595527</v>
      </c>
      <c r="E406" s="197">
        <f t="shared" ca="1" si="71"/>
        <v>0.20824674321102576</v>
      </c>
      <c r="F406" s="137">
        <f t="shared" ca="1" si="72"/>
        <v>2.9598495645727221</v>
      </c>
      <c r="G406" s="137">
        <f t="shared" ca="1" si="73"/>
        <v>-3.1477684529075995</v>
      </c>
      <c r="H406" s="152">
        <f t="shared" ca="1" si="74"/>
        <v>-0.39781893508521965</v>
      </c>
      <c r="I406" s="152">
        <f t="shared" ca="1" si="75"/>
        <v>0.65443206108612251</v>
      </c>
      <c r="J406" s="190">
        <f t="shared" ca="1" si="76"/>
        <v>0</v>
      </c>
      <c r="K406" s="187" t="str" cm="1">
        <f t="array" aca="1" ref="K406" ca="1">_xlfn.IFS(G406&lt;$B$11,"Fail",G406&lt;25,"Marginal",G406&lt;35,"Solid",TRUE,"Blowout")</f>
        <v>Fail</v>
      </c>
      <c r="L406" s="193">
        <f t="shared" ca="1" si="66"/>
        <v>0</v>
      </c>
      <c r="M406" s="184" t="str" cm="1">
        <f t="array" aca="1" ref="M406" ca="1">_xlfn.IFS(C406&lt;$B$11,"Fail",C406&lt;25,"Marginal",C406&lt;35,"Solid",TRUE,"Blowout")</f>
        <v>Fail</v>
      </c>
    </row>
    <row r="407" spans="1:13" x14ac:dyDescent="0.25">
      <c r="A407" s="138">
        <f t="shared" ca="1" si="67"/>
        <v>14.734973943310258</v>
      </c>
      <c r="B407" s="137">
        <f t="shared" ca="1" si="68"/>
        <v>4.5362914597866775</v>
      </c>
      <c r="C407" s="137">
        <f t="shared" ca="1" si="69"/>
        <v>10.19868248352358</v>
      </c>
      <c r="D407" s="152">
        <f t="shared" ca="1" si="70"/>
        <v>1.2889223160998273</v>
      </c>
      <c r="E407" s="197">
        <f t="shared" ca="1" si="71"/>
        <v>9.9365654284124846E-2</v>
      </c>
      <c r="F407" s="137">
        <f t="shared" ca="1" si="72"/>
        <v>8.3103752630722827</v>
      </c>
      <c r="G407" s="137">
        <f t="shared" ca="1" si="73"/>
        <v>3.7740838032856052</v>
      </c>
      <c r="H407" s="152">
        <f t="shared" ca="1" si="74"/>
        <v>0.47697345659545171</v>
      </c>
      <c r="I407" s="152">
        <f t="shared" ca="1" si="75"/>
        <v>0.31691893488827816</v>
      </c>
      <c r="J407" s="190">
        <f t="shared" ca="1" si="76"/>
        <v>0</v>
      </c>
      <c r="K407" s="187" t="str" cm="1">
        <f t="array" aca="1" ref="K407" ca="1">_xlfn.IFS(G407&lt;$B$11,"Fail",G407&lt;25,"Marginal",G407&lt;35,"Solid",TRUE,"Blowout")</f>
        <v>Fail</v>
      </c>
      <c r="L407" s="193">
        <f t="shared" ca="1" si="66"/>
        <v>0</v>
      </c>
      <c r="M407" s="184" t="str" cm="1">
        <f t="array" aca="1" ref="M407" ca="1">_xlfn.IFS(C407&lt;$B$11,"Fail",C407&lt;25,"Marginal",C407&lt;35,"Solid",TRUE,"Blowout")</f>
        <v>Fail</v>
      </c>
    </row>
    <row r="408" spans="1:13" x14ac:dyDescent="0.25">
      <c r="A408" s="138">
        <f t="shared" ca="1" si="67"/>
        <v>12.219181185725084</v>
      </c>
      <c r="B408" s="137">
        <f t="shared" ca="1" si="68"/>
        <v>2.8603961740214068E-2</v>
      </c>
      <c r="C408" s="137">
        <f t="shared" ca="1" si="69"/>
        <v>12.190577223984871</v>
      </c>
      <c r="D408" s="152">
        <f t="shared" ca="1" si="70"/>
        <v>1.5406604780094835</v>
      </c>
      <c r="E408" s="197">
        <f t="shared" ca="1" si="71"/>
        <v>6.2393076071019009E-2</v>
      </c>
      <c r="F408" s="137">
        <f t="shared" ca="1" si="72"/>
        <v>3.2462931919249143</v>
      </c>
      <c r="G408" s="137">
        <f t="shared" ca="1" si="73"/>
        <v>3.2176892301847002</v>
      </c>
      <c r="H408" s="152">
        <f t="shared" ca="1" si="74"/>
        <v>0.40665561083594504</v>
      </c>
      <c r="I408" s="152">
        <f t="shared" ca="1" si="75"/>
        <v>0.34232120481414247</v>
      </c>
      <c r="J408" s="190">
        <f t="shared" ca="1" si="76"/>
        <v>0</v>
      </c>
      <c r="K408" s="187" t="str" cm="1">
        <f t="array" aca="1" ref="K408" ca="1">_xlfn.IFS(G408&lt;$B$11,"Fail",G408&lt;25,"Marginal",G408&lt;35,"Solid",TRUE,"Blowout")</f>
        <v>Fail</v>
      </c>
      <c r="L408" s="193">
        <f t="shared" ca="1" si="66"/>
        <v>0</v>
      </c>
      <c r="M408" s="184" t="str" cm="1">
        <f t="array" aca="1" ref="M408" ca="1">_xlfn.IFS(C408&lt;$B$11,"Fail",C408&lt;25,"Marginal",C408&lt;35,"Solid",TRUE,"Blowout")</f>
        <v>Fail</v>
      </c>
    </row>
    <row r="409" spans="1:13" x14ac:dyDescent="0.25">
      <c r="A409" s="138">
        <f t="shared" ca="1" si="67"/>
        <v>42.336881343622082</v>
      </c>
      <c r="B409" s="137">
        <f t="shared" ca="1" si="68"/>
        <v>6.2174282052138361</v>
      </c>
      <c r="C409" s="137">
        <f t="shared" ca="1" si="69"/>
        <v>36.119453138408247</v>
      </c>
      <c r="D409" s="152">
        <f t="shared" ca="1" si="70"/>
        <v>4.5648219042634439</v>
      </c>
      <c r="E409" s="197">
        <f t="shared" ca="1" si="71"/>
        <v>4.0878277855214237E-6</v>
      </c>
      <c r="F409" s="137">
        <f t="shared" ca="1" si="72"/>
        <v>52.580062797573262</v>
      </c>
      <c r="G409" s="137">
        <f t="shared" ca="1" si="73"/>
        <v>46.362634592359427</v>
      </c>
      <c r="H409" s="152">
        <f t="shared" ca="1" si="74"/>
        <v>5.8593680561989547</v>
      </c>
      <c r="I409" s="152">
        <f t="shared" ca="1" si="75"/>
        <v>8.068329244158222E-9</v>
      </c>
      <c r="J409" s="190">
        <f t="shared" ca="1" si="76"/>
        <v>1</v>
      </c>
      <c r="K409" s="187" t="str" cm="1">
        <f t="array" aca="1" ref="K409" ca="1">_xlfn.IFS(G409&lt;$B$11,"Fail",G409&lt;25,"Marginal",G409&lt;35,"Solid",TRUE,"Blowout")</f>
        <v>Blowout</v>
      </c>
      <c r="L409" s="193">
        <f t="shared" ca="1" si="66"/>
        <v>1</v>
      </c>
      <c r="M409" s="184" t="str" cm="1">
        <f t="array" aca="1" ref="M409" ca="1">_xlfn.IFS(C409&lt;$B$11,"Fail",C409&lt;25,"Marginal",C409&lt;35,"Solid",TRUE,"Blowout")</f>
        <v>Blowout</v>
      </c>
    </row>
    <row r="410" spans="1:13" x14ac:dyDescent="0.25">
      <c r="A410" s="138">
        <f t="shared" ca="1" si="67"/>
        <v>0.14596632419878375</v>
      </c>
      <c r="B410" s="137">
        <f t="shared" ca="1" si="68"/>
        <v>6.47026982693452</v>
      </c>
      <c r="C410" s="137">
        <f t="shared" ca="1" si="69"/>
        <v>-6.3243035027357362</v>
      </c>
      <c r="D410" s="152">
        <f t="shared" ca="1" si="70"/>
        <v>-0.79927342886040043</v>
      </c>
      <c r="E410" s="197">
        <f t="shared" ca="1" si="71"/>
        <v>0.78751812568868584</v>
      </c>
      <c r="F410" s="137">
        <f t="shared" ca="1" si="72"/>
        <v>-1.4574415866332391</v>
      </c>
      <c r="G410" s="137">
        <f t="shared" ca="1" si="73"/>
        <v>-7.9277114135677591</v>
      </c>
      <c r="H410" s="152">
        <f t="shared" ca="1" si="74"/>
        <v>-1.0019141367578361</v>
      </c>
      <c r="I410" s="152">
        <f t="shared" ca="1" si="75"/>
        <v>0.84127639967054491</v>
      </c>
      <c r="J410" s="190">
        <f t="shared" ca="1" si="76"/>
        <v>0</v>
      </c>
      <c r="K410" s="187" t="str" cm="1">
        <f t="array" aca="1" ref="K410" ca="1">_xlfn.IFS(G410&lt;$B$11,"Fail",G410&lt;25,"Marginal",G410&lt;35,"Solid",TRUE,"Blowout")</f>
        <v>Fail</v>
      </c>
      <c r="L410" s="193">
        <f t="shared" ca="1" si="66"/>
        <v>0</v>
      </c>
      <c r="M410" s="184" t="str" cm="1">
        <f t="array" aca="1" ref="M410" ca="1">_xlfn.IFS(C410&lt;$B$11,"Fail",C410&lt;25,"Marginal",C410&lt;35,"Solid",TRUE,"Blowout")</f>
        <v>Fail</v>
      </c>
    </row>
    <row r="411" spans="1:13" x14ac:dyDescent="0.25">
      <c r="A411" s="138">
        <f t="shared" ca="1" si="67"/>
        <v>35.274471199019715</v>
      </c>
      <c r="B411" s="137">
        <f t="shared" ca="1" si="68"/>
        <v>2.9838229122411488</v>
      </c>
      <c r="C411" s="137">
        <f t="shared" ca="1" si="69"/>
        <v>32.290648286778563</v>
      </c>
      <c r="D411" s="152">
        <f t="shared" ca="1" si="70"/>
        <v>4.0809327327719744</v>
      </c>
      <c r="E411" s="197">
        <f t="shared" ca="1" si="71"/>
        <v>3.1027883545631E-5</v>
      </c>
      <c r="F411" s="137">
        <f t="shared" ca="1" si="72"/>
        <v>52.327667992430946</v>
      </c>
      <c r="G411" s="137">
        <f t="shared" ca="1" si="73"/>
        <v>49.343845080189794</v>
      </c>
      <c r="H411" s="152">
        <f t="shared" ca="1" si="74"/>
        <v>6.2361371862275856</v>
      </c>
      <c r="I411" s="152">
        <f t="shared" ca="1" si="75"/>
        <v>1.0766409009653169E-9</v>
      </c>
      <c r="J411" s="190">
        <f t="shared" ca="1" si="76"/>
        <v>1</v>
      </c>
      <c r="K411" s="187" t="str" cm="1">
        <f t="array" aca="1" ref="K411" ca="1">_xlfn.IFS(G411&lt;$B$11,"Fail",G411&lt;25,"Marginal",G411&lt;35,"Solid",TRUE,"Blowout")</f>
        <v>Blowout</v>
      </c>
      <c r="L411" s="193">
        <f t="shared" ca="1" si="66"/>
        <v>1</v>
      </c>
      <c r="M411" s="184" t="str" cm="1">
        <f t="array" aca="1" ref="M411" ca="1">_xlfn.IFS(C411&lt;$B$11,"Fail",C411&lt;25,"Marginal",C411&lt;35,"Solid",TRUE,"Blowout")</f>
        <v>Solid</v>
      </c>
    </row>
    <row r="412" spans="1:13" x14ac:dyDescent="0.25">
      <c r="A412" s="138">
        <f t="shared" ca="1" si="67"/>
        <v>33.466993798406804</v>
      </c>
      <c r="B412" s="137">
        <f t="shared" ca="1" si="68"/>
        <v>8.7316263716998872</v>
      </c>
      <c r="C412" s="137">
        <f t="shared" ca="1" si="69"/>
        <v>24.735367426706915</v>
      </c>
      <c r="D412" s="152">
        <f t="shared" ca="1" si="70"/>
        <v>3.1260868376594746</v>
      </c>
      <c r="E412" s="197">
        <f t="shared" ca="1" si="71"/>
        <v>1.0008919084547746E-3</v>
      </c>
      <c r="F412" s="137">
        <f t="shared" ca="1" si="72"/>
        <v>23.432777520341563</v>
      </c>
      <c r="G412" s="137">
        <f t="shared" ca="1" si="73"/>
        <v>14.701151148641676</v>
      </c>
      <c r="H412" s="152">
        <f t="shared" ca="1" si="74"/>
        <v>1.8579499674054203</v>
      </c>
      <c r="I412" s="152">
        <f t="shared" ca="1" si="75"/>
        <v>3.223261132233577E-2</v>
      </c>
      <c r="J412" s="190">
        <f t="shared" ca="1" si="76"/>
        <v>0</v>
      </c>
      <c r="K412" s="187" t="str" cm="1">
        <f t="array" aca="1" ref="K412" ca="1">_xlfn.IFS(G412&lt;$B$11,"Fail",G412&lt;25,"Marginal",G412&lt;35,"Solid",TRUE,"Blowout")</f>
        <v>Fail</v>
      </c>
      <c r="L412" s="193">
        <f t="shared" ca="1" si="66"/>
        <v>1</v>
      </c>
      <c r="M412" s="184" t="str" cm="1">
        <f t="array" aca="1" ref="M412" ca="1">_xlfn.IFS(C412&lt;$B$11,"Fail",C412&lt;25,"Marginal",C412&lt;35,"Solid",TRUE,"Blowout")</f>
        <v>Marginal</v>
      </c>
    </row>
    <row r="413" spans="1:13" x14ac:dyDescent="0.25">
      <c r="A413" s="138">
        <f t="shared" ca="1" si="67"/>
        <v>34.677949607727349</v>
      </c>
      <c r="B413" s="137">
        <f t="shared" ca="1" si="68"/>
        <v>-3.8305308288006934</v>
      </c>
      <c r="C413" s="137">
        <f t="shared" ca="1" si="69"/>
        <v>38.508480436528046</v>
      </c>
      <c r="D413" s="152">
        <f t="shared" ca="1" si="70"/>
        <v>4.8667501781648017</v>
      </c>
      <c r="E413" s="197">
        <f t="shared" ca="1" si="71"/>
        <v>1.0588845448222083E-6</v>
      </c>
      <c r="F413" s="137">
        <f t="shared" ca="1" si="72"/>
        <v>23.180636156750527</v>
      </c>
      <c r="G413" s="137">
        <f t="shared" ca="1" si="73"/>
        <v>27.01116698555122</v>
      </c>
      <c r="H413" s="152">
        <f t="shared" ca="1" si="74"/>
        <v>3.4137052474985383</v>
      </c>
      <c r="I413" s="152">
        <f t="shared" ca="1" si="75"/>
        <v>3.7916341900030213E-4</v>
      </c>
      <c r="J413" s="190">
        <f t="shared" ca="1" si="76"/>
        <v>1</v>
      </c>
      <c r="K413" s="187" t="str" cm="1">
        <f t="array" aca="1" ref="K413" ca="1">_xlfn.IFS(G413&lt;$B$11,"Fail",G413&lt;25,"Marginal",G413&lt;35,"Solid",TRUE,"Blowout")</f>
        <v>Solid</v>
      </c>
      <c r="L413" s="193">
        <f t="shared" ca="1" si="66"/>
        <v>1</v>
      </c>
      <c r="M413" s="184" t="str" cm="1">
        <f t="array" aca="1" ref="M413" ca="1">_xlfn.IFS(C413&lt;$B$11,"Fail",C413&lt;25,"Marginal",C413&lt;35,"Solid",TRUE,"Blowout")</f>
        <v>Blowout</v>
      </c>
    </row>
    <row r="414" spans="1:13" x14ac:dyDescent="0.25">
      <c r="A414" s="138">
        <f t="shared" ca="1" si="67"/>
        <v>3.0452215277483266</v>
      </c>
      <c r="B414" s="137">
        <f t="shared" ca="1" si="68"/>
        <v>2.6831664400503108E-2</v>
      </c>
      <c r="C414" s="137">
        <f t="shared" ca="1" si="69"/>
        <v>3.0183898633478234</v>
      </c>
      <c r="D414" s="152">
        <f t="shared" ca="1" si="70"/>
        <v>0.38146790625590549</v>
      </c>
      <c r="E414" s="197">
        <f t="shared" ca="1" si="71"/>
        <v>0.35160566684198097</v>
      </c>
      <c r="F414" s="137">
        <f t="shared" ca="1" si="72"/>
        <v>21.139990982708781</v>
      </c>
      <c r="G414" s="137">
        <f t="shared" ca="1" si="73"/>
        <v>21.113159318308277</v>
      </c>
      <c r="H414" s="152">
        <f t="shared" ca="1" si="74"/>
        <v>2.6683076223524669</v>
      </c>
      <c r="I414" s="152">
        <f t="shared" ca="1" si="75"/>
        <v>4.0854229546235209E-3</v>
      </c>
      <c r="J414" s="190">
        <f t="shared" ca="1" si="76"/>
        <v>1</v>
      </c>
      <c r="K414" s="187" t="str" cm="1">
        <f t="array" aca="1" ref="K414" ca="1">_xlfn.IFS(G414&lt;$B$11,"Fail",G414&lt;25,"Marginal",G414&lt;35,"Solid",TRUE,"Blowout")</f>
        <v>Marginal</v>
      </c>
      <c r="L414" s="193">
        <f t="shared" ca="1" si="66"/>
        <v>0</v>
      </c>
      <c r="M414" s="184" t="str" cm="1">
        <f t="array" aca="1" ref="M414" ca="1">_xlfn.IFS(C414&lt;$B$11,"Fail",C414&lt;25,"Marginal",C414&lt;35,"Solid",TRUE,"Blowout")</f>
        <v>Fail</v>
      </c>
    </row>
    <row r="415" spans="1:13" x14ac:dyDescent="0.25">
      <c r="A415" s="138">
        <f t="shared" ca="1" si="67"/>
        <v>56.747887997133603</v>
      </c>
      <c r="B415" s="137">
        <f t="shared" ca="1" si="68"/>
        <v>11.822828337568513</v>
      </c>
      <c r="C415" s="137">
        <f t="shared" ca="1" si="69"/>
        <v>44.925059659565093</v>
      </c>
      <c r="D415" s="152">
        <f t="shared" ca="1" si="70"/>
        <v>5.6776855285844512</v>
      </c>
      <c r="E415" s="197">
        <f t="shared" ca="1" si="71"/>
        <v>2.0662581172997784E-8</v>
      </c>
      <c r="F415" s="137">
        <f t="shared" ca="1" si="72"/>
        <v>20.732817101259545</v>
      </c>
      <c r="G415" s="137">
        <f t="shared" ca="1" si="73"/>
        <v>8.9099887636910324</v>
      </c>
      <c r="H415" s="152">
        <f t="shared" ca="1" si="74"/>
        <v>1.1260555833827994</v>
      </c>
      <c r="I415" s="152">
        <f t="shared" ca="1" si="75"/>
        <v>0.13066292351207251</v>
      </c>
      <c r="J415" s="190">
        <f t="shared" ca="1" si="76"/>
        <v>0</v>
      </c>
      <c r="K415" s="187" t="str" cm="1">
        <f t="array" aca="1" ref="K415" ca="1">_xlfn.IFS(G415&lt;$B$11,"Fail",G415&lt;25,"Marginal",G415&lt;35,"Solid",TRUE,"Blowout")</f>
        <v>Fail</v>
      </c>
      <c r="L415" s="193">
        <f t="shared" ca="1" si="66"/>
        <v>1</v>
      </c>
      <c r="M415" s="184" t="str" cm="1">
        <f t="array" aca="1" ref="M415" ca="1">_xlfn.IFS(C415&lt;$B$11,"Fail",C415&lt;25,"Marginal",C415&lt;35,"Solid",TRUE,"Blowout")</f>
        <v>Blowout</v>
      </c>
    </row>
    <row r="416" spans="1:13" x14ac:dyDescent="0.25">
      <c r="A416" s="138">
        <f t="shared" ca="1" si="67"/>
        <v>36.595379228271433</v>
      </c>
      <c r="B416" s="137">
        <f t="shared" ca="1" si="68"/>
        <v>6.2807780293468927</v>
      </c>
      <c r="C416" s="137">
        <f t="shared" ca="1" si="69"/>
        <v>30.314601198924542</v>
      </c>
      <c r="D416" s="152">
        <f t="shared" ca="1" si="70"/>
        <v>3.8311974171256771</v>
      </c>
      <c r="E416" s="197">
        <f t="shared" ca="1" si="71"/>
        <v>8.2449818139482319E-5</v>
      </c>
      <c r="F416" s="137">
        <f t="shared" ca="1" si="72"/>
        <v>18.567759842483067</v>
      </c>
      <c r="G416" s="137">
        <f t="shared" ca="1" si="73"/>
        <v>12.286981813136174</v>
      </c>
      <c r="H416" s="152">
        <f t="shared" ca="1" si="74"/>
        <v>1.5528442112056384</v>
      </c>
      <c r="I416" s="152">
        <f t="shared" ca="1" si="75"/>
        <v>6.0923656968327286E-2</v>
      </c>
      <c r="J416" s="190">
        <f t="shared" ca="1" si="76"/>
        <v>0</v>
      </c>
      <c r="K416" s="187" t="str" cm="1">
        <f t="array" aca="1" ref="K416" ca="1">_xlfn.IFS(G416&lt;$B$11,"Fail",G416&lt;25,"Marginal",G416&lt;35,"Solid",TRUE,"Blowout")</f>
        <v>Fail</v>
      </c>
      <c r="L416" s="193">
        <f t="shared" ca="1" si="66"/>
        <v>1</v>
      </c>
      <c r="M416" s="184" t="str" cm="1">
        <f t="array" aca="1" ref="M416" ca="1">_xlfn.IFS(C416&lt;$B$11,"Fail",C416&lt;25,"Marginal",C416&lt;35,"Solid",TRUE,"Blowout")</f>
        <v>Solid</v>
      </c>
    </row>
    <row r="417" spans="1:13" x14ac:dyDescent="0.25">
      <c r="A417" s="138">
        <f t="shared" ca="1" si="67"/>
        <v>20.895106877813689</v>
      </c>
      <c r="B417" s="137">
        <f t="shared" ca="1" si="68"/>
        <v>5.458963654578735</v>
      </c>
      <c r="C417" s="137">
        <f t="shared" ca="1" si="69"/>
        <v>15.436143223234954</v>
      </c>
      <c r="D417" s="152">
        <f t="shared" ca="1" si="70"/>
        <v>1.9508391899721849</v>
      </c>
      <c r="E417" s="197">
        <f t="shared" ca="1" si="71"/>
        <v>2.6150674915033797E-2</v>
      </c>
      <c r="F417" s="137">
        <f t="shared" ca="1" si="72"/>
        <v>41.326447258761021</v>
      </c>
      <c r="G417" s="137">
        <f t="shared" ca="1" si="73"/>
        <v>35.867483604182283</v>
      </c>
      <c r="H417" s="152">
        <f t="shared" ca="1" si="74"/>
        <v>4.5329776777012576</v>
      </c>
      <c r="I417" s="152">
        <f t="shared" ca="1" si="75"/>
        <v>4.6958741726916559E-6</v>
      </c>
      <c r="J417" s="190">
        <f t="shared" ca="1" si="76"/>
        <v>1</v>
      </c>
      <c r="K417" s="187" t="str" cm="1">
        <f t="array" aca="1" ref="K417" ca="1">_xlfn.IFS(G417&lt;$B$11,"Fail",G417&lt;25,"Marginal",G417&lt;35,"Solid",TRUE,"Blowout")</f>
        <v>Blowout</v>
      </c>
      <c r="L417" s="193">
        <f t="shared" ca="1" si="66"/>
        <v>0</v>
      </c>
      <c r="M417" s="184" t="str" cm="1">
        <f t="array" aca="1" ref="M417" ca="1">_xlfn.IFS(C417&lt;$B$11,"Fail",C417&lt;25,"Marginal",C417&lt;35,"Solid",TRUE,"Blowout")</f>
        <v>Fail</v>
      </c>
    </row>
    <row r="418" spans="1:13" x14ac:dyDescent="0.25">
      <c r="A418" s="138">
        <f t="shared" ca="1" si="67"/>
        <v>23.061419719218712</v>
      </c>
      <c r="B418" s="137">
        <f t="shared" ca="1" si="68"/>
        <v>6.2909286676375569</v>
      </c>
      <c r="C418" s="137">
        <f t="shared" ca="1" si="69"/>
        <v>16.770491051581153</v>
      </c>
      <c r="D418" s="152">
        <f t="shared" ca="1" si="70"/>
        <v>2.1194757463286833</v>
      </c>
      <c r="E418" s="197">
        <f t="shared" ca="1" si="71"/>
        <v>1.7565798108448268E-2</v>
      </c>
      <c r="F418" s="137">
        <f t="shared" ca="1" si="72"/>
        <v>47.843624805804446</v>
      </c>
      <c r="G418" s="137">
        <f t="shared" ca="1" si="73"/>
        <v>41.552696138166887</v>
      </c>
      <c r="H418" s="152">
        <f t="shared" ca="1" si="74"/>
        <v>5.2514819863373567</v>
      </c>
      <c r="I418" s="152">
        <f t="shared" ca="1" si="75"/>
        <v>1.7274823929330247E-7</v>
      </c>
      <c r="J418" s="190">
        <f t="shared" ca="1" si="76"/>
        <v>1</v>
      </c>
      <c r="K418" s="187" t="str" cm="1">
        <f t="array" aca="1" ref="K418" ca="1">_xlfn.IFS(G418&lt;$B$11,"Fail",G418&lt;25,"Marginal",G418&lt;35,"Solid",TRUE,"Blowout")</f>
        <v>Blowout</v>
      </c>
      <c r="L418" s="193">
        <f t="shared" ca="1" si="66"/>
        <v>0</v>
      </c>
      <c r="M418" s="184" t="str" cm="1">
        <f t="array" aca="1" ref="M418" ca="1">_xlfn.IFS(C418&lt;$B$11,"Fail",C418&lt;25,"Marginal",C418&lt;35,"Solid",TRUE,"Blowout")</f>
        <v>Fail</v>
      </c>
    </row>
    <row r="419" spans="1:13" x14ac:dyDescent="0.25">
      <c r="A419" s="138">
        <f t="shared" ca="1" si="67"/>
        <v>41.134516304907869</v>
      </c>
      <c r="B419" s="137">
        <f t="shared" ca="1" si="68"/>
        <v>12.609847883821473</v>
      </c>
      <c r="C419" s="137">
        <f t="shared" ca="1" si="69"/>
        <v>28.524668421086396</v>
      </c>
      <c r="D419" s="152">
        <f t="shared" ca="1" si="70"/>
        <v>3.6049834619994794</v>
      </c>
      <c r="E419" s="197">
        <f t="shared" ca="1" si="71"/>
        <v>1.9169391601907065E-4</v>
      </c>
      <c r="F419" s="137">
        <f t="shared" ca="1" si="72"/>
        <v>19.158767861636957</v>
      </c>
      <c r="G419" s="137">
        <f t="shared" ca="1" si="73"/>
        <v>6.5489199778154834</v>
      </c>
      <c r="H419" s="152">
        <f t="shared" ca="1" si="74"/>
        <v>0.82766074141392765</v>
      </c>
      <c r="I419" s="152">
        <f t="shared" ca="1" si="75"/>
        <v>0.20436405192794632</v>
      </c>
      <c r="J419" s="190">
        <f t="shared" ca="1" si="76"/>
        <v>0</v>
      </c>
      <c r="K419" s="187" t="str" cm="1">
        <f t="array" aca="1" ref="K419" ca="1">_xlfn.IFS(G419&lt;$B$11,"Fail",G419&lt;25,"Marginal",G419&lt;35,"Solid",TRUE,"Blowout")</f>
        <v>Fail</v>
      </c>
      <c r="L419" s="193">
        <f t="shared" ca="1" si="66"/>
        <v>1</v>
      </c>
      <c r="M419" s="184" t="str" cm="1">
        <f t="array" aca="1" ref="M419" ca="1">_xlfn.IFS(C419&lt;$B$11,"Fail",C419&lt;25,"Marginal",C419&lt;35,"Solid",TRUE,"Blowout")</f>
        <v>Solid</v>
      </c>
    </row>
    <row r="420" spans="1:13" x14ac:dyDescent="0.25">
      <c r="A420" s="138">
        <f t="shared" ca="1" si="67"/>
        <v>25.563757591264356</v>
      </c>
      <c r="B420" s="137">
        <f t="shared" ca="1" si="68"/>
        <v>8.9154188615655166</v>
      </c>
      <c r="C420" s="137">
        <f t="shared" ca="1" si="69"/>
        <v>16.648338729698839</v>
      </c>
      <c r="D420" s="152">
        <f t="shared" ca="1" si="70"/>
        <v>2.1040379822947619</v>
      </c>
      <c r="E420" s="197">
        <f t="shared" ca="1" si="71"/>
        <v>1.8235379542429569E-2</v>
      </c>
      <c r="F420" s="137">
        <f t="shared" ca="1" si="72"/>
        <v>17.787284988248064</v>
      </c>
      <c r="G420" s="137">
        <f t="shared" ca="1" si="73"/>
        <v>8.8718661266825478</v>
      </c>
      <c r="H420" s="152">
        <f t="shared" ca="1" si="74"/>
        <v>1.1212375965822308</v>
      </c>
      <c r="I420" s="152">
        <f t="shared" ca="1" si="75"/>
        <v>0.13168313597215342</v>
      </c>
      <c r="J420" s="190">
        <f t="shared" ca="1" si="76"/>
        <v>0</v>
      </c>
      <c r="K420" s="187" t="str" cm="1">
        <f t="array" aca="1" ref="K420" ca="1">_xlfn.IFS(G420&lt;$B$11,"Fail",G420&lt;25,"Marginal",G420&lt;35,"Solid",TRUE,"Blowout")</f>
        <v>Fail</v>
      </c>
      <c r="L420" s="193">
        <f t="shared" ca="1" si="66"/>
        <v>0</v>
      </c>
      <c r="M420" s="184" t="str" cm="1">
        <f t="array" aca="1" ref="M420" ca="1">_xlfn.IFS(C420&lt;$B$11,"Fail",C420&lt;25,"Marginal",C420&lt;35,"Solid",TRUE,"Blowout")</f>
        <v>Fail</v>
      </c>
    </row>
    <row r="421" spans="1:13" x14ac:dyDescent="0.25">
      <c r="A421" s="138">
        <f t="shared" ca="1" si="67"/>
        <v>36.368846694160169</v>
      </c>
      <c r="B421" s="137">
        <f t="shared" ca="1" si="68"/>
        <v>-8.1475205389980925</v>
      </c>
      <c r="C421" s="137">
        <f t="shared" ca="1" si="69"/>
        <v>44.516367233158263</v>
      </c>
      <c r="D421" s="152">
        <f t="shared" ca="1" si="70"/>
        <v>5.6260344658449482</v>
      </c>
      <c r="E421" s="197">
        <f t="shared" ca="1" si="71"/>
        <v>2.6893783440327619E-8</v>
      </c>
      <c r="F421" s="137">
        <f t="shared" ca="1" si="72"/>
        <v>-5.9249264513146702</v>
      </c>
      <c r="G421" s="137">
        <f t="shared" ca="1" si="73"/>
        <v>2.2225940876834223</v>
      </c>
      <c r="H421" s="152">
        <f t="shared" ca="1" si="74"/>
        <v>0.2808942354931464</v>
      </c>
      <c r="I421" s="152">
        <f t="shared" ca="1" si="75"/>
        <v>0.38952312677892215</v>
      </c>
      <c r="J421" s="190">
        <f t="shared" ca="1" si="76"/>
        <v>0</v>
      </c>
      <c r="K421" s="187" t="str" cm="1">
        <f t="array" aca="1" ref="K421" ca="1">_xlfn.IFS(G421&lt;$B$11,"Fail",G421&lt;25,"Marginal",G421&lt;35,"Solid",TRUE,"Blowout")</f>
        <v>Fail</v>
      </c>
      <c r="L421" s="193">
        <f t="shared" ca="1" si="66"/>
        <v>1</v>
      </c>
      <c r="M421" s="184" t="str" cm="1">
        <f t="array" aca="1" ref="M421" ca="1">_xlfn.IFS(C421&lt;$B$11,"Fail",C421&lt;25,"Marginal",C421&lt;35,"Solid",TRUE,"Blowout")</f>
        <v>Blowout</v>
      </c>
    </row>
    <row r="422" spans="1:13" x14ac:dyDescent="0.25">
      <c r="A422" s="138">
        <f t="shared" ca="1" si="67"/>
        <v>55.615015396618567</v>
      </c>
      <c r="B422" s="137">
        <f t="shared" ca="1" si="68"/>
        <v>10.790946158486509</v>
      </c>
      <c r="C422" s="137">
        <f t="shared" ca="1" si="69"/>
        <v>44.824069238132054</v>
      </c>
      <c r="D422" s="152">
        <f t="shared" ca="1" si="70"/>
        <v>5.6649222321383013</v>
      </c>
      <c r="E422" s="197">
        <f t="shared" ca="1" si="71"/>
        <v>2.2056583057520363E-8</v>
      </c>
      <c r="F422" s="137">
        <f t="shared" ca="1" si="72"/>
        <v>19.183262057145431</v>
      </c>
      <c r="G422" s="137">
        <f t="shared" ca="1" si="73"/>
        <v>8.3923158986589215</v>
      </c>
      <c r="H422" s="152">
        <f t="shared" ca="1" si="74"/>
        <v>1.060631435777736</v>
      </c>
      <c r="I422" s="152">
        <f t="shared" ca="1" si="75"/>
        <v>0.14498983398168477</v>
      </c>
      <c r="J422" s="190">
        <f t="shared" ca="1" si="76"/>
        <v>0</v>
      </c>
      <c r="K422" s="187" t="str" cm="1">
        <f t="array" aca="1" ref="K422" ca="1">_xlfn.IFS(G422&lt;$B$11,"Fail",G422&lt;25,"Marginal",G422&lt;35,"Solid",TRUE,"Blowout")</f>
        <v>Fail</v>
      </c>
      <c r="L422" s="193">
        <f t="shared" ca="1" si="66"/>
        <v>1</v>
      </c>
      <c r="M422" s="184" t="str" cm="1">
        <f t="array" aca="1" ref="M422" ca="1">_xlfn.IFS(C422&lt;$B$11,"Fail",C422&lt;25,"Marginal",C422&lt;35,"Solid",TRUE,"Blowout")</f>
        <v>Blowout</v>
      </c>
    </row>
    <row r="423" spans="1:13" x14ac:dyDescent="0.25">
      <c r="A423" s="138">
        <f t="shared" ca="1" si="67"/>
        <v>39.169597199163782</v>
      </c>
      <c r="B423" s="137">
        <f t="shared" ca="1" si="68"/>
        <v>8.4633764425014952</v>
      </c>
      <c r="C423" s="137">
        <f t="shared" ca="1" si="69"/>
        <v>30.706220756662287</v>
      </c>
      <c r="D423" s="152">
        <f t="shared" ca="1" si="70"/>
        <v>3.8806907892553415</v>
      </c>
      <c r="E423" s="197">
        <f t="shared" ca="1" si="71"/>
        <v>6.8190177294762323E-5</v>
      </c>
      <c r="F423" s="137">
        <f t="shared" ca="1" si="72"/>
        <v>24.491906104613143</v>
      </c>
      <c r="G423" s="137">
        <f t="shared" ca="1" si="73"/>
        <v>16.028529662111648</v>
      </c>
      <c r="H423" s="152">
        <f t="shared" ca="1" si="74"/>
        <v>2.0257057329846386</v>
      </c>
      <c r="I423" s="152">
        <f t="shared" ca="1" si="75"/>
        <v>2.1979988483165819E-2</v>
      </c>
      <c r="J423" s="190">
        <f t="shared" ca="1" si="76"/>
        <v>0</v>
      </c>
      <c r="K423" s="187" t="str" cm="1">
        <f t="array" aca="1" ref="K423" ca="1">_xlfn.IFS(G423&lt;$B$11,"Fail",G423&lt;25,"Marginal",G423&lt;35,"Solid",TRUE,"Blowout")</f>
        <v>Fail</v>
      </c>
      <c r="L423" s="193">
        <f t="shared" ca="1" si="66"/>
        <v>1</v>
      </c>
      <c r="M423" s="184" t="str" cm="1">
        <f t="array" aca="1" ref="M423" ca="1">_xlfn.IFS(C423&lt;$B$11,"Fail",C423&lt;25,"Marginal",C423&lt;35,"Solid",TRUE,"Blowout")</f>
        <v>Solid</v>
      </c>
    </row>
    <row r="424" spans="1:13" x14ac:dyDescent="0.25">
      <c r="A424" s="138">
        <f t="shared" ca="1" si="67"/>
        <v>50.337226442127474</v>
      </c>
      <c r="B424" s="137">
        <f t="shared" ca="1" si="68"/>
        <v>6.6832978179785965</v>
      </c>
      <c r="C424" s="137">
        <f t="shared" ca="1" si="69"/>
        <v>43.653928624148875</v>
      </c>
      <c r="D424" s="152">
        <f t="shared" ca="1" si="70"/>
        <v>5.5170383900072935</v>
      </c>
      <c r="E424" s="197">
        <f t="shared" ca="1" si="71"/>
        <v>4.6643095099039953E-8</v>
      </c>
      <c r="F424" s="137">
        <f t="shared" ca="1" si="72"/>
        <v>32.903092544824794</v>
      </c>
      <c r="G424" s="137">
        <f t="shared" ca="1" si="73"/>
        <v>26.219794726846196</v>
      </c>
      <c r="H424" s="152">
        <f t="shared" ca="1" si="74"/>
        <v>3.3136906263712396</v>
      </c>
      <c r="I424" s="152">
        <f t="shared" ca="1" si="75"/>
        <v>5.3540950624720912E-4</v>
      </c>
      <c r="J424" s="190">
        <f t="shared" ca="1" si="76"/>
        <v>1</v>
      </c>
      <c r="K424" s="187" t="str" cm="1">
        <f t="array" aca="1" ref="K424" ca="1">_xlfn.IFS(G424&lt;$B$11,"Fail",G424&lt;25,"Marginal",G424&lt;35,"Solid",TRUE,"Blowout")</f>
        <v>Solid</v>
      </c>
      <c r="L424" s="193">
        <f t="shared" ca="1" si="66"/>
        <v>1</v>
      </c>
      <c r="M424" s="184" t="str" cm="1">
        <f t="array" aca="1" ref="M424" ca="1">_xlfn.IFS(C424&lt;$B$11,"Fail",C424&lt;25,"Marginal",C424&lt;35,"Solid",TRUE,"Blowout")</f>
        <v>Blowout</v>
      </c>
    </row>
    <row r="425" spans="1:13" x14ac:dyDescent="0.25">
      <c r="A425" s="138">
        <f t="shared" ca="1" si="67"/>
        <v>57.351007120587084</v>
      </c>
      <c r="B425" s="137">
        <f t="shared" ca="1" si="68"/>
        <v>4.3938992872715747</v>
      </c>
      <c r="C425" s="137">
        <f t="shared" ca="1" si="69"/>
        <v>52.957107833315511</v>
      </c>
      <c r="D425" s="152">
        <f t="shared" ca="1" si="70"/>
        <v>6.6927858762873038</v>
      </c>
      <c r="E425" s="197">
        <f t="shared" ca="1" si="71"/>
        <v>8.3976581886408917E-11</v>
      </c>
      <c r="F425" s="137">
        <f t="shared" ca="1" si="72"/>
        <v>8.067434603821507</v>
      </c>
      <c r="G425" s="137">
        <f t="shared" ca="1" si="73"/>
        <v>3.6735353165499323</v>
      </c>
      <c r="H425" s="152">
        <f t="shared" ca="1" si="74"/>
        <v>0.46426601241204374</v>
      </c>
      <c r="I425" s="152">
        <f t="shared" ca="1" si="75"/>
        <v>0.32145007928046443</v>
      </c>
      <c r="J425" s="190">
        <f t="shared" ca="1" si="76"/>
        <v>0</v>
      </c>
      <c r="K425" s="187" t="str" cm="1">
        <f t="array" aca="1" ref="K425" ca="1">_xlfn.IFS(G425&lt;$B$11,"Fail",G425&lt;25,"Marginal",G425&lt;35,"Solid",TRUE,"Blowout")</f>
        <v>Fail</v>
      </c>
      <c r="L425" s="193">
        <f t="shared" ca="1" si="66"/>
        <v>1</v>
      </c>
      <c r="M425" s="184" t="str" cm="1">
        <f t="array" aca="1" ref="M425" ca="1">_xlfn.IFS(C425&lt;$B$11,"Fail",C425&lt;25,"Marginal",C425&lt;35,"Solid",TRUE,"Blowout")</f>
        <v>Blowout</v>
      </c>
    </row>
    <row r="426" spans="1:13" x14ac:dyDescent="0.25">
      <c r="A426" s="138">
        <f t="shared" ca="1" si="67"/>
        <v>36.789592049900122</v>
      </c>
      <c r="B426" s="137">
        <f t="shared" ca="1" si="68"/>
        <v>7.76306777279291</v>
      </c>
      <c r="C426" s="137">
        <f t="shared" ca="1" si="69"/>
        <v>29.026524277107214</v>
      </c>
      <c r="D426" s="152">
        <f t="shared" ca="1" si="70"/>
        <v>3.6684086361173751</v>
      </c>
      <c r="E426" s="197">
        <f t="shared" ca="1" si="71"/>
        <v>1.5192250127417595E-4</v>
      </c>
      <c r="F426" s="137">
        <f t="shared" ca="1" si="72"/>
        <v>84.030928284866022</v>
      </c>
      <c r="G426" s="137">
        <f t="shared" ca="1" si="73"/>
        <v>76.267860512073113</v>
      </c>
      <c r="H426" s="152">
        <f t="shared" ca="1" si="74"/>
        <v>9.6388281107891363</v>
      </c>
      <c r="I426" s="152">
        <f t="shared" ca="1" si="75"/>
        <v>5.80040196639791E-19</v>
      </c>
      <c r="J426" s="190">
        <f t="shared" ca="1" si="76"/>
        <v>1</v>
      </c>
      <c r="K426" s="187" t="str" cm="1">
        <f t="array" aca="1" ref="K426" ca="1">_xlfn.IFS(G426&lt;$B$11,"Fail",G426&lt;25,"Marginal",G426&lt;35,"Solid",TRUE,"Blowout")</f>
        <v>Blowout</v>
      </c>
      <c r="L426" s="193">
        <f t="shared" ca="1" si="66"/>
        <v>1</v>
      </c>
      <c r="M426" s="184" t="str" cm="1">
        <f t="array" aca="1" ref="M426" ca="1">_xlfn.IFS(C426&lt;$B$11,"Fail",C426&lt;25,"Marginal",C426&lt;35,"Solid",TRUE,"Blowout")</f>
        <v>Solid</v>
      </c>
    </row>
    <row r="427" spans="1:13" x14ac:dyDescent="0.25">
      <c r="A427" s="138">
        <f t="shared" ca="1" si="67"/>
        <v>1.214371630889771</v>
      </c>
      <c r="B427" s="137">
        <f t="shared" ca="1" si="68"/>
        <v>1.7216637546889304</v>
      </c>
      <c r="C427" s="137">
        <f t="shared" ca="1" si="69"/>
        <v>-0.50729212379915944</v>
      </c>
      <c r="D427" s="152">
        <f t="shared" ca="1" si="70"/>
        <v>-6.4112216475290099E-2</v>
      </c>
      <c r="E427" s="197">
        <f t="shared" ca="1" si="71"/>
        <v>0.52553147577686166</v>
      </c>
      <c r="F427" s="137">
        <f t="shared" ca="1" si="72"/>
        <v>41.958071402363402</v>
      </c>
      <c r="G427" s="137">
        <f t="shared" ca="1" si="73"/>
        <v>40.236407647674469</v>
      </c>
      <c r="H427" s="152">
        <f t="shared" ca="1" si="74"/>
        <v>5.085127791806646</v>
      </c>
      <c r="I427" s="152">
        <f t="shared" ca="1" si="75"/>
        <v>3.8306234018685225E-7</v>
      </c>
      <c r="J427" s="190">
        <f t="shared" ca="1" si="76"/>
        <v>1</v>
      </c>
      <c r="K427" s="187" t="str" cm="1">
        <f t="array" aca="1" ref="K427" ca="1">_xlfn.IFS(G427&lt;$B$11,"Fail",G427&lt;25,"Marginal",G427&lt;35,"Solid",TRUE,"Blowout")</f>
        <v>Blowout</v>
      </c>
      <c r="L427" s="193">
        <f t="shared" ca="1" si="66"/>
        <v>0</v>
      </c>
      <c r="M427" s="184" t="str" cm="1">
        <f t="array" aca="1" ref="M427" ca="1">_xlfn.IFS(C427&lt;$B$11,"Fail",C427&lt;25,"Marginal",C427&lt;35,"Solid",TRUE,"Blowout")</f>
        <v>Fail</v>
      </c>
    </row>
    <row r="428" spans="1:13" x14ac:dyDescent="0.25">
      <c r="A428" s="138">
        <f t="shared" ca="1" si="67"/>
        <v>20.132938613232135</v>
      </c>
      <c r="B428" s="137">
        <f t="shared" ca="1" si="68"/>
        <v>1.3487316463223999</v>
      </c>
      <c r="C428" s="137">
        <f t="shared" ca="1" si="69"/>
        <v>18.784206966909736</v>
      </c>
      <c r="D428" s="152">
        <f t="shared" ca="1" si="70"/>
        <v>2.3739716957560315</v>
      </c>
      <c r="E428" s="197">
        <f t="shared" ca="1" si="71"/>
        <v>9.2137475645879315E-3</v>
      </c>
      <c r="F428" s="137">
        <f t="shared" ca="1" si="72"/>
        <v>43.950244798790202</v>
      </c>
      <c r="G428" s="137">
        <f t="shared" ca="1" si="73"/>
        <v>42.601513152467803</v>
      </c>
      <c r="H428" s="152">
        <f t="shared" ca="1" si="74"/>
        <v>5.3840327993881214</v>
      </c>
      <c r="I428" s="152">
        <f t="shared" ca="1" si="75"/>
        <v>9.0384779922939862E-8</v>
      </c>
      <c r="J428" s="190">
        <f t="shared" ca="1" si="76"/>
        <v>1</v>
      </c>
      <c r="K428" s="187" t="str" cm="1">
        <f t="array" aca="1" ref="K428" ca="1">_xlfn.IFS(G428&lt;$B$11,"Fail",G428&lt;25,"Marginal",G428&lt;35,"Solid",TRUE,"Blowout")</f>
        <v>Blowout</v>
      </c>
      <c r="L428" s="193">
        <f t="shared" ca="1" si="66"/>
        <v>0</v>
      </c>
      <c r="M428" s="184" t="str" cm="1">
        <f t="array" aca="1" ref="M428" ca="1">_xlfn.IFS(C428&lt;$B$11,"Fail",C428&lt;25,"Marginal",C428&lt;35,"Solid",TRUE,"Blowout")</f>
        <v>Fail</v>
      </c>
    </row>
    <row r="429" spans="1:13" x14ac:dyDescent="0.25">
      <c r="A429" s="138">
        <f t="shared" ca="1" si="67"/>
        <v>59.163409004871106</v>
      </c>
      <c r="B429" s="137">
        <f t="shared" ca="1" si="68"/>
        <v>5.4594293181259284</v>
      </c>
      <c r="C429" s="137">
        <f t="shared" ca="1" si="69"/>
        <v>53.703979686745178</v>
      </c>
      <c r="D429" s="152">
        <f t="shared" ca="1" si="70"/>
        <v>6.7871764802410555</v>
      </c>
      <c r="E429" s="197">
        <f t="shared" ca="1" si="71"/>
        <v>4.8858257316157343E-11</v>
      </c>
      <c r="F429" s="137">
        <f t="shared" ca="1" si="72"/>
        <v>10.765183937079202</v>
      </c>
      <c r="G429" s="137">
        <f t="shared" ca="1" si="73"/>
        <v>5.3057546189532738</v>
      </c>
      <c r="H429" s="152">
        <f t="shared" ca="1" si="74"/>
        <v>0.67054794020373121</v>
      </c>
      <c r="I429" s="152">
        <f t="shared" ca="1" si="75"/>
        <v>0.25159360322489638</v>
      </c>
      <c r="J429" s="190">
        <f t="shared" ca="1" si="76"/>
        <v>0</v>
      </c>
      <c r="K429" s="187" t="str" cm="1">
        <f t="array" aca="1" ref="K429" ca="1">_xlfn.IFS(G429&lt;$B$11,"Fail",G429&lt;25,"Marginal",G429&lt;35,"Solid",TRUE,"Blowout")</f>
        <v>Fail</v>
      </c>
      <c r="L429" s="193">
        <f t="shared" ca="1" si="66"/>
        <v>1</v>
      </c>
      <c r="M429" s="184" t="str" cm="1">
        <f t="array" aca="1" ref="M429" ca="1">_xlfn.IFS(C429&lt;$B$11,"Fail",C429&lt;25,"Marginal",C429&lt;35,"Solid",TRUE,"Blowout")</f>
        <v>Blowout</v>
      </c>
    </row>
    <row r="430" spans="1:13" x14ac:dyDescent="0.25">
      <c r="A430" s="138">
        <f t="shared" ca="1" si="67"/>
        <v>36.424805192165344</v>
      </c>
      <c r="B430" s="137">
        <f t="shared" ca="1" si="68"/>
        <v>1.0119337153391692</v>
      </c>
      <c r="C430" s="137">
        <f t="shared" ca="1" si="69"/>
        <v>35.412871476826176</v>
      </c>
      <c r="D430" s="152">
        <f t="shared" ca="1" si="70"/>
        <v>4.4755232254163131</v>
      </c>
      <c r="E430" s="197">
        <f t="shared" ca="1" si="71"/>
        <v>6.0195943211829413E-6</v>
      </c>
      <c r="F430" s="137">
        <f t="shared" ca="1" si="72"/>
        <v>50.3890904078185</v>
      </c>
      <c r="G430" s="137">
        <f t="shared" ca="1" si="73"/>
        <v>49.377156692479332</v>
      </c>
      <c r="H430" s="152">
        <f t="shared" ca="1" si="74"/>
        <v>6.2403471496747871</v>
      </c>
      <c r="I430" s="152">
        <f t="shared" ca="1" si="75"/>
        <v>1.0521823396097956E-9</v>
      </c>
      <c r="J430" s="190">
        <f t="shared" ca="1" si="76"/>
        <v>1</v>
      </c>
      <c r="K430" s="187" t="str" cm="1">
        <f t="array" aca="1" ref="K430" ca="1">_xlfn.IFS(G430&lt;$B$11,"Fail",G430&lt;25,"Marginal",G430&lt;35,"Solid",TRUE,"Blowout")</f>
        <v>Blowout</v>
      </c>
      <c r="L430" s="193">
        <f t="shared" ca="1" si="66"/>
        <v>1</v>
      </c>
      <c r="M430" s="184" t="str" cm="1">
        <f t="array" aca="1" ref="M430" ca="1">_xlfn.IFS(C430&lt;$B$11,"Fail",C430&lt;25,"Marginal",C430&lt;35,"Solid",TRUE,"Blowout")</f>
        <v>Blowout</v>
      </c>
    </row>
    <row r="431" spans="1:13" x14ac:dyDescent="0.25">
      <c r="A431" s="138">
        <f t="shared" ca="1" si="67"/>
        <v>50.701348618721596</v>
      </c>
      <c r="B431" s="137">
        <f t="shared" ca="1" si="68"/>
        <v>3.3598117912649403</v>
      </c>
      <c r="C431" s="137">
        <f t="shared" ca="1" si="69"/>
        <v>47.341536827456657</v>
      </c>
      <c r="D431" s="152">
        <f t="shared" ca="1" si="70"/>
        <v>5.9830829515430546</v>
      </c>
      <c r="E431" s="197">
        <f t="shared" ca="1" si="71"/>
        <v>4.2037542749060734E-9</v>
      </c>
      <c r="F431" s="137">
        <f t="shared" ca="1" si="72"/>
        <v>37.546533380502474</v>
      </c>
      <c r="G431" s="137">
        <f t="shared" ca="1" si="73"/>
        <v>34.186721589237536</v>
      </c>
      <c r="H431" s="152">
        <f t="shared" ca="1" si="74"/>
        <v>4.3205608608609385</v>
      </c>
      <c r="I431" s="152">
        <f t="shared" ca="1" si="75"/>
        <v>1.1620724171531039E-5</v>
      </c>
      <c r="J431" s="190">
        <f t="shared" ca="1" si="76"/>
        <v>1</v>
      </c>
      <c r="K431" s="187" t="str" cm="1">
        <f t="array" aca="1" ref="K431" ca="1">_xlfn.IFS(G431&lt;$B$11,"Fail",G431&lt;25,"Marginal",G431&lt;35,"Solid",TRUE,"Blowout")</f>
        <v>Solid</v>
      </c>
      <c r="L431" s="193">
        <f t="shared" ca="1" si="66"/>
        <v>1</v>
      </c>
      <c r="M431" s="184" t="str" cm="1">
        <f t="array" aca="1" ref="M431" ca="1">_xlfn.IFS(C431&lt;$B$11,"Fail",C431&lt;25,"Marginal",C431&lt;35,"Solid",TRUE,"Blowout")</f>
        <v>Blowout</v>
      </c>
    </row>
    <row r="432" spans="1:13" x14ac:dyDescent="0.25">
      <c r="A432" s="138">
        <f t="shared" ca="1" si="67"/>
        <v>6.9058516580244769</v>
      </c>
      <c r="B432" s="137">
        <f t="shared" ca="1" si="68"/>
        <v>7.7869360324969685</v>
      </c>
      <c r="C432" s="137">
        <f t="shared" ca="1" si="69"/>
        <v>-0.88108437447249166</v>
      </c>
      <c r="D432" s="152">
        <f t="shared" ca="1" si="70"/>
        <v>-0.11135255112208298</v>
      </c>
      <c r="E432" s="197">
        <f t="shared" ca="1" si="71"/>
        <v>0.54428262601160027</v>
      </c>
      <c r="F432" s="137">
        <f t="shared" ca="1" si="72"/>
        <v>-12.804271531268272</v>
      </c>
      <c r="G432" s="137">
        <f t="shared" ca="1" si="73"/>
        <v>-20.591207563765241</v>
      </c>
      <c r="H432" s="152">
        <f t="shared" ca="1" si="74"/>
        <v>-2.6023427033107338</v>
      </c>
      <c r="I432" s="152">
        <f t="shared" ca="1" si="75"/>
        <v>0.9950671227665483</v>
      </c>
      <c r="J432" s="190">
        <f t="shared" ca="1" si="76"/>
        <v>0</v>
      </c>
      <c r="K432" s="187" t="str" cm="1">
        <f t="array" aca="1" ref="K432" ca="1">_xlfn.IFS(G432&lt;$B$11,"Fail",G432&lt;25,"Marginal",G432&lt;35,"Solid",TRUE,"Blowout")</f>
        <v>Fail</v>
      </c>
      <c r="L432" s="193">
        <f t="shared" ca="1" si="66"/>
        <v>0</v>
      </c>
      <c r="M432" s="184" t="str" cm="1">
        <f t="array" aca="1" ref="M432" ca="1">_xlfn.IFS(C432&lt;$B$11,"Fail",C432&lt;25,"Marginal",C432&lt;35,"Solid",TRUE,"Blowout")</f>
        <v>Fail</v>
      </c>
    </row>
    <row r="433" spans="1:13" x14ac:dyDescent="0.25">
      <c r="A433" s="138">
        <f t="shared" ca="1" si="67"/>
        <v>1.1976568206272518</v>
      </c>
      <c r="B433" s="137">
        <f t="shared" ca="1" si="68"/>
        <v>8.6295002383336801</v>
      </c>
      <c r="C433" s="137">
        <f t="shared" ca="1" si="69"/>
        <v>-7.4318434177064283</v>
      </c>
      <c r="D433" s="152">
        <f t="shared" ca="1" si="70"/>
        <v>-0.93924571593603723</v>
      </c>
      <c r="E433" s="197">
        <f t="shared" ca="1" si="71"/>
        <v>0.82570072146692353</v>
      </c>
      <c r="F433" s="137">
        <f t="shared" ca="1" si="72"/>
        <v>39.007476260464102</v>
      </c>
      <c r="G433" s="137">
        <f t="shared" ca="1" si="73"/>
        <v>30.377976022130422</v>
      </c>
      <c r="H433" s="152">
        <f t="shared" ca="1" si="74"/>
        <v>3.8392068069699934</v>
      </c>
      <c r="I433" s="152">
        <f t="shared" ca="1" si="75"/>
        <v>7.9964967977181885E-5</v>
      </c>
      <c r="J433" s="190">
        <f t="shared" ca="1" si="76"/>
        <v>1</v>
      </c>
      <c r="K433" s="187" t="str" cm="1">
        <f t="array" aca="1" ref="K433" ca="1">_xlfn.IFS(G433&lt;$B$11,"Fail",G433&lt;25,"Marginal",G433&lt;35,"Solid",TRUE,"Blowout")</f>
        <v>Solid</v>
      </c>
      <c r="L433" s="193">
        <f t="shared" ca="1" si="66"/>
        <v>0</v>
      </c>
      <c r="M433" s="184" t="str" cm="1">
        <f t="array" aca="1" ref="M433" ca="1">_xlfn.IFS(C433&lt;$B$11,"Fail",C433&lt;25,"Marginal",C433&lt;35,"Solid",TRUE,"Blowout")</f>
        <v>Fail</v>
      </c>
    </row>
    <row r="434" spans="1:13" x14ac:dyDescent="0.25">
      <c r="A434" s="138">
        <f t="shared" ca="1" si="67"/>
        <v>16.176472628103543</v>
      </c>
      <c r="B434" s="137">
        <f t="shared" ca="1" si="68"/>
        <v>13.382847027531154</v>
      </c>
      <c r="C434" s="137">
        <f t="shared" ca="1" si="69"/>
        <v>2.7936256005723887</v>
      </c>
      <c r="D434" s="152">
        <f t="shared" ca="1" si="70"/>
        <v>0.35306191610756887</v>
      </c>
      <c r="E434" s="197">
        <f t="shared" ca="1" si="71"/>
        <v>0.36218411097224523</v>
      </c>
      <c r="F434" s="137">
        <f t="shared" ca="1" si="72"/>
        <v>17.195769834033928</v>
      </c>
      <c r="G434" s="137">
        <f t="shared" ca="1" si="73"/>
        <v>3.8129228065027743</v>
      </c>
      <c r="H434" s="152">
        <f t="shared" ca="1" si="74"/>
        <v>0.48188197865823351</v>
      </c>
      <c r="I434" s="152">
        <f t="shared" ca="1" si="75"/>
        <v>0.31517600818426855</v>
      </c>
      <c r="J434" s="190">
        <f t="shared" ca="1" si="76"/>
        <v>0</v>
      </c>
      <c r="K434" s="187" t="str" cm="1">
        <f t="array" aca="1" ref="K434" ca="1">_xlfn.IFS(G434&lt;$B$11,"Fail",G434&lt;25,"Marginal",G434&lt;35,"Solid",TRUE,"Blowout")</f>
        <v>Fail</v>
      </c>
      <c r="L434" s="193">
        <f t="shared" ca="1" si="66"/>
        <v>0</v>
      </c>
      <c r="M434" s="184" t="str" cm="1">
        <f t="array" aca="1" ref="M434" ca="1">_xlfn.IFS(C434&lt;$B$11,"Fail",C434&lt;25,"Marginal",C434&lt;35,"Solid",TRUE,"Blowout")</f>
        <v>Fail</v>
      </c>
    </row>
    <row r="435" spans="1:13" x14ac:dyDescent="0.25">
      <c r="A435" s="138">
        <f t="shared" ca="1" si="67"/>
        <v>44.697488055273645</v>
      </c>
      <c r="B435" s="137">
        <f t="shared" ca="1" si="68"/>
        <v>12.787451756992333</v>
      </c>
      <c r="C435" s="137">
        <f t="shared" ca="1" si="69"/>
        <v>31.910036298281312</v>
      </c>
      <c r="D435" s="152">
        <f t="shared" ca="1" si="70"/>
        <v>4.0328305110838505</v>
      </c>
      <c r="E435" s="197">
        <f t="shared" ca="1" si="71"/>
        <v>3.7593322174314378E-5</v>
      </c>
      <c r="F435" s="137">
        <f t="shared" ca="1" si="72"/>
        <v>41.434119471500985</v>
      </c>
      <c r="G435" s="137">
        <f t="shared" ca="1" si="73"/>
        <v>28.646667714508652</v>
      </c>
      <c r="H435" s="152">
        <f t="shared" ca="1" si="74"/>
        <v>3.6204018861042004</v>
      </c>
      <c r="I435" s="152">
        <f t="shared" ca="1" si="75"/>
        <v>1.8121118606481758E-4</v>
      </c>
      <c r="J435" s="190">
        <f t="shared" ca="1" si="76"/>
        <v>1</v>
      </c>
      <c r="K435" s="187" t="str" cm="1">
        <f t="array" aca="1" ref="K435" ca="1">_xlfn.IFS(G435&lt;$B$11,"Fail",G435&lt;25,"Marginal",G435&lt;35,"Solid",TRUE,"Blowout")</f>
        <v>Solid</v>
      </c>
      <c r="L435" s="193">
        <f t="shared" ca="1" si="66"/>
        <v>1</v>
      </c>
      <c r="M435" s="184" t="str" cm="1">
        <f t="array" aca="1" ref="M435" ca="1">_xlfn.IFS(C435&lt;$B$11,"Fail",C435&lt;25,"Marginal",C435&lt;35,"Solid",TRUE,"Blowout")</f>
        <v>Solid</v>
      </c>
    </row>
    <row r="436" spans="1:13" x14ac:dyDescent="0.25">
      <c r="A436" s="138">
        <f t="shared" ca="1" si="67"/>
        <v>18.886604985687281</v>
      </c>
      <c r="B436" s="137">
        <f t="shared" ca="1" si="68"/>
        <v>7.9052469405603647</v>
      </c>
      <c r="C436" s="137">
        <f t="shared" ca="1" si="69"/>
        <v>10.981358045126917</v>
      </c>
      <c r="D436" s="152">
        <f t="shared" ca="1" si="70"/>
        <v>1.3878378377121807</v>
      </c>
      <c r="E436" s="197">
        <f t="shared" ca="1" si="71"/>
        <v>8.3270591009427006E-2</v>
      </c>
      <c r="F436" s="137">
        <f t="shared" ca="1" si="72"/>
        <v>46.859538132749691</v>
      </c>
      <c r="G436" s="137">
        <f t="shared" ca="1" si="73"/>
        <v>38.954291192189324</v>
      </c>
      <c r="H436" s="152">
        <f t="shared" ca="1" si="74"/>
        <v>4.9230923020281008</v>
      </c>
      <c r="I436" s="152">
        <f t="shared" ca="1" si="75"/>
        <v>8.1712548540174253E-7</v>
      </c>
      <c r="J436" s="190">
        <f t="shared" ca="1" si="76"/>
        <v>1</v>
      </c>
      <c r="K436" s="187" t="str" cm="1">
        <f t="array" aca="1" ref="K436" ca="1">_xlfn.IFS(G436&lt;$B$11,"Fail",G436&lt;25,"Marginal",G436&lt;35,"Solid",TRUE,"Blowout")</f>
        <v>Blowout</v>
      </c>
      <c r="L436" s="193">
        <f t="shared" ca="1" si="66"/>
        <v>0</v>
      </c>
      <c r="M436" s="184" t="str" cm="1">
        <f t="array" aca="1" ref="M436" ca="1">_xlfn.IFS(C436&lt;$B$11,"Fail",C436&lt;25,"Marginal",C436&lt;35,"Solid",TRUE,"Blowout")</f>
        <v>Fail</v>
      </c>
    </row>
    <row r="437" spans="1:13" x14ac:dyDescent="0.25">
      <c r="A437" s="138">
        <f t="shared" ca="1" si="67"/>
        <v>45.622345980341969</v>
      </c>
      <c r="B437" s="137">
        <f t="shared" ca="1" si="68"/>
        <v>-8.4196697284131297</v>
      </c>
      <c r="C437" s="137">
        <f t="shared" ca="1" si="69"/>
        <v>54.042015708755102</v>
      </c>
      <c r="D437" s="152">
        <f t="shared" ca="1" si="70"/>
        <v>6.8298978977494542</v>
      </c>
      <c r="E437" s="197">
        <f t="shared" ca="1" si="71"/>
        <v>3.8176837230442322E-11</v>
      </c>
      <c r="F437" s="137">
        <f t="shared" ca="1" si="72"/>
        <v>37.884420785012729</v>
      </c>
      <c r="G437" s="137">
        <f t="shared" ca="1" si="73"/>
        <v>46.304090513425862</v>
      </c>
      <c r="H437" s="152">
        <f t="shared" ca="1" si="74"/>
        <v>5.851969181889956</v>
      </c>
      <c r="I437" s="152">
        <f t="shared" ca="1" si="75"/>
        <v>8.3866561827305439E-9</v>
      </c>
      <c r="J437" s="190">
        <f t="shared" ca="1" si="76"/>
        <v>1</v>
      </c>
      <c r="K437" s="187" t="str" cm="1">
        <f t="array" aca="1" ref="K437" ca="1">_xlfn.IFS(G437&lt;$B$11,"Fail",G437&lt;25,"Marginal",G437&lt;35,"Solid",TRUE,"Blowout")</f>
        <v>Blowout</v>
      </c>
      <c r="L437" s="193">
        <f t="shared" ca="1" si="66"/>
        <v>1</v>
      </c>
      <c r="M437" s="184" t="str" cm="1">
        <f t="array" aca="1" ref="M437" ca="1">_xlfn.IFS(C437&lt;$B$11,"Fail",C437&lt;25,"Marginal",C437&lt;35,"Solid",TRUE,"Blowout")</f>
        <v>Blowout</v>
      </c>
    </row>
    <row r="438" spans="1:13" x14ac:dyDescent="0.25">
      <c r="A438" s="138">
        <f t="shared" ca="1" si="67"/>
        <v>6.8610157843427473</v>
      </c>
      <c r="B438" s="137">
        <f t="shared" ca="1" si="68"/>
        <v>7.500258271637076</v>
      </c>
      <c r="C438" s="137">
        <f t="shared" ca="1" si="69"/>
        <v>-0.63924248729432875</v>
      </c>
      <c r="D438" s="152">
        <f t="shared" ca="1" si="70"/>
        <v>-8.0788269328310028E-2</v>
      </c>
      <c r="E438" s="197">
        <f t="shared" ca="1" si="71"/>
        <v>0.5321593964644481</v>
      </c>
      <c r="F438" s="137">
        <f t="shared" ca="1" si="72"/>
        <v>67.813537711501766</v>
      </c>
      <c r="G438" s="137">
        <f t="shared" ca="1" si="73"/>
        <v>60.313279439864687</v>
      </c>
      <c r="H438" s="152">
        <f t="shared" ca="1" si="74"/>
        <v>7.6224680935794868</v>
      </c>
      <c r="I438" s="152">
        <f t="shared" ca="1" si="75"/>
        <v>3.3242866020924034E-13</v>
      </c>
      <c r="J438" s="190">
        <f t="shared" ca="1" si="76"/>
        <v>1</v>
      </c>
      <c r="K438" s="187" t="str" cm="1">
        <f t="array" aca="1" ref="K438" ca="1">_xlfn.IFS(G438&lt;$B$11,"Fail",G438&lt;25,"Marginal",G438&lt;35,"Solid",TRUE,"Blowout")</f>
        <v>Blowout</v>
      </c>
      <c r="L438" s="193">
        <f t="shared" ca="1" si="66"/>
        <v>0</v>
      </c>
      <c r="M438" s="184" t="str" cm="1">
        <f t="array" aca="1" ref="M438" ca="1">_xlfn.IFS(C438&lt;$B$11,"Fail",C438&lt;25,"Marginal",C438&lt;35,"Solid",TRUE,"Blowout")</f>
        <v>Fail</v>
      </c>
    </row>
    <row r="439" spans="1:13" x14ac:dyDescent="0.25">
      <c r="A439" s="138">
        <f t="shared" ca="1" si="67"/>
        <v>12.803287653818956</v>
      </c>
      <c r="B439" s="137">
        <f t="shared" ca="1" si="68"/>
        <v>2.7618784538508478</v>
      </c>
      <c r="C439" s="137">
        <f t="shared" ca="1" si="69"/>
        <v>10.041409199968108</v>
      </c>
      <c r="D439" s="152">
        <f t="shared" ca="1" si="70"/>
        <v>1.269045920768525</v>
      </c>
      <c r="E439" s="197">
        <f t="shared" ca="1" si="71"/>
        <v>0.10285932811687203</v>
      </c>
      <c r="F439" s="137">
        <f t="shared" ca="1" si="72"/>
        <v>25.134531410215441</v>
      </c>
      <c r="G439" s="137">
        <f t="shared" ca="1" si="73"/>
        <v>22.372652956364593</v>
      </c>
      <c r="H439" s="152">
        <f t="shared" ca="1" si="74"/>
        <v>2.8274840120184068</v>
      </c>
      <c r="I439" s="152">
        <f t="shared" ca="1" si="75"/>
        <v>2.5543793512489985E-3</v>
      </c>
      <c r="J439" s="190">
        <f t="shared" ca="1" si="76"/>
        <v>1</v>
      </c>
      <c r="K439" s="187" t="str" cm="1">
        <f t="array" aca="1" ref="K439" ca="1">_xlfn.IFS(G439&lt;$B$11,"Fail",G439&lt;25,"Marginal",G439&lt;35,"Solid",TRUE,"Blowout")</f>
        <v>Marginal</v>
      </c>
      <c r="L439" s="193">
        <f t="shared" ca="1" si="66"/>
        <v>0</v>
      </c>
      <c r="M439" s="184" t="str" cm="1">
        <f t="array" aca="1" ref="M439" ca="1">_xlfn.IFS(C439&lt;$B$11,"Fail",C439&lt;25,"Marginal",C439&lt;35,"Solid",TRUE,"Blowout")</f>
        <v>Fail</v>
      </c>
    </row>
    <row r="440" spans="1:13" x14ac:dyDescent="0.25">
      <c r="A440" s="138">
        <f t="shared" ca="1" si="67"/>
        <v>23.082623171755216</v>
      </c>
      <c r="B440" s="137">
        <f t="shared" ca="1" si="68"/>
        <v>-8.907283441963898E-3</v>
      </c>
      <c r="C440" s="137">
        <f t="shared" ca="1" si="69"/>
        <v>23.09153045519718</v>
      </c>
      <c r="D440" s="152">
        <f t="shared" ca="1" si="70"/>
        <v>2.918336654238054</v>
      </c>
      <c r="E440" s="197">
        <f t="shared" ca="1" si="71"/>
        <v>1.935650443380011E-3</v>
      </c>
      <c r="F440" s="137">
        <f t="shared" ca="1" si="72"/>
        <v>5.7533995119697749</v>
      </c>
      <c r="G440" s="137">
        <f t="shared" ca="1" si="73"/>
        <v>5.7623067954117388</v>
      </c>
      <c r="H440" s="152">
        <f t="shared" ca="1" si="74"/>
        <v>0.72824757833365106</v>
      </c>
      <c r="I440" s="152">
        <f t="shared" ca="1" si="75"/>
        <v>0.23360465797263674</v>
      </c>
      <c r="J440" s="190">
        <f t="shared" ca="1" si="76"/>
        <v>0</v>
      </c>
      <c r="K440" s="187" t="str" cm="1">
        <f t="array" aca="1" ref="K440" ca="1">_xlfn.IFS(G440&lt;$B$11,"Fail",G440&lt;25,"Marginal",G440&lt;35,"Solid",TRUE,"Blowout")</f>
        <v>Fail</v>
      </c>
      <c r="L440" s="193">
        <f t="shared" ca="1" si="66"/>
        <v>1</v>
      </c>
      <c r="M440" s="184" t="str" cm="1">
        <f t="array" aca="1" ref="M440" ca="1">_xlfn.IFS(C440&lt;$B$11,"Fail",C440&lt;25,"Marginal",C440&lt;35,"Solid",TRUE,"Blowout")</f>
        <v>Marginal</v>
      </c>
    </row>
    <row r="441" spans="1:13" x14ac:dyDescent="0.25">
      <c r="A441" s="138">
        <f t="shared" ca="1" si="67"/>
        <v>29.04696330803505</v>
      </c>
      <c r="B441" s="137">
        <f t="shared" ca="1" si="68"/>
        <v>12.075360088177092</v>
      </c>
      <c r="C441" s="137">
        <f t="shared" ca="1" si="69"/>
        <v>16.971603219857958</v>
      </c>
      <c r="D441" s="152">
        <f t="shared" ca="1" si="70"/>
        <v>2.1448925550341191</v>
      </c>
      <c r="E441" s="197">
        <f t="shared" ca="1" si="71"/>
        <v>1.6509407424472149E-2</v>
      </c>
      <c r="F441" s="137">
        <f t="shared" ca="1" si="72"/>
        <v>34.189241055250861</v>
      </c>
      <c r="G441" s="137">
        <f t="shared" ca="1" si="73"/>
        <v>22.113880967073769</v>
      </c>
      <c r="H441" s="152">
        <f t="shared" ca="1" si="74"/>
        <v>2.7947800826317106</v>
      </c>
      <c r="I441" s="152">
        <f t="shared" ca="1" si="75"/>
        <v>2.8179104467705371E-3</v>
      </c>
      <c r="J441" s="190">
        <f t="shared" ca="1" si="76"/>
        <v>1</v>
      </c>
      <c r="K441" s="187" t="str" cm="1">
        <f t="array" aca="1" ref="K441" ca="1">_xlfn.IFS(G441&lt;$B$11,"Fail",G441&lt;25,"Marginal",G441&lt;35,"Solid",TRUE,"Blowout")</f>
        <v>Marginal</v>
      </c>
      <c r="L441" s="193">
        <f t="shared" ca="1" si="66"/>
        <v>0</v>
      </c>
      <c r="M441" s="184" t="str" cm="1">
        <f t="array" aca="1" ref="M441" ca="1">_xlfn.IFS(C441&lt;$B$11,"Fail",C441&lt;25,"Marginal",C441&lt;35,"Solid",TRUE,"Blowout")</f>
        <v>Fail</v>
      </c>
    </row>
    <row r="442" spans="1:13" x14ac:dyDescent="0.25">
      <c r="A442" s="138">
        <f t="shared" ca="1" si="67"/>
        <v>23.624759122639166</v>
      </c>
      <c r="B442" s="137">
        <f t="shared" ca="1" si="68"/>
        <v>8.539241183572603</v>
      </c>
      <c r="C442" s="137">
        <f t="shared" ca="1" si="69"/>
        <v>15.085517939066563</v>
      </c>
      <c r="D442" s="152">
        <f t="shared" ca="1" si="70"/>
        <v>1.9065267256824501</v>
      </c>
      <c r="E442" s="197">
        <f t="shared" ca="1" si="71"/>
        <v>2.8919597955008723E-2</v>
      </c>
      <c r="F442" s="137">
        <f t="shared" ca="1" si="72"/>
        <v>20.500725260198628</v>
      </c>
      <c r="G442" s="137">
        <f t="shared" ca="1" si="73"/>
        <v>11.961484076626025</v>
      </c>
      <c r="H442" s="152">
        <f t="shared" ca="1" si="74"/>
        <v>1.5117073979843521</v>
      </c>
      <c r="I442" s="152">
        <f t="shared" ca="1" si="75"/>
        <v>6.5996540885447014E-2</v>
      </c>
      <c r="J442" s="190">
        <f t="shared" ca="1" si="76"/>
        <v>0</v>
      </c>
      <c r="K442" s="187" t="str" cm="1">
        <f t="array" aca="1" ref="K442" ca="1">_xlfn.IFS(G442&lt;$B$11,"Fail",G442&lt;25,"Marginal",G442&lt;35,"Solid",TRUE,"Blowout")</f>
        <v>Fail</v>
      </c>
      <c r="L442" s="193">
        <f t="shared" ca="1" si="66"/>
        <v>0</v>
      </c>
      <c r="M442" s="184" t="str" cm="1">
        <f t="array" aca="1" ref="M442" ca="1">_xlfn.IFS(C442&lt;$B$11,"Fail",C442&lt;25,"Marginal",C442&lt;35,"Solid",TRUE,"Blowout")</f>
        <v>Fail</v>
      </c>
    </row>
    <row r="443" spans="1:13" x14ac:dyDescent="0.25">
      <c r="A443" s="138">
        <f t="shared" ca="1" si="67"/>
        <v>41.349959056580502</v>
      </c>
      <c r="B443" s="137">
        <f t="shared" ca="1" si="68"/>
        <v>7.1930377919767015</v>
      </c>
      <c r="C443" s="137">
        <f t="shared" ca="1" si="69"/>
        <v>34.156921264603803</v>
      </c>
      <c r="D443" s="152">
        <f t="shared" ca="1" si="70"/>
        <v>4.3167946583627739</v>
      </c>
      <c r="E443" s="197">
        <f t="shared" ca="1" si="71"/>
        <v>1.180539407962009E-5</v>
      </c>
      <c r="F443" s="137">
        <f t="shared" ca="1" si="72"/>
        <v>27.983750841995974</v>
      </c>
      <c r="G443" s="137">
        <f t="shared" ca="1" si="73"/>
        <v>20.790713050019271</v>
      </c>
      <c r="H443" s="152">
        <f t="shared" ca="1" si="74"/>
        <v>2.6275564575218877</v>
      </c>
      <c r="I443" s="152">
        <f t="shared" ca="1" si="75"/>
        <v>4.5919159436338883E-3</v>
      </c>
      <c r="J443" s="190">
        <f t="shared" ca="1" si="76"/>
        <v>1</v>
      </c>
      <c r="K443" s="187" t="str" cm="1">
        <f t="array" aca="1" ref="K443" ca="1">_xlfn.IFS(G443&lt;$B$11,"Fail",G443&lt;25,"Marginal",G443&lt;35,"Solid",TRUE,"Blowout")</f>
        <v>Marginal</v>
      </c>
      <c r="L443" s="193">
        <f t="shared" ca="1" si="66"/>
        <v>1</v>
      </c>
      <c r="M443" s="184" t="str" cm="1">
        <f t="array" aca="1" ref="M443" ca="1">_xlfn.IFS(C443&lt;$B$11,"Fail",C443&lt;25,"Marginal",C443&lt;35,"Solid",TRUE,"Blowout")</f>
        <v>Solid</v>
      </c>
    </row>
    <row r="444" spans="1:13" x14ac:dyDescent="0.25">
      <c r="A444" s="138">
        <f t="shared" ca="1" si="67"/>
        <v>24.081024727949469</v>
      </c>
      <c r="B444" s="137">
        <f t="shared" ca="1" si="68"/>
        <v>3.3024028812961617</v>
      </c>
      <c r="C444" s="137">
        <f t="shared" ca="1" si="69"/>
        <v>20.778621846653309</v>
      </c>
      <c r="D444" s="152">
        <f t="shared" ca="1" si="70"/>
        <v>2.6260283560370077</v>
      </c>
      <c r="E444" s="197">
        <f t="shared" ca="1" si="71"/>
        <v>4.6119612521924687E-3</v>
      </c>
      <c r="F444" s="137">
        <f t="shared" ca="1" si="72"/>
        <v>48.50324716549521</v>
      </c>
      <c r="G444" s="137">
        <f t="shared" ca="1" si="73"/>
        <v>45.20084428419905</v>
      </c>
      <c r="H444" s="152">
        <f t="shared" ca="1" si="74"/>
        <v>5.7125395362175153</v>
      </c>
      <c r="I444" s="152">
        <f t="shared" ca="1" si="75"/>
        <v>1.727944030875151E-8</v>
      </c>
      <c r="J444" s="190">
        <f t="shared" ca="1" si="76"/>
        <v>1</v>
      </c>
      <c r="K444" s="187" t="str" cm="1">
        <f t="array" aca="1" ref="K444" ca="1">_xlfn.IFS(G444&lt;$B$11,"Fail",G444&lt;25,"Marginal",G444&lt;35,"Solid",TRUE,"Blowout")</f>
        <v>Blowout</v>
      </c>
      <c r="L444" s="193">
        <f t="shared" ca="1" si="66"/>
        <v>1</v>
      </c>
      <c r="M444" s="184" t="str" cm="1">
        <f t="array" aca="1" ref="M444" ca="1">_xlfn.IFS(C444&lt;$B$11,"Fail",C444&lt;25,"Marginal",C444&lt;35,"Solid",TRUE,"Blowout")</f>
        <v>Marginal</v>
      </c>
    </row>
    <row r="445" spans="1:13" x14ac:dyDescent="0.25">
      <c r="A445" s="138">
        <f t="shared" ca="1" si="67"/>
        <v>9.6642041100598988</v>
      </c>
      <c r="B445" s="137">
        <f t="shared" ca="1" si="68"/>
        <v>10.505037238931628</v>
      </c>
      <c r="C445" s="137">
        <f t="shared" ca="1" si="69"/>
        <v>-0.84083312887172923</v>
      </c>
      <c r="D445" s="152">
        <f t="shared" ca="1" si="70"/>
        <v>-0.10626554809110782</v>
      </c>
      <c r="E445" s="197">
        <f t="shared" ca="1" si="71"/>
        <v>0.54226744855977171</v>
      </c>
      <c r="F445" s="137">
        <f t="shared" ca="1" si="72"/>
        <v>38.595304993606192</v>
      </c>
      <c r="G445" s="137">
        <f t="shared" ca="1" si="73"/>
        <v>28.090267754674564</v>
      </c>
      <c r="H445" s="152">
        <f t="shared" ca="1" si="74"/>
        <v>3.5500833595625809</v>
      </c>
      <c r="I445" s="152">
        <f t="shared" ca="1" si="75"/>
        <v>2.3383673457313234E-4</v>
      </c>
      <c r="J445" s="190">
        <f t="shared" ca="1" si="76"/>
        <v>1</v>
      </c>
      <c r="K445" s="187" t="str" cm="1">
        <f t="array" aca="1" ref="K445" ca="1">_xlfn.IFS(G445&lt;$B$11,"Fail",G445&lt;25,"Marginal",G445&lt;35,"Solid",TRUE,"Blowout")</f>
        <v>Solid</v>
      </c>
      <c r="L445" s="193">
        <f t="shared" ca="1" si="66"/>
        <v>0</v>
      </c>
      <c r="M445" s="184" t="str" cm="1">
        <f t="array" aca="1" ref="M445" ca="1">_xlfn.IFS(C445&lt;$B$11,"Fail",C445&lt;25,"Marginal",C445&lt;35,"Solid",TRUE,"Blowout")</f>
        <v>Fail</v>
      </c>
    </row>
    <row r="446" spans="1:13" x14ac:dyDescent="0.25">
      <c r="A446" s="138">
        <f t="shared" ca="1" si="67"/>
        <v>20.928463998205356</v>
      </c>
      <c r="B446" s="137">
        <f t="shared" ca="1" si="68"/>
        <v>3.4992395992518075</v>
      </c>
      <c r="C446" s="137">
        <f t="shared" ca="1" si="69"/>
        <v>17.429224398953547</v>
      </c>
      <c r="D446" s="152">
        <f t="shared" ca="1" si="70"/>
        <v>2.2027272950614836</v>
      </c>
      <c r="E446" s="197">
        <f t="shared" ca="1" si="71"/>
        <v>1.4307706415258107E-2</v>
      </c>
      <c r="F446" s="137">
        <f t="shared" ca="1" si="72"/>
        <v>21.456384181081109</v>
      </c>
      <c r="G446" s="137">
        <f t="shared" ca="1" si="73"/>
        <v>17.957144581829301</v>
      </c>
      <c r="H446" s="152">
        <f t="shared" ca="1" si="74"/>
        <v>2.2694465115806128</v>
      </c>
      <c r="I446" s="152">
        <f t="shared" ca="1" si="75"/>
        <v>1.2088146214522729E-2</v>
      </c>
      <c r="J446" s="190">
        <f t="shared" ca="1" si="76"/>
        <v>0</v>
      </c>
      <c r="K446" s="187" t="str" cm="1">
        <f t="array" aca="1" ref="K446" ca="1">_xlfn.IFS(G446&lt;$B$11,"Fail",G446&lt;25,"Marginal",G446&lt;35,"Solid",TRUE,"Blowout")</f>
        <v>Fail</v>
      </c>
      <c r="L446" s="193">
        <f t="shared" ca="1" si="66"/>
        <v>0</v>
      </c>
      <c r="M446" s="184" t="str" cm="1">
        <f t="array" aca="1" ref="M446" ca="1">_xlfn.IFS(C446&lt;$B$11,"Fail",C446&lt;25,"Marginal",C446&lt;35,"Solid",TRUE,"Blowout")</f>
        <v>Fail</v>
      </c>
    </row>
    <row r="447" spans="1:13" x14ac:dyDescent="0.25">
      <c r="A447" s="138">
        <f t="shared" ca="1" si="67"/>
        <v>4.8773065931461481</v>
      </c>
      <c r="B447" s="137">
        <f t="shared" ca="1" si="68"/>
        <v>-1.4146592164910636</v>
      </c>
      <c r="C447" s="137">
        <f t="shared" ca="1" si="69"/>
        <v>6.2919658096372117</v>
      </c>
      <c r="D447" s="152">
        <f t="shared" ca="1" si="70"/>
        <v>0.79518655054516585</v>
      </c>
      <c r="E447" s="197">
        <f t="shared" ca="1" si="71"/>
        <v>0.21366600460764446</v>
      </c>
      <c r="F447" s="137">
        <f t="shared" ca="1" si="72"/>
        <v>65.066502552437271</v>
      </c>
      <c r="G447" s="137">
        <f t="shared" ca="1" si="73"/>
        <v>66.481161768928331</v>
      </c>
      <c r="H447" s="152">
        <f t="shared" ca="1" si="74"/>
        <v>8.4019728178270903</v>
      </c>
      <c r="I447" s="152">
        <f t="shared" ca="1" si="75"/>
        <v>2.3669901892510714E-15</v>
      </c>
      <c r="J447" s="190">
        <f t="shared" ca="1" si="76"/>
        <v>1</v>
      </c>
      <c r="K447" s="187" t="str" cm="1">
        <f t="array" aca="1" ref="K447" ca="1">_xlfn.IFS(G447&lt;$B$11,"Fail",G447&lt;25,"Marginal",G447&lt;35,"Solid",TRUE,"Blowout")</f>
        <v>Blowout</v>
      </c>
      <c r="L447" s="193">
        <f t="shared" ca="1" si="66"/>
        <v>0</v>
      </c>
      <c r="M447" s="184" t="str" cm="1">
        <f t="array" aca="1" ref="M447" ca="1">_xlfn.IFS(C447&lt;$B$11,"Fail",C447&lt;25,"Marginal",C447&lt;35,"Solid",TRUE,"Blowout")</f>
        <v>Fail</v>
      </c>
    </row>
    <row r="448" spans="1:13" x14ac:dyDescent="0.25">
      <c r="A448" s="138">
        <f t="shared" ca="1" si="67"/>
        <v>-2.1592486089240586</v>
      </c>
      <c r="B448" s="137">
        <f t="shared" ca="1" si="68"/>
        <v>1.0396285454737031</v>
      </c>
      <c r="C448" s="137">
        <f t="shared" ca="1" si="69"/>
        <v>-3.1988771543977617</v>
      </c>
      <c r="D448" s="152">
        <f t="shared" ca="1" si="70"/>
        <v>-0.4042781170436715</v>
      </c>
      <c r="E448" s="197">
        <f t="shared" ca="1" si="71"/>
        <v>0.65680640699749149</v>
      </c>
      <c r="F448" s="137">
        <f t="shared" ca="1" si="72"/>
        <v>20.377046967047139</v>
      </c>
      <c r="G448" s="137">
        <f t="shared" ca="1" si="73"/>
        <v>19.337418421573435</v>
      </c>
      <c r="H448" s="152">
        <f t="shared" ca="1" si="74"/>
        <v>2.4438872550049884</v>
      </c>
      <c r="I448" s="152">
        <f t="shared" ca="1" si="75"/>
        <v>7.6447004045588846E-3</v>
      </c>
      <c r="J448" s="190">
        <f t="shared" ca="1" si="76"/>
        <v>0</v>
      </c>
      <c r="K448" s="187" t="str" cm="1">
        <f t="array" aca="1" ref="K448" ca="1">_xlfn.IFS(G448&lt;$B$11,"Fail",G448&lt;25,"Marginal",G448&lt;35,"Solid",TRUE,"Blowout")</f>
        <v>Fail</v>
      </c>
      <c r="L448" s="193">
        <f t="shared" ca="1" si="66"/>
        <v>0</v>
      </c>
      <c r="M448" s="184" t="str" cm="1">
        <f t="array" aca="1" ref="M448" ca="1">_xlfn.IFS(C448&lt;$B$11,"Fail",C448&lt;25,"Marginal",C448&lt;35,"Solid",TRUE,"Blowout")</f>
        <v>Fail</v>
      </c>
    </row>
    <row r="449" spans="1:13" x14ac:dyDescent="0.25">
      <c r="A449" s="138">
        <f t="shared" ca="1" si="67"/>
        <v>70.682806111188526</v>
      </c>
      <c r="B449" s="137">
        <f t="shared" ca="1" si="68"/>
        <v>-0.21080048215215275</v>
      </c>
      <c r="C449" s="137">
        <f t="shared" ca="1" si="69"/>
        <v>70.893606593340678</v>
      </c>
      <c r="D449" s="152">
        <f t="shared" ca="1" si="70"/>
        <v>8.9596231429482369</v>
      </c>
      <c r="E449" s="197">
        <f t="shared" ca="1" si="71"/>
        <v>5.9438485941631313E-17</v>
      </c>
      <c r="F449" s="137">
        <f t="shared" ca="1" si="72"/>
        <v>54.353901662617815</v>
      </c>
      <c r="G449" s="137">
        <f t="shared" ca="1" si="73"/>
        <v>54.564702144769967</v>
      </c>
      <c r="H449" s="152">
        <f t="shared" ca="1" si="74"/>
        <v>6.8959556667593862</v>
      </c>
      <c r="I449" s="152">
        <f t="shared" ca="1" si="75"/>
        <v>2.6020621089171632E-11</v>
      </c>
      <c r="J449" s="190">
        <f t="shared" ca="1" si="76"/>
        <v>1</v>
      </c>
      <c r="K449" s="187" t="str" cm="1">
        <f t="array" aca="1" ref="K449" ca="1">_xlfn.IFS(G449&lt;$B$11,"Fail",G449&lt;25,"Marginal",G449&lt;35,"Solid",TRUE,"Blowout")</f>
        <v>Blowout</v>
      </c>
      <c r="L449" s="193">
        <f t="shared" ca="1" si="66"/>
        <v>1</v>
      </c>
      <c r="M449" s="184" t="str" cm="1">
        <f t="array" aca="1" ref="M449" ca="1">_xlfn.IFS(C449&lt;$B$11,"Fail",C449&lt;25,"Marginal",C449&lt;35,"Solid",TRUE,"Blowout")</f>
        <v>Blowout</v>
      </c>
    </row>
    <row r="450" spans="1:13" x14ac:dyDescent="0.25">
      <c r="A450" s="138">
        <f t="shared" ca="1" si="67"/>
        <v>15.899771724858356</v>
      </c>
      <c r="B450" s="137">
        <f t="shared" ca="1" si="68"/>
        <v>4.6043203143707077</v>
      </c>
      <c r="C450" s="137">
        <f t="shared" ca="1" si="69"/>
        <v>11.295451410487647</v>
      </c>
      <c r="D450" s="152">
        <f t="shared" ca="1" si="70"/>
        <v>1.4275333521677374</v>
      </c>
      <c r="E450" s="197">
        <f t="shared" ca="1" si="71"/>
        <v>7.7397197907290716E-2</v>
      </c>
      <c r="F450" s="137">
        <f t="shared" ca="1" si="72"/>
        <v>42.33227320353101</v>
      </c>
      <c r="G450" s="137">
        <f t="shared" ca="1" si="73"/>
        <v>37.727952889160299</v>
      </c>
      <c r="H450" s="152">
        <f t="shared" ca="1" si="74"/>
        <v>4.7681061252924568</v>
      </c>
      <c r="I450" s="152">
        <f t="shared" ca="1" si="75"/>
        <v>1.6580519838334919E-6</v>
      </c>
      <c r="J450" s="190">
        <f t="shared" ca="1" si="76"/>
        <v>1</v>
      </c>
      <c r="K450" s="187" t="str" cm="1">
        <f t="array" aca="1" ref="K450" ca="1">_xlfn.IFS(G450&lt;$B$11,"Fail",G450&lt;25,"Marginal",G450&lt;35,"Solid",TRUE,"Blowout")</f>
        <v>Blowout</v>
      </c>
      <c r="L450" s="193">
        <f t="shared" ca="1" si="66"/>
        <v>0</v>
      </c>
      <c r="M450" s="184" t="str" cm="1">
        <f t="array" aca="1" ref="M450" ca="1">_xlfn.IFS(C450&lt;$B$11,"Fail",C450&lt;25,"Marginal",C450&lt;35,"Solid",TRUE,"Blowout")</f>
        <v>Fail</v>
      </c>
    </row>
    <row r="451" spans="1:13" x14ac:dyDescent="0.25">
      <c r="A451" s="138">
        <f t="shared" ca="1" si="67"/>
        <v>-7.8505381887064942</v>
      </c>
      <c r="B451" s="137">
        <f t="shared" ca="1" si="68"/>
        <v>-10.364844860181382</v>
      </c>
      <c r="C451" s="137">
        <f t="shared" ca="1" si="69"/>
        <v>2.5143066714748876</v>
      </c>
      <c r="D451" s="152">
        <f t="shared" ca="1" si="70"/>
        <v>0.31776123863236527</v>
      </c>
      <c r="E451" s="197">
        <f t="shared" ca="1" si="71"/>
        <v>0.37547844202559449</v>
      </c>
      <c r="F451" s="137">
        <f t="shared" ca="1" si="72"/>
        <v>13.020169032341927</v>
      </c>
      <c r="G451" s="137">
        <f t="shared" ca="1" si="73"/>
        <v>23.385013892523311</v>
      </c>
      <c r="H451" s="152">
        <f t="shared" ca="1" si="74"/>
        <v>2.9554274600736568</v>
      </c>
      <c r="I451" s="152">
        <f t="shared" ca="1" si="75"/>
        <v>1.7250695195254223E-3</v>
      </c>
      <c r="J451" s="190">
        <f t="shared" ca="1" si="76"/>
        <v>1</v>
      </c>
      <c r="K451" s="187" t="str" cm="1">
        <f t="array" aca="1" ref="K451" ca="1">_xlfn.IFS(G451&lt;$B$11,"Fail",G451&lt;25,"Marginal",G451&lt;35,"Solid",TRUE,"Blowout")</f>
        <v>Marginal</v>
      </c>
      <c r="L451" s="193">
        <f t="shared" ca="1" si="66"/>
        <v>0</v>
      </c>
      <c r="M451" s="184" t="str" cm="1">
        <f t="array" aca="1" ref="M451" ca="1">_xlfn.IFS(C451&lt;$B$11,"Fail",C451&lt;25,"Marginal",C451&lt;35,"Solid",TRUE,"Blowout")</f>
        <v>Fail</v>
      </c>
    </row>
    <row r="452" spans="1:13" x14ac:dyDescent="0.25">
      <c r="A452" s="138">
        <f t="shared" ca="1" si="67"/>
        <v>75.578835979685209</v>
      </c>
      <c r="B452" s="137">
        <f t="shared" ca="1" si="68"/>
        <v>6.2735319240842804</v>
      </c>
      <c r="C452" s="137">
        <f t="shared" ca="1" si="69"/>
        <v>69.305304055600928</v>
      </c>
      <c r="D452" s="152">
        <f t="shared" ca="1" si="70"/>
        <v>8.7588914710957102</v>
      </c>
      <c r="E452" s="197">
        <f t="shared" ca="1" si="71"/>
        <v>2.2682075090979236E-16</v>
      </c>
      <c r="F452" s="137">
        <f t="shared" ca="1" si="72"/>
        <v>15.809740533660698</v>
      </c>
      <c r="G452" s="137">
        <f t="shared" ca="1" si="73"/>
        <v>9.5362086095764163</v>
      </c>
      <c r="H452" s="152">
        <f t="shared" ca="1" si="74"/>
        <v>1.2051980349151665</v>
      </c>
      <c r="I452" s="152">
        <f t="shared" ca="1" si="75"/>
        <v>0.11468811838538676</v>
      </c>
      <c r="J452" s="190">
        <f t="shared" ca="1" si="76"/>
        <v>0</v>
      </c>
      <c r="K452" s="187" t="str" cm="1">
        <f t="array" aca="1" ref="K452" ca="1">_xlfn.IFS(G452&lt;$B$11,"Fail",G452&lt;25,"Marginal",G452&lt;35,"Solid",TRUE,"Blowout")</f>
        <v>Fail</v>
      </c>
      <c r="L452" s="193">
        <f t="shared" ca="1" si="66"/>
        <v>1</v>
      </c>
      <c r="M452" s="184" t="str" cm="1">
        <f t="array" aca="1" ref="M452" ca="1">_xlfn.IFS(C452&lt;$B$11,"Fail",C452&lt;25,"Marginal",C452&lt;35,"Solid",TRUE,"Blowout")</f>
        <v>Blowout</v>
      </c>
    </row>
    <row r="453" spans="1:13" x14ac:dyDescent="0.25">
      <c r="A453" s="138">
        <f t="shared" ca="1" si="67"/>
        <v>10.831953647466532</v>
      </c>
      <c r="B453" s="137">
        <f t="shared" ca="1" si="68"/>
        <v>1.8726725234026431</v>
      </c>
      <c r="C453" s="137">
        <f t="shared" ca="1" si="69"/>
        <v>8.9592811240638888</v>
      </c>
      <c r="D453" s="152">
        <f t="shared" ca="1" si="70"/>
        <v>1.1322852138669774</v>
      </c>
      <c r="E453" s="197">
        <f t="shared" ca="1" si="71"/>
        <v>0.12935196680592762</v>
      </c>
      <c r="F453" s="137">
        <f t="shared" ca="1" si="72"/>
        <v>9.2300229366099629</v>
      </c>
      <c r="G453" s="137">
        <f t="shared" ca="1" si="73"/>
        <v>7.3573504132073193</v>
      </c>
      <c r="H453" s="152">
        <f t="shared" ca="1" si="74"/>
        <v>0.92983119635987188</v>
      </c>
      <c r="I453" s="152">
        <f t="shared" ca="1" si="75"/>
        <v>0.17672095301123442</v>
      </c>
      <c r="J453" s="190">
        <f t="shared" ca="1" si="76"/>
        <v>0</v>
      </c>
      <c r="K453" s="187" t="str" cm="1">
        <f t="array" aca="1" ref="K453" ca="1">_xlfn.IFS(G453&lt;$B$11,"Fail",G453&lt;25,"Marginal",G453&lt;35,"Solid",TRUE,"Blowout")</f>
        <v>Fail</v>
      </c>
      <c r="L453" s="193">
        <f t="shared" ca="1" si="66"/>
        <v>0</v>
      </c>
      <c r="M453" s="184" t="str" cm="1">
        <f t="array" aca="1" ref="M453" ca="1">_xlfn.IFS(C453&lt;$B$11,"Fail",C453&lt;25,"Marginal",C453&lt;35,"Solid",TRUE,"Blowout")</f>
        <v>Fail</v>
      </c>
    </row>
    <row r="454" spans="1:13" x14ac:dyDescent="0.25">
      <c r="A454" s="138">
        <f t="shared" ca="1" si="67"/>
        <v>5.1239697049506248</v>
      </c>
      <c r="B454" s="137">
        <f t="shared" ca="1" si="68"/>
        <v>7.3561078323604931</v>
      </c>
      <c r="C454" s="137">
        <f t="shared" ca="1" si="69"/>
        <v>-2.2321381274098684</v>
      </c>
      <c r="D454" s="152">
        <f t="shared" ca="1" si="70"/>
        <v>-0.28210042323445839</v>
      </c>
      <c r="E454" s="197">
        <f t="shared" ca="1" si="71"/>
        <v>0.61093879599808987</v>
      </c>
      <c r="F454" s="137">
        <f t="shared" ca="1" si="72"/>
        <v>12.705294033479413</v>
      </c>
      <c r="G454" s="137">
        <f t="shared" ca="1" si="73"/>
        <v>5.3491862011189202</v>
      </c>
      <c r="H454" s="152">
        <f t="shared" ca="1" si="74"/>
        <v>0.67603687816873437</v>
      </c>
      <c r="I454" s="152">
        <f t="shared" ca="1" si="75"/>
        <v>0.24985119247664583</v>
      </c>
      <c r="J454" s="190">
        <f t="shared" ca="1" si="76"/>
        <v>0</v>
      </c>
      <c r="K454" s="187" t="str" cm="1">
        <f t="array" aca="1" ref="K454" ca="1">_xlfn.IFS(G454&lt;$B$11,"Fail",G454&lt;25,"Marginal",G454&lt;35,"Solid",TRUE,"Blowout")</f>
        <v>Fail</v>
      </c>
      <c r="L454" s="193">
        <f t="shared" ca="1" si="66"/>
        <v>0</v>
      </c>
      <c r="M454" s="184" t="str" cm="1">
        <f t="array" aca="1" ref="M454" ca="1">_xlfn.IFS(C454&lt;$B$11,"Fail",C454&lt;25,"Marginal",C454&lt;35,"Solid",TRUE,"Blowout")</f>
        <v>Fail</v>
      </c>
    </row>
    <row r="455" spans="1:13" x14ac:dyDescent="0.25">
      <c r="A455" s="138">
        <f t="shared" ca="1" si="67"/>
        <v>21.174395481259147</v>
      </c>
      <c r="B455" s="137">
        <f t="shared" ca="1" si="68"/>
        <v>-3.2458268468444658</v>
      </c>
      <c r="C455" s="137">
        <f t="shared" ca="1" si="69"/>
        <v>24.420222328103613</v>
      </c>
      <c r="D455" s="152">
        <f t="shared" ca="1" si="70"/>
        <v>3.0862584038342713</v>
      </c>
      <c r="E455" s="197">
        <f t="shared" ca="1" si="71"/>
        <v>1.1388898222444708E-3</v>
      </c>
      <c r="F455" s="137">
        <f t="shared" ca="1" si="72"/>
        <v>27.760217431580759</v>
      </c>
      <c r="G455" s="137">
        <f t="shared" ca="1" si="73"/>
        <v>31.006044278425225</v>
      </c>
      <c r="H455" s="152">
        <f t="shared" ca="1" si="74"/>
        <v>3.9185828629340955</v>
      </c>
      <c r="I455" s="152">
        <f t="shared" ca="1" si="75"/>
        <v>5.8888597209456254E-5</v>
      </c>
      <c r="J455" s="190">
        <f t="shared" ca="1" si="76"/>
        <v>1</v>
      </c>
      <c r="K455" s="187" t="str" cm="1">
        <f t="array" aca="1" ref="K455" ca="1">_xlfn.IFS(G455&lt;$B$11,"Fail",G455&lt;25,"Marginal",G455&lt;35,"Solid",TRUE,"Blowout")</f>
        <v>Solid</v>
      </c>
      <c r="L455" s="193">
        <f t="shared" ca="1" si="66"/>
        <v>1</v>
      </c>
      <c r="M455" s="184" t="str" cm="1">
        <f t="array" aca="1" ref="M455" ca="1">_xlfn.IFS(C455&lt;$B$11,"Fail",C455&lt;25,"Marginal",C455&lt;35,"Solid",TRUE,"Blowout")</f>
        <v>Marginal</v>
      </c>
    </row>
    <row r="456" spans="1:13" x14ac:dyDescent="0.25">
      <c r="A456" s="138">
        <f t="shared" ca="1" si="67"/>
        <v>20.790262849147233</v>
      </c>
      <c r="B456" s="137">
        <f t="shared" ca="1" si="68"/>
        <v>0.5845735087767574</v>
      </c>
      <c r="C456" s="137">
        <f t="shared" ca="1" si="69"/>
        <v>20.205689340370476</v>
      </c>
      <c r="D456" s="152">
        <f t="shared" ca="1" si="70"/>
        <v>2.553620425487158</v>
      </c>
      <c r="E456" s="197">
        <f t="shared" ca="1" si="71"/>
        <v>5.6566959630232651E-3</v>
      </c>
      <c r="F456" s="137">
        <f t="shared" ca="1" si="72"/>
        <v>18.291558350467323</v>
      </c>
      <c r="G456" s="137">
        <f t="shared" ca="1" si="73"/>
        <v>17.706984841690566</v>
      </c>
      <c r="H456" s="152">
        <f t="shared" ca="1" si="74"/>
        <v>2.2378310090708076</v>
      </c>
      <c r="I456" s="152">
        <f t="shared" ca="1" si="75"/>
        <v>1.3099398105490236E-2</v>
      </c>
      <c r="J456" s="190">
        <f t="shared" ca="1" si="76"/>
        <v>0</v>
      </c>
      <c r="K456" s="187" t="str" cm="1">
        <f t="array" aca="1" ref="K456" ca="1">_xlfn.IFS(G456&lt;$B$11,"Fail",G456&lt;25,"Marginal",G456&lt;35,"Solid",TRUE,"Blowout")</f>
        <v>Fail</v>
      </c>
      <c r="L456" s="193">
        <f t="shared" ca="1" si="66"/>
        <v>1</v>
      </c>
      <c r="M456" s="184" t="str" cm="1">
        <f t="array" aca="1" ref="M456" ca="1">_xlfn.IFS(C456&lt;$B$11,"Fail",C456&lt;25,"Marginal",C456&lt;35,"Solid",TRUE,"Blowout")</f>
        <v>Marginal</v>
      </c>
    </row>
    <row r="457" spans="1:13" x14ac:dyDescent="0.25">
      <c r="A457" s="138">
        <f t="shared" ca="1" si="67"/>
        <v>36.624398300519857</v>
      </c>
      <c r="B457" s="137">
        <f t="shared" ca="1" si="68"/>
        <v>4.9288489709906482</v>
      </c>
      <c r="C457" s="137">
        <f t="shared" ca="1" si="69"/>
        <v>31.695549329529207</v>
      </c>
      <c r="D457" s="152">
        <f t="shared" ca="1" si="70"/>
        <v>4.0057233782768602</v>
      </c>
      <c r="E457" s="197">
        <f t="shared" ca="1" si="71"/>
        <v>4.1855247703048108E-5</v>
      </c>
      <c r="F457" s="137">
        <f t="shared" ca="1" si="72"/>
        <v>28.720699873677635</v>
      </c>
      <c r="G457" s="137">
        <f t="shared" ca="1" si="73"/>
        <v>23.791850902686988</v>
      </c>
      <c r="H457" s="152">
        <f t="shared" ca="1" si="74"/>
        <v>3.0068440329753483</v>
      </c>
      <c r="I457" s="152">
        <f t="shared" ca="1" si="75"/>
        <v>1.4677782506929014E-3</v>
      </c>
      <c r="J457" s="190">
        <f t="shared" ca="1" si="76"/>
        <v>1</v>
      </c>
      <c r="K457" s="187" t="str" cm="1">
        <f t="array" aca="1" ref="K457" ca="1">_xlfn.IFS(G457&lt;$B$11,"Fail",G457&lt;25,"Marginal",G457&lt;35,"Solid",TRUE,"Blowout")</f>
        <v>Marginal</v>
      </c>
      <c r="L457" s="193">
        <f t="shared" ca="1" si="66"/>
        <v>1</v>
      </c>
      <c r="M457" s="184" t="str" cm="1">
        <f t="array" aca="1" ref="M457" ca="1">_xlfn.IFS(C457&lt;$B$11,"Fail",C457&lt;25,"Marginal",C457&lt;35,"Solid",TRUE,"Blowout")</f>
        <v>Solid</v>
      </c>
    </row>
    <row r="458" spans="1:13" x14ac:dyDescent="0.25">
      <c r="A458" s="138">
        <f t="shared" ca="1" si="67"/>
        <v>74.957672185467956</v>
      </c>
      <c r="B458" s="137">
        <f t="shared" ca="1" si="68"/>
        <v>4.0182245388175994</v>
      </c>
      <c r="C458" s="137">
        <f t="shared" ca="1" si="69"/>
        <v>70.939447646650351</v>
      </c>
      <c r="D458" s="152">
        <f t="shared" ca="1" si="70"/>
        <v>8.9654165929060916</v>
      </c>
      <c r="E458" s="197">
        <f t="shared" ca="1" si="71"/>
        <v>5.7173044615219504E-17</v>
      </c>
      <c r="F458" s="137">
        <f t="shared" ca="1" si="72"/>
        <v>29.680232451171932</v>
      </c>
      <c r="G458" s="137">
        <f t="shared" ca="1" si="73"/>
        <v>25.662007912354333</v>
      </c>
      <c r="H458" s="152">
        <f t="shared" ca="1" si="74"/>
        <v>3.2431968273941383</v>
      </c>
      <c r="I458" s="152">
        <f t="shared" ca="1" si="75"/>
        <v>6.7955273864931732E-4</v>
      </c>
      <c r="J458" s="190">
        <f t="shared" ca="1" si="76"/>
        <v>1</v>
      </c>
      <c r="K458" s="187" t="str" cm="1">
        <f t="array" aca="1" ref="K458" ca="1">_xlfn.IFS(G458&lt;$B$11,"Fail",G458&lt;25,"Marginal",G458&lt;35,"Solid",TRUE,"Blowout")</f>
        <v>Solid</v>
      </c>
      <c r="L458" s="193">
        <f t="shared" ca="1" si="66"/>
        <v>1</v>
      </c>
      <c r="M458" s="184" t="str" cm="1">
        <f t="array" aca="1" ref="M458" ca="1">_xlfn.IFS(C458&lt;$B$11,"Fail",C458&lt;25,"Marginal",C458&lt;35,"Solid",TRUE,"Blowout")</f>
        <v>Blowout</v>
      </c>
    </row>
    <row r="459" spans="1:13" x14ac:dyDescent="0.25">
      <c r="A459" s="138">
        <f t="shared" ca="1" si="67"/>
        <v>53.127306772257953</v>
      </c>
      <c r="B459" s="137">
        <f t="shared" ca="1" si="68"/>
        <v>13.25798394660738</v>
      </c>
      <c r="C459" s="137">
        <f t="shared" ca="1" si="69"/>
        <v>39.869322825650571</v>
      </c>
      <c r="D459" s="152">
        <f t="shared" ca="1" si="70"/>
        <v>5.0387351504264952</v>
      </c>
      <c r="E459" s="197">
        <f t="shared" ca="1" si="71"/>
        <v>4.7672789648889381E-7</v>
      </c>
      <c r="F459" s="137">
        <f t="shared" ca="1" si="72"/>
        <v>30.339589177063353</v>
      </c>
      <c r="G459" s="137">
        <f t="shared" ca="1" si="73"/>
        <v>17.08160523045597</v>
      </c>
      <c r="H459" s="152">
        <f t="shared" ca="1" si="74"/>
        <v>2.1587947474501186</v>
      </c>
      <c r="I459" s="152">
        <f t="shared" ca="1" si="75"/>
        <v>1.5955097874416933E-2</v>
      </c>
      <c r="J459" s="190">
        <f t="shared" ca="1" si="76"/>
        <v>0</v>
      </c>
      <c r="K459" s="187" t="str" cm="1">
        <f t="array" aca="1" ref="K459" ca="1">_xlfn.IFS(G459&lt;$B$11,"Fail",G459&lt;25,"Marginal",G459&lt;35,"Solid",TRUE,"Blowout")</f>
        <v>Fail</v>
      </c>
      <c r="L459" s="193">
        <f t="shared" ca="1" si="66"/>
        <v>1</v>
      </c>
      <c r="M459" s="184" t="str" cm="1">
        <f t="array" aca="1" ref="M459" ca="1">_xlfn.IFS(C459&lt;$B$11,"Fail",C459&lt;25,"Marginal",C459&lt;35,"Solid",TRUE,"Blowout")</f>
        <v>Blowout</v>
      </c>
    </row>
    <row r="460" spans="1:13" x14ac:dyDescent="0.25">
      <c r="A460" s="138">
        <f t="shared" ca="1" si="67"/>
        <v>42.23977363373308</v>
      </c>
      <c r="B460" s="137">
        <f t="shared" ca="1" si="68"/>
        <v>6.2202716275074774</v>
      </c>
      <c r="C460" s="137">
        <f t="shared" ca="1" si="69"/>
        <v>36.019502006225601</v>
      </c>
      <c r="D460" s="152">
        <f t="shared" ca="1" si="70"/>
        <v>4.5521899544995614</v>
      </c>
      <c r="E460" s="197">
        <f t="shared" ca="1" si="71"/>
        <v>4.3193683188695227E-6</v>
      </c>
      <c r="F460" s="137">
        <f t="shared" ca="1" si="72"/>
        <v>28.601235074091228</v>
      </c>
      <c r="G460" s="137">
        <f t="shared" ca="1" si="73"/>
        <v>22.380963446583749</v>
      </c>
      <c r="H460" s="152">
        <f t="shared" ca="1" si="74"/>
        <v>2.8285343022219216</v>
      </c>
      <c r="I460" s="152">
        <f t="shared" ca="1" si="75"/>
        <v>2.5463003604815466E-3</v>
      </c>
      <c r="J460" s="190">
        <f t="shared" ca="1" si="76"/>
        <v>1</v>
      </c>
      <c r="K460" s="187" t="str" cm="1">
        <f t="array" aca="1" ref="K460" ca="1">_xlfn.IFS(G460&lt;$B$11,"Fail",G460&lt;25,"Marginal",G460&lt;35,"Solid",TRUE,"Blowout")</f>
        <v>Marginal</v>
      </c>
      <c r="L460" s="193">
        <f t="shared" ca="1" si="66"/>
        <v>1</v>
      </c>
      <c r="M460" s="184" t="str" cm="1">
        <f t="array" aca="1" ref="M460" ca="1">_xlfn.IFS(C460&lt;$B$11,"Fail",C460&lt;25,"Marginal",C460&lt;35,"Solid",TRUE,"Blowout")</f>
        <v>Blowout</v>
      </c>
    </row>
    <row r="461" spans="1:13" x14ac:dyDescent="0.25">
      <c r="A461" s="138">
        <f t="shared" ca="1" si="67"/>
        <v>51.90213808582417</v>
      </c>
      <c r="B461" s="137">
        <f t="shared" ca="1" si="68"/>
        <v>11.742532088265584</v>
      </c>
      <c r="C461" s="137">
        <f t="shared" ca="1" si="69"/>
        <v>40.159605997558586</v>
      </c>
      <c r="D461" s="152">
        <f t="shared" ca="1" si="70"/>
        <v>5.0754215026945397</v>
      </c>
      <c r="E461" s="197">
        <f t="shared" ca="1" si="71"/>
        <v>4.0104983916505052E-7</v>
      </c>
      <c r="F461" s="137">
        <f t="shared" ca="1" si="72"/>
        <v>22.469807126618271</v>
      </c>
      <c r="G461" s="137">
        <f t="shared" ca="1" si="73"/>
        <v>10.727275038352687</v>
      </c>
      <c r="H461" s="152">
        <f t="shared" ca="1" si="74"/>
        <v>1.3557265078318625</v>
      </c>
      <c r="I461" s="152">
        <f t="shared" ca="1" si="75"/>
        <v>8.8263759379967444E-2</v>
      </c>
      <c r="J461" s="190">
        <f t="shared" ca="1" si="76"/>
        <v>0</v>
      </c>
      <c r="K461" s="187" t="str" cm="1">
        <f t="array" aca="1" ref="K461" ca="1">_xlfn.IFS(G461&lt;$B$11,"Fail",G461&lt;25,"Marginal",G461&lt;35,"Solid",TRUE,"Blowout")</f>
        <v>Fail</v>
      </c>
      <c r="L461" s="193">
        <f t="shared" ca="1" si="66"/>
        <v>1</v>
      </c>
      <c r="M461" s="184" t="str" cm="1">
        <f t="array" aca="1" ref="M461" ca="1">_xlfn.IFS(C461&lt;$B$11,"Fail",C461&lt;25,"Marginal",C461&lt;35,"Solid",TRUE,"Blowout")</f>
        <v>Blowout</v>
      </c>
    </row>
    <row r="462" spans="1:13" x14ac:dyDescent="0.25">
      <c r="A462" s="138">
        <f t="shared" ca="1" si="67"/>
        <v>12.355465323360388</v>
      </c>
      <c r="B462" s="137">
        <f t="shared" ca="1" si="68"/>
        <v>4.770449203199032</v>
      </c>
      <c r="C462" s="137">
        <f t="shared" ca="1" si="69"/>
        <v>7.585016120161356</v>
      </c>
      <c r="D462" s="152">
        <f t="shared" ca="1" si="70"/>
        <v>0.95860387467177866</v>
      </c>
      <c r="E462" s="197">
        <f t="shared" ca="1" si="71"/>
        <v>0.16938687019141108</v>
      </c>
      <c r="F462" s="137">
        <f t="shared" ca="1" si="72"/>
        <v>20.785129272974821</v>
      </c>
      <c r="G462" s="137">
        <f t="shared" ca="1" si="73"/>
        <v>16.014680069775789</v>
      </c>
      <c r="H462" s="152">
        <f t="shared" ca="1" si="74"/>
        <v>2.0239554040907435</v>
      </c>
      <c r="I462" s="152">
        <f t="shared" ca="1" si="75"/>
        <v>2.2070624998987175E-2</v>
      </c>
      <c r="J462" s="190">
        <f t="shared" ca="1" si="76"/>
        <v>0</v>
      </c>
      <c r="K462" s="187" t="str" cm="1">
        <f t="array" aca="1" ref="K462" ca="1">_xlfn.IFS(G462&lt;$B$11,"Fail",G462&lt;25,"Marginal",G462&lt;35,"Solid",TRUE,"Blowout")</f>
        <v>Fail</v>
      </c>
      <c r="L462" s="193">
        <f t="shared" ca="1" si="66"/>
        <v>0</v>
      </c>
      <c r="M462" s="184" t="str" cm="1">
        <f t="array" aca="1" ref="M462" ca="1">_xlfn.IFS(C462&lt;$B$11,"Fail",C462&lt;25,"Marginal",C462&lt;35,"Solid",TRUE,"Blowout")</f>
        <v>Fail</v>
      </c>
    </row>
    <row r="463" spans="1:13" x14ac:dyDescent="0.25">
      <c r="A463" s="138">
        <f t="shared" ca="1" si="67"/>
        <v>30.414290516954996</v>
      </c>
      <c r="B463" s="137">
        <f t="shared" ca="1" si="68"/>
        <v>-9.2907112904907052E-2</v>
      </c>
      <c r="C463" s="137">
        <f t="shared" ca="1" si="69"/>
        <v>30.507197629859903</v>
      </c>
      <c r="D463" s="152">
        <f t="shared" ca="1" si="70"/>
        <v>3.8555379962382057</v>
      </c>
      <c r="E463" s="197">
        <f t="shared" ca="1" si="71"/>
        <v>7.5116424789800317E-5</v>
      </c>
      <c r="F463" s="137">
        <f t="shared" ca="1" si="72"/>
        <v>30.751346423711272</v>
      </c>
      <c r="G463" s="137">
        <f t="shared" ca="1" si="73"/>
        <v>30.844253536616179</v>
      </c>
      <c r="H463" s="152">
        <f t="shared" ca="1" si="74"/>
        <v>3.8981355455484508</v>
      </c>
      <c r="I463" s="152">
        <f t="shared" ca="1" si="75"/>
        <v>6.3746951975462757E-5</v>
      </c>
      <c r="J463" s="190">
        <f t="shared" ca="1" si="76"/>
        <v>1</v>
      </c>
      <c r="K463" s="187" t="str" cm="1">
        <f t="array" aca="1" ref="K463" ca="1">_xlfn.IFS(G463&lt;$B$11,"Fail",G463&lt;25,"Marginal",G463&lt;35,"Solid",TRUE,"Blowout")</f>
        <v>Solid</v>
      </c>
      <c r="L463" s="193">
        <f t="shared" ca="1" si="66"/>
        <v>1</v>
      </c>
      <c r="M463" s="184" t="str" cm="1">
        <f t="array" aca="1" ref="M463" ca="1">_xlfn.IFS(C463&lt;$B$11,"Fail",C463&lt;25,"Marginal",C463&lt;35,"Solid",TRUE,"Blowout")</f>
        <v>Solid</v>
      </c>
    </row>
    <row r="464" spans="1:13" x14ac:dyDescent="0.25">
      <c r="A464" s="138">
        <f t="shared" ca="1" si="67"/>
        <v>19.659173632394836</v>
      </c>
      <c r="B464" s="137">
        <f t="shared" ca="1" si="68"/>
        <v>6.7811902308070131</v>
      </c>
      <c r="C464" s="137">
        <f t="shared" ca="1" si="69"/>
        <v>12.877983401587823</v>
      </c>
      <c r="D464" s="152">
        <f t="shared" ca="1" si="70"/>
        <v>1.6275357350800628</v>
      </c>
      <c r="E464" s="197">
        <f t="shared" ca="1" si="71"/>
        <v>5.2502235767151829E-2</v>
      </c>
      <c r="F464" s="137">
        <f t="shared" ca="1" si="72"/>
        <v>40.359681315736083</v>
      </c>
      <c r="G464" s="137">
        <f t="shared" ca="1" si="73"/>
        <v>33.57849108492907</v>
      </c>
      <c r="H464" s="152">
        <f t="shared" ca="1" si="74"/>
        <v>4.2436919249368765</v>
      </c>
      <c r="I464" s="152">
        <f t="shared" ca="1" si="75"/>
        <v>1.5998642266277439E-5</v>
      </c>
      <c r="J464" s="190">
        <f t="shared" ca="1" si="76"/>
        <v>1</v>
      </c>
      <c r="K464" s="187" t="str" cm="1">
        <f t="array" aca="1" ref="K464" ca="1">_xlfn.IFS(G464&lt;$B$11,"Fail",G464&lt;25,"Marginal",G464&lt;35,"Solid",TRUE,"Blowout")</f>
        <v>Solid</v>
      </c>
      <c r="L464" s="193">
        <f t="shared" ref="L464:L527" ca="1" si="77">IF(AND(E464&lt;$B$10,C464&gt;=$B$11),1,0)</f>
        <v>0</v>
      </c>
      <c r="M464" s="184" t="str" cm="1">
        <f t="array" aca="1" ref="M464" ca="1">_xlfn.IFS(C464&lt;$B$11,"Fail",C464&lt;25,"Marginal",C464&lt;35,"Solid",TRUE,"Blowout")</f>
        <v>Fail</v>
      </c>
    </row>
    <row r="465" spans="1:13" x14ac:dyDescent="0.25">
      <c r="A465" s="138">
        <f t="shared" ref="A465:A528" ca="1" si="78">NORMINV(RAND(), MAX(0, NORMINV(RAND(), $B$6, $B$12)), $B$7/SQRT($B$9))</f>
        <v>-0.42269344009098536</v>
      </c>
      <c r="B465" s="137">
        <f t="shared" ref="B465:B528" ca="1" si="79">NORMINV(RAND(), $B$8, $B$7/SQRT($B$9))</f>
        <v>4.1652836719330821</v>
      </c>
      <c r="C465" s="137">
        <f t="shared" ref="C465:C528" ca="1" si="80">A465-B465</f>
        <v>-4.5879771120240678</v>
      </c>
      <c r="D465" s="152">
        <f t="shared" ref="D465:D528" ca="1" si="81">C465/($B$7*SQRT(2/$B$9))</f>
        <v>-0.57983431634396432</v>
      </c>
      <c r="E465" s="197">
        <f t="shared" ref="E465:E528" ca="1" si="82">_xlfn.T.DIST.RT(D465, 2*$B$9-2)</f>
        <v>0.71870055890652451</v>
      </c>
      <c r="F465" s="137">
        <f t="shared" ref="F465:F528" ca="1" si="83">NORMINV(RAND(), MAX(0, NORMINV(RAND(), $N$7, $N$8)), $B$7/SQRT($B$9))</f>
        <v>21.768832825330346</v>
      </c>
      <c r="G465" s="137">
        <f t="shared" ref="G465:G528" ca="1" si="84">F465-B465</f>
        <v>17.603549153397264</v>
      </c>
      <c r="H465" s="152">
        <f t="shared" ref="H465:H528" ca="1" si="85">G465/($B$7*SQRT(2/$B$9))</f>
        <v>2.2247586767241763</v>
      </c>
      <c r="I465" s="152">
        <f t="shared" ref="I465:I528" ca="1" si="86">_xlfn.T.DIST.RT(H465, 2*$B$9-2)</f>
        <v>1.3538572443666607E-2</v>
      </c>
      <c r="J465" s="190">
        <f t="shared" ref="J465:J528" ca="1" si="87">IF(AND(I465&lt;$B$10, G465&gt;=$B$11), 1, 0)</f>
        <v>0</v>
      </c>
      <c r="K465" s="187" t="str" cm="1">
        <f t="array" aca="1" ref="K465" ca="1">_xlfn.IFS(G465&lt;$B$11,"Fail",G465&lt;25,"Marginal",G465&lt;35,"Solid",TRUE,"Blowout")</f>
        <v>Fail</v>
      </c>
      <c r="L465" s="193">
        <f t="shared" ca="1" si="77"/>
        <v>0</v>
      </c>
      <c r="M465" s="184" t="str" cm="1">
        <f t="array" aca="1" ref="M465" ca="1">_xlfn.IFS(C465&lt;$B$11,"Fail",C465&lt;25,"Marginal",C465&lt;35,"Solid",TRUE,"Blowout")</f>
        <v>Fail</v>
      </c>
    </row>
    <row r="466" spans="1:13" x14ac:dyDescent="0.25">
      <c r="A466" s="138">
        <f t="shared" ca="1" si="78"/>
        <v>46.020145756944828</v>
      </c>
      <c r="B466" s="137">
        <f t="shared" ca="1" si="79"/>
        <v>13.510454161738727</v>
      </c>
      <c r="C466" s="137">
        <f t="shared" ca="1" si="80"/>
        <v>32.5096915952061</v>
      </c>
      <c r="D466" s="152">
        <f t="shared" ca="1" si="81"/>
        <v>4.1086157015162907</v>
      </c>
      <c r="E466" s="197">
        <f t="shared" ca="1" si="82"/>
        <v>2.7760951877288127E-5</v>
      </c>
      <c r="F466" s="137">
        <f t="shared" ca="1" si="83"/>
        <v>32.433086685796603</v>
      </c>
      <c r="G466" s="137">
        <f t="shared" ca="1" si="84"/>
        <v>18.922632524057875</v>
      </c>
      <c r="H466" s="152">
        <f t="shared" ca="1" si="85"/>
        <v>2.391466091724828</v>
      </c>
      <c r="I466" s="152">
        <f t="shared" ca="1" si="86"/>
        <v>8.7965948145051452E-3</v>
      </c>
      <c r="J466" s="190">
        <f t="shared" ca="1" si="87"/>
        <v>0</v>
      </c>
      <c r="K466" s="187" t="str" cm="1">
        <f t="array" aca="1" ref="K466" ca="1">_xlfn.IFS(G466&lt;$B$11,"Fail",G466&lt;25,"Marginal",G466&lt;35,"Solid",TRUE,"Blowout")</f>
        <v>Fail</v>
      </c>
      <c r="L466" s="193">
        <f t="shared" ca="1" si="77"/>
        <v>1</v>
      </c>
      <c r="M466" s="184" t="str" cm="1">
        <f t="array" aca="1" ref="M466" ca="1">_xlfn.IFS(C466&lt;$B$11,"Fail",C466&lt;25,"Marginal",C466&lt;35,"Solid",TRUE,"Blowout")</f>
        <v>Solid</v>
      </c>
    </row>
    <row r="467" spans="1:13" x14ac:dyDescent="0.25">
      <c r="A467" s="138">
        <f t="shared" ca="1" si="78"/>
        <v>10.653431275647238</v>
      </c>
      <c r="B467" s="137">
        <f t="shared" ca="1" si="79"/>
        <v>-4.1359034683301381</v>
      </c>
      <c r="C467" s="137">
        <f t="shared" ca="1" si="80"/>
        <v>14.789334743977376</v>
      </c>
      <c r="D467" s="152">
        <f t="shared" ca="1" si="81"/>
        <v>1.8690947210660747</v>
      </c>
      <c r="E467" s="197">
        <f t="shared" ca="1" si="82"/>
        <v>3.1445888139777868E-2</v>
      </c>
      <c r="F467" s="137">
        <f t="shared" ca="1" si="83"/>
        <v>41.78218465303901</v>
      </c>
      <c r="G467" s="137">
        <f t="shared" ca="1" si="84"/>
        <v>45.918088121369152</v>
      </c>
      <c r="H467" s="152">
        <f t="shared" ca="1" si="85"/>
        <v>5.8031857142220895</v>
      </c>
      <c r="I467" s="152">
        <f t="shared" ca="1" si="86"/>
        <v>1.0814971762348665E-8</v>
      </c>
      <c r="J467" s="190">
        <f t="shared" ca="1" si="87"/>
        <v>1</v>
      </c>
      <c r="K467" s="187" t="str" cm="1">
        <f t="array" aca="1" ref="K467" ca="1">_xlfn.IFS(G467&lt;$B$11,"Fail",G467&lt;25,"Marginal",G467&lt;35,"Solid",TRUE,"Blowout")</f>
        <v>Blowout</v>
      </c>
      <c r="L467" s="193">
        <f t="shared" ca="1" si="77"/>
        <v>0</v>
      </c>
      <c r="M467" s="184" t="str" cm="1">
        <f t="array" aca="1" ref="M467" ca="1">_xlfn.IFS(C467&lt;$B$11,"Fail",C467&lt;25,"Marginal",C467&lt;35,"Solid",TRUE,"Blowout")</f>
        <v>Fail</v>
      </c>
    </row>
    <row r="468" spans="1:13" x14ac:dyDescent="0.25">
      <c r="A468" s="138">
        <f t="shared" ca="1" si="78"/>
        <v>35.302274733689671</v>
      </c>
      <c r="B468" s="137">
        <f t="shared" ca="1" si="79"/>
        <v>0.94425798638525915</v>
      </c>
      <c r="C468" s="137">
        <f t="shared" ca="1" si="80"/>
        <v>34.358016747304411</v>
      </c>
      <c r="D468" s="152">
        <f t="shared" ca="1" si="81"/>
        <v>4.3422093583241095</v>
      </c>
      <c r="E468" s="197">
        <f t="shared" ca="1" si="82"/>
        <v>1.0611724571813041E-5</v>
      </c>
      <c r="F468" s="137">
        <f t="shared" ca="1" si="83"/>
        <v>20.390617002128785</v>
      </c>
      <c r="G468" s="137">
        <f t="shared" ca="1" si="84"/>
        <v>19.446359015743525</v>
      </c>
      <c r="H468" s="152">
        <f t="shared" ca="1" si="85"/>
        <v>2.4576553042782012</v>
      </c>
      <c r="I468" s="152">
        <f t="shared" ca="1" si="86"/>
        <v>7.3652449227499328E-3</v>
      </c>
      <c r="J468" s="190">
        <f t="shared" ca="1" si="87"/>
        <v>0</v>
      </c>
      <c r="K468" s="187" t="str" cm="1">
        <f t="array" aca="1" ref="K468" ca="1">_xlfn.IFS(G468&lt;$B$11,"Fail",G468&lt;25,"Marginal",G468&lt;35,"Solid",TRUE,"Blowout")</f>
        <v>Fail</v>
      </c>
      <c r="L468" s="193">
        <f t="shared" ca="1" si="77"/>
        <v>1</v>
      </c>
      <c r="M468" s="184" t="str" cm="1">
        <f t="array" aca="1" ref="M468" ca="1">_xlfn.IFS(C468&lt;$B$11,"Fail",C468&lt;25,"Marginal",C468&lt;35,"Solid",TRUE,"Blowout")</f>
        <v>Solid</v>
      </c>
    </row>
    <row r="469" spans="1:13" x14ac:dyDescent="0.25">
      <c r="A469" s="138">
        <f t="shared" ca="1" si="78"/>
        <v>32.760493996584557</v>
      </c>
      <c r="B469" s="137">
        <f t="shared" ca="1" si="79"/>
        <v>-4.5503537842914668</v>
      </c>
      <c r="C469" s="137">
        <f t="shared" ca="1" si="80"/>
        <v>37.310847780876024</v>
      </c>
      <c r="D469" s="152">
        <f t="shared" ca="1" si="81"/>
        <v>4.7153918572391689</v>
      </c>
      <c r="E469" s="197">
        <f t="shared" ca="1" si="82"/>
        <v>2.101112984200016E-6</v>
      </c>
      <c r="F469" s="137">
        <f t="shared" ca="1" si="83"/>
        <v>32.8965171891805</v>
      </c>
      <c r="G469" s="137">
        <f t="shared" ca="1" si="84"/>
        <v>37.446870973471967</v>
      </c>
      <c r="H469" s="152">
        <f t="shared" ca="1" si="85"/>
        <v>4.7325826393551234</v>
      </c>
      <c r="I469" s="152">
        <f t="shared" ca="1" si="86"/>
        <v>1.9453700205063425E-6</v>
      </c>
      <c r="J469" s="190">
        <f t="shared" ca="1" si="87"/>
        <v>1</v>
      </c>
      <c r="K469" s="187" t="str" cm="1">
        <f t="array" aca="1" ref="K469" ca="1">_xlfn.IFS(G469&lt;$B$11,"Fail",G469&lt;25,"Marginal",G469&lt;35,"Solid",TRUE,"Blowout")</f>
        <v>Blowout</v>
      </c>
      <c r="L469" s="193">
        <f t="shared" ca="1" si="77"/>
        <v>1</v>
      </c>
      <c r="M469" s="184" t="str" cm="1">
        <f t="array" aca="1" ref="M469" ca="1">_xlfn.IFS(C469&lt;$B$11,"Fail",C469&lt;25,"Marginal",C469&lt;35,"Solid",TRUE,"Blowout")</f>
        <v>Blowout</v>
      </c>
    </row>
    <row r="470" spans="1:13" x14ac:dyDescent="0.25">
      <c r="A470" s="138">
        <f t="shared" ca="1" si="78"/>
        <v>0.75468335425616495</v>
      </c>
      <c r="B470" s="137">
        <f t="shared" ca="1" si="79"/>
        <v>1.3049049705242268</v>
      </c>
      <c r="C470" s="137">
        <f t="shared" ca="1" si="80"/>
        <v>-0.55022161626806187</v>
      </c>
      <c r="D470" s="152">
        <f t="shared" ca="1" si="81"/>
        <v>-6.9537699713090692E-2</v>
      </c>
      <c r="E470" s="197">
        <f t="shared" ca="1" si="82"/>
        <v>0.52768871262516992</v>
      </c>
      <c r="F470" s="137">
        <f t="shared" ca="1" si="83"/>
        <v>43.152301608093062</v>
      </c>
      <c r="G470" s="137">
        <f t="shared" ca="1" si="84"/>
        <v>41.847396637568835</v>
      </c>
      <c r="H470" s="152">
        <f t="shared" ca="1" si="85"/>
        <v>5.2887266060084359</v>
      </c>
      <c r="I470" s="152">
        <f t="shared" ca="1" si="86"/>
        <v>1.4417092865820567E-7</v>
      </c>
      <c r="J470" s="190">
        <f t="shared" ca="1" si="87"/>
        <v>1</v>
      </c>
      <c r="K470" s="187" t="str" cm="1">
        <f t="array" aca="1" ref="K470" ca="1">_xlfn.IFS(G470&lt;$B$11,"Fail",G470&lt;25,"Marginal",G470&lt;35,"Solid",TRUE,"Blowout")</f>
        <v>Blowout</v>
      </c>
      <c r="L470" s="193">
        <f t="shared" ca="1" si="77"/>
        <v>0</v>
      </c>
      <c r="M470" s="184" t="str" cm="1">
        <f t="array" aca="1" ref="M470" ca="1">_xlfn.IFS(C470&lt;$B$11,"Fail",C470&lt;25,"Marginal",C470&lt;35,"Solid",TRUE,"Blowout")</f>
        <v>Fail</v>
      </c>
    </row>
    <row r="471" spans="1:13" x14ac:dyDescent="0.25">
      <c r="A471" s="138">
        <f t="shared" ca="1" si="78"/>
        <v>53.78295047714893</v>
      </c>
      <c r="B471" s="137">
        <f t="shared" ca="1" si="79"/>
        <v>2.8104819947719308</v>
      </c>
      <c r="C471" s="137">
        <f t="shared" ca="1" si="80"/>
        <v>50.972468482376996</v>
      </c>
      <c r="D471" s="152">
        <f t="shared" ca="1" si="81"/>
        <v>6.4419646596284696</v>
      </c>
      <c r="E471" s="197">
        <f t="shared" ca="1" si="82"/>
        <v>3.4592164873064781E-10</v>
      </c>
      <c r="F471" s="137">
        <f t="shared" ca="1" si="83"/>
        <v>18.742060934349126</v>
      </c>
      <c r="G471" s="137">
        <f t="shared" ca="1" si="84"/>
        <v>15.931578939577197</v>
      </c>
      <c r="H471" s="152">
        <f t="shared" ca="1" si="85"/>
        <v>2.0134529787648128</v>
      </c>
      <c r="I471" s="152">
        <f t="shared" ca="1" si="86"/>
        <v>2.2621162174683844E-2</v>
      </c>
      <c r="J471" s="190">
        <f t="shared" ca="1" si="87"/>
        <v>0</v>
      </c>
      <c r="K471" s="187" t="str" cm="1">
        <f t="array" aca="1" ref="K471" ca="1">_xlfn.IFS(G471&lt;$B$11,"Fail",G471&lt;25,"Marginal",G471&lt;35,"Solid",TRUE,"Blowout")</f>
        <v>Fail</v>
      </c>
      <c r="L471" s="193">
        <f t="shared" ca="1" si="77"/>
        <v>1</v>
      </c>
      <c r="M471" s="184" t="str" cm="1">
        <f t="array" aca="1" ref="M471" ca="1">_xlfn.IFS(C471&lt;$B$11,"Fail",C471&lt;25,"Marginal",C471&lt;35,"Solid",TRUE,"Blowout")</f>
        <v>Blowout</v>
      </c>
    </row>
    <row r="472" spans="1:13" x14ac:dyDescent="0.25">
      <c r="A472" s="138">
        <f t="shared" ca="1" si="78"/>
        <v>0.58528398888850597</v>
      </c>
      <c r="B472" s="137">
        <f t="shared" ca="1" si="79"/>
        <v>2.7143867066638072</v>
      </c>
      <c r="C472" s="137">
        <f t="shared" ca="1" si="80"/>
        <v>-2.129102717775301</v>
      </c>
      <c r="D472" s="152">
        <f t="shared" ca="1" si="81"/>
        <v>-0.2690786786080292</v>
      </c>
      <c r="E472" s="197">
        <f t="shared" ca="1" si="82"/>
        <v>0.60594376284446039</v>
      </c>
      <c r="F472" s="137">
        <f t="shared" ca="1" si="83"/>
        <v>34.398951791125619</v>
      </c>
      <c r="G472" s="137">
        <f t="shared" ca="1" si="84"/>
        <v>31.684565084461813</v>
      </c>
      <c r="H472" s="152">
        <f t="shared" ca="1" si="85"/>
        <v>4.0043351755736438</v>
      </c>
      <c r="I472" s="152">
        <f t="shared" ca="1" si="86"/>
        <v>4.2085438497224704E-5</v>
      </c>
      <c r="J472" s="190">
        <f t="shared" ca="1" si="87"/>
        <v>1</v>
      </c>
      <c r="K472" s="187" t="str" cm="1">
        <f t="array" aca="1" ref="K472" ca="1">_xlfn.IFS(G472&lt;$B$11,"Fail",G472&lt;25,"Marginal",G472&lt;35,"Solid",TRUE,"Blowout")</f>
        <v>Solid</v>
      </c>
      <c r="L472" s="193">
        <f t="shared" ca="1" si="77"/>
        <v>0</v>
      </c>
      <c r="M472" s="184" t="str" cm="1">
        <f t="array" aca="1" ref="M472" ca="1">_xlfn.IFS(C472&lt;$B$11,"Fail",C472&lt;25,"Marginal",C472&lt;35,"Solid",TRUE,"Blowout")</f>
        <v>Fail</v>
      </c>
    </row>
    <row r="473" spans="1:13" x14ac:dyDescent="0.25">
      <c r="A473" s="138">
        <f t="shared" ca="1" si="78"/>
        <v>25.323867901228713</v>
      </c>
      <c r="B473" s="137">
        <f t="shared" ca="1" si="79"/>
        <v>-0.49690950933104006</v>
      </c>
      <c r="C473" s="137">
        <f t="shared" ca="1" si="80"/>
        <v>25.820777410559753</v>
      </c>
      <c r="D473" s="152">
        <f t="shared" ca="1" si="81"/>
        <v>3.2632623162142425</v>
      </c>
      <c r="E473" s="197">
        <f t="shared" ca="1" si="82"/>
        <v>6.3522645816539995E-4</v>
      </c>
      <c r="F473" s="137">
        <f t="shared" ca="1" si="83"/>
        <v>31.904773181417962</v>
      </c>
      <c r="G473" s="137">
        <f t="shared" ca="1" si="84"/>
        <v>32.401682690748999</v>
      </c>
      <c r="H473" s="152">
        <f t="shared" ca="1" si="85"/>
        <v>4.0949654003605129</v>
      </c>
      <c r="I473" s="152">
        <f t="shared" ca="1" si="86"/>
        <v>2.9328576013714429E-5</v>
      </c>
      <c r="J473" s="190">
        <f t="shared" ca="1" si="87"/>
        <v>1</v>
      </c>
      <c r="K473" s="187" t="str" cm="1">
        <f t="array" aca="1" ref="K473" ca="1">_xlfn.IFS(G473&lt;$B$11,"Fail",G473&lt;25,"Marginal",G473&lt;35,"Solid",TRUE,"Blowout")</f>
        <v>Solid</v>
      </c>
      <c r="L473" s="193">
        <f t="shared" ca="1" si="77"/>
        <v>1</v>
      </c>
      <c r="M473" s="184" t="str" cm="1">
        <f t="array" aca="1" ref="M473" ca="1">_xlfn.IFS(C473&lt;$B$11,"Fail",C473&lt;25,"Marginal",C473&lt;35,"Solid",TRUE,"Blowout")</f>
        <v>Solid</v>
      </c>
    </row>
    <row r="474" spans="1:13" x14ac:dyDescent="0.25">
      <c r="A474" s="138">
        <f t="shared" ca="1" si="78"/>
        <v>53.748038645533711</v>
      </c>
      <c r="B474" s="137">
        <f t="shared" ca="1" si="79"/>
        <v>-4.7522017577129478</v>
      </c>
      <c r="C474" s="137">
        <f t="shared" ca="1" si="80"/>
        <v>58.500240403246657</v>
      </c>
      <c r="D474" s="152">
        <f t="shared" ca="1" si="81"/>
        <v>7.3933339404148581</v>
      </c>
      <c r="E474" s="197">
        <f t="shared" ca="1" si="82"/>
        <v>1.3517683255552069E-12</v>
      </c>
      <c r="F474" s="137">
        <f t="shared" ca="1" si="83"/>
        <v>9.6772361066456423</v>
      </c>
      <c r="G474" s="137">
        <f t="shared" ca="1" si="84"/>
        <v>14.42943786435859</v>
      </c>
      <c r="H474" s="152">
        <f t="shared" ca="1" si="85"/>
        <v>1.8236105008852068</v>
      </c>
      <c r="I474" s="152">
        <f t="shared" ca="1" si="86"/>
        <v>3.4760110390448518E-2</v>
      </c>
      <c r="J474" s="190">
        <f t="shared" ca="1" si="87"/>
        <v>0</v>
      </c>
      <c r="K474" s="187" t="str" cm="1">
        <f t="array" aca="1" ref="K474" ca="1">_xlfn.IFS(G474&lt;$B$11,"Fail",G474&lt;25,"Marginal",G474&lt;35,"Solid",TRUE,"Blowout")</f>
        <v>Fail</v>
      </c>
      <c r="L474" s="193">
        <f t="shared" ca="1" si="77"/>
        <v>1</v>
      </c>
      <c r="M474" s="184" t="str" cm="1">
        <f t="array" aca="1" ref="M474" ca="1">_xlfn.IFS(C474&lt;$B$11,"Fail",C474&lt;25,"Marginal",C474&lt;35,"Solid",TRUE,"Blowout")</f>
        <v>Blowout</v>
      </c>
    </row>
    <row r="475" spans="1:13" x14ac:dyDescent="0.25">
      <c r="A475" s="138">
        <f t="shared" ca="1" si="78"/>
        <v>37.225084435290569</v>
      </c>
      <c r="B475" s="137">
        <f t="shared" ca="1" si="79"/>
        <v>7.7120083841690343</v>
      </c>
      <c r="C475" s="137">
        <f t="shared" ca="1" si="80"/>
        <v>29.513076051121534</v>
      </c>
      <c r="D475" s="152">
        <f t="shared" ca="1" si="81"/>
        <v>3.7298996611079231</v>
      </c>
      <c r="E475" s="197">
        <f t="shared" ca="1" si="82"/>
        <v>1.2089570796732512E-4</v>
      </c>
      <c r="F475" s="137">
        <f t="shared" ca="1" si="83"/>
        <v>43.860565723202008</v>
      </c>
      <c r="G475" s="137">
        <f t="shared" ca="1" si="84"/>
        <v>36.148557339032976</v>
      </c>
      <c r="H475" s="152">
        <f t="shared" ca="1" si="85"/>
        <v>4.5685001297340442</v>
      </c>
      <c r="I475" s="152">
        <f t="shared" ca="1" si="86"/>
        <v>4.0226832227782411E-6</v>
      </c>
      <c r="J475" s="190">
        <f t="shared" ca="1" si="87"/>
        <v>1</v>
      </c>
      <c r="K475" s="187" t="str" cm="1">
        <f t="array" aca="1" ref="K475" ca="1">_xlfn.IFS(G475&lt;$B$11,"Fail",G475&lt;25,"Marginal",G475&lt;35,"Solid",TRUE,"Blowout")</f>
        <v>Blowout</v>
      </c>
      <c r="L475" s="193">
        <f t="shared" ca="1" si="77"/>
        <v>1</v>
      </c>
      <c r="M475" s="184" t="str" cm="1">
        <f t="array" aca="1" ref="M475" ca="1">_xlfn.IFS(C475&lt;$B$11,"Fail",C475&lt;25,"Marginal",C475&lt;35,"Solid",TRUE,"Blowout")</f>
        <v>Solid</v>
      </c>
    </row>
    <row r="476" spans="1:13" x14ac:dyDescent="0.25">
      <c r="A476" s="138">
        <f t="shared" ca="1" si="78"/>
        <v>23.170901271225187</v>
      </c>
      <c r="B476" s="137">
        <f t="shared" ca="1" si="79"/>
        <v>11.515411190781206</v>
      </c>
      <c r="C476" s="137">
        <f t="shared" ca="1" si="80"/>
        <v>11.655490080443981</v>
      </c>
      <c r="D476" s="152">
        <f t="shared" ca="1" si="81"/>
        <v>1.4730354919897517</v>
      </c>
      <c r="E476" s="197">
        <f t="shared" ca="1" si="82"/>
        <v>7.1060314272821487E-2</v>
      </c>
      <c r="F476" s="137">
        <f t="shared" ca="1" si="83"/>
        <v>35.170435359384413</v>
      </c>
      <c r="G476" s="137">
        <f t="shared" ca="1" si="84"/>
        <v>23.655024168603205</v>
      </c>
      <c r="H476" s="152">
        <f t="shared" ca="1" si="85"/>
        <v>2.9895516982757866</v>
      </c>
      <c r="I476" s="152">
        <f t="shared" ca="1" si="86"/>
        <v>1.5500878583903069E-3</v>
      </c>
      <c r="J476" s="190">
        <f t="shared" ca="1" si="87"/>
        <v>1</v>
      </c>
      <c r="K476" s="187" t="str" cm="1">
        <f t="array" aca="1" ref="K476" ca="1">_xlfn.IFS(G476&lt;$B$11,"Fail",G476&lt;25,"Marginal",G476&lt;35,"Solid",TRUE,"Blowout")</f>
        <v>Marginal</v>
      </c>
      <c r="L476" s="193">
        <f t="shared" ca="1" si="77"/>
        <v>0</v>
      </c>
      <c r="M476" s="184" t="str" cm="1">
        <f t="array" aca="1" ref="M476" ca="1">_xlfn.IFS(C476&lt;$B$11,"Fail",C476&lt;25,"Marginal",C476&lt;35,"Solid",TRUE,"Blowout")</f>
        <v>Fail</v>
      </c>
    </row>
    <row r="477" spans="1:13" x14ac:dyDescent="0.25">
      <c r="A477" s="138">
        <f t="shared" ca="1" si="78"/>
        <v>26.467180781264723</v>
      </c>
      <c r="B477" s="137">
        <f t="shared" ca="1" si="79"/>
        <v>-3.1306289577117834</v>
      </c>
      <c r="C477" s="137">
        <f t="shared" ca="1" si="80"/>
        <v>29.597809738976508</v>
      </c>
      <c r="D477" s="152">
        <f t="shared" ca="1" si="81"/>
        <v>3.7406084111232469</v>
      </c>
      <c r="E477" s="197">
        <f t="shared" ca="1" si="82"/>
        <v>1.1614545945054083E-4</v>
      </c>
      <c r="F477" s="137">
        <f t="shared" ca="1" si="83"/>
        <v>51.280476531497968</v>
      </c>
      <c r="G477" s="137">
        <f t="shared" ca="1" si="84"/>
        <v>54.411105489209753</v>
      </c>
      <c r="H477" s="152">
        <f t="shared" ca="1" si="85"/>
        <v>6.8765439282971199</v>
      </c>
      <c r="I477" s="152">
        <f t="shared" ca="1" si="86"/>
        <v>2.9130171038434135E-11</v>
      </c>
      <c r="J477" s="190">
        <f t="shared" ca="1" si="87"/>
        <v>1</v>
      </c>
      <c r="K477" s="187" t="str" cm="1">
        <f t="array" aca="1" ref="K477" ca="1">_xlfn.IFS(G477&lt;$B$11,"Fail",G477&lt;25,"Marginal",G477&lt;35,"Solid",TRUE,"Blowout")</f>
        <v>Blowout</v>
      </c>
      <c r="L477" s="193">
        <f t="shared" ca="1" si="77"/>
        <v>1</v>
      </c>
      <c r="M477" s="184" t="str" cm="1">
        <f t="array" aca="1" ref="M477" ca="1">_xlfn.IFS(C477&lt;$B$11,"Fail",C477&lt;25,"Marginal",C477&lt;35,"Solid",TRUE,"Blowout")</f>
        <v>Solid</v>
      </c>
    </row>
    <row r="478" spans="1:13" x14ac:dyDescent="0.25">
      <c r="A478" s="138">
        <f t="shared" ca="1" si="78"/>
        <v>51.953944753368333</v>
      </c>
      <c r="B478" s="137">
        <f t="shared" ca="1" si="79"/>
        <v>5.4733181873090357</v>
      </c>
      <c r="C478" s="137">
        <f t="shared" ca="1" si="80"/>
        <v>46.4806265660593</v>
      </c>
      <c r="D478" s="152">
        <f t="shared" ca="1" si="81"/>
        <v>5.8742800301983538</v>
      </c>
      <c r="E478" s="197">
        <f t="shared" ca="1" si="82"/>
        <v>7.4622430026961098E-9</v>
      </c>
      <c r="F478" s="137">
        <f t="shared" ca="1" si="83"/>
        <v>48.398520353268388</v>
      </c>
      <c r="G478" s="137">
        <f t="shared" ca="1" si="84"/>
        <v>42.925202165959355</v>
      </c>
      <c r="H478" s="152">
        <f t="shared" ca="1" si="85"/>
        <v>5.4249410239200273</v>
      </c>
      <c r="I478" s="152">
        <f t="shared" ca="1" si="86"/>
        <v>7.3834708583547572E-8</v>
      </c>
      <c r="J478" s="190">
        <f t="shared" ca="1" si="87"/>
        <v>1</v>
      </c>
      <c r="K478" s="187" t="str" cm="1">
        <f t="array" aca="1" ref="K478" ca="1">_xlfn.IFS(G478&lt;$B$11,"Fail",G478&lt;25,"Marginal",G478&lt;35,"Solid",TRUE,"Blowout")</f>
        <v>Blowout</v>
      </c>
      <c r="L478" s="193">
        <f t="shared" ca="1" si="77"/>
        <v>1</v>
      </c>
      <c r="M478" s="184" t="str" cm="1">
        <f t="array" aca="1" ref="M478" ca="1">_xlfn.IFS(C478&lt;$B$11,"Fail",C478&lt;25,"Marginal",C478&lt;35,"Solid",TRUE,"Blowout")</f>
        <v>Blowout</v>
      </c>
    </row>
    <row r="479" spans="1:13" x14ac:dyDescent="0.25">
      <c r="A479" s="138">
        <f t="shared" ca="1" si="78"/>
        <v>47.57156098577223</v>
      </c>
      <c r="B479" s="137">
        <f t="shared" ca="1" si="79"/>
        <v>13.043121748664513</v>
      </c>
      <c r="C479" s="137">
        <f t="shared" ca="1" si="80"/>
        <v>34.528439237107719</v>
      </c>
      <c r="D479" s="152">
        <f t="shared" ca="1" si="81"/>
        <v>4.3637475668748369</v>
      </c>
      <c r="E479" s="197">
        <f t="shared" ca="1" si="82"/>
        <v>9.691492279711843E-6</v>
      </c>
      <c r="F479" s="137">
        <f t="shared" ca="1" si="83"/>
        <v>-4.7255322336439285</v>
      </c>
      <c r="G479" s="137">
        <f t="shared" ca="1" si="84"/>
        <v>-17.768653982308443</v>
      </c>
      <c r="H479" s="152">
        <f t="shared" ca="1" si="85"/>
        <v>-2.2456248326049248</v>
      </c>
      <c r="I479" s="152">
        <f t="shared" ca="1" si="86"/>
        <v>0.9871565000400554</v>
      </c>
      <c r="J479" s="190">
        <f t="shared" ca="1" si="87"/>
        <v>0</v>
      </c>
      <c r="K479" s="187" t="str" cm="1">
        <f t="array" aca="1" ref="K479" ca="1">_xlfn.IFS(G479&lt;$B$11,"Fail",G479&lt;25,"Marginal",G479&lt;35,"Solid",TRUE,"Blowout")</f>
        <v>Fail</v>
      </c>
      <c r="L479" s="193">
        <f t="shared" ca="1" si="77"/>
        <v>1</v>
      </c>
      <c r="M479" s="184" t="str" cm="1">
        <f t="array" aca="1" ref="M479" ca="1">_xlfn.IFS(C479&lt;$B$11,"Fail",C479&lt;25,"Marginal",C479&lt;35,"Solid",TRUE,"Blowout")</f>
        <v>Solid</v>
      </c>
    </row>
    <row r="480" spans="1:13" x14ac:dyDescent="0.25">
      <c r="A480" s="138">
        <f t="shared" ca="1" si="78"/>
        <v>95.236466615105996</v>
      </c>
      <c r="B480" s="137">
        <f t="shared" ca="1" si="79"/>
        <v>0.24140514611187935</v>
      </c>
      <c r="C480" s="137">
        <f t="shared" ca="1" si="80"/>
        <v>94.995061468994123</v>
      </c>
      <c r="D480" s="152">
        <f t="shared" ca="1" si="81"/>
        <v>12.005595315323387</v>
      </c>
      <c r="E480" s="197">
        <f t="shared" ca="1" si="82"/>
        <v>2.3404480179526424E-26</v>
      </c>
      <c r="F480" s="137">
        <f t="shared" ca="1" si="83"/>
        <v>13.583957809152578</v>
      </c>
      <c r="G480" s="137">
        <f t="shared" ca="1" si="84"/>
        <v>13.342552663040699</v>
      </c>
      <c r="H480" s="152">
        <f t="shared" ca="1" si="85"/>
        <v>1.6862485824922657</v>
      </c>
      <c r="I480" s="152">
        <f t="shared" ca="1" si="86"/>
        <v>4.655788945622398E-2</v>
      </c>
      <c r="J480" s="190">
        <f t="shared" ca="1" si="87"/>
        <v>0</v>
      </c>
      <c r="K480" s="187" t="str" cm="1">
        <f t="array" aca="1" ref="K480" ca="1">_xlfn.IFS(G480&lt;$B$11,"Fail",G480&lt;25,"Marginal",G480&lt;35,"Solid",TRUE,"Blowout")</f>
        <v>Fail</v>
      </c>
      <c r="L480" s="193">
        <f t="shared" ca="1" si="77"/>
        <v>1</v>
      </c>
      <c r="M480" s="184" t="str" cm="1">
        <f t="array" aca="1" ref="M480" ca="1">_xlfn.IFS(C480&lt;$B$11,"Fail",C480&lt;25,"Marginal",C480&lt;35,"Solid",TRUE,"Blowout")</f>
        <v>Blowout</v>
      </c>
    </row>
    <row r="481" spans="1:13" x14ac:dyDescent="0.25">
      <c r="A481" s="138">
        <f t="shared" ca="1" si="78"/>
        <v>26.706603400197039</v>
      </c>
      <c r="B481" s="137">
        <f t="shared" ca="1" si="79"/>
        <v>4.7834031804641723</v>
      </c>
      <c r="C481" s="137">
        <f t="shared" ca="1" si="80"/>
        <v>21.923200219732866</v>
      </c>
      <c r="D481" s="152">
        <f t="shared" ca="1" si="81"/>
        <v>2.770681610020632</v>
      </c>
      <c r="E481" s="197">
        <f t="shared" ca="1" si="82"/>
        <v>3.0276414699651351E-3</v>
      </c>
      <c r="F481" s="137">
        <f t="shared" ca="1" si="83"/>
        <v>21.388488016298588</v>
      </c>
      <c r="G481" s="137">
        <f t="shared" ca="1" si="84"/>
        <v>16.605084835834415</v>
      </c>
      <c r="H481" s="152">
        <f t="shared" ca="1" si="85"/>
        <v>2.0985715008006927</v>
      </c>
      <c r="I481" s="152">
        <f t="shared" ca="1" si="86"/>
        <v>1.8477669198499361E-2</v>
      </c>
      <c r="J481" s="190">
        <f t="shared" ca="1" si="87"/>
        <v>0</v>
      </c>
      <c r="K481" s="187" t="str" cm="1">
        <f t="array" aca="1" ref="K481" ca="1">_xlfn.IFS(G481&lt;$B$11,"Fail",G481&lt;25,"Marginal",G481&lt;35,"Solid",TRUE,"Blowout")</f>
        <v>Fail</v>
      </c>
      <c r="L481" s="193">
        <f t="shared" ca="1" si="77"/>
        <v>1</v>
      </c>
      <c r="M481" s="184" t="str" cm="1">
        <f t="array" aca="1" ref="M481" ca="1">_xlfn.IFS(C481&lt;$B$11,"Fail",C481&lt;25,"Marginal",C481&lt;35,"Solid",TRUE,"Blowout")</f>
        <v>Marginal</v>
      </c>
    </row>
    <row r="482" spans="1:13" x14ac:dyDescent="0.25">
      <c r="A482" s="138">
        <f t="shared" ca="1" si="78"/>
        <v>21.305039100623773</v>
      </c>
      <c r="B482" s="137">
        <f t="shared" ca="1" si="79"/>
        <v>4.3764867659134605</v>
      </c>
      <c r="C482" s="137">
        <f t="shared" ca="1" si="80"/>
        <v>16.928552334710311</v>
      </c>
      <c r="D482" s="152">
        <f t="shared" ca="1" si="81"/>
        <v>2.1394517300369396</v>
      </c>
      <c r="E482" s="197">
        <f t="shared" ca="1" si="82"/>
        <v>1.6730819554460874E-2</v>
      </c>
      <c r="F482" s="137">
        <f t="shared" ca="1" si="83"/>
        <v>31.262894030276254</v>
      </c>
      <c r="G482" s="137">
        <f t="shared" ca="1" si="84"/>
        <v>26.886407264362795</v>
      </c>
      <c r="H482" s="152">
        <f t="shared" ca="1" si="85"/>
        <v>3.3979379570617647</v>
      </c>
      <c r="I482" s="152">
        <f t="shared" ca="1" si="86"/>
        <v>4.0057324961981911E-4</v>
      </c>
      <c r="J482" s="190">
        <f t="shared" ca="1" si="87"/>
        <v>1</v>
      </c>
      <c r="K482" s="187" t="str" cm="1">
        <f t="array" aca="1" ref="K482" ca="1">_xlfn.IFS(G482&lt;$B$11,"Fail",G482&lt;25,"Marginal",G482&lt;35,"Solid",TRUE,"Blowout")</f>
        <v>Solid</v>
      </c>
      <c r="L482" s="193">
        <f t="shared" ca="1" si="77"/>
        <v>0</v>
      </c>
      <c r="M482" s="184" t="str" cm="1">
        <f t="array" aca="1" ref="M482" ca="1">_xlfn.IFS(C482&lt;$B$11,"Fail",C482&lt;25,"Marginal",C482&lt;35,"Solid",TRUE,"Blowout")</f>
        <v>Fail</v>
      </c>
    </row>
    <row r="483" spans="1:13" x14ac:dyDescent="0.25">
      <c r="A483" s="138">
        <f t="shared" ca="1" si="78"/>
        <v>36.535716307505133</v>
      </c>
      <c r="B483" s="137">
        <f t="shared" ca="1" si="79"/>
        <v>-8.1009809953427041</v>
      </c>
      <c r="C483" s="137">
        <f t="shared" ca="1" si="80"/>
        <v>44.636697302847836</v>
      </c>
      <c r="D483" s="152">
        <f t="shared" ca="1" si="81"/>
        <v>5.6412419313554496</v>
      </c>
      <c r="E483" s="197">
        <f t="shared" ca="1" si="82"/>
        <v>2.4890047949848852E-8</v>
      </c>
      <c r="F483" s="137">
        <f t="shared" ca="1" si="83"/>
        <v>16.694541298347787</v>
      </c>
      <c r="G483" s="137">
        <f t="shared" ca="1" si="84"/>
        <v>24.795522293690489</v>
      </c>
      <c r="H483" s="152">
        <f t="shared" ca="1" si="85"/>
        <v>3.1336892853876401</v>
      </c>
      <c r="I483" s="152">
        <f t="shared" ca="1" si="86"/>
        <v>9.7637454344779871E-4</v>
      </c>
      <c r="J483" s="190">
        <f t="shared" ca="1" si="87"/>
        <v>1</v>
      </c>
      <c r="K483" s="187" t="str" cm="1">
        <f t="array" aca="1" ref="K483" ca="1">_xlfn.IFS(G483&lt;$B$11,"Fail",G483&lt;25,"Marginal",G483&lt;35,"Solid",TRUE,"Blowout")</f>
        <v>Marginal</v>
      </c>
      <c r="L483" s="193">
        <f t="shared" ca="1" si="77"/>
        <v>1</v>
      </c>
      <c r="M483" s="184" t="str" cm="1">
        <f t="array" aca="1" ref="M483" ca="1">_xlfn.IFS(C483&lt;$B$11,"Fail",C483&lt;25,"Marginal",C483&lt;35,"Solid",TRUE,"Blowout")</f>
        <v>Blowout</v>
      </c>
    </row>
    <row r="484" spans="1:13" x14ac:dyDescent="0.25">
      <c r="A484" s="138">
        <f t="shared" ca="1" si="78"/>
        <v>0.69256562223266438</v>
      </c>
      <c r="B484" s="137">
        <f t="shared" ca="1" si="79"/>
        <v>8.0375038008382145</v>
      </c>
      <c r="C484" s="137">
        <f t="shared" ca="1" si="80"/>
        <v>-7.3449381786055499</v>
      </c>
      <c r="D484" s="152">
        <f t="shared" ca="1" si="81"/>
        <v>-0.92826252254374586</v>
      </c>
      <c r="E484" s="197">
        <f t="shared" ca="1" si="82"/>
        <v>0.82287346934210492</v>
      </c>
      <c r="F484" s="137">
        <f t="shared" ca="1" si="83"/>
        <v>50.30877486979918</v>
      </c>
      <c r="G484" s="137">
        <f t="shared" ca="1" si="84"/>
        <v>42.271271068960964</v>
      </c>
      <c r="H484" s="152">
        <f t="shared" ca="1" si="85"/>
        <v>5.3422963896278475</v>
      </c>
      <c r="I484" s="152">
        <f t="shared" ca="1" si="86"/>
        <v>1.1097305700183837E-7</v>
      </c>
      <c r="J484" s="190">
        <f t="shared" ca="1" si="87"/>
        <v>1</v>
      </c>
      <c r="K484" s="187" t="str" cm="1">
        <f t="array" aca="1" ref="K484" ca="1">_xlfn.IFS(G484&lt;$B$11,"Fail",G484&lt;25,"Marginal",G484&lt;35,"Solid",TRUE,"Blowout")</f>
        <v>Blowout</v>
      </c>
      <c r="L484" s="193">
        <f t="shared" ca="1" si="77"/>
        <v>0</v>
      </c>
      <c r="M484" s="184" t="str" cm="1">
        <f t="array" aca="1" ref="M484" ca="1">_xlfn.IFS(C484&lt;$B$11,"Fail",C484&lt;25,"Marginal",C484&lt;35,"Solid",TRUE,"Blowout")</f>
        <v>Fail</v>
      </c>
    </row>
    <row r="485" spans="1:13" x14ac:dyDescent="0.25">
      <c r="A485" s="138">
        <f t="shared" ca="1" si="78"/>
        <v>33.495996296327668</v>
      </c>
      <c r="B485" s="137">
        <f t="shared" ca="1" si="79"/>
        <v>8.5118548521754462</v>
      </c>
      <c r="C485" s="137">
        <f t="shared" ca="1" si="80"/>
        <v>24.984141444152222</v>
      </c>
      <c r="D485" s="152">
        <f t="shared" ca="1" si="81"/>
        <v>3.1575272107928756</v>
      </c>
      <c r="E485" s="197">
        <f t="shared" ca="1" si="82"/>
        <v>9.0305156240956454E-4</v>
      </c>
      <c r="F485" s="137">
        <f t="shared" ca="1" si="83"/>
        <v>2.8829593387112316</v>
      </c>
      <c r="G485" s="137">
        <f t="shared" ca="1" si="84"/>
        <v>-5.6288955134642151</v>
      </c>
      <c r="H485" s="152">
        <f t="shared" ca="1" si="85"/>
        <v>-0.71138689276966238</v>
      </c>
      <c r="I485" s="152">
        <f t="shared" ca="1" si="86"/>
        <v>0.76121415356415212</v>
      </c>
      <c r="J485" s="190">
        <f t="shared" ca="1" si="87"/>
        <v>0</v>
      </c>
      <c r="K485" s="187" t="str" cm="1">
        <f t="array" aca="1" ref="K485" ca="1">_xlfn.IFS(G485&lt;$B$11,"Fail",G485&lt;25,"Marginal",G485&lt;35,"Solid",TRUE,"Blowout")</f>
        <v>Fail</v>
      </c>
      <c r="L485" s="193">
        <f t="shared" ca="1" si="77"/>
        <v>1</v>
      </c>
      <c r="M485" s="184" t="str" cm="1">
        <f t="array" aca="1" ref="M485" ca="1">_xlfn.IFS(C485&lt;$B$11,"Fail",C485&lt;25,"Marginal",C485&lt;35,"Solid",TRUE,"Blowout")</f>
        <v>Marginal</v>
      </c>
    </row>
    <row r="486" spans="1:13" x14ac:dyDescent="0.25">
      <c r="A486" s="138">
        <f t="shared" ca="1" si="78"/>
        <v>9.2778121788163475</v>
      </c>
      <c r="B486" s="137">
        <f t="shared" ca="1" si="79"/>
        <v>0.43931956581654408</v>
      </c>
      <c r="C486" s="137">
        <f t="shared" ca="1" si="80"/>
        <v>8.8384926129998043</v>
      </c>
      <c r="D486" s="152">
        <f t="shared" ca="1" si="81"/>
        <v>1.1170198099591209</v>
      </c>
      <c r="E486" s="197">
        <f t="shared" ca="1" si="82"/>
        <v>0.13258078670202636</v>
      </c>
      <c r="F486" s="137">
        <f t="shared" ca="1" si="83"/>
        <v>33.871546757130162</v>
      </c>
      <c r="G486" s="137">
        <f t="shared" ca="1" si="84"/>
        <v>33.432227191313615</v>
      </c>
      <c r="H486" s="152">
        <f t="shared" ca="1" si="85"/>
        <v>4.2252069101494092</v>
      </c>
      <c r="I486" s="152">
        <f t="shared" ca="1" si="86"/>
        <v>1.7265866229468006E-5</v>
      </c>
      <c r="J486" s="190">
        <f t="shared" ca="1" si="87"/>
        <v>1</v>
      </c>
      <c r="K486" s="187" t="str" cm="1">
        <f t="array" aca="1" ref="K486" ca="1">_xlfn.IFS(G486&lt;$B$11,"Fail",G486&lt;25,"Marginal",G486&lt;35,"Solid",TRUE,"Blowout")</f>
        <v>Solid</v>
      </c>
      <c r="L486" s="193">
        <f t="shared" ca="1" si="77"/>
        <v>0</v>
      </c>
      <c r="M486" s="184" t="str" cm="1">
        <f t="array" aca="1" ref="M486" ca="1">_xlfn.IFS(C486&lt;$B$11,"Fail",C486&lt;25,"Marginal",C486&lt;35,"Solid",TRUE,"Blowout")</f>
        <v>Fail</v>
      </c>
    </row>
    <row r="487" spans="1:13" x14ac:dyDescent="0.25">
      <c r="A487" s="138">
        <f t="shared" ca="1" si="78"/>
        <v>53.709625492729941</v>
      </c>
      <c r="B487" s="137">
        <f t="shared" ca="1" si="79"/>
        <v>-1.720330688186702</v>
      </c>
      <c r="C487" s="137">
        <f t="shared" ca="1" si="80"/>
        <v>55.429956180916641</v>
      </c>
      <c r="D487" s="152">
        <f t="shared" ca="1" si="81"/>
        <v>7.005307559818772</v>
      </c>
      <c r="E487" s="197">
        <f t="shared" ca="1" si="82"/>
        <v>1.3726502835618101E-11</v>
      </c>
      <c r="F487" s="137">
        <f t="shared" ca="1" si="83"/>
        <v>14.437149592475158</v>
      </c>
      <c r="G487" s="137">
        <f t="shared" ca="1" si="84"/>
        <v>16.157480280661861</v>
      </c>
      <c r="H487" s="152">
        <f t="shared" ca="1" si="85"/>
        <v>2.0420026742996331</v>
      </c>
      <c r="I487" s="152">
        <f t="shared" ca="1" si="86"/>
        <v>2.1151172218737316E-2</v>
      </c>
      <c r="J487" s="190">
        <f t="shared" ca="1" si="87"/>
        <v>0</v>
      </c>
      <c r="K487" s="187" t="str" cm="1">
        <f t="array" aca="1" ref="K487" ca="1">_xlfn.IFS(G487&lt;$B$11,"Fail",G487&lt;25,"Marginal",G487&lt;35,"Solid",TRUE,"Blowout")</f>
        <v>Fail</v>
      </c>
      <c r="L487" s="193">
        <f t="shared" ca="1" si="77"/>
        <v>1</v>
      </c>
      <c r="M487" s="184" t="str" cm="1">
        <f t="array" aca="1" ref="M487" ca="1">_xlfn.IFS(C487&lt;$B$11,"Fail",C487&lt;25,"Marginal",C487&lt;35,"Solid",TRUE,"Blowout")</f>
        <v>Blowout</v>
      </c>
    </row>
    <row r="488" spans="1:13" x14ac:dyDescent="0.25">
      <c r="A488" s="138">
        <f t="shared" ca="1" si="78"/>
        <v>46.657719604930762</v>
      </c>
      <c r="B488" s="137">
        <f t="shared" ca="1" si="79"/>
        <v>6.9206662550199036</v>
      </c>
      <c r="C488" s="137">
        <f t="shared" ca="1" si="80"/>
        <v>39.737053349910859</v>
      </c>
      <c r="D488" s="152">
        <f t="shared" ca="1" si="81"/>
        <v>5.0220187677667578</v>
      </c>
      <c r="E488" s="197">
        <f t="shared" ca="1" si="82"/>
        <v>5.1563838328632148E-7</v>
      </c>
      <c r="F488" s="137">
        <f t="shared" ca="1" si="83"/>
        <v>38.618090133874418</v>
      </c>
      <c r="G488" s="137">
        <f t="shared" ca="1" si="84"/>
        <v>31.697423878854515</v>
      </c>
      <c r="H488" s="152">
        <f t="shared" ca="1" si="85"/>
        <v>4.0059602861776531</v>
      </c>
      <c r="I488" s="152">
        <f t="shared" ca="1" si="86"/>
        <v>4.1816083633021387E-5</v>
      </c>
      <c r="J488" s="190">
        <f t="shared" ca="1" si="87"/>
        <v>1</v>
      </c>
      <c r="K488" s="187" t="str" cm="1">
        <f t="array" aca="1" ref="K488" ca="1">_xlfn.IFS(G488&lt;$B$11,"Fail",G488&lt;25,"Marginal",G488&lt;35,"Solid",TRUE,"Blowout")</f>
        <v>Solid</v>
      </c>
      <c r="L488" s="193">
        <f t="shared" ca="1" si="77"/>
        <v>1</v>
      </c>
      <c r="M488" s="184" t="str" cm="1">
        <f t="array" aca="1" ref="M488" ca="1">_xlfn.IFS(C488&lt;$B$11,"Fail",C488&lt;25,"Marginal",C488&lt;35,"Solid",TRUE,"Blowout")</f>
        <v>Blowout</v>
      </c>
    </row>
    <row r="489" spans="1:13" x14ac:dyDescent="0.25">
      <c r="A489" s="138">
        <f t="shared" ca="1" si="78"/>
        <v>50.29656379431659</v>
      </c>
      <c r="B489" s="137">
        <f t="shared" ca="1" si="79"/>
        <v>4.5938535638927949</v>
      </c>
      <c r="C489" s="137">
        <f t="shared" ca="1" si="80"/>
        <v>45.702710230423797</v>
      </c>
      <c r="D489" s="152">
        <f t="shared" ca="1" si="81"/>
        <v>5.7759659855480701</v>
      </c>
      <c r="E489" s="197">
        <f t="shared" ca="1" si="82"/>
        <v>1.2455696845996313E-8</v>
      </c>
      <c r="F489" s="137">
        <f t="shared" ca="1" si="83"/>
        <v>22.916795527787386</v>
      </c>
      <c r="G489" s="137">
        <f t="shared" ca="1" si="84"/>
        <v>18.322941963894593</v>
      </c>
      <c r="H489" s="152">
        <f t="shared" ca="1" si="85"/>
        <v>2.3156764446799669</v>
      </c>
      <c r="I489" s="152">
        <f t="shared" ca="1" si="86"/>
        <v>1.0732229794607764E-2</v>
      </c>
      <c r="J489" s="190">
        <f t="shared" ca="1" si="87"/>
        <v>0</v>
      </c>
      <c r="K489" s="187" t="str" cm="1">
        <f t="array" aca="1" ref="K489" ca="1">_xlfn.IFS(G489&lt;$B$11,"Fail",G489&lt;25,"Marginal",G489&lt;35,"Solid",TRUE,"Blowout")</f>
        <v>Fail</v>
      </c>
      <c r="L489" s="193">
        <f t="shared" ca="1" si="77"/>
        <v>1</v>
      </c>
      <c r="M489" s="184" t="str" cm="1">
        <f t="array" aca="1" ref="M489" ca="1">_xlfn.IFS(C489&lt;$B$11,"Fail",C489&lt;25,"Marginal",C489&lt;35,"Solid",TRUE,"Blowout")</f>
        <v>Blowout</v>
      </c>
    </row>
    <row r="490" spans="1:13" x14ac:dyDescent="0.25">
      <c r="A490" s="138">
        <f t="shared" ca="1" si="78"/>
        <v>19.809604137026689</v>
      </c>
      <c r="B490" s="137">
        <f t="shared" ca="1" si="79"/>
        <v>1.5485381066889121</v>
      </c>
      <c r="C490" s="137">
        <f t="shared" ca="1" si="80"/>
        <v>18.261066030337776</v>
      </c>
      <c r="D490" s="152">
        <f t="shared" ca="1" si="81"/>
        <v>2.3078564863942046</v>
      </c>
      <c r="E490" s="197">
        <f t="shared" ca="1" si="82"/>
        <v>1.0951768732397038E-2</v>
      </c>
      <c r="F490" s="137">
        <f t="shared" ca="1" si="83"/>
        <v>34.946717938436791</v>
      </c>
      <c r="G490" s="137">
        <f t="shared" ca="1" si="84"/>
        <v>33.398179831747882</v>
      </c>
      <c r="H490" s="152">
        <f t="shared" ca="1" si="85"/>
        <v>4.2209039620363127</v>
      </c>
      <c r="I490" s="152">
        <f t="shared" ca="1" si="86"/>
        <v>1.7574328445801723E-5</v>
      </c>
      <c r="J490" s="190">
        <f t="shared" ca="1" si="87"/>
        <v>1</v>
      </c>
      <c r="K490" s="187" t="str" cm="1">
        <f t="array" aca="1" ref="K490" ca="1">_xlfn.IFS(G490&lt;$B$11,"Fail",G490&lt;25,"Marginal",G490&lt;35,"Solid",TRUE,"Blowout")</f>
        <v>Solid</v>
      </c>
      <c r="L490" s="193">
        <f t="shared" ca="1" si="77"/>
        <v>0</v>
      </c>
      <c r="M490" s="184" t="str" cm="1">
        <f t="array" aca="1" ref="M490" ca="1">_xlfn.IFS(C490&lt;$B$11,"Fail",C490&lt;25,"Marginal",C490&lt;35,"Solid",TRUE,"Blowout")</f>
        <v>Fail</v>
      </c>
    </row>
    <row r="491" spans="1:13" x14ac:dyDescent="0.25">
      <c r="A491" s="138">
        <f t="shared" ca="1" si="78"/>
        <v>44.835961574300221</v>
      </c>
      <c r="B491" s="137">
        <f t="shared" ca="1" si="79"/>
        <v>8.3312741705034341</v>
      </c>
      <c r="C491" s="137">
        <f t="shared" ca="1" si="80"/>
        <v>36.504687403796787</v>
      </c>
      <c r="D491" s="152">
        <f t="shared" ca="1" si="81"/>
        <v>4.6135082951171436</v>
      </c>
      <c r="E491" s="197">
        <f t="shared" ca="1" si="82"/>
        <v>3.3021964771087075E-6</v>
      </c>
      <c r="F491" s="137">
        <f t="shared" ca="1" si="83"/>
        <v>3.5185044265940162</v>
      </c>
      <c r="G491" s="137">
        <f t="shared" ca="1" si="84"/>
        <v>-4.8127697439094179</v>
      </c>
      <c r="H491" s="152">
        <f t="shared" ca="1" si="85"/>
        <v>-0.60824389181608329</v>
      </c>
      <c r="I491" s="152">
        <f t="shared" ca="1" si="86"/>
        <v>0.72818441933706313</v>
      </c>
      <c r="J491" s="190">
        <f t="shared" ca="1" si="87"/>
        <v>0</v>
      </c>
      <c r="K491" s="187" t="str" cm="1">
        <f t="array" aca="1" ref="K491" ca="1">_xlfn.IFS(G491&lt;$B$11,"Fail",G491&lt;25,"Marginal",G491&lt;35,"Solid",TRUE,"Blowout")</f>
        <v>Fail</v>
      </c>
      <c r="L491" s="193">
        <f t="shared" ca="1" si="77"/>
        <v>1</v>
      </c>
      <c r="M491" s="184" t="str" cm="1">
        <f t="array" aca="1" ref="M491" ca="1">_xlfn.IFS(C491&lt;$B$11,"Fail",C491&lt;25,"Marginal",C491&lt;35,"Solid",TRUE,"Blowout")</f>
        <v>Blowout</v>
      </c>
    </row>
    <row r="492" spans="1:13" x14ac:dyDescent="0.25">
      <c r="A492" s="138">
        <f t="shared" ca="1" si="78"/>
        <v>-3.1645022872549138</v>
      </c>
      <c r="B492" s="137">
        <f t="shared" ca="1" si="79"/>
        <v>-0.30868624651723131</v>
      </c>
      <c r="C492" s="137">
        <f t="shared" ca="1" si="80"/>
        <v>-2.8558160407376825</v>
      </c>
      <c r="D492" s="152">
        <f t="shared" ca="1" si="81"/>
        <v>-0.36092162213397161</v>
      </c>
      <c r="E492" s="197">
        <f t="shared" ca="1" si="82"/>
        <v>0.64075388812791811</v>
      </c>
      <c r="F492" s="137">
        <f t="shared" ca="1" si="83"/>
        <v>0.57193973092230577</v>
      </c>
      <c r="G492" s="137">
        <f t="shared" ca="1" si="84"/>
        <v>0.88062597743953708</v>
      </c>
      <c r="H492" s="152">
        <f t="shared" ca="1" si="85"/>
        <v>0.11129461832866935</v>
      </c>
      <c r="I492" s="152">
        <f t="shared" ca="1" si="86"/>
        <v>0.45574031726889525</v>
      </c>
      <c r="J492" s="190">
        <f t="shared" ca="1" si="87"/>
        <v>0</v>
      </c>
      <c r="K492" s="187" t="str" cm="1">
        <f t="array" aca="1" ref="K492" ca="1">_xlfn.IFS(G492&lt;$B$11,"Fail",G492&lt;25,"Marginal",G492&lt;35,"Solid",TRUE,"Blowout")</f>
        <v>Fail</v>
      </c>
      <c r="L492" s="193">
        <f t="shared" ca="1" si="77"/>
        <v>0</v>
      </c>
      <c r="M492" s="184" t="str" cm="1">
        <f t="array" aca="1" ref="M492" ca="1">_xlfn.IFS(C492&lt;$B$11,"Fail",C492&lt;25,"Marginal",C492&lt;35,"Solid",TRUE,"Blowout")</f>
        <v>Fail</v>
      </c>
    </row>
    <row r="493" spans="1:13" x14ac:dyDescent="0.25">
      <c r="A493" s="138">
        <f t="shared" ca="1" si="78"/>
        <v>30.56240962033872</v>
      </c>
      <c r="B493" s="137">
        <f t="shared" ca="1" si="79"/>
        <v>2.5816357796341318</v>
      </c>
      <c r="C493" s="137">
        <f t="shared" ca="1" si="80"/>
        <v>27.980773840704586</v>
      </c>
      <c r="D493" s="152">
        <f t="shared" ca="1" si="81"/>
        <v>3.5362453810373138</v>
      </c>
      <c r="E493" s="197">
        <f t="shared" ca="1" si="82"/>
        <v>2.4575572268206004E-4</v>
      </c>
      <c r="F493" s="137">
        <f t="shared" ca="1" si="83"/>
        <v>52.190716681634157</v>
      </c>
      <c r="G493" s="137">
        <f t="shared" ca="1" si="84"/>
        <v>49.609080902000024</v>
      </c>
      <c r="H493" s="152">
        <f t="shared" ca="1" si="85"/>
        <v>6.2696580228957126</v>
      </c>
      <c r="I493" s="152">
        <f t="shared" ca="1" si="86"/>
        <v>8.963652283297832E-10</v>
      </c>
      <c r="J493" s="190">
        <f t="shared" ca="1" si="87"/>
        <v>1</v>
      </c>
      <c r="K493" s="187" t="str" cm="1">
        <f t="array" aca="1" ref="K493" ca="1">_xlfn.IFS(G493&lt;$B$11,"Fail",G493&lt;25,"Marginal",G493&lt;35,"Solid",TRUE,"Blowout")</f>
        <v>Blowout</v>
      </c>
      <c r="L493" s="193">
        <f t="shared" ca="1" si="77"/>
        <v>1</v>
      </c>
      <c r="M493" s="184" t="str" cm="1">
        <f t="array" aca="1" ref="M493" ca="1">_xlfn.IFS(C493&lt;$B$11,"Fail",C493&lt;25,"Marginal",C493&lt;35,"Solid",TRUE,"Blowout")</f>
        <v>Solid</v>
      </c>
    </row>
    <row r="494" spans="1:13" x14ac:dyDescent="0.25">
      <c r="A494" s="138">
        <f t="shared" ca="1" si="78"/>
        <v>43.045287925714476</v>
      </c>
      <c r="B494" s="137">
        <f t="shared" ca="1" si="79"/>
        <v>1.2888921306217025</v>
      </c>
      <c r="C494" s="137">
        <f t="shared" ca="1" si="80"/>
        <v>41.756395795092772</v>
      </c>
      <c r="D494" s="152">
        <f t="shared" ca="1" si="81"/>
        <v>5.2772258051117742</v>
      </c>
      <c r="E494" s="197">
        <f t="shared" ca="1" si="82"/>
        <v>1.5246550870416186E-7</v>
      </c>
      <c r="F494" s="137">
        <f t="shared" ca="1" si="83"/>
        <v>26.364892022108382</v>
      </c>
      <c r="G494" s="137">
        <f t="shared" ca="1" si="84"/>
        <v>25.075999891486681</v>
      </c>
      <c r="H494" s="152">
        <f t="shared" ca="1" si="85"/>
        <v>3.1691363968698951</v>
      </c>
      <c r="I494" s="152">
        <f t="shared" ca="1" si="86"/>
        <v>8.6921850112848945E-4</v>
      </c>
      <c r="J494" s="190">
        <f t="shared" ca="1" si="87"/>
        <v>1</v>
      </c>
      <c r="K494" s="187" t="str" cm="1">
        <f t="array" aca="1" ref="K494" ca="1">_xlfn.IFS(G494&lt;$B$11,"Fail",G494&lt;25,"Marginal",G494&lt;35,"Solid",TRUE,"Blowout")</f>
        <v>Solid</v>
      </c>
      <c r="L494" s="193">
        <f t="shared" ca="1" si="77"/>
        <v>1</v>
      </c>
      <c r="M494" s="184" t="str" cm="1">
        <f t="array" aca="1" ref="M494" ca="1">_xlfn.IFS(C494&lt;$B$11,"Fail",C494&lt;25,"Marginal",C494&lt;35,"Solid",TRUE,"Blowout")</f>
        <v>Blowout</v>
      </c>
    </row>
    <row r="495" spans="1:13" x14ac:dyDescent="0.25">
      <c r="A495" s="138">
        <f t="shared" ca="1" si="78"/>
        <v>35.147322441511257</v>
      </c>
      <c r="B495" s="137">
        <f t="shared" ca="1" si="79"/>
        <v>9.7045341128954501</v>
      </c>
      <c r="C495" s="137">
        <f t="shared" ca="1" si="80"/>
        <v>25.442788328615805</v>
      </c>
      <c r="D495" s="152">
        <f t="shared" ca="1" si="81"/>
        <v>3.21549158075437</v>
      </c>
      <c r="E495" s="197">
        <f t="shared" ca="1" si="82"/>
        <v>7.4548728689105461E-4</v>
      </c>
      <c r="F495" s="137">
        <f t="shared" ca="1" si="83"/>
        <v>-0.37449322077288727</v>
      </c>
      <c r="G495" s="137">
        <f t="shared" ca="1" si="84"/>
        <v>-10.079027333668337</v>
      </c>
      <c r="H495" s="152">
        <f t="shared" ca="1" si="85"/>
        <v>-1.2738001478066336</v>
      </c>
      <c r="I495" s="152">
        <f t="shared" ca="1" si="86"/>
        <v>0.89798438794520596</v>
      </c>
      <c r="J495" s="190">
        <f t="shared" ca="1" si="87"/>
        <v>0</v>
      </c>
      <c r="K495" s="187" t="str" cm="1">
        <f t="array" aca="1" ref="K495" ca="1">_xlfn.IFS(G495&lt;$B$11,"Fail",G495&lt;25,"Marginal",G495&lt;35,"Solid",TRUE,"Blowout")</f>
        <v>Fail</v>
      </c>
      <c r="L495" s="193">
        <f t="shared" ca="1" si="77"/>
        <v>1</v>
      </c>
      <c r="M495" s="184" t="str" cm="1">
        <f t="array" aca="1" ref="M495" ca="1">_xlfn.IFS(C495&lt;$B$11,"Fail",C495&lt;25,"Marginal",C495&lt;35,"Solid",TRUE,"Blowout")</f>
        <v>Solid</v>
      </c>
    </row>
    <row r="496" spans="1:13" x14ac:dyDescent="0.25">
      <c r="A496" s="138">
        <f t="shared" ca="1" si="78"/>
        <v>25.330064244744776</v>
      </c>
      <c r="B496" s="137">
        <f t="shared" ca="1" si="79"/>
        <v>15.998325816400479</v>
      </c>
      <c r="C496" s="137">
        <f t="shared" ca="1" si="80"/>
        <v>9.3317384283442966</v>
      </c>
      <c r="D496" s="152">
        <f t="shared" ca="1" si="81"/>
        <v>1.1793568363100697</v>
      </c>
      <c r="E496" s="197">
        <f t="shared" ca="1" si="82"/>
        <v>0.1197426395701465</v>
      </c>
      <c r="F496" s="137">
        <f t="shared" ca="1" si="83"/>
        <v>22.098060167708173</v>
      </c>
      <c r="G496" s="137">
        <f t="shared" ca="1" si="84"/>
        <v>6.0997343513076938</v>
      </c>
      <c r="H496" s="152">
        <f t="shared" ca="1" si="85"/>
        <v>0.77089209712948048</v>
      </c>
      <c r="I496" s="152">
        <f t="shared" ca="1" si="86"/>
        <v>0.22078450478537609</v>
      </c>
      <c r="J496" s="190">
        <f t="shared" ca="1" si="87"/>
        <v>0</v>
      </c>
      <c r="K496" s="187" t="str" cm="1">
        <f t="array" aca="1" ref="K496" ca="1">_xlfn.IFS(G496&lt;$B$11,"Fail",G496&lt;25,"Marginal",G496&lt;35,"Solid",TRUE,"Blowout")</f>
        <v>Fail</v>
      </c>
      <c r="L496" s="193">
        <f t="shared" ca="1" si="77"/>
        <v>0</v>
      </c>
      <c r="M496" s="184" t="str" cm="1">
        <f t="array" aca="1" ref="M496" ca="1">_xlfn.IFS(C496&lt;$B$11,"Fail",C496&lt;25,"Marginal",C496&lt;35,"Solid",TRUE,"Blowout")</f>
        <v>Fail</v>
      </c>
    </row>
    <row r="497" spans="1:13" x14ac:dyDescent="0.25">
      <c r="A497" s="138">
        <f t="shared" ca="1" si="78"/>
        <v>56.91637519929251</v>
      </c>
      <c r="B497" s="137">
        <f t="shared" ca="1" si="79"/>
        <v>4.7016144138610549</v>
      </c>
      <c r="C497" s="137">
        <f t="shared" ca="1" si="80"/>
        <v>52.214760785431451</v>
      </c>
      <c r="D497" s="152">
        <f t="shared" ca="1" si="81"/>
        <v>6.5989671229479008</v>
      </c>
      <c r="E497" s="197">
        <f t="shared" ca="1" si="82"/>
        <v>1.43181384911242E-10</v>
      </c>
      <c r="F497" s="137">
        <f t="shared" ca="1" si="83"/>
        <v>8.4494452279925003</v>
      </c>
      <c r="G497" s="137">
        <f t="shared" ca="1" si="84"/>
        <v>3.7478308141314454</v>
      </c>
      <c r="H497" s="152">
        <f t="shared" ca="1" si="85"/>
        <v>0.47365557081561782</v>
      </c>
      <c r="I497" s="152">
        <f t="shared" ca="1" si="86"/>
        <v>0.31809937952148137</v>
      </c>
      <c r="J497" s="190">
        <f t="shared" ca="1" si="87"/>
        <v>0</v>
      </c>
      <c r="K497" s="187" t="str" cm="1">
        <f t="array" aca="1" ref="K497" ca="1">_xlfn.IFS(G497&lt;$B$11,"Fail",G497&lt;25,"Marginal",G497&lt;35,"Solid",TRUE,"Blowout")</f>
        <v>Fail</v>
      </c>
      <c r="L497" s="193">
        <f t="shared" ca="1" si="77"/>
        <v>1</v>
      </c>
      <c r="M497" s="184" t="str" cm="1">
        <f t="array" aca="1" ref="M497" ca="1">_xlfn.IFS(C497&lt;$B$11,"Fail",C497&lt;25,"Marginal",C497&lt;35,"Solid",TRUE,"Blowout")</f>
        <v>Blowout</v>
      </c>
    </row>
    <row r="498" spans="1:13" x14ac:dyDescent="0.25">
      <c r="A498" s="138">
        <f t="shared" ca="1" si="78"/>
        <v>14.070032460892154</v>
      </c>
      <c r="B498" s="137">
        <f t="shared" ca="1" si="79"/>
        <v>3.2083472189453843E-2</v>
      </c>
      <c r="C498" s="137">
        <f t="shared" ca="1" si="80"/>
        <v>14.0379489887027</v>
      </c>
      <c r="D498" s="152">
        <f t="shared" ca="1" si="81"/>
        <v>1.7741336445213669</v>
      </c>
      <c r="E498" s="197">
        <f t="shared" ca="1" si="82"/>
        <v>3.8687805774520731E-2</v>
      </c>
      <c r="F498" s="137">
        <f t="shared" ca="1" si="83"/>
        <v>25.10971713176172</v>
      </c>
      <c r="G498" s="137">
        <f t="shared" ca="1" si="84"/>
        <v>25.077633659572264</v>
      </c>
      <c r="H498" s="152">
        <f t="shared" ca="1" si="85"/>
        <v>3.1693428745348529</v>
      </c>
      <c r="I498" s="152">
        <f t="shared" ca="1" si="86"/>
        <v>8.6862751628491149E-4</v>
      </c>
      <c r="J498" s="190">
        <f t="shared" ca="1" si="87"/>
        <v>1</v>
      </c>
      <c r="K498" s="187" t="str" cm="1">
        <f t="array" aca="1" ref="K498" ca="1">_xlfn.IFS(G498&lt;$B$11,"Fail",G498&lt;25,"Marginal",G498&lt;35,"Solid",TRUE,"Blowout")</f>
        <v>Solid</v>
      </c>
      <c r="L498" s="193">
        <f t="shared" ca="1" si="77"/>
        <v>0</v>
      </c>
      <c r="M498" s="184" t="str" cm="1">
        <f t="array" aca="1" ref="M498" ca="1">_xlfn.IFS(C498&lt;$B$11,"Fail",C498&lt;25,"Marginal",C498&lt;35,"Solid",TRUE,"Blowout")</f>
        <v>Fail</v>
      </c>
    </row>
    <row r="499" spans="1:13" x14ac:dyDescent="0.25">
      <c r="A499" s="138">
        <f t="shared" ca="1" si="78"/>
        <v>13.799828033291114</v>
      </c>
      <c r="B499" s="137">
        <f t="shared" ca="1" si="79"/>
        <v>3.4446102535235292</v>
      </c>
      <c r="C499" s="137">
        <f t="shared" ca="1" si="80"/>
        <v>10.355217779767585</v>
      </c>
      <c r="D499" s="152">
        <f t="shared" ca="1" si="81"/>
        <v>1.3087054436667609</v>
      </c>
      <c r="E499" s="197">
        <f t="shared" ca="1" si="82"/>
        <v>9.5975870311572647E-2</v>
      </c>
      <c r="F499" s="137">
        <f t="shared" ca="1" si="83"/>
        <v>39.760964447009925</v>
      </c>
      <c r="G499" s="137">
        <f t="shared" ca="1" si="84"/>
        <v>36.316354193486397</v>
      </c>
      <c r="H499" s="152">
        <f t="shared" ca="1" si="85"/>
        <v>4.5897065071877767</v>
      </c>
      <c r="I499" s="152">
        <f t="shared" ca="1" si="86"/>
        <v>3.66614440341087E-6</v>
      </c>
      <c r="J499" s="190">
        <f t="shared" ca="1" si="87"/>
        <v>1</v>
      </c>
      <c r="K499" s="187" t="str" cm="1">
        <f t="array" aca="1" ref="K499" ca="1">_xlfn.IFS(G499&lt;$B$11,"Fail",G499&lt;25,"Marginal",G499&lt;35,"Solid",TRUE,"Blowout")</f>
        <v>Blowout</v>
      </c>
      <c r="L499" s="193">
        <f t="shared" ca="1" si="77"/>
        <v>0</v>
      </c>
      <c r="M499" s="184" t="str" cm="1">
        <f t="array" aca="1" ref="M499" ca="1">_xlfn.IFS(C499&lt;$B$11,"Fail",C499&lt;25,"Marginal",C499&lt;35,"Solid",TRUE,"Blowout")</f>
        <v>Fail</v>
      </c>
    </row>
    <row r="500" spans="1:13" x14ac:dyDescent="0.25">
      <c r="A500" s="138">
        <f t="shared" ca="1" si="78"/>
        <v>77.490874916229686</v>
      </c>
      <c r="B500" s="137">
        <f t="shared" ca="1" si="79"/>
        <v>-2.1316046149973253</v>
      </c>
      <c r="C500" s="137">
        <f t="shared" ca="1" si="80"/>
        <v>79.622479531227015</v>
      </c>
      <c r="D500" s="152">
        <f t="shared" ca="1" si="81"/>
        <v>10.062789080530644</v>
      </c>
      <c r="E500" s="197">
        <f t="shared" ca="1" si="82"/>
        <v>3.0097830452398818E-20</v>
      </c>
      <c r="F500" s="137">
        <f t="shared" ca="1" si="83"/>
        <v>35.441862802593491</v>
      </c>
      <c r="G500" s="137">
        <f t="shared" ca="1" si="84"/>
        <v>37.57346741759082</v>
      </c>
      <c r="H500" s="152">
        <f t="shared" ca="1" si="85"/>
        <v>4.7485820571453417</v>
      </c>
      <c r="I500" s="152">
        <f t="shared" ca="1" si="86"/>
        <v>1.810469853284056E-6</v>
      </c>
      <c r="J500" s="190">
        <f t="shared" ca="1" si="87"/>
        <v>1</v>
      </c>
      <c r="K500" s="187" t="str" cm="1">
        <f t="array" aca="1" ref="K500" ca="1">_xlfn.IFS(G500&lt;$B$11,"Fail",G500&lt;25,"Marginal",G500&lt;35,"Solid",TRUE,"Blowout")</f>
        <v>Blowout</v>
      </c>
      <c r="L500" s="193">
        <f t="shared" ca="1" si="77"/>
        <v>1</v>
      </c>
      <c r="M500" s="184" t="str" cm="1">
        <f t="array" aca="1" ref="M500" ca="1">_xlfn.IFS(C500&lt;$B$11,"Fail",C500&lt;25,"Marginal",C500&lt;35,"Solid",TRUE,"Blowout")</f>
        <v>Blowout</v>
      </c>
    </row>
    <row r="501" spans="1:13" x14ac:dyDescent="0.25">
      <c r="A501" s="138">
        <f t="shared" ca="1" si="78"/>
        <v>8.8463083011969328</v>
      </c>
      <c r="B501" s="137">
        <f t="shared" ca="1" si="79"/>
        <v>2.2648151270783945</v>
      </c>
      <c r="C501" s="137">
        <f t="shared" ca="1" si="80"/>
        <v>6.5814931741185383</v>
      </c>
      <c r="D501" s="152">
        <f t="shared" ca="1" si="81"/>
        <v>0.8317773829202727</v>
      </c>
      <c r="E501" s="197">
        <f t="shared" ca="1" si="82"/>
        <v>0.2032024538095617</v>
      </c>
      <c r="F501" s="137">
        <f t="shared" ca="1" si="83"/>
        <v>19.606305526063213</v>
      </c>
      <c r="G501" s="137">
        <f t="shared" ca="1" si="84"/>
        <v>17.341490398984817</v>
      </c>
      <c r="H501" s="152">
        <f t="shared" ca="1" si="85"/>
        <v>2.1916393618286283</v>
      </c>
      <c r="I501" s="152">
        <f t="shared" ca="1" si="86"/>
        <v>1.4708927542646764E-2</v>
      </c>
      <c r="J501" s="190">
        <f t="shared" ca="1" si="87"/>
        <v>0</v>
      </c>
      <c r="K501" s="187" t="str" cm="1">
        <f t="array" aca="1" ref="K501" ca="1">_xlfn.IFS(G501&lt;$B$11,"Fail",G501&lt;25,"Marginal",G501&lt;35,"Solid",TRUE,"Blowout")</f>
        <v>Fail</v>
      </c>
      <c r="L501" s="193">
        <f t="shared" ca="1" si="77"/>
        <v>0</v>
      </c>
      <c r="M501" s="184" t="str" cm="1">
        <f t="array" aca="1" ref="M501" ca="1">_xlfn.IFS(C501&lt;$B$11,"Fail",C501&lt;25,"Marginal",C501&lt;35,"Solid",TRUE,"Blowout")</f>
        <v>Fail</v>
      </c>
    </row>
    <row r="502" spans="1:13" x14ac:dyDescent="0.25">
      <c r="A502" s="138">
        <f t="shared" ca="1" si="78"/>
        <v>27.48183884655985</v>
      </c>
      <c r="B502" s="137">
        <f t="shared" ca="1" si="79"/>
        <v>12.959450318132891</v>
      </c>
      <c r="C502" s="137">
        <f t="shared" ca="1" si="80"/>
        <v>14.522388528426958</v>
      </c>
      <c r="D502" s="152">
        <f t="shared" ca="1" si="81"/>
        <v>1.8353577226864122</v>
      </c>
      <c r="E502" s="197">
        <f t="shared" ca="1" si="82"/>
        <v>3.3877642642574812E-2</v>
      </c>
      <c r="F502" s="137">
        <f t="shared" ca="1" si="83"/>
        <v>-5.0908304459531877</v>
      </c>
      <c r="G502" s="137">
        <f t="shared" ca="1" si="84"/>
        <v>-18.050280764086079</v>
      </c>
      <c r="H502" s="152">
        <f t="shared" ca="1" si="85"/>
        <v>-2.2812171794037401</v>
      </c>
      <c r="I502" s="152">
        <f t="shared" ca="1" si="86"/>
        <v>0.98827056295480165</v>
      </c>
      <c r="J502" s="190">
        <f t="shared" ca="1" si="87"/>
        <v>0</v>
      </c>
      <c r="K502" s="187" t="str" cm="1">
        <f t="array" aca="1" ref="K502" ca="1">_xlfn.IFS(G502&lt;$B$11,"Fail",G502&lt;25,"Marginal",G502&lt;35,"Solid",TRUE,"Blowout")</f>
        <v>Fail</v>
      </c>
      <c r="L502" s="193">
        <f t="shared" ca="1" si="77"/>
        <v>0</v>
      </c>
      <c r="M502" s="184" t="str" cm="1">
        <f t="array" aca="1" ref="M502" ca="1">_xlfn.IFS(C502&lt;$B$11,"Fail",C502&lt;25,"Marginal",C502&lt;35,"Solid",TRUE,"Blowout")</f>
        <v>Fail</v>
      </c>
    </row>
    <row r="503" spans="1:13" x14ac:dyDescent="0.25">
      <c r="A503" s="138">
        <f t="shared" ca="1" si="78"/>
        <v>4.9128579005018942</v>
      </c>
      <c r="B503" s="137">
        <f t="shared" ca="1" si="79"/>
        <v>8.3087379710098794</v>
      </c>
      <c r="C503" s="137">
        <f t="shared" ca="1" si="80"/>
        <v>-3.3958800705079852</v>
      </c>
      <c r="D503" s="152">
        <f t="shared" ca="1" si="81"/>
        <v>-0.4291755932933175</v>
      </c>
      <c r="E503" s="197">
        <f t="shared" ca="1" si="82"/>
        <v>0.66589965155852193</v>
      </c>
      <c r="F503" s="137">
        <f t="shared" ca="1" si="83"/>
        <v>35.247641012029952</v>
      </c>
      <c r="G503" s="137">
        <f t="shared" ca="1" si="84"/>
        <v>26.938903041020072</v>
      </c>
      <c r="H503" s="152">
        <f t="shared" ca="1" si="85"/>
        <v>3.404572439323946</v>
      </c>
      <c r="I503" s="152">
        <f t="shared" ca="1" si="86"/>
        <v>3.9143045971106063E-4</v>
      </c>
      <c r="J503" s="190">
        <f t="shared" ca="1" si="87"/>
        <v>1</v>
      </c>
      <c r="K503" s="187" t="str" cm="1">
        <f t="array" aca="1" ref="K503" ca="1">_xlfn.IFS(G503&lt;$B$11,"Fail",G503&lt;25,"Marginal",G503&lt;35,"Solid",TRUE,"Blowout")</f>
        <v>Solid</v>
      </c>
      <c r="L503" s="193">
        <f t="shared" ca="1" si="77"/>
        <v>0</v>
      </c>
      <c r="M503" s="184" t="str" cm="1">
        <f t="array" aca="1" ref="M503" ca="1">_xlfn.IFS(C503&lt;$B$11,"Fail",C503&lt;25,"Marginal",C503&lt;35,"Solid",TRUE,"Blowout")</f>
        <v>Fail</v>
      </c>
    </row>
    <row r="504" spans="1:13" x14ac:dyDescent="0.25">
      <c r="A504" s="138">
        <f t="shared" ca="1" si="78"/>
        <v>22.131654460972623</v>
      </c>
      <c r="B504" s="137">
        <f t="shared" ca="1" si="79"/>
        <v>-1.4393985143109305</v>
      </c>
      <c r="C504" s="137">
        <f t="shared" ca="1" si="80"/>
        <v>23.571052975283553</v>
      </c>
      <c r="D504" s="152">
        <f t="shared" ca="1" si="81"/>
        <v>2.9789393132785986</v>
      </c>
      <c r="E504" s="197">
        <f t="shared" ca="1" si="82"/>
        <v>1.6026776708384133E-3</v>
      </c>
      <c r="F504" s="137">
        <f t="shared" ca="1" si="83"/>
        <v>9.8981238044086588</v>
      </c>
      <c r="G504" s="137">
        <f t="shared" ca="1" si="84"/>
        <v>11.337522318719589</v>
      </c>
      <c r="H504" s="152">
        <f t="shared" ca="1" si="85"/>
        <v>1.4328503264500863</v>
      </c>
      <c r="I504" s="152">
        <f t="shared" ca="1" si="86"/>
        <v>7.6635160059750837E-2</v>
      </c>
      <c r="J504" s="190">
        <f t="shared" ca="1" si="87"/>
        <v>0</v>
      </c>
      <c r="K504" s="187" t="str" cm="1">
        <f t="array" aca="1" ref="K504" ca="1">_xlfn.IFS(G504&lt;$B$11,"Fail",G504&lt;25,"Marginal",G504&lt;35,"Solid",TRUE,"Blowout")</f>
        <v>Fail</v>
      </c>
      <c r="L504" s="193">
        <f t="shared" ca="1" si="77"/>
        <v>1</v>
      </c>
      <c r="M504" s="184" t="str" cm="1">
        <f t="array" aca="1" ref="M504" ca="1">_xlfn.IFS(C504&lt;$B$11,"Fail",C504&lt;25,"Marginal",C504&lt;35,"Solid",TRUE,"Blowout")</f>
        <v>Marginal</v>
      </c>
    </row>
    <row r="505" spans="1:13" x14ac:dyDescent="0.25">
      <c r="A505" s="138">
        <f t="shared" ca="1" si="78"/>
        <v>38.747982160065767</v>
      </c>
      <c r="B505" s="137">
        <f t="shared" ca="1" si="79"/>
        <v>-0.45112793629654391</v>
      </c>
      <c r="C505" s="137">
        <f t="shared" ca="1" si="80"/>
        <v>39.199110096362311</v>
      </c>
      <c r="D505" s="152">
        <f t="shared" ca="1" si="81"/>
        <v>4.9540328229729838</v>
      </c>
      <c r="E505" s="197">
        <f t="shared" ca="1" si="82"/>
        <v>7.0805825602171372E-7</v>
      </c>
      <c r="F505" s="137">
        <f t="shared" ca="1" si="83"/>
        <v>4.1665208210807902</v>
      </c>
      <c r="G505" s="137">
        <f t="shared" ca="1" si="84"/>
        <v>4.6176487573773342</v>
      </c>
      <c r="H505" s="152">
        <f t="shared" ca="1" si="85"/>
        <v>0.58358425619286247</v>
      </c>
      <c r="I505" s="152">
        <f t="shared" ca="1" si="86"/>
        <v>0.28003845320648024</v>
      </c>
      <c r="J505" s="190">
        <f t="shared" ca="1" si="87"/>
        <v>0</v>
      </c>
      <c r="K505" s="187" t="str" cm="1">
        <f t="array" aca="1" ref="K505" ca="1">_xlfn.IFS(G505&lt;$B$11,"Fail",G505&lt;25,"Marginal",G505&lt;35,"Solid",TRUE,"Blowout")</f>
        <v>Fail</v>
      </c>
      <c r="L505" s="193">
        <f t="shared" ca="1" si="77"/>
        <v>1</v>
      </c>
      <c r="M505" s="184" t="str" cm="1">
        <f t="array" aca="1" ref="M505" ca="1">_xlfn.IFS(C505&lt;$B$11,"Fail",C505&lt;25,"Marginal",C505&lt;35,"Solid",TRUE,"Blowout")</f>
        <v>Blowout</v>
      </c>
    </row>
    <row r="506" spans="1:13" x14ac:dyDescent="0.25">
      <c r="A506" s="138">
        <f t="shared" ca="1" si="78"/>
        <v>22.789641742567387</v>
      </c>
      <c r="B506" s="137">
        <f t="shared" ca="1" si="79"/>
        <v>4.8453289563041393</v>
      </c>
      <c r="C506" s="137">
        <f t="shared" ca="1" si="80"/>
        <v>17.944312786263247</v>
      </c>
      <c r="D506" s="152">
        <f t="shared" ca="1" si="81"/>
        <v>2.2678248131222642</v>
      </c>
      <c r="E506" s="197">
        <f t="shared" ca="1" si="82"/>
        <v>1.2138310052587569E-2</v>
      </c>
      <c r="F506" s="137">
        <f t="shared" ca="1" si="83"/>
        <v>6.8761178142871247</v>
      </c>
      <c r="G506" s="137">
        <f t="shared" ca="1" si="84"/>
        <v>2.0307888579829854</v>
      </c>
      <c r="H506" s="152">
        <f t="shared" ca="1" si="85"/>
        <v>0.25665364938754454</v>
      </c>
      <c r="I506" s="152">
        <f t="shared" ca="1" si="86"/>
        <v>0.39883879879658146</v>
      </c>
      <c r="J506" s="190">
        <f t="shared" ca="1" si="87"/>
        <v>0</v>
      </c>
      <c r="K506" s="187" t="str" cm="1">
        <f t="array" aca="1" ref="K506" ca="1">_xlfn.IFS(G506&lt;$B$11,"Fail",G506&lt;25,"Marginal",G506&lt;35,"Solid",TRUE,"Blowout")</f>
        <v>Fail</v>
      </c>
      <c r="L506" s="193">
        <f t="shared" ca="1" si="77"/>
        <v>0</v>
      </c>
      <c r="M506" s="184" t="str" cm="1">
        <f t="array" aca="1" ref="M506" ca="1">_xlfn.IFS(C506&lt;$B$11,"Fail",C506&lt;25,"Marginal",C506&lt;35,"Solid",TRUE,"Blowout")</f>
        <v>Fail</v>
      </c>
    </row>
    <row r="507" spans="1:13" x14ac:dyDescent="0.25">
      <c r="A507" s="138">
        <f t="shared" ca="1" si="78"/>
        <v>11.135826166511091</v>
      </c>
      <c r="B507" s="137">
        <f t="shared" ca="1" si="79"/>
        <v>6.4808711732501587</v>
      </c>
      <c r="C507" s="137">
        <f t="shared" ca="1" si="80"/>
        <v>4.6549549932609322</v>
      </c>
      <c r="D507" s="152">
        <f t="shared" ca="1" si="81"/>
        <v>0.58829906519272457</v>
      </c>
      <c r="E507" s="197">
        <f t="shared" ca="1" si="82"/>
        <v>0.27845693427059598</v>
      </c>
      <c r="F507" s="137">
        <f t="shared" ca="1" si="83"/>
        <v>-1.740034031233231</v>
      </c>
      <c r="G507" s="137">
        <f t="shared" ca="1" si="84"/>
        <v>-8.2209052044833903</v>
      </c>
      <c r="H507" s="152">
        <f t="shared" ca="1" si="85"/>
        <v>-1.0389683367158782</v>
      </c>
      <c r="I507" s="152">
        <f t="shared" ca="1" si="86"/>
        <v>0.85003999603400859</v>
      </c>
      <c r="J507" s="190">
        <f t="shared" ca="1" si="87"/>
        <v>0</v>
      </c>
      <c r="K507" s="187" t="str" cm="1">
        <f t="array" aca="1" ref="K507" ca="1">_xlfn.IFS(G507&lt;$B$11,"Fail",G507&lt;25,"Marginal",G507&lt;35,"Solid",TRUE,"Blowout")</f>
        <v>Fail</v>
      </c>
      <c r="L507" s="193">
        <f t="shared" ca="1" si="77"/>
        <v>0</v>
      </c>
      <c r="M507" s="184" t="str" cm="1">
        <f t="array" aca="1" ref="M507" ca="1">_xlfn.IFS(C507&lt;$B$11,"Fail",C507&lt;25,"Marginal",C507&lt;35,"Solid",TRUE,"Blowout")</f>
        <v>Fail</v>
      </c>
    </row>
    <row r="508" spans="1:13" x14ac:dyDescent="0.25">
      <c r="A508" s="138">
        <f t="shared" ca="1" si="78"/>
        <v>17.225163887829364</v>
      </c>
      <c r="B508" s="137">
        <f t="shared" ca="1" si="79"/>
        <v>6.7766540213061672</v>
      </c>
      <c r="C508" s="137">
        <f t="shared" ca="1" si="80"/>
        <v>10.448509866523196</v>
      </c>
      <c r="D508" s="152">
        <f t="shared" ca="1" si="81"/>
        <v>1.3204958148964849</v>
      </c>
      <c r="E508" s="197">
        <f t="shared" ca="1" si="82"/>
        <v>9.3996759261161855E-2</v>
      </c>
      <c r="F508" s="137">
        <f t="shared" ca="1" si="83"/>
        <v>61.349134317367756</v>
      </c>
      <c r="G508" s="137">
        <f t="shared" ca="1" si="84"/>
        <v>54.572480296061592</v>
      </c>
      <c r="H508" s="152">
        <f t="shared" ca="1" si="85"/>
        <v>6.8969386792998764</v>
      </c>
      <c r="I508" s="152">
        <f t="shared" ca="1" si="86"/>
        <v>2.5872163018689207E-11</v>
      </c>
      <c r="J508" s="190">
        <f t="shared" ca="1" si="87"/>
        <v>1</v>
      </c>
      <c r="K508" s="187" t="str" cm="1">
        <f t="array" aca="1" ref="K508" ca="1">_xlfn.IFS(G508&lt;$B$11,"Fail",G508&lt;25,"Marginal",G508&lt;35,"Solid",TRUE,"Blowout")</f>
        <v>Blowout</v>
      </c>
      <c r="L508" s="193">
        <f t="shared" ca="1" si="77"/>
        <v>0</v>
      </c>
      <c r="M508" s="184" t="str" cm="1">
        <f t="array" aca="1" ref="M508" ca="1">_xlfn.IFS(C508&lt;$B$11,"Fail",C508&lt;25,"Marginal",C508&lt;35,"Solid",TRUE,"Blowout")</f>
        <v>Fail</v>
      </c>
    </row>
    <row r="509" spans="1:13" x14ac:dyDescent="0.25">
      <c r="A509" s="138">
        <f t="shared" ca="1" si="78"/>
        <v>48.127851146323657</v>
      </c>
      <c r="B509" s="137">
        <f t="shared" ca="1" si="79"/>
        <v>9.7222451050822549</v>
      </c>
      <c r="C509" s="137">
        <f t="shared" ca="1" si="80"/>
        <v>38.405606041241398</v>
      </c>
      <c r="D509" s="152">
        <f t="shared" ca="1" si="81"/>
        <v>4.8537487827341215</v>
      </c>
      <c r="E509" s="197">
        <f t="shared" ca="1" si="82"/>
        <v>1.1237929014444533E-6</v>
      </c>
      <c r="F509" s="137">
        <f t="shared" ca="1" si="83"/>
        <v>37.190405521119537</v>
      </c>
      <c r="G509" s="137">
        <f t="shared" ca="1" si="84"/>
        <v>27.468160416037282</v>
      </c>
      <c r="H509" s="152">
        <f t="shared" ca="1" si="85"/>
        <v>3.4714606518672992</v>
      </c>
      <c r="I509" s="152">
        <f t="shared" ca="1" si="86"/>
        <v>3.0953563676000307E-4</v>
      </c>
      <c r="J509" s="190">
        <f t="shared" ca="1" si="87"/>
        <v>1</v>
      </c>
      <c r="K509" s="187" t="str" cm="1">
        <f t="array" aca="1" ref="K509" ca="1">_xlfn.IFS(G509&lt;$B$11,"Fail",G509&lt;25,"Marginal",G509&lt;35,"Solid",TRUE,"Blowout")</f>
        <v>Solid</v>
      </c>
      <c r="L509" s="193">
        <f t="shared" ca="1" si="77"/>
        <v>1</v>
      </c>
      <c r="M509" s="184" t="str" cm="1">
        <f t="array" aca="1" ref="M509" ca="1">_xlfn.IFS(C509&lt;$B$11,"Fail",C509&lt;25,"Marginal",C509&lt;35,"Solid",TRUE,"Blowout")</f>
        <v>Blowout</v>
      </c>
    </row>
    <row r="510" spans="1:13" x14ac:dyDescent="0.25">
      <c r="A510" s="138">
        <f t="shared" ca="1" si="78"/>
        <v>23.000253433676328</v>
      </c>
      <c r="B510" s="137">
        <f t="shared" ca="1" si="79"/>
        <v>9.4066194618011174</v>
      </c>
      <c r="C510" s="137">
        <f t="shared" ca="1" si="80"/>
        <v>13.59363397187521</v>
      </c>
      <c r="D510" s="152">
        <f t="shared" ca="1" si="81"/>
        <v>1.7179805540126247</v>
      </c>
      <c r="E510" s="197">
        <f t="shared" ca="1" si="82"/>
        <v>4.3578898431134591E-2</v>
      </c>
      <c r="F510" s="137">
        <f t="shared" ca="1" si="83"/>
        <v>30.127643362220674</v>
      </c>
      <c r="G510" s="137">
        <f t="shared" ca="1" si="84"/>
        <v>20.721023900419556</v>
      </c>
      <c r="H510" s="152">
        <f t="shared" ca="1" si="85"/>
        <v>2.618749055168279</v>
      </c>
      <c r="I510" s="152">
        <f t="shared" ca="1" si="86"/>
        <v>4.7085327726731204E-3</v>
      </c>
      <c r="J510" s="190">
        <f t="shared" ca="1" si="87"/>
        <v>1</v>
      </c>
      <c r="K510" s="187" t="str" cm="1">
        <f t="array" aca="1" ref="K510" ca="1">_xlfn.IFS(G510&lt;$B$11,"Fail",G510&lt;25,"Marginal",G510&lt;35,"Solid",TRUE,"Blowout")</f>
        <v>Marginal</v>
      </c>
      <c r="L510" s="193">
        <f t="shared" ca="1" si="77"/>
        <v>0</v>
      </c>
      <c r="M510" s="184" t="str" cm="1">
        <f t="array" aca="1" ref="M510" ca="1">_xlfn.IFS(C510&lt;$B$11,"Fail",C510&lt;25,"Marginal",C510&lt;35,"Solid",TRUE,"Blowout")</f>
        <v>Fail</v>
      </c>
    </row>
    <row r="511" spans="1:13" x14ac:dyDescent="0.25">
      <c r="A511" s="138">
        <f t="shared" ca="1" si="78"/>
        <v>22.942365814614348</v>
      </c>
      <c r="B511" s="137">
        <f t="shared" ca="1" si="79"/>
        <v>9.7358592958010792</v>
      </c>
      <c r="C511" s="137">
        <f t="shared" ca="1" si="80"/>
        <v>13.206506518813269</v>
      </c>
      <c r="D511" s="152">
        <f t="shared" ca="1" si="81"/>
        <v>1.6690548997202646</v>
      </c>
      <c r="E511" s="197">
        <f t="shared" ca="1" si="82"/>
        <v>4.8239500288801987E-2</v>
      </c>
      <c r="F511" s="137">
        <f t="shared" ca="1" si="83"/>
        <v>12.97437618166332</v>
      </c>
      <c r="G511" s="137">
        <f t="shared" ca="1" si="84"/>
        <v>3.2385168858622411</v>
      </c>
      <c r="H511" s="152">
        <f t="shared" ca="1" si="85"/>
        <v>0.40928783614918479</v>
      </c>
      <c r="I511" s="152">
        <f t="shared" ca="1" si="86"/>
        <v>0.34135633357578399</v>
      </c>
      <c r="J511" s="190">
        <f t="shared" ca="1" si="87"/>
        <v>0</v>
      </c>
      <c r="K511" s="187" t="str" cm="1">
        <f t="array" aca="1" ref="K511" ca="1">_xlfn.IFS(G511&lt;$B$11,"Fail",G511&lt;25,"Marginal",G511&lt;35,"Solid",TRUE,"Blowout")</f>
        <v>Fail</v>
      </c>
      <c r="L511" s="193">
        <f t="shared" ca="1" si="77"/>
        <v>0</v>
      </c>
      <c r="M511" s="184" t="str" cm="1">
        <f t="array" aca="1" ref="M511" ca="1">_xlfn.IFS(C511&lt;$B$11,"Fail",C511&lt;25,"Marginal",C511&lt;35,"Solid",TRUE,"Blowout")</f>
        <v>Fail</v>
      </c>
    </row>
    <row r="512" spans="1:13" x14ac:dyDescent="0.25">
      <c r="A512" s="138">
        <f t="shared" ca="1" si="78"/>
        <v>32.632545109657542</v>
      </c>
      <c r="B512" s="137">
        <f t="shared" ca="1" si="79"/>
        <v>3.838616814705619</v>
      </c>
      <c r="C512" s="137">
        <f t="shared" ca="1" si="80"/>
        <v>28.793928294951922</v>
      </c>
      <c r="D512" s="152">
        <f t="shared" ca="1" si="81"/>
        <v>3.6390128634262013</v>
      </c>
      <c r="E512" s="197">
        <f t="shared" ca="1" si="82"/>
        <v>1.6927648480956033E-4</v>
      </c>
      <c r="F512" s="137">
        <f t="shared" ca="1" si="83"/>
        <v>0.75193216421734377</v>
      </c>
      <c r="G512" s="137">
        <f t="shared" ca="1" si="84"/>
        <v>-3.0866846504882752</v>
      </c>
      <c r="H512" s="152">
        <f t="shared" ca="1" si="85"/>
        <v>-0.39009908732863979</v>
      </c>
      <c r="I512" s="152">
        <f t="shared" ca="1" si="86"/>
        <v>0.65158626790329011</v>
      </c>
      <c r="J512" s="190">
        <f t="shared" ca="1" si="87"/>
        <v>0</v>
      </c>
      <c r="K512" s="187" t="str" cm="1">
        <f t="array" aca="1" ref="K512" ca="1">_xlfn.IFS(G512&lt;$B$11,"Fail",G512&lt;25,"Marginal",G512&lt;35,"Solid",TRUE,"Blowout")</f>
        <v>Fail</v>
      </c>
      <c r="L512" s="193">
        <f t="shared" ca="1" si="77"/>
        <v>1</v>
      </c>
      <c r="M512" s="184" t="str" cm="1">
        <f t="array" aca="1" ref="M512" ca="1">_xlfn.IFS(C512&lt;$B$11,"Fail",C512&lt;25,"Marginal",C512&lt;35,"Solid",TRUE,"Blowout")</f>
        <v>Solid</v>
      </c>
    </row>
    <row r="513" spans="1:13" x14ac:dyDescent="0.25">
      <c r="A513" s="138">
        <f t="shared" ca="1" si="78"/>
        <v>11.259380510777493</v>
      </c>
      <c r="B513" s="137">
        <f t="shared" ca="1" si="79"/>
        <v>2.738181989813337</v>
      </c>
      <c r="C513" s="137">
        <f t="shared" ca="1" si="80"/>
        <v>8.5211985209641554</v>
      </c>
      <c r="D513" s="152">
        <f t="shared" ca="1" si="81"/>
        <v>1.0769197836417916</v>
      </c>
      <c r="E513" s="197">
        <f t="shared" ca="1" si="82"/>
        <v>0.14132712439397768</v>
      </c>
      <c r="F513" s="137">
        <f t="shared" ca="1" si="83"/>
        <v>49.589918682395982</v>
      </c>
      <c r="G513" s="137">
        <f t="shared" ca="1" si="84"/>
        <v>46.851736692582648</v>
      </c>
      <c r="H513" s="152">
        <f t="shared" ca="1" si="85"/>
        <v>5.9211813946225664</v>
      </c>
      <c r="I513" s="152">
        <f t="shared" ca="1" si="86"/>
        <v>5.8319913246023146E-9</v>
      </c>
      <c r="J513" s="190">
        <f t="shared" ca="1" si="87"/>
        <v>1</v>
      </c>
      <c r="K513" s="187" t="str" cm="1">
        <f t="array" aca="1" ref="K513" ca="1">_xlfn.IFS(G513&lt;$B$11,"Fail",G513&lt;25,"Marginal",G513&lt;35,"Solid",TRUE,"Blowout")</f>
        <v>Blowout</v>
      </c>
      <c r="L513" s="193">
        <f t="shared" ca="1" si="77"/>
        <v>0</v>
      </c>
      <c r="M513" s="184" t="str" cm="1">
        <f t="array" aca="1" ref="M513" ca="1">_xlfn.IFS(C513&lt;$B$11,"Fail",C513&lt;25,"Marginal",C513&lt;35,"Solid",TRUE,"Blowout")</f>
        <v>Fail</v>
      </c>
    </row>
    <row r="514" spans="1:13" x14ac:dyDescent="0.25">
      <c r="A514" s="138">
        <f t="shared" ca="1" si="78"/>
        <v>29.691643736648324</v>
      </c>
      <c r="B514" s="137">
        <f t="shared" ca="1" si="79"/>
        <v>8.1144147920672491</v>
      </c>
      <c r="C514" s="137">
        <f t="shared" ca="1" si="80"/>
        <v>21.577228944581073</v>
      </c>
      <c r="D514" s="152">
        <f t="shared" ca="1" si="81"/>
        <v>2.7269573252423696</v>
      </c>
      <c r="E514" s="197">
        <f t="shared" ca="1" si="82"/>
        <v>3.4446334904630741E-3</v>
      </c>
      <c r="F514" s="137">
        <f t="shared" ca="1" si="83"/>
        <v>1.070516058993797</v>
      </c>
      <c r="G514" s="137">
        <f t="shared" ca="1" si="84"/>
        <v>-7.0438987330734522</v>
      </c>
      <c r="H514" s="152">
        <f t="shared" ca="1" si="85"/>
        <v>-0.89021677889014184</v>
      </c>
      <c r="I514" s="152">
        <f t="shared" ca="1" si="86"/>
        <v>0.81285606771876473</v>
      </c>
      <c r="J514" s="190">
        <f t="shared" ca="1" si="87"/>
        <v>0</v>
      </c>
      <c r="K514" s="187" t="str" cm="1">
        <f t="array" aca="1" ref="K514" ca="1">_xlfn.IFS(G514&lt;$B$11,"Fail",G514&lt;25,"Marginal",G514&lt;35,"Solid",TRUE,"Blowout")</f>
        <v>Fail</v>
      </c>
      <c r="L514" s="193">
        <f t="shared" ca="1" si="77"/>
        <v>1</v>
      </c>
      <c r="M514" s="184" t="str" cm="1">
        <f t="array" aca="1" ref="M514" ca="1">_xlfn.IFS(C514&lt;$B$11,"Fail",C514&lt;25,"Marginal",C514&lt;35,"Solid",TRUE,"Blowout")</f>
        <v>Marginal</v>
      </c>
    </row>
    <row r="515" spans="1:13" x14ac:dyDescent="0.25">
      <c r="A515" s="138">
        <f t="shared" ca="1" si="78"/>
        <v>0.94347996828280145</v>
      </c>
      <c r="B515" s="137">
        <f t="shared" ca="1" si="79"/>
        <v>8.5923161438882367</v>
      </c>
      <c r="C515" s="137">
        <f t="shared" ca="1" si="80"/>
        <v>-7.6488361756054353</v>
      </c>
      <c r="D515" s="152">
        <f t="shared" ca="1" si="81"/>
        <v>-0.96666953352619389</v>
      </c>
      <c r="E515" s="197">
        <f t="shared" ca="1" si="82"/>
        <v>0.83263324891312973</v>
      </c>
      <c r="F515" s="137">
        <f t="shared" ca="1" si="83"/>
        <v>19.66061020262719</v>
      </c>
      <c r="G515" s="137">
        <f t="shared" ca="1" si="84"/>
        <v>11.068294058738953</v>
      </c>
      <c r="H515" s="152">
        <f t="shared" ca="1" si="85"/>
        <v>1.398824920425888</v>
      </c>
      <c r="I515" s="152">
        <f t="shared" ca="1" si="86"/>
        <v>8.1612157031948893E-2</v>
      </c>
      <c r="J515" s="190">
        <f t="shared" ca="1" si="87"/>
        <v>0</v>
      </c>
      <c r="K515" s="187" t="str" cm="1">
        <f t="array" aca="1" ref="K515" ca="1">_xlfn.IFS(G515&lt;$B$11,"Fail",G515&lt;25,"Marginal",G515&lt;35,"Solid",TRUE,"Blowout")</f>
        <v>Fail</v>
      </c>
      <c r="L515" s="193">
        <f t="shared" ca="1" si="77"/>
        <v>0</v>
      </c>
      <c r="M515" s="184" t="str" cm="1">
        <f t="array" aca="1" ref="M515" ca="1">_xlfn.IFS(C515&lt;$B$11,"Fail",C515&lt;25,"Marginal",C515&lt;35,"Solid",TRUE,"Blowout")</f>
        <v>Fail</v>
      </c>
    </row>
    <row r="516" spans="1:13" x14ac:dyDescent="0.25">
      <c r="A516" s="138">
        <f t="shared" ca="1" si="78"/>
        <v>19.43326446951006</v>
      </c>
      <c r="B516" s="137">
        <f t="shared" ca="1" si="79"/>
        <v>2.1549905723182756</v>
      </c>
      <c r="C516" s="137">
        <f t="shared" ca="1" si="80"/>
        <v>17.278273897191784</v>
      </c>
      <c r="D516" s="152">
        <f t="shared" ca="1" si="81"/>
        <v>2.1836499808435414</v>
      </c>
      <c r="E516" s="197">
        <f t="shared" ca="1" si="82"/>
        <v>1.5004032189146307E-2</v>
      </c>
      <c r="F516" s="137">
        <f t="shared" ca="1" si="83"/>
        <v>33.549497766619396</v>
      </c>
      <c r="G516" s="137">
        <f t="shared" ca="1" si="84"/>
        <v>31.39450719430112</v>
      </c>
      <c r="H516" s="152">
        <f t="shared" ca="1" si="85"/>
        <v>3.9676772946960956</v>
      </c>
      <c r="I516" s="152">
        <f t="shared" ca="1" si="86"/>
        <v>4.8618358028331213E-5</v>
      </c>
      <c r="J516" s="190">
        <f t="shared" ca="1" si="87"/>
        <v>1</v>
      </c>
      <c r="K516" s="187" t="str" cm="1">
        <f t="array" aca="1" ref="K516" ca="1">_xlfn.IFS(G516&lt;$B$11,"Fail",G516&lt;25,"Marginal",G516&lt;35,"Solid",TRUE,"Blowout")</f>
        <v>Solid</v>
      </c>
      <c r="L516" s="193">
        <f t="shared" ca="1" si="77"/>
        <v>0</v>
      </c>
      <c r="M516" s="184" t="str" cm="1">
        <f t="array" aca="1" ref="M516" ca="1">_xlfn.IFS(C516&lt;$B$11,"Fail",C516&lt;25,"Marginal",C516&lt;35,"Solid",TRUE,"Blowout")</f>
        <v>Fail</v>
      </c>
    </row>
    <row r="517" spans="1:13" x14ac:dyDescent="0.25">
      <c r="A517" s="138">
        <f t="shared" ca="1" si="78"/>
        <v>48.551846878716255</v>
      </c>
      <c r="B517" s="137">
        <f t="shared" ca="1" si="79"/>
        <v>-4.3795189947119972</v>
      </c>
      <c r="C517" s="137">
        <f t="shared" ca="1" si="80"/>
        <v>52.931365873428248</v>
      </c>
      <c r="D517" s="152">
        <f t="shared" ca="1" si="81"/>
        <v>6.6895325750287888</v>
      </c>
      <c r="E517" s="197">
        <f t="shared" ca="1" si="82"/>
        <v>8.5551649168315713E-11</v>
      </c>
      <c r="F517" s="137">
        <f t="shared" ca="1" si="83"/>
        <v>34.833472608954672</v>
      </c>
      <c r="G517" s="137">
        <f t="shared" ca="1" si="84"/>
        <v>39.212991603666666</v>
      </c>
      <c r="H517" s="152">
        <f t="shared" ca="1" si="85"/>
        <v>4.9557871853207267</v>
      </c>
      <c r="I517" s="152">
        <f t="shared" ca="1" si="86"/>
        <v>7.0231580996466803E-7</v>
      </c>
      <c r="J517" s="190">
        <f t="shared" ca="1" si="87"/>
        <v>1</v>
      </c>
      <c r="K517" s="187" t="str" cm="1">
        <f t="array" aca="1" ref="K517" ca="1">_xlfn.IFS(G517&lt;$B$11,"Fail",G517&lt;25,"Marginal",G517&lt;35,"Solid",TRUE,"Blowout")</f>
        <v>Blowout</v>
      </c>
      <c r="L517" s="193">
        <f t="shared" ca="1" si="77"/>
        <v>1</v>
      </c>
      <c r="M517" s="184" t="str" cm="1">
        <f t="array" aca="1" ref="M517" ca="1">_xlfn.IFS(C517&lt;$B$11,"Fail",C517&lt;25,"Marginal",C517&lt;35,"Solid",TRUE,"Blowout")</f>
        <v>Blowout</v>
      </c>
    </row>
    <row r="518" spans="1:13" x14ac:dyDescent="0.25">
      <c r="A518" s="138">
        <f t="shared" ca="1" si="78"/>
        <v>45.149333312719477</v>
      </c>
      <c r="B518" s="137">
        <f t="shared" ca="1" si="79"/>
        <v>6.6708829505507747</v>
      </c>
      <c r="C518" s="137">
        <f t="shared" ca="1" si="80"/>
        <v>38.478450362168701</v>
      </c>
      <c r="D518" s="152">
        <f t="shared" ca="1" si="81"/>
        <v>4.8629549396074259</v>
      </c>
      <c r="E518" s="197">
        <f t="shared" ca="1" si="82"/>
        <v>1.0774476700667116E-6</v>
      </c>
      <c r="F518" s="137">
        <f t="shared" ca="1" si="83"/>
        <v>51.159622204065116</v>
      </c>
      <c r="G518" s="137">
        <f t="shared" ca="1" si="84"/>
        <v>44.488739253514339</v>
      </c>
      <c r="H518" s="152">
        <f t="shared" ca="1" si="85"/>
        <v>5.6225428070381041</v>
      </c>
      <c r="I518" s="152">
        <f t="shared" ca="1" si="86"/>
        <v>2.7375593227498103E-8</v>
      </c>
      <c r="J518" s="190">
        <f t="shared" ca="1" si="87"/>
        <v>1</v>
      </c>
      <c r="K518" s="187" t="str" cm="1">
        <f t="array" aca="1" ref="K518" ca="1">_xlfn.IFS(G518&lt;$B$11,"Fail",G518&lt;25,"Marginal",G518&lt;35,"Solid",TRUE,"Blowout")</f>
        <v>Blowout</v>
      </c>
      <c r="L518" s="193">
        <f t="shared" ca="1" si="77"/>
        <v>1</v>
      </c>
      <c r="M518" s="184" t="str" cm="1">
        <f t="array" aca="1" ref="M518" ca="1">_xlfn.IFS(C518&lt;$B$11,"Fail",C518&lt;25,"Marginal",C518&lt;35,"Solid",TRUE,"Blowout")</f>
        <v>Blowout</v>
      </c>
    </row>
    <row r="519" spans="1:13" x14ac:dyDescent="0.25">
      <c r="A519" s="138">
        <f t="shared" ca="1" si="78"/>
        <v>16.945618409191898</v>
      </c>
      <c r="B519" s="137">
        <f t="shared" ca="1" si="79"/>
        <v>5.8741362614874006</v>
      </c>
      <c r="C519" s="137">
        <f t="shared" ca="1" si="80"/>
        <v>11.071482147704497</v>
      </c>
      <c r="D519" s="152">
        <f t="shared" ca="1" si="81"/>
        <v>1.3992278351180594</v>
      </c>
      <c r="E519" s="197">
        <f t="shared" ca="1" si="82"/>
        <v>8.1551819448812859E-2</v>
      </c>
      <c r="F519" s="137">
        <f t="shared" ca="1" si="83"/>
        <v>57.542297109489184</v>
      </c>
      <c r="G519" s="137">
        <f t="shared" ca="1" si="84"/>
        <v>51.668160848001783</v>
      </c>
      <c r="H519" s="152">
        <f t="shared" ca="1" si="85"/>
        <v>6.5298871355603083</v>
      </c>
      <c r="I519" s="152">
        <f t="shared" ca="1" si="86"/>
        <v>2.1143413810691E-10</v>
      </c>
      <c r="J519" s="190">
        <f t="shared" ca="1" si="87"/>
        <v>1</v>
      </c>
      <c r="K519" s="187" t="str" cm="1">
        <f t="array" aca="1" ref="K519" ca="1">_xlfn.IFS(G519&lt;$B$11,"Fail",G519&lt;25,"Marginal",G519&lt;35,"Solid",TRUE,"Blowout")</f>
        <v>Blowout</v>
      </c>
      <c r="L519" s="193">
        <f t="shared" ca="1" si="77"/>
        <v>0</v>
      </c>
      <c r="M519" s="184" t="str" cm="1">
        <f t="array" aca="1" ref="M519" ca="1">_xlfn.IFS(C519&lt;$B$11,"Fail",C519&lt;25,"Marginal",C519&lt;35,"Solid",TRUE,"Blowout")</f>
        <v>Fail</v>
      </c>
    </row>
    <row r="520" spans="1:13" x14ac:dyDescent="0.25">
      <c r="A520" s="138">
        <f t="shared" ca="1" si="78"/>
        <v>24.055860753244744</v>
      </c>
      <c r="B520" s="137">
        <f t="shared" ca="1" si="79"/>
        <v>1.6613289447620772</v>
      </c>
      <c r="C520" s="137">
        <f t="shared" ca="1" si="80"/>
        <v>22.394531808482668</v>
      </c>
      <c r="D520" s="152">
        <f t="shared" ca="1" si="81"/>
        <v>2.8302490888595768</v>
      </c>
      <c r="E520" s="197">
        <f t="shared" ca="1" si="82"/>
        <v>2.533159915769152E-3</v>
      </c>
      <c r="F520" s="137">
        <f t="shared" ca="1" si="83"/>
        <v>18.286982962582769</v>
      </c>
      <c r="G520" s="137">
        <f t="shared" ca="1" si="84"/>
        <v>16.625654017820693</v>
      </c>
      <c r="H520" s="152">
        <f t="shared" ca="1" si="85"/>
        <v>2.1011710598838258</v>
      </c>
      <c r="I520" s="152">
        <f t="shared" ca="1" si="86"/>
        <v>1.83621075325049E-2</v>
      </c>
      <c r="J520" s="190">
        <f t="shared" ca="1" si="87"/>
        <v>0</v>
      </c>
      <c r="K520" s="187" t="str" cm="1">
        <f t="array" aca="1" ref="K520" ca="1">_xlfn.IFS(G520&lt;$B$11,"Fail",G520&lt;25,"Marginal",G520&lt;35,"Solid",TRUE,"Blowout")</f>
        <v>Fail</v>
      </c>
      <c r="L520" s="193">
        <f t="shared" ca="1" si="77"/>
        <v>1</v>
      </c>
      <c r="M520" s="184" t="str" cm="1">
        <f t="array" aca="1" ref="M520" ca="1">_xlfn.IFS(C520&lt;$B$11,"Fail",C520&lt;25,"Marginal",C520&lt;35,"Solid",TRUE,"Blowout")</f>
        <v>Marginal</v>
      </c>
    </row>
    <row r="521" spans="1:13" x14ac:dyDescent="0.25">
      <c r="A521" s="138">
        <f t="shared" ca="1" si="78"/>
        <v>-1.0754382938130362</v>
      </c>
      <c r="B521" s="137">
        <f t="shared" ca="1" si="79"/>
        <v>-3.2675034386436437</v>
      </c>
      <c r="C521" s="137">
        <f t="shared" ca="1" si="80"/>
        <v>2.1920651448306074</v>
      </c>
      <c r="D521" s="152">
        <f t="shared" ca="1" si="81"/>
        <v>0.27703594930828868</v>
      </c>
      <c r="E521" s="197">
        <f t="shared" ca="1" si="82"/>
        <v>0.39100175198648751</v>
      </c>
      <c r="F521" s="137">
        <f t="shared" ca="1" si="83"/>
        <v>4.4836055543815601</v>
      </c>
      <c r="G521" s="137">
        <f t="shared" ca="1" si="84"/>
        <v>7.7511089930252037</v>
      </c>
      <c r="H521" s="152">
        <f t="shared" ca="1" si="85"/>
        <v>0.97959490078963274</v>
      </c>
      <c r="I521" s="152">
        <f t="shared" ca="1" si="86"/>
        <v>0.16416220156735167</v>
      </c>
      <c r="J521" s="190">
        <f t="shared" ca="1" si="87"/>
        <v>0</v>
      </c>
      <c r="K521" s="187" t="str" cm="1">
        <f t="array" aca="1" ref="K521" ca="1">_xlfn.IFS(G521&lt;$B$11,"Fail",G521&lt;25,"Marginal",G521&lt;35,"Solid",TRUE,"Blowout")</f>
        <v>Fail</v>
      </c>
      <c r="L521" s="193">
        <f t="shared" ca="1" si="77"/>
        <v>0</v>
      </c>
      <c r="M521" s="184" t="str" cm="1">
        <f t="array" aca="1" ref="M521" ca="1">_xlfn.IFS(C521&lt;$B$11,"Fail",C521&lt;25,"Marginal",C521&lt;35,"Solid",TRUE,"Blowout")</f>
        <v>Fail</v>
      </c>
    </row>
    <row r="522" spans="1:13" x14ac:dyDescent="0.25">
      <c r="A522" s="138">
        <f t="shared" ca="1" si="78"/>
        <v>9.887770296336317</v>
      </c>
      <c r="B522" s="137">
        <f t="shared" ca="1" si="79"/>
        <v>-2.0733869307707344</v>
      </c>
      <c r="C522" s="137">
        <f t="shared" ca="1" si="80"/>
        <v>11.961157227107051</v>
      </c>
      <c r="D522" s="152">
        <f t="shared" ca="1" si="81"/>
        <v>1.5116660903311634</v>
      </c>
      <c r="E522" s="197">
        <f t="shared" ca="1" si="82"/>
        <v>6.6001795548865691E-2</v>
      </c>
      <c r="F522" s="137">
        <f t="shared" ca="1" si="83"/>
        <v>22.216964026930675</v>
      </c>
      <c r="G522" s="137">
        <f t="shared" ca="1" si="84"/>
        <v>24.29035095770141</v>
      </c>
      <c r="H522" s="152">
        <f t="shared" ca="1" si="85"/>
        <v>3.0698450967424682</v>
      </c>
      <c r="I522" s="152">
        <f t="shared" ca="1" si="86"/>
        <v>1.2007034928541119E-3</v>
      </c>
      <c r="J522" s="190">
        <f t="shared" ca="1" si="87"/>
        <v>1</v>
      </c>
      <c r="K522" s="187" t="str" cm="1">
        <f t="array" aca="1" ref="K522" ca="1">_xlfn.IFS(G522&lt;$B$11,"Fail",G522&lt;25,"Marginal",G522&lt;35,"Solid",TRUE,"Blowout")</f>
        <v>Marginal</v>
      </c>
      <c r="L522" s="193">
        <f t="shared" ca="1" si="77"/>
        <v>0</v>
      </c>
      <c r="M522" s="184" t="str" cm="1">
        <f t="array" aca="1" ref="M522" ca="1">_xlfn.IFS(C522&lt;$B$11,"Fail",C522&lt;25,"Marginal",C522&lt;35,"Solid",TRUE,"Blowout")</f>
        <v>Fail</v>
      </c>
    </row>
    <row r="523" spans="1:13" x14ac:dyDescent="0.25">
      <c r="A523" s="138">
        <f t="shared" ca="1" si="78"/>
        <v>9.7258836546040861</v>
      </c>
      <c r="B523" s="137">
        <f t="shared" ca="1" si="79"/>
        <v>9.4673746593961159</v>
      </c>
      <c r="C523" s="137">
        <f t="shared" ca="1" si="80"/>
        <v>0.25850899520797022</v>
      </c>
      <c r="D523" s="152">
        <f t="shared" ca="1" si="81"/>
        <v>3.2670691863815958E-2</v>
      </c>
      <c r="E523" s="197">
        <f t="shared" ca="1" si="82"/>
        <v>0.48698288905013687</v>
      </c>
      <c r="F523" s="137">
        <f t="shared" ca="1" si="83"/>
        <v>40.70468796008462</v>
      </c>
      <c r="G523" s="137">
        <f t="shared" ca="1" si="84"/>
        <v>31.237313300688506</v>
      </c>
      <c r="H523" s="152">
        <f t="shared" ca="1" si="85"/>
        <v>3.9478109327655964</v>
      </c>
      <c r="I523" s="152">
        <f t="shared" ca="1" si="86"/>
        <v>5.2550477732012346E-5</v>
      </c>
      <c r="J523" s="190">
        <f t="shared" ca="1" si="87"/>
        <v>1</v>
      </c>
      <c r="K523" s="187" t="str" cm="1">
        <f t="array" aca="1" ref="K523" ca="1">_xlfn.IFS(G523&lt;$B$11,"Fail",G523&lt;25,"Marginal",G523&lt;35,"Solid",TRUE,"Blowout")</f>
        <v>Solid</v>
      </c>
      <c r="L523" s="193">
        <f t="shared" ca="1" si="77"/>
        <v>0</v>
      </c>
      <c r="M523" s="184" t="str" cm="1">
        <f t="array" aca="1" ref="M523" ca="1">_xlfn.IFS(C523&lt;$B$11,"Fail",C523&lt;25,"Marginal",C523&lt;35,"Solid",TRUE,"Blowout")</f>
        <v>Fail</v>
      </c>
    </row>
    <row r="524" spans="1:13" x14ac:dyDescent="0.25">
      <c r="A524" s="138">
        <f t="shared" ca="1" si="78"/>
        <v>22.508762262689384</v>
      </c>
      <c r="B524" s="137">
        <f t="shared" ca="1" si="79"/>
        <v>7.9026607353295208</v>
      </c>
      <c r="C524" s="137">
        <f t="shared" ca="1" si="80"/>
        <v>14.606101527359863</v>
      </c>
      <c r="D524" s="152">
        <f t="shared" ca="1" si="81"/>
        <v>1.8459374767523493</v>
      </c>
      <c r="E524" s="197">
        <f t="shared" ca="1" si="82"/>
        <v>3.3098831012773465E-2</v>
      </c>
      <c r="F524" s="137">
        <f t="shared" ca="1" si="83"/>
        <v>6.1822821336413902</v>
      </c>
      <c r="G524" s="137">
        <f t="shared" ca="1" si="84"/>
        <v>-1.7203786016881306</v>
      </c>
      <c r="H524" s="152">
        <f t="shared" ca="1" si="85"/>
        <v>-0.21742361088687784</v>
      </c>
      <c r="I524" s="152">
        <f t="shared" ca="1" si="86"/>
        <v>0.58596366080327555</v>
      </c>
      <c r="J524" s="190">
        <f t="shared" ca="1" si="87"/>
        <v>0</v>
      </c>
      <c r="K524" s="187" t="str" cm="1">
        <f t="array" aca="1" ref="K524" ca="1">_xlfn.IFS(G524&lt;$B$11,"Fail",G524&lt;25,"Marginal",G524&lt;35,"Solid",TRUE,"Blowout")</f>
        <v>Fail</v>
      </c>
      <c r="L524" s="193">
        <f t="shared" ca="1" si="77"/>
        <v>0</v>
      </c>
      <c r="M524" s="184" t="str" cm="1">
        <f t="array" aca="1" ref="M524" ca="1">_xlfn.IFS(C524&lt;$B$11,"Fail",C524&lt;25,"Marginal",C524&lt;35,"Solid",TRUE,"Blowout")</f>
        <v>Fail</v>
      </c>
    </row>
    <row r="525" spans="1:13" x14ac:dyDescent="0.25">
      <c r="A525" s="138">
        <f t="shared" ca="1" si="78"/>
        <v>53.700384732924043</v>
      </c>
      <c r="B525" s="137">
        <f t="shared" ca="1" si="79"/>
        <v>12.095109361152204</v>
      </c>
      <c r="C525" s="137">
        <f t="shared" ca="1" si="80"/>
        <v>41.605275371771839</v>
      </c>
      <c r="D525" s="152">
        <f t="shared" ca="1" si="81"/>
        <v>5.2581270159935238</v>
      </c>
      <c r="E525" s="197">
        <f t="shared" ca="1" si="82"/>
        <v>1.6727496327794329E-7</v>
      </c>
      <c r="F525" s="137">
        <f t="shared" ca="1" si="83"/>
        <v>49.151562408948841</v>
      </c>
      <c r="G525" s="137">
        <f t="shared" ca="1" si="84"/>
        <v>37.056453047796637</v>
      </c>
      <c r="H525" s="152">
        <f t="shared" ca="1" si="85"/>
        <v>4.6832411309964401</v>
      </c>
      <c r="I525" s="152">
        <f t="shared" ca="1" si="86"/>
        <v>2.4252621198498737E-6</v>
      </c>
      <c r="J525" s="190">
        <f t="shared" ca="1" si="87"/>
        <v>1</v>
      </c>
      <c r="K525" s="187" t="str" cm="1">
        <f t="array" aca="1" ref="K525" ca="1">_xlfn.IFS(G525&lt;$B$11,"Fail",G525&lt;25,"Marginal",G525&lt;35,"Solid",TRUE,"Blowout")</f>
        <v>Blowout</v>
      </c>
      <c r="L525" s="193">
        <f t="shared" ca="1" si="77"/>
        <v>1</v>
      </c>
      <c r="M525" s="184" t="str" cm="1">
        <f t="array" aca="1" ref="M525" ca="1">_xlfn.IFS(C525&lt;$B$11,"Fail",C525&lt;25,"Marginal",C525&lt;35,"Solid",TRUE,"Blowout")</f>
        <v>Blowout</v>
      </c>
    </row>
    <row r="526" spans="1:13" x14ac:dyDescent="0.25">
      <c r="A526" s="138">
        <f t="shared" ca="1" si="78"/>
        <v>35.26040808551781</v>
      </c>
      <c r="B526" s="137">
        <f t="shared" ca="1" si="79"/>
        <v>6.7433270746858271</v>
      </c>
      <c r="C526" s="137">
        <f t="shared" ca="1" si="80"/>
        <v>28.517081010831983</v>
      </c>
      <c r="D526" s="152">
        <f t="shared" ca="1" si="81"/>
        <v>3.6040245555511108</v>
      </c>
      <c r="E526" s="197">
        <f t="shared" ca="1" si="82"/>
        <v>1.9236435139631205E-4</v>
      </c>
      <c r="F526" s="137">
        <f t="shared" ca="1" si="83"/>
        <v>-3.6963217364779712</v>
      </c>
      <c r="G526" s="137">
        <f t="shared" ca="1" si="84"/>
        <v>-10.439648811163799</v>
      </c>
      <c r="H526" s="152">
        <f t="shared" ca="1" si="85"/>
        <v>-1.3193759435782657</v>
      </c>
      <c r="I526" s="152">
        <f t="shared" ca="1" si="86"/>
        <v>0.90581657417260852</v>
      </c>
      <c r="J526" s="190">
        <f t="shared" ca="1" si="87"/>
        <v>0</v>
      </c>
      <c r="K526" s="187" t="str" cm="1">
        <f t="array" aca="1" ref="K526" ca="1">_xlfn.IFS(G526&lt;$B$11,"Fail",G526&lt;25,"Marginal",G526&lt;35,"Solid",TRUE,"Blowout")</f>
        <v>Fail</v>
      </c>
      <c r="L526" s="193">
        <f t="shared" ca="1" si="77"/>
        <v>1</v>
      </c>
      <c r="M526" s="184" t="str" cm="1">
        <f t="array" aca="1" ref="M526" ca="1">_xlfn.IFS(C526&lt;$B$11,"Fail",C526&lt;25,"Marginal",C526&lt;35,"Solid",TRUE,"Blowout")</f>
        <v>Solid</v>
      </c>
    </row>
    <row r="527" spans="1:13" x14ac:dyDescent="0.25">
      <c r="A527" s="138">
        <f t="shared" ca="1" si="78"/>
        <v>22.009642650375454</v>
      </c>
      <c r="B527" s="137">
        <f t="shared" ca="1" si="79"/>
        <v>6.1252550289897698</v>
      </c>
      <c r="C527" s="137">
        <f t="shared" ca="1" si="80"/>
        <v>15.884387621385684</v>
      </c>
      <c r="D527" s="152">
        <f t="shared" ca="1" si="81"/>
        <v>2.0074888806333657</v>
      </c>
      <c r="E527" s="197">
        <f t="shared" ca="1" si="82"/>
        <v>2.2938956594715336E-2</v>
      </c>
      <c r="F527" s="137">
        <f t="shared" ca="1" si="83"/>
        <v>11.854142744865156</v>
      </c>
      <c r="G527" s="137">
        <f t="shared" ca="1" si="84"/>
        <v>5.7288877158753859</v>
      </c>
      <c r="H527" s="152">
        <f t="shared" ca="1" si="85"/>
        <v>0.72402403304066743</v>
      </c>
      <c r="I527" s="152">
        <f t="shared" ca="1" si="86"/>
        <v>0.23489660748490893</v>
      </c>
      <c r="J527" s="190">
        <f t="shared" ca="1" si="87"/>
        <v>0</v>
      </c>
      <c r="K527" s="187" t="str" cm="1">
        <f t="array" aca="1" ref="K527" ca="1">_xlfn.IFS(G527&lt;$B$11,"Fail",G527&lt;25,"Marginal",G527&lt;35,"Solid",TRUE,"Blowout")</f>
        <v>Fail</v>
      </c>
      <c r="L527" s="193">
        <f t="shared" ca="1" si="77"/>
        <v>0</v>
      </c>
      <c r="M527" s="184" t="str" cm="1">
        <f t="array" aca="1" ref="M527" ca="1">_xlfn.IFS(C527&lt;$B$11,"Fail",C527&lt;25,"Marginal",C527&lt;35,"Solid",TRUE,"Blowout")</f>
        <v>Fail</v>
      </c>
    </row>
    <row r="528" spans="1:13" x14ac:dyDescent="0.25">
      <c r="A528" s="138">
        <f t="shared" ca="1" si="78"/>
        <v>48.466195455291896</v>
      </c>
      <c r="B528" s="137">
        <f t="shared" ca="1" si="79"/>
        <v>-6.3919521532771579</v>
      </c>
      <c r="C528" s="137">
        <f t="shared" ca="1" si="80"/>
        <v>54.858147608569055</v>
      </c>
      <c r="D528" s="152">
        <f t="shared" ca="1" si="81"/>
        <v>6.9330416734528937</v>
      </c>
      <c r="E528" s="197">
        <f t="shared" ca="1" si="82"/>
        <v>2.0961305068840276E-11</v>
      </c>
      <c r="F528" s="137">
        <f t="shared" ca="1" si="83"/>
        <v>59.684029661846722</v>
      </c>
      <c r="G528" s="137">
        <f t="shared" ca="1" si="84"/>
        <v>66.075981815123882</v>
      </c>
      <c r="H528" s="152">
        <f t="shared" ca="1" si="85"/>
        <v>8.3507656657916627</v>
      </c>
      <c r="I528" s="152">
        <f t="shared" ca="1" si="86"/>
        <v>3.3006726331457161E-15</v>
      </c>
      <c r="J528" s="190">
        <f t="shared" ca="1" si="87"/>
        <v>1</v>
      </c>
      <c r="K528" s="187" t="str" cm="1">
        <f t="array" aca="1" ref="K528" ca="1">_xlfn.IFS(G528&lt;$B$11,"Fail",G528&lt;25,"Marginal",G528&lt;35,"Solid",TRUE,"Blowout")</f>
        <v>Blowout</v>
      </c>
      <c r="L528" s="193">
        <f t="shared" ref="L528:L591" ca="1" si="88">IF(AND(E528&lt;$B$10,C528&gt;=$B$11),1,0)</f>
        <v>1</v>
      </c>
      <c r="M528" s="184" t="str" cm="1">
        <f t="array" aca="1" ref="M528" ca="1">_xlfn.IFS(C528&lt;$B$11,"Fail",C528&lt;25,"Marginal",C528&lt;35,"Solid",TRUE,"Blowout")</f>
        <v>Blowout</v>
      </c>
    </row>
    <row r="529" spans="1:13" x14ac:dyDescent="0.25">
      <c r="A529" s="138">
        <f t="shared" ref="A529:A592" ca="1" si="89">NORMINV(RAND(), MAX(0, NORMINV(RAND(), $B$6, $B$12)), $B$7/SQRT($B$9))</f>
        <v>16.480835534453835</v>
      </c>
      <c r="B529" s="137">
        <f t="shared" ref="B529:B592" ca="1" si="90">NORMINV(RAND(), $B$8, $B$7/SQRT($B$9))</f>
        <v>6.8947775193526883</v>
      </c>
      <c r="C529" s="137">
        <f t="shared" ref="C529:C592" ca="1" si="91">A529-B529</f>
        <v>9.5860580151011465</v>
      </c>
      <c r="D529" s="152">
        <f t="shared" ref="D529:D592" ca="1" si="92">C529/($B$7*SQRT(2/$B$9))</f>
        <v>1.2114980654660672</v>
      </c>
      <c r="E529" s="197">
        <f t="shared" ref="E529:E592" ca="1" si="93">_xlfn.T.DIST.RT(D529, 2*$B$9-2)</f>
        <v>0.11347934798942516</v>
      </c>
      <c r="F529" s="137">
        <f t="shared" ref="F529:F592" ca="1" si="94">NORMINV(RAND(), MAX(0, NORMINV(RAND(), $N$7, $N$8)), $B$7/SQRT($B$9))</f>
        <v>21.504528471970822</v>
      </c>
      <c r="G529" s="137">
        <f t="shared" ref="G529:G592" ca="1" si="95">F529-B529</f>
        <v>14.609750952618134</v>
      </c>
      <c r="H529" s="152">
        <f t="shared" ref="H529:H592" ca="1" si="96">G529/($B$7*SQRT(2/$B$9))</f>
        <v>1.84639869570528</v>
      </c>
      <c r="I529" s="152">
        <f t="shared" ref="I529:I592" ca="1" si="97">_xlfn.T.DIST.RT(H529, 2*$B$9-2)</f>
        <v>3.3065219702924128E-2</v>
      </c>
      <c r="J529" s="190">
        <f t="shared" ref="J529:J592" ca="1" si="98">IF(AND(I529&lt;$B$10, G529&gt;=$B$11), 1, 0)</f>
        <v>0</v>
      </c>
      <c r="K529" s="187" t="str" cm="1">
        <f t="array" aca="1" ref="K529" ca="1">_xlfn.IFS(G529&lt;$B$11,"Fail",G529&lt;25,"Marginal",G529&lt;35,"Solid",TRUE,"Blowout")</f>
        <v>Fail</v>
      </c>
      <c r="L529" s="193">
        <f t="shared" ca="1" si="88"/>
        <v>0</v>
      </c>
      <c r="M529" s="184" t="str" cm="1">
        <f t="array" aca="1" ref="M529" ca="1">_xlfn.IFS(C529&lt;$B$11,"Fail",C529&lt;25,"Marginal",C529&lt;35,"Solid",TRUE,"Blowout")</f>
        <v>Fail</v>
      </c>
    </row>
    <row r="530" spans="1:13" x14ac:dyDescent="0.25">
      <c r="A530" s="138">
        <f t="shared" ca="1" si="89"/>
        <v>59.728300464162153</v>
      </c>
      <c r="B530" s="137">
        <f t="shared" ca="1" si="90"/>
        <v>11.759078478920259</v>
      </c>
      <c r="C530" s="137">
        <f t="shared" ca="1" si="91"/>
        <v>47.969221985241894</v>
      </c>
      <c r="D530" s="152">
        <f t="shared" ca="1" si="92"/>
        <v>6.0624105910358095</v>
      </c>
      <c r="E530" s="197">
        <f t="shared" ca="1" si="93"/>
        <v>2.7540200037293495E-9</v>
      </c>
      <c r="F530" s="137">
        <f t="shared" ca="1" si="94"/>
        <v>5.3419671107015034</v>
      </c>
      <c r="G530" s="137">
        <f t="shared" ca="1" si="95"/>
        <v>-6.4171113682187553</v>
      </c>
      <c r="H530" s="152">
        <f t="shared" ca="1" si="96"/>
        <v>-0.81100260359683418</v>
      </c>
      <c r="I530" s="152">
        <f t="shared" ca="1" si="97"/>
        <v>0.79089502867701422</v>
      </c>
      <c r="J530" s="190">
        <f t="shared" ca="1" si="98"/>
        <v>0</v>
      </c>
      <c r="K530" s="187" t="str" cm="1">
        <f t="array" aca="1" ref="K530" ca="1">_xlfn.IFS(G530&lt;$B$11,"Fail",G530&lt;25,"Marginal",G530&lt;35,"Solid",TRUE,"Blowout")</f>
        <v>Fail</v>
      </c>
      <c r="L530" s="193">
        <f t="shared" ca="1" si="88"/>
        <v>1</v>
      </c>
      <c r="M530" s="184" t="str" cm="1">
        <f t="array" aca="1" ref="M530" ca="1">_xlfn.IFS(C530&lt;$B$11,"Fail",C530&lt;25,"Marginal",C530&lt;35,"Solid",TRUE,"Blowout")</f>
        <v>Blowout</v>
      </c>
    </row>
    <row r="531" spans="1:13" x14ac:dyDescent="0.25">
      <c r="A531" s="138">
        <f t="shared" ca="1" si="89"/>
        <v>1.8085121045023833</v>
      </c>
      <c r="B531" s="137">
        <f t="shared" ca="1" si="90"/>
        <v>0.20842875784571291</v>
      </c>
      <c r="C531" s="137">
        <f t="shared" ca="1" si="91"/>
        <v>1.6000833466566704</v>
      </c>
      <c r="D531" s="152">
        <f t="shared" ca="1" si="92"/>
        <v>0.20222054529664488</v>
      </c>
      <c r="E531" s="197">
        <f t="shared" ca="1" si="93"/>
        <v>0.41996231736989109</v>
      </c>
      <c r="F531" s="137">
        <f t="shared" ca="1" si="94"/>
        <v>51.575041167116723</v>
      </c>
      <c r="G531" s="137">
        <f t="shared" ca="1" si="95"/>
        <v>51.366612409271013</v>
      </c>
      <c r="H531" s="152">
        <f t="shared" ca="1" si="96"/>
        <v>6.4917770647062474</v>
      </c>
      <c r="I531" s="152">
        <f t="shared" ca="1" si="97"/>
        <v>2.6186525544889552E-10</v>
      </c>
      <c r="J531" s="190">
        <f t="shared" ca="1" si="98"/>
        <v>1</v>
      </c>
      <c r="K531" s="187" t="str" cm="1">
        <f t="array" aca="1" ref="K531" ca="1">_xlfn.IFS(G531&lt;$B$11,"Fail",G531&lt;25,"Marginal",G531&lt;35,"Solid",TRUE,"Blowout")</f>
        <v>Blowout</v>
      </c>
      <c r="L531" s="193">
        <f t="shared" ca="1" si="88"/>
        <v>0</v>
      </c>
      <c r="M531" s="184" t="str" cm="1">
        <f t="array" aca="1" ref="M531" ca="1">_xlfn.IFS(C531&lt;$B$11,"Fail",C531&lt;25,"Marginal",C531&lt;35,"Solid",TRUE,"Blowout")</f>
        <v>Fail</v>
      </c>
    </row>
    <row r="532" spans="1:13" x14ac:dyDescent="0.25">
      <c r="A532" s="138">
        <f t="shared" ca="1" si="89"/>
        <v>66.992218043790174</v>
      </c>
      <c r="B532" s="137">
        <f t="shared" ca="1" si="90"/>
        <v>6.626892147060846</v>
      </c>
      <c r="C532" s="137">
        <f t="shared" ca="1" si="91"/>
        <v>60.365325896729331</v>
      </c>
      <c r="D532" s="152">
        <f t="shared" ca="1" si="92"/>
        <v>7.6290457902413005</v>
      </c>
      <c r="E532" s="197">
        <f t="shared" ca="1" si="93"/>
        <v>3.1919392793694931E-13</v>
      </c>
      <c r="F532" s="137">
        <f t="shared" ca="1" si="94"/>
        <v>13.871415972782419</v>
      </c>
      <c r="G532" s="137">
        <f t="shared" ca="1" si="95"/>
        <v>7.2445238257215729</v>
      </c>
      <c r="H532" s="152">
        <f t="shared" ca="1" si="96"/>
        <v>0.9155720303651752</v>
      </c>
      <c r="I532" s="152">
        <f t="shared" ca="1" si="97"/>
        <v>0.18042936523741576</v>
      </c>
      <c r="J532" s="190">
        <f t="shared" ca="1" si="98"/>
        <v>0</v>
      </c>
      <c r="K532" s="187" t="str" cm="1">
        <f t="array" aca="1" ref="K532" ca="1">_xlfn.IFS(G532&lt;$B$11,"Fail",G532&lt;25,"Marginal",G532&lt;35,"Solid",TRUE,"Blowout")</f>
        <v>Fail</v>
      </c>
      <c r="L532" s="193">
        <f t="shared" ca="1" si="88"/>
        <v>1</v>
      </c>
      <c r="M532" s="184" t="str" cm="1">
        <f t="array" aca="1" ref="M532" ca="1">_xlfn.IFS(C532&lt;$B$11,"Fail",C532&lt;25,"Marginal",C532&lt;35,"Solid",TRUE,"Blowout")</f>
        <v>Blowout</v>
      </c>
    </row>
    <row r="533" spans="1:13" x14ac:dyDescent="0.25">
      <c r="A533" s="138">
        <f t="shared" ca="1" si="89"/>
        <v>54.586979528380063</v>
      </c>
      <c r="B533" s="137">
        <f t="shared" ca="1" si="90"/>
        <v>1.5870466953689757</v>
      </c>
      <c r="C533" s="137">
        <f t="shared" ca="1" si="91"/>
        <v>52.999932833011087</v>
      </c>
      <c r="D533" s="152">
        <f t="shared" ca="1" si="92"/>
        <v>6.6981981535970219</v>
      </c>
      <c r="E533" s="197">
        <f t="shared" ca="1" si="93"/>
        <v>8.1419216849889578E-11</v>
      </c>
      <c r="F533" s="137">
        <f t="shared" ca="1" si="94"/>
        <v>26.730326267776775</v>
      </c>
      <c r="G533" s="137">
        <f t="shared" ca="1" si="95"/>
        <v>25.143279572407799</v>
      </c>
      <c r="H533" s="152">
        <f t="shared" ca="1" si="96"/>
        <v>3.1776392875422346</v>
      </c>
      <c r="I533" s="152">
        <f t="shared" ca="1" si="97"/>
        <v>8.4518677310509518E-4</v>
      </c>
      <c r="J533" s="190">
        <f t="shared" ca="1" si="98"/>
        <v>1</v>
      </c>
      <c r="K533" s="187" t="str" cm="1">
        <f t="array" aca="1" ref="K533" ca="1">_xlfn.IFS(G533&lt;$B$11,"Fail",G533&lt;25,"Marginal",G533&lt;35,"Solid",TRUE,"Blowout")</f>
        <v>Solid</v>
      </c>
      <c r="L533" s="193">
        <f t="shared" ca="1" si="88"/>
        <v>1</v>
      </c>
      <c r="M533" s="184" t="str" cm="1">
        <f t="array" aca="1" ref="M533" ca="1">_xlfn.IFS(C533&lt;$B$11,"Fail",C533&lt;25,"Marginal",C533&lt;35,"Solid",TRUE,"Blowout")</f>
        <v>Blowout</v>
      </c>
    </row>
    <row r="534" spans="1:13" x14ac:dyDescent="0.25">
      <c r="A534" s="138">
        <f t="shared" ca="1" si="89"/>
        <v>11.222451654570492</v>
      </c>
      <c r="B534" s="137">
        <f t="shared" ca="1" si="90"/>
        <v>6.1012154509773273</v>
      </c>
      <c r="C534" s="137">
        <f t="shared" ca="1" si="91"/>
        <v>5.1212362035931642</v>
      </c>
      <c r="D534" s="152">
        <f t="shared" ca="1" si="92"/>
        <v>0.6472282708569066</v>
      </c>
      <c r="E534" s="197">
        <f t="shared" ca="1" si="93"/>
        <v>0.25906765983147667</v>
      </c>
      <c r="F534" s="137">
        <f t="shared" ca="1" si="94"/>
        <v>24.629789715909816</v>
      </c>
      <c r="G534" s="137">
        <f t="shared" ca="1" si="95"/>
        <v>18.528574264932487</v>
      </c>
      <c r="H534" s="152">
        <f t="shared" ca="1" si="96"/>
        <v>2.3416645134473679</v>
      </c>
      <c r="I534" s="152">
        <f t="shared" ca="1" si="97"/>
        <v>1.0030103428596716E-2</v>
      </c>
      <c r="J534" s="190">
        <f t="shared" ca="1" si="98"/>
        <v>0</v>
      </c>
      <c r="K534" s="187" t="str" cm="1">
        <f t="array" aca="1" ref="K534" ca="1">_xlfn.IFS(G534&lt;$B$11,"Fail",G534&lt;25,"Marginal",G534&lt;35,"Solid",TRUE,"Blowout")</f>
        <v>Fail</v>
      </c>
      <c r="L534" s="193">
        <f t="shared" ca="1" si="88"/>
        <v>0</v>
      </c>
      <c r="M534" s="184" t="str" cm="1">
        <f t="array" aca="1" ref="M534" ca="1">_xlfn.IFS(C534&lt;$B$11,"Fail",C534&lt;25,"Marginal",C534&lt;35,"Solid",TRUE,"Blowout")</f>
        <v>Fail</v>
      </c>
    </row>
    <row r="535" spans="1:13" x14ac:dyDescent="0.25">
      <c r="A535" s="138">
        <f t="shared" ca="1" si="89"/>
        <v>23.084429761454238</v>
      </c>
      <c r="B535" s="137">
        <f t="shared" ca="1" si="90"/>
        <v>12.814321088855838</v>
      </c>
      <c r="C535" s="137">
        <f t="shared" ca="1" si="91"/>
        <v>10.270108672598401</v>
      </c>
      <c r="D535" s="152">
        <f t="shared" ca="1" si="92"/>
        <v>1.2979492476864547</v>
      </c>
      <c r="E535" s="197">
        <f t="shared" ca="1" si="93"/>
        <v>9.7808141301394522E-2</v>
      </c>
      <c r="F535" s="137">
        <f t="shared" ca="1" si="94"/>
        <v>27.900198450893573</v>
      </c>
      <c r="G535" s="137">
        <f t="shared" ca="1" si="95"/>
        <v>15.085877362037735</v>
      </c>
      <c r="H535" s="152">
        <f t="shared" ca="1" si="96"/>
        <v>1.9065721500094857</v>
      </c>
      <c r="I535" s="152">
        <f t="shared" ca="1" si="97"/>
        <v>2.8916638590936131E-2</v>
      </c>
      <c r="J535" s="190">
        <f t="shared" ca="1" si="98"/>
        <v>0</v>
      </c>
      <c r="K535" s="187" t="str" cm="1">
        <f t="array" aca="1" ref="K535" ca="1">_xlfn.IFS(G535&lt;$B$11,"Fail",G535&lt;25,"Marginal",G535&lt;35,"Solid",TRUE,"Blowout")</f>
        <v>Fail</v>
      </c>
      <c r="L535" s="193">
        <f t="shared" ca="1" si="88"/>
        <v>0</v>
      </c>
      <c r="M535" s="184" t="str" cm="1">
        <f t="array" aca="1" ref="M535" ca="1">_xlfn.IFS(C535&lt;$B$11,"Fail",C535&lt;25,"Marginal",C535&lt;35,"Solid",TRUE,"Blowout")</f>
        <v>Fail</v>
      </c>
    </row>
    <row r="536" spans="1:13" x14ac:dyDescent="0.25">
      <c r="A536" s="138">
        <f t="shared" ca="1" si="89"/>
        <v>-1.6165732202030254</v>
      </c>
      <c r="B536" s="137">
        <f t="shared" ca="1" si="90"/>
        <v>3.3853287779520742</v>
      </c>
      <c r="C536" s="137">
        <f t="shared" ca="1" si="91"/>
        <v>-5.0019019981551001</v>
      </c>
      <c r="D536" s="152">
        <f t="shared" ca="1" si="92"/>
        <v>-0.63214666392271157</v>
      </c>
      <c r="E536" s="197">
        <f t="shared" ca="1" si="93"/>
        <v>0.73603779126549673</v>
      </c>
      <c r="F536" s="137">
        <f t="shared" ca="1" si="94"/>
        <v>17.055599671053358</v>
      </c>
      <c r="G536" s="137">
        <f t="shared" ca="1" si="95"/>
        <v>13.670270893101284</v>
      </c>
      <c r="H536" s="152">
        <f t="shared" ca="1" si="96"/>
        <v>1.7276660244805067</v>
      </c>
      <c r="I536" s="152">
        <f t="shared" ca="1" si="97"/>
        <v>4.270111099942607E-2</v>
      </c>
      <c r="J536" s="190">
        <f t="shared" ca="1" si="98"/>
        <v>0</v>
      </c>
      <c r="K536" s="187" t="str" cm="1">
        <f t="array" aca="1" ref="K536" ca="1">_xlfn.IFS(G536&lt;$B$11,"Fail",G536&lt;25,"Marginal",G536&lt;35,"Solid",TRUE,"Blowout")</f>
        <v>Fail</v>
      </c>
      <c r="L536" s="193">
        <f t="shared" ca="1" si="88"/>
        <v>0</v>
      </c>
      <c r="M536" s="184" t="str" cm="1">
        <f t="array" aca="1" ref="M536" ca="1">_xlfn.IFS(C536&lt;$B$11,"Fail",C536&lt;25,"Marginal",C536&lt;35,"Solid",TRUE,"Blowout")</f>
        <v>Fail</v>
      </c>
    </row>
    <row r="537" spans="1:13" x14ac:dyDescent="0.25">
      <c r="A537" s="138">
        <f t="shared" ca="1" si="89"/>
        <v>3.7247493661420141</v>
      </c>
      <c r="B537" s="137">
        <f t="shared" ca="1" si="90"/>
        <v>5.9711772607325111</v>
      </c>
      <c r="C537" s="137">
        <f t="shared" ca="1" si="91"/>
        <v>-2.246427894590497</v>
      </c>
      <c r="D537" s="152">
        <f t="shared" ca="1" si="92"/>
        <v>-0.28390638197871176</v>
      </c>
      <c r="E537" s="197">
        <f t="shared" ca="1" si="93"/>
        <v>0.61163011246679355</v>
      </c>
      <c r="F537" s="137">
        <f t="shared" ca="1" si="94"/>
        <v>17.229601489961553</v>
      </c>
      <c r="G537" s="137">
        <f t="shared" ca="1" si="95"/>
        <v>11.258424229229043</v>
      </c>
      <c r="H537" s="152">
        <f t="shared" ca="1" si="96"/>
        <v>1.4228538104422654</v>
      </c>
      <c r="I537" s="152">
        <f t="shared" ca="1" si="97"/>
        <v>7.8072658950399915E-2</v>
      </c>
      <c r="J537" s="190">
        <f t="shared" ca="1" si="98"/>
        <v>0</v>
      </c>
      <c r="K537" s="187" t="str" cm="1">
        <f t="array" aca="1" ref="K537" ca="1">_xlfn.IFS(G537&lt;$B$11,"Fail",G537&lt;25,"Marginal",G537&lt;35,"Solid",TRUE,"Blowout")</f>
        <v>Fail</v>
      </c>
      <c r="L537" s="193">
        <f t="shared" ca="1" si="88"/>
        <v>0</v>
      </c>
      <c r="M537" s="184" t="str" cm="1">
        <f t="array" aca="1" ref="M537" ca="1">_xlfn.IFS(C537&lt;$B$11,"Fail",C537&lt;25,"Marginal",C537&lt;35,"Solid",TRUE,"Blowout")</f>
        <v>Fail</v>
      </c>
    </row>
    <row r="538" spans="1:13" x14ac:dyDescent="0.25">
      <c r="A538" s="138">
        <f t="shared" ca="1" si="89"/>
        <v>49.103024668193626</v>
      </c>
      <c r="B538" s="137">
        <f t="shared" ca="1" si="90"/>
        <v>2.3679435155202477</v>
      </c>
      <c r="C538" s="137">
        <f t="shared" ca="1" si="91"/>
        <v>46.735081152673381</v>
      </c>
      <c r="D538" s="152">
        <f t="shared" ca="1" si="92"/>
        <v>5.9064383208060578</v>
      </c>
      <c r="E538" s="197">
        <f t="shared" ca="1" si="93"/>
        <v>6.3027604382715492E-9</v>
      </c>
      <c r="F538" s="137">
        <f t="shared" ca="1" si="94"/>
        <v>7.7086878079758971</v>
      </c>
      <c r="G538" s="137">
        <f t="shared" ca="1" si="95"/>
        <v>5.3407442924556499</v>
      </c>
      <c r="H538" s="152">
        <f t="shared" ca="1" si="96"/>
        <v>0.67496997913700707</v>
      </c>
      <c r="I538" s="152">
        <f t="shared" ca="1" si="97"/>
        <v>0.25018936373993855</v>
      </c>
      <c r="J538" s="190">
        <f t="shared" ca="1" si="98"/>
        <v>0</v>
      </c>
      <c r="K538" s="187" t="str" cm="1">
        <f t="array" aca="1" ref="K538" ca="1">_xlfn.IFS(G538&lt;$B$11,"Fail",G538&lt;25,"Marginal",G538&lt;35,"Solid",TRUE,"Blowout")</f>
        <v>Fail</v>
      </c>
      <c r="L538" s="193">
        <f t="shared" ca="1" si="88"/>
        <v>1</v>
      </c>
      <c r="M538" s="184" t="str" cm="1">
        <f t="array" aca="1" ref="M538" ca="1">_xlfn.IFS(C538&lt;$B$11,"Fail",C538&lt;25,"Marginal",C538&lt;35,"Solid",TRUE,"Blowout")</f>
        <v>Blowout</v>
      </c>
    </row>
    <row r="539" spans="1:13" x14ac:dyDescent="0.25">
      <c r="A539" s="138">
        <f t="shared" ca="1" si="89"/>
        <v>31.338405266461972</v>
      </c>
      <c r="B539" s="137">
        <f t="shared" ca="1" si="90"/>
        <v>0.8046110107864175</v>
      </c>
      <c r="C539" s="137">
        <f t="shared" ca="1" si="91"/>
        <v>30.533794255675556</v>
      </c>
      <c r="D539" s="152">
        <f t="shared" ca="1" si="92"/>
        <v>3.8588993112514083</v>
      </c>
      <c r="E539" s="197">
        <f t="shared" ca="1" si="93"/>
        <v>7.4153679446155703E-5</v>
      </c>
      <c r="F539" s="137">
        <f t="shared" ca="1" si="94"/>
        <v>18.175842466168518</v>
      </c>
      <c r="G539" s="137">
        <f t="shared" ca="1" si="95"/>
        <v>17.371231455382102</v>
      </c>
      <c r="H539" s="152">
        <f t="shared" ca="1" si="96"/>
        <v>2.1953980739325472</v>
      </c>
      <c r="I539" s="152">
        <f t="shared" ca="1" si="97"/>
        <v>1.4571838881269592E-2</v>
      </c>
      <c r="J539" s="190">
        <f t="shared" ca="1" si="98"/>
        <v>0</v>
      </c>
      <c r="K539" s="187" t="str" cm="1">
        <f t="array" aca="1" ref="K539" ca="1">_xlfn.IFS(G539&lt;$B$11,"Fail",G539&lt;25,"Marginal",G539&lt;35,"Solid",TRUE,"Blowout")</f>
        <v>Fail</v>
      </c>
      <c r="L539" s="193">
        <f t="shared" ca="1" si="88"/>
        <v>1</v>
      </c>
      <c r="M539" s="184" t="str" cm="1">
        <f t="array" aca="1" ref="M539" ca="1">_xlfn.IFS(C539&lt;$B$11,"Fail",C539&lt;25,"Marginal",C539&lt;35,"Solid",TRUE,"Blowout")</f>
        <v>Solid</v>
      </c>
    </row>
    <row r="540" spans="1:13" x14ac:dyDescent="0.25">
      <c r="A540" s="138">
        <f t="shared" ca="1" si="89"/>
        <v>52.706874872395503</v>
      </c>
      <c r="B540" s="137">
        <f t="shared" ca="1" si="90"/>
        <v>13.410040839542418</v>
      </c>
      <c r="C540" s="137">
        <f t="shared" ca="1" si="91"/>
        <v>39.296834032853084</v>
      </c>
      <c r="D540" s="152">
        <f t="shared" ca="1" si="92"/>
        <v>4.9663832969448487</v>
      </c>
      <c r="E540" s="197">
        <f t="shared" ca="1" si="93"/>
        <v>6.6857873820355472E-7</v>
      </c>
      <c r="F540" s="137">
        <f t="shared" ca="1" si="94"/>
        <v>13.50236651341346</v>
      </c>
      <c r="G540" s="137">
        <f t="shared" ca="1" si="95"/>
        <v>9.2325673871041403E-2</v>
      </c>
      <c r="H540" s="152">
        <f t="shared" ca="1" si="96"/>
        <v>1.1668234754203864E-2</v>
      </c>
      <c r="I540" s="152">
        <f t="shared" ca="1" si="97"/>
        <v>0.49535025509116132</v>
      </c>
      <c r="J540" s="190">
        <f t="shared" ca="1" si="98"/>
        <v>0</v>
      </c>
      <c r="K540" s="187" t="str" cm="1">
        <f t="array" aca="1" ref="K540" ca="1">_xlfn.IFS(G540&lt;$B$11,"Fail",G540&lt;25,"Marginal",G540&lt;35,"Solid",TRUE,"Blowout")</f>
        <v>Fail</v>
      </c>
      <c r="L540" s="193">
        <f t="shared" ca="1" si="88"/>
        <v>1</v>
      </c>
      <c r="M540" s="184" t="str" cm="1">
        <f t="array" aca="1" ref="M540" ca="1">_xlfn.IFS(C540&lt;$B$11,"Fail",C540&lt;25,"Marginal",C540&lt;35,"Solid",TRUE,"Blowout")</f>
        <v>Blowout</v>
      </c>
    </row>
    <row r="541" spans="1:13" x14ac:dyDescent="0.25">
      <c r="A541" s="138">
        <f t="shared" ca="1" si="89"/>
        <v>23.985900719359599</v>
      </c>
      <c r="B541" s="137">
        <f t="shared" ca="1" si="90"/>
        <v>4.6820328803646527</v>
      </c>
      <c r="C541" s="137">
        <f t="shared" ca="1" si="91"/>
        <v>19.303867838994947</v>
      </c>
      <c r="D541" s="152">
        <f t="shared" ca="1" si="92"/>
        <v>2.4396470901921878</v>
      </c>
      <c r="E541" s="197">
        <f t="shared" ca="1" si="93"/>
        <v>7.7326371063933296E-3</v>
      </c>
      <c r="F541" s="137">
        <f t="shared" ca="1" si="94"/>
        <v>28.259637338699626</v>
      </c>
      <c r="G541" s="137">
        <f t="shared" ca="1" si="95"/>
        <v>23.577604458334974</v>
      </c>
      <c r="H541" s="152">
        <f t="shared" ca="1" si="96"/>
        <v>2.9797672979444774</v>
      </c>
      <c r="I541" s="152">
        <f t="shared" ca="1" si="97"/>
        <v>1.5985164560399071E-3</v>
      </c>
      <c r="J541" s="190">
        <f t="shared" ca="1" si="98"/>
        <v>1</v>
      </c>
      <c r="K541" s="187" t="str" cm="1">
        <f t="array" aca="1" ref="K541" ca="1">_xlfn.IFS(G541&lt;$B$11,"Fail",G541&lt;25,"Marginal",G541&lt;35,"Solid",TRUE,"Blowout")</f>
        <v>Marginal</v>
      </c>
      <c r="L541" s="193">
        <f t="shared" ca="1" si="88"/>
        <v>0</v>
      </c>
      <c r="M541" s="184" t="str" cm="1">
        <f t="array" aca="1" ref="M541" ca="1">_xlfn.IFS(C541&lt;$B$11,"Fail",C541&lt;25,"Marginal",C541&lt;35,"Solid",TRUE,"Blowout")</f>
        <v>Fail</v>
      </c>
    </row>
    <row r="542" spans="1:13" x14ac:dyDescent="0.25">
      <c r="A542" s="138">
        <f t="shared" ca="1" si="89"/>
        <v>41.474309401231189</v>
      </c>
      <c r="B542" s="137">
        <f t="shared" ca="1" si="90"/>
        <v>5.1548526830453669</v>
      </c>
      <c r="C542" s="137">
        <f t="shared" ca="1" si="91"/>
        <v>36.319456718185819</v>
      </c>
      <c r="D542" s="152">
        <f t="shared" ca="1" si="92"/>
        <v>4.5900986081604067</v>
      </c>
      <c r="E542" s="197">
        <f t="shared" ca="1" si="93"/>
        <v>3.6598474995113848E-6</v>
      </c>
      <c r="F542" s="137">
        <f t="shared" ca="1" si="94"/>
        <v>22.793493358414047</v>
      </c>
      <c r="G542" s="137">
        <f t="shared" ca="1" si="95"/>
        <v>17.638640675368681</v>
      </c>
      <c r="H542" s="152">
        <f t="shared" ca="1" si="96"/>
        <v>2.2291935873950339</v>
      </c>
      <c r="I542" s="152">
        <f t="shared" ca="1" si="97"/>
        <v>1.3388165503239343E-2</v>
      </c>
      <c r="J542" s="190">
        <f t="shared" ca="1" si="98"/>
        <v>0</v>
      </c>
      <c r="K542" s="187" t="str" cm="1">
        <f t="array" aca="1" ref="K542" ca="1">_xlfn.IFS(G542&lt;$B$11,"Fail",G542&lt;25,"Marginal",G542&lt;35,"Solid",TRUE,"Blowout")</f>
        <v>Fail</v>
      </c>
      <c r="L542" s="193">
        <f t="shared" ca="1" si="88"/>
        <v>1</v>
      </c>
      <c r="M542" s="184" t="str" cm="1">
        <f t="array" aca="1" ref="M542" ca="1">_xlfn.IFS(C542&lt;$B$11,"Fail",C542&lt;25,"Marginal",C542&lt;35,"Solid",TRUE,"Blowout")</f>
        <v>Blowout</v>
      </c>
    </row>
    <row r="543" spans="1:13" x14ac:dyDescent="0.25">
      <c r="A543" s="138">
        <f t="shared" ca="1" si="89"/>
        <v>47.580895306166042</v>
      </c>
      <c r="B543" s="137">
        <f t="shared" ca="1" si="90"/>
        <v>7.8754090089974298</v>
      </c>
      <c r="C543" s="137">
        <f t="shared" ca="1" si="91"/>
        <v>39.705486297168612</v>
      </c>
      <c r="D543" s="152">
        <f t="shared" ca="1" si="92"/>
        <v>5.0180292839487537</v>
      </c>
      <c r="E543" s="197">
        <f t="shared" ca="1" si="93"/>
        <v>5.2536981074994873E-7</v>
      </c>
      <c r="F543" s="137">
        <f t="shared" ca="1" si="94"/>
        <v>40.776701364665286</v>
      </c>
      <c r="G543" s="137">
        <f t="shared" ca="1" si="95"/>
        <v>32.901292355667856</v>
      </c>
      <c r="H543" s="152">
        <f t="shared" ca="1" si="96"/>
        <v>4.1581066980225803</v>
      </c>
      <c r="I543" s="152">
        <f t="shared" ca="1" si="97"/>
        <v>2.272101086383708E-5</v>
      </c>
      <c r="J543" s="190">
        <f t="shared" ca="1" si="98"/>
        <v>1</v>
      </c>
      <c r="K543" s="187" t="str" cm="1">
        <f t="array" aca="1" ref="K543" ca="1">_xlfn.IFS(G543&lt;$B$11,"Fail",G543&lt;25,"Marginal",G543&lt;35,"Solid",TRUE,"Blowout")</f>
        <v>Solid</v>
      </c>
      <c r="L543" s="193">
        <f t="shared" ca="1" si="88"/>
        <v>1</v>
      </c>
      <c r="M543" s="184" t="str" cm="1">
        <f t="array" aca="1" ref="M543" ca="1">_xlfn.IFS(C543&lt;$B$11,"Fail",C543&lt;25,"Marginal",C543&lt;35,"Solid",TRUE,"Blowout")</f>
        <v>Blowout</v>
      </c>
    </row>
    <row r="544" spans="1:13" x14ac:dyDescent="0.25">
      <c r="A544" s="138">
        <f t="shared" ca="1" si="89"/>
        <v>2.4727267008758567</v>
      </c>
      <c r="B544" s="137">
        <f t="shared" ca="1" si="90"/>
        <v>11.008303889204758</v>
      </c>
      <c r="C544" s="137">
        <f t="shared" ca="1" si="91"/>
        <v>-8.5355771883289009</v>
      </c>
      <c r="D544" s="152">
        <f t="shared" ca="1" si="92"/>
        <v>-1.0787369777030968</v>
      </c>
      <c r="E544" s="197">
        <f t="shared" ca="1" si="93"/>
        <v>0.85907755312634571</v>
      </c>
      <c r="F544" s="137">
        <f t="shared" ca="1" si="94"/>
        <v>45.294368538344749</v>
      </c>
      <c r="G544" s="137">
        <f t="shared" ca="1" si="95"/>
        <v>34.286064649139988</v>
      </c>
      <c r="H544" s="152">
        <f t="shared" ca="1" si="96"/>
        <v>4.3331159616854595</v>
      </c>
      <c r="I544" s="152">
        <f t="shared" ca="1" si="97"/>
        <v>1.1024883002594184E-5</v>
      </c>
      <c r="J544" s="190">
        <f t="shared" ca="1" si="98"/>
        <v>1</v>
      </c>
      <c r="K544" s="187" t="str" cm="1">
        <f t="array" aca="1" ref="K544" ca="1">_xlfn.IFS(G544&lt;$B$11,"Fail",G544&lt;25,"Marginal",G544&lt;35,"Solid",TRUE,"Blowout")</f>
        <v>Solid</v>
      </c>
      <c r="L544" s="193">
        <f t="shared" ca="1" si="88"/>
        <v>0</v>
      </c>
      <c r="M544" s="184" t="str" cm="1">
        <f t="array" aca="1" ref="M544" ca="1">_xlfn.IFS(C544&lt;$B$11,"Fail",C544&lt;25,"Marginal",C544&lt;35,"Solid",TRUE,"Blowout")</f>
        <v>Fail</v>
      </c>
    </row>
    <row r="545" spans="1:13" x14ac:dyDescent="0.25">
      <c r="A545" s="138">
        <f t="shared" ca="1" si="89"/>
        <v>73.069372403716685</v>
      </c>
      <c r="B545" s="137">
        <f t="shared" ca="1" si="90"/>
        <v>7.9154900133848649</v>
      </c>
      <c r="C545" s="137">
        <f t="shared" ca="1" si="91"/>
        <v>65.153882390331816</v>
      </c>
      <c r="D545" s="152">
        <f t="shared" ca="1" si="92"/>
        <v>8.2342295810378321</v>
      </c>
      <c r="E545" s="197">
        <f t="shared" ca="1" si="93"/>
        <v>7.0075523917833798E-15</v>
      </c>
      <c r="F545" s="137">
        <f t="shared" ca="1" si="94"/>
        <v>33.978240845799085</v>
      </c>
      <c r="G545" s="137">
        <f t="shared" ca="1" si="95"/>
        <v>26.062750832414221</v>
      </c>
      <c r="H545" s="152">
        <f t="shared" ca="1" si="96"/>
        <v>3.2938432215257984</v>
      </c>
      <c r="I545" s="152">
        <f t="shared" ca="1" si="97"/>
        <v>5.7281172790225388E-4</v>
      </c>
      <c r="J545" s="190">
        <f t="shared" ca="1" si="98"/>
        <v>1</v>
      </c>
      <c r="K545" s="187" t="str" cm="1">
        <f t="array" aca="1" ref="K545" ca="1">_xlfn.IFS(G545&lt;$B$11,"Fail",G545&lt;25,"Marginal",G545&lt;35,"Solid",TRUE,"Blowout")</f>
        <v>Solid</v>
      </c>
      <c r="L545" s="193">
        <f t="shared" ca="1" si="88"/>
        <v>1</v>
      </c>
      <c r="M545" s="184" t="str" cm="1">
        <f t="array" aca="1" ref="M545" ca="1">_xlfn.IFS(C545&lt;$B$11,"Fail",C545&lt;25,"Marginal",C545&lt;35,"Solid",TRUE,"Blowout")</f>
        <v>Blowout</v>
      </c>
    </row>
    <row r="546" spans="1:13" x14ac:dyDescent="0.25">
      <c r="A546" s="138">
        <f t="shared" ca="1" si="89"/>
        <v>1.1904423072622832</v>
      </c>
      <c r="B546" s="137">
        <f t="shared" ca="1" si="90"/>
        <v>4.5792916955675835</v>
      </c>
      <c r="C546" s="137">
        <f t="shared" ca="1" si="91"/>
        <v>-3.3888493883053004</v>
      </c>
      <c r="D546" s="152">
        <f t="shared" ca="1" si="92"/>
        <v>-0.42828704683615637</v>
      </c>
      <c r="E546" s="197">
        <f t="shared" ca="1" si="93"/>
        <v>0.66557677156767492</v>
      </c>
      <c r="F546" s="137">
        <f t="shared" ca="1" si="94"/>
        <v>27.123105848884897</v>
      </c>
      <c r="G546" s="137">
        <f t="shared" ca="1" si="95"/>
        <v>22.543814153317314</v>
      </c>
      <c r="H546" s="152">
        <f t="shared" ca="1" si="96"/>
        <v>2.849115579307528</v>
      </c>
      <c r="I546" s="152">
        <f t="shared" ca="1" si="97"/>
        <v>2.3926058791291179E-3</v>
      </c>
      <c r="J546" s="190">
        <f t="shared" ca="1" si="98"/>
        <v>1</v>
      </c>
      <c r="K546" s="187" t="str" cm="1">
        <f t="array" aca="1" ref="K546" ca="1">_xlfn.IFS(G546&lt;$B$11,"Fail",G546&lt;25,"Marginal",G546&lt;35,"Solid",TRUE,"Blowout")</f>
        <v>Marginal</v>
      </c>
      <c r="L546" s="193">
        <f t="shared" ca="1" si="88"/>
        <v>0</v>
      </c>
      <c r="M546" s="184" t="str" cm="1">
        <f t="array" aca="1" ref="M546" ca="1">_xlfn.IFS(C546&lt;$B$11,"Fail",C546&lt;25,"Marginal",C546&lt;35,"Solid",TRUE,"Blowout")</f>
        <v>Fail</v>
      </c>
    </row>
    <row r="547" spans="1:13" x14ac:dyDescent="0.25">
      <c r="A547" s="138">
        <f t="shared" ca="1" si="89"/>
        <v>36.870628284896</v>
      </c>
      <c r="B547" s="137">
        <f t="shared" ca="1" si="90"/>
        <v>-2.6291883706605672</v>
      </c>
      <c r="C547" s="137">
        <f t="shared" ca="1" si="91"/>
        <v>39.499816655556565</v>
      </c>
      <c r="D547" s="152">
        <f t="shared" ca="1" si="92"/>
        <v>4.9920364960326387</v>
      </c>
      <c r="E547" s="197">
        <f t="shared" ca="1" si="93"/>
        <v>5.9327029796524321E-7</v>
      </c>
      <c r="F547" s="137">
        <f t="shared" ca="1" si="94"/>
        <v>9.5368602892965626</v>
      </c>
      <c r="G547" s="137">
        <f t="shared" ca="1" si="95"/>
        <v>12.166048659957131</v>
      </c>
      <c r="H547" s="152">
        <f t="shared" ca="1" si="96"/>
        <v>1.53756052724542</v>
      </c>
      <c r="I547" s="152">
        <f t="shared" ca="1" si="97"/>
        <v>6.2771350172769289E-2</v>
      </c>
      <c r="J547" s="190">
        <f t="shared" ca="1" si="98"/>
        <v>0</v>
      </c>
      <c r="K547" s="187" t="str" cm="1">
        <f t="array" aca="1" ref="K547" ca="1">_xlfn.IFS(G547&lt;$B$11,"Fail",G547&lt;25,"Marginal",G547&lt;35,"Solid",TRUE,"Blowout")</f>
        <v>Fail</v>
      </c>
      <c r="L547" s="193">
        <f t="shared" ca="1" si="88"/>
        <v>1</v>
      </c>
      <c r="M547" s="184" t="str" cm="1">
        <f t="array" aca="1" ref="M547" ca="1">_xlfn.IFS(C547&lt;$B$11,"Fail",C547&lt;25,"Marginal",C547&lt;35,"Solid",TRUE,"Blowout")</f>
        <v>Blowout</v>
      </c>
    </row>
    <row r="548" spans="1:13" x14ac:dyDescent="0.25">
      <c r="A548" s="138">
        <f t="shared" ca="1" si="89"/>
        <v>28.256993052017506</v>
      </c>
      <c r="B548" s="137">
        <f t="shared" ca="1" si="90"/>
        <v>10.39680621380178</v>
      </c>
      <c r="C548" s="137">
        <f t="shared" ca="1" si="91"/>
        <v>17.860186838215725</v>
      </c>
      <c r="D548" s="152">
        <f t="shared" ca="1" si="92"/>
        <v>2.2571928700279789</v>
      </c>
      <c r="E548" s="197">
        <f t="shared" ca="1" si="93"/>
        <v>1.2471707873547611E-2</v>
      </c>
      <c r="F548" s="137">
        <f t="shared" ca="1" si="94"/>
        <v>1.1533549006653858</v>
      </c>
      <c r="G548" s="137">
        <f t="shared" ca="1" si="95"/>
        <v>-9.2434513131363936</v>
      </c>
      <c r="H548" s="152">
        <f t="shared" ca="1" si="96"/>
        <v>-1.1681989996778004</v>
      </c>
      <c r="I548" s="152">
        <f t="shared" ca="1" si="97"/>
        <v>0.87802671160697876</v>
      </c>
      <c r="J548" s="190">
        <f t="shared" ca="1" si="98"/>
        <v>0</v>
      </c>
      <c r="K548" s="187" t="str" cm="1">
        <f t="array" aca="1" ref="K548" ca="1">_xlfn.IFS(G548&lt;$B$11,"Fail",G548&lt;25,"Marginal",G548&lt;35,"Solid",TRUE,"Blowout")</f>
        <v>Fail</v>
      </c>
      <c r="L548" s="193">
        <f t="shared" ca="1" si="88"/>
        <v>0</v>
      </c>
      <c r="M548" s="184" t="str" cm="1">
        <f t="array" aca="1" ref="M548" ca="1">_xlfn.IFS(C548&lt;$B$11,"Fail",C548&lt;25,"Marginal",C548&lt;35,"Solid",TRUE,"Blowout")</f>
        <v>Fail</v>
      </c>
    </row>
    <row r="549" spans="1:13" x14ac:dyDescent="0.25">
      <c r="A549" s="138">
        <f t="shared" ca="1" si="89"/>
        <v>24.4636390425568</v>
      </c>
      <c r="B549" s="137">
        <f t="shared" ca="1" si="90"/>
        <v>3.1145414320479405</v>
      </c>
      <c r="C549" s="137">
        <f t="shared" ca="1" si="91"/>
        <v>21.34909761050886</v>
      </c>
      <c r="D549" s="152">
        <f t="shared" ca="1" si="92"/>
        <v>2.6981258003897879</v>
      </c>
      <c r="E549" s="197">
        <f t="shared" ca="1" si="93"/>
        <v>3.7473185739239014E-3</v>
      </c>
      <c r="F549" s="137">
        <f t="shared" ca="1" si="94"/>
        <v>29.83314266547665</v>
      </c>
      <c r="G549" s="137">
        <f t="shared" ca="1" si="95"/>
        <v>26.718601233428711</v>
      </c>
      <c r="H549" s="152">
        <f t="shared" ca="1" si="96"/>
        <v>3.3767304198728678</v>
      </c>
      <c r="I549" s="152">
        <f t="shared" ca="1" si="97"/>
        <v>4.3115430178591819E-4</v>
      </c>
      <c r="J549" s="190">
        <f t="shared" ca="1" si="98"/>
        <v>1</v>
      </c>
      <c r="K549" s="187" t="str" cm="1">
        <f t="array" aca="1" ref="K549" ca="1">_xlfn.IFS(G549&lt;$B$11,"Fail",G549&lt;25,"Marginal",G549&lt;35,"Solid",TRUE,"Blowout")</f>
        <v>Solid</v>
      </c>
      <c r="L549" s="193">
        <f t="shared" ca="1" si="88"/>
        <v>1</v>
      </c>
      <c r="M549" s="184" t="str" cm="1">
        <f t="array" aca="1" ref="M549" ca="1">_xlfn.IFS(C549&lt;$B$11,"Fail",C549&lt;25,"Marginal",C549&lt;35,"Solid",TRUE,"Blowout")</f>
        <v>Marginal</v>
      </c>
    </row>
    <row r="550" spans="1:13" x14ac:dyDescent="0.25">
      <c r="A550" s="138">
        <f t="shared" ca="1" si="89"/>
        <v>26.46538571889247</v>
      </c>
      <c r="B550" s="137">
        <f t="shared" ca="1" si="90"/>
        <v>-0.94023507927377103</v>
      </c>
      <c r="C550" s="137">
        <f t="shared" ca="1" si="91"/>
        <v>27.40562079816624</v>
      </c>
      <c r="D550" s="152">
        <f t="shared" ca="1" si="92"/>
        <v>3.4635568163233876</v>
      </c>
      <c r="E550" s="197">
        <f t="shared" ca="1" si="93"/>
        <v>3.1830045534151952E-4</v>
      </c>
      <c r="F550" s="137">
        <f t="shared" ca="1" si="94"/>
        <v>30.809658527910742</v>
      </c>
      <c r="G550" s="137">
        <f t="shared" ca="1" si="95"/>
        <v>31.749893607184511</v>
      </c>
      <c r="H550" s="152">
        <f t="shared" ca="1" si="96"/>
        <v>4.0125914764194794</v>
      </c>
      <c r="I550" s="152">
        <f t="shared" ca="1" si="97"/>
        <v>4.0733896538029415E-5</v>
      </c>
      <c r="J550" s="190">
        <f t="shared" ca="1" si="98"/>
        <v>1</v>
      </c>
      <c r="K550" s="187" t="str" cm="1">
        <f t="array" aca="1" ref="K550" ca="1">_xlfn.IFS(G550&lt;$B$11,"Fail",G550&lt;25,"Marginal",G550&lt;35,"Solid",TRUE,"Blowout")</f>
        <v>Solid</v>
      </c>
      <c r="L550" s="193">
        <f t="shared" ca="1" si="88"/>
        <v>1</v>
      </c>
      <c r="M550" s="184" t="str" cm="1">
        <f t="array" aca="1" ref="M550" ca="1">_xlfn.IFS(C550&lt;$B$11,"Fail",C550&lt;25,"Marginal",C550&lt;35,"Solid",TRUE,"Blowout")</f>
        <v>Solid</v>
      </c>
    </row>
    <row r="551" spans="1:13" x14ac:dyDescent="0.25">
      <c r="A551" s="138">
        <f t="shared" ca="1" si="89"/>
        <v>40.003920585588496</v>
      </c>
      <c r="B551" s="137">
        <f t="shared" ca="1" si="90"/>
        <v>-4.3445736831833397</v>
      </c>
      <c r="C551" s="137">
        <f t="shared" ca="1" si="91"/>
        <v>44.348494268771837</v>
      </c>
      <c r="D551" s="152">
        <f t="shared" ca="1" si="92"/>
        <v>5.6048184695221819</v>
      </c>
      <c r="E551" s="197">
        <f t="shared" ca="1" si="93"/>
        <v>2.9954180839907801E-8</v>
      </c>
      <c r="F551" s="137">
        <f t="shared" ca="1" si="94"/>
        <v>57.465420777757444</v>
      </c>
      <c r="G551" s="137">
        <f t="shared" ca="1" si="95"/>
        <v>61.809994460940786</v>
      </c>
      <c r="H551" s="152">
        <f t="shared" ca="1" si="96"/>
        <v>7.8116248199138383</v>
      </c>
      <c r="I551" s="152">
        <f t="shared" ca="1" si="97"/>
        <v>1.0255027562573184E-13</v>
      </c>
      <c r="J551" s="190">
        <f t="shared" ca="1" si="98"/>
        <v>1</v>
      </c>
      <c r="K551" s="187" t="str" cm="1">
        <f t="array" aca="1" ref="K551" ca="1">_xlfn.IFS(G551&lt;$B$11,"Fail",G551&lt;25,"Marginal",G551&lt;35,"Solid",TRUE,"Blowout")</f>
        <v>Blowout</v>
      </c>
      <c r="L551" s="193">
        <f t="shared" ca="1" si="88"/>
        <v>1</v>
      </c>
      <c r="M551" s="184" t="str" cm="1">
        <f t="array" aca="1" ref="M551" ca="1">_xlfn.IFS(C551&lt;$B$11,"Fail",C551&lt;25,"Marginal",C551&lt;35,"Solid",TRUE,"Blowout")</f>
        <v>Blowout</v>
      </c>
    </row>
    <row r="552" spans="1:13" x14ac:dyDescent="0.25">
      <c r="A552" s="138">
        <f t="shared" ca="1" si="89"/>
        <v>17.853952103893899</v>
      </c>
      <c r="B552" s="137">
        <f t="shared" ca="1" si="90"/>
        <v>10.793247116826866</v>
      </c>
      <c r="C552" s="137">
        <f t="shared" ca="1" si="91"/>
        <v>7.0607049870670338</v>
      </c>
      <c r="D552" s="152">
        <f t="shared" ca="1" si="92"/>
        <v>0.89234077440204895</v>
      </c>
      <c r="E552" s="197">
        <f t="shared" ca="1" si="93"/>
        <v>0.18657555718810753</v>
      </c>
      <c r="F552" s="137">
        <f t="shared" ca="1" si="94"/>
        <v>14.590042980322142</v>
      </c>
      <c r="G552" s="137">
        <f t="shared" ca="1" si="95"/>
        <v>3.7967958634952765</v>
      </c>
      <c r="H552" s="152">
        <f t="shared" ca="1" si="96"/>
        <v>0.47984383532291397</v>
      </c>
      <c r="I552" s="152">
        <f t="shared" ca="1" si="97"/>
        <v>0.31589921597600185</v>
      </c>
      <c r="J552" s="190">
        <f t="shared" ca="1" si="98"/>
        <v>0</v>
      </c>
      <c r="K552" s="187" t="str" cm="1">
        <f t="array" aca="1" ref="K552" ca="1">_xlfn.IFS(G552&lt;$B$11,"Fail",G552&lt;25,"Marginal",G552&lt;35,"Solid",TRUE,"Blowout")</f>
        <v>Fail</v>
      </c>
      <c r="L552" s="193">
        <f t="shared" ca="1" si="88"/>
        <v>0</v>
      </c>
      <c r="M552" s="184" t="str" cm="1">
        <f t="array" aca="1" ref="M552" ca="1">_xlfn.IFS(C552&lt;$B$11,"Fail",C552&lt;25,"Marginal",C552&lt;35,"Solid",TRUE,"Blowout")</f>
        <v>Fail</v>
      </c>
    </row>
    <row r="553" spans="1:13" x14ac:dyDescent="0.25">
      <c r="A553" s="138">
        <f t="shared" ca="1" si="89"/>
        <v>29.644635456193839</v>
      </c>
      <c r="B553" s="137">
        <f t="shared" ca="1" si="90"/>
        <v>11.006084297163316</v>
      </c>
      <c r="C553" s="137">
        <f t="shared" ca="1" si="91"/>
        <v>18.638551159030524</v>
      </c>
      <c r="D553" s="152">
        <f t="shared" ca="1" si="92"/>
        <v>2.3555635316085191</v>
      </c>
      <c r="E553" s="197">
        <f t="shared" ca="1" si="93"/>
        <v>9.6714126282072925E-3</v>
      </c>
      <c r="F553" s="137">
        <f t="shared" ca="1" si="94"/>
        <v>11.755029538742992</v>
      </c>
      <c r="G553" s="137">
        <f t="shared" ca="1" si="95"/>
        <v>0.74894524157967624</v>
      </c>
      <c r="H553" s="152">
        <f t="shared" ca="1" si="96"/>
        <v>9.465264135522973E-2</v>
      </c>
      <c r="I553" s="152">
        <f t="shared" ca="1" si="97"/>
        <v>0.46233693357554279</v>
      </c>
      <c r="J553" s="190">
        <f t="shared" ca="1" si="98"/>
        <v>0</v>
      </c>
      <c r="K553" s="187" t="str" cm="1">
        <f t="array" aca="1" ref="K553" ca="1">_xlfn.IFS(G553&lt;$B$11,"Fail",G553&lt;25,"Marginal",G553&lt;35,"Solid",TRUE,"Blowout")</f>
        <v>Fail</v>
      </c>
      <c r="L553" s="193">
        <f t="shared" ca="1" si="88"/>
        <v>0</v>
      </c>
      <c r="M553" s="184" t="str" cm="1">
        <f t="array" aca="1" ref="M553" ca="1">_xlfn.IFS(C553&lt;$B$11,"Fail",C553&lt;25,"Marginal",C553&lt;35,"Solid",TRUE,"Blowout")</f>
        <v>Fail</v>
      </c>
    </row>
    <row r="554" spans="1:13" x14ac:dyDescent="0.25">
      <c r="A554" s="138">
        <f t="shared" ca="1" si="89"/>
        <v>29.59291661733495</v>
      </c>
      <c r="B554" s="137">
        <f t="shared" ca="1" si="90"/>
        <v>0.24120254786361794</v>
      </c>
      <c r="C554" s="137">
        <f t="shared" ca="1" si="91"/>
        <v>29.351714069471331</v>
      </c>
      <c r="D554" s="152">
        <f t="shared" ca="1" si="92"/>
        <v>3.7095065309702764</v>
      </c>
      <c r="E554" s="197">
        <f t="shared" ca="1" si="93"/>
        <v>1.304534786729882E-4</v>
      </c>
      <c r="F554" s="137">
        <f t="shared" ca="1" si="94"/>
        <v>44.522889195655999</v>
      </c>
      <c r="G554" s="137">
        <f t="shared" ca="1" si="95"/>
        <v>44.281686647792384</v>
      </c>
      <c r="H554" s="152">
        <f t="shared" ca="1" si="96"/>
        <v>5.5963752383788385</v>
      </c>
      <c r="I554" s="152">
        <f t="shared" ca="1" si="97"/>
        <v>3.1264382906880203E-8</v>
      </c>
      <c r="J554" s="190">
        <f t="shared" ca="1" si="98"/>
        <v>1</v>
      </c>
      <c r="K554" s="187" t="str" cm="1">
        <f t="array" aca="1" ref="K554" ca="1">_xlfn.IFS(G554&lt;$B$11,"Fail",G554&lt;25,"Marginal",G554&lt;35,"Solid",TRUE,"Blowout")</f>
        <v>Blowout</v>
      </c>
      <c r="L554" s="193">
        <f t="shared" ca="1" si="88"/>
        <v>1</v>
      </c>
      <c r="M554" s="184" t="str" cm="1">
        <f t="array" aca="1" ref="M554" ca="1">_xlfn.IFS(C554&lt;$B$11,"Fail",C554&lt;25,"Marginal",C554&lt;35,"Solid",TRUE,"Blowout")</f>
        <v>Solid</v>
      </c>
    </row>
    <row r="555" spans="1:13" x14ac:dyDescent="0.25">
      <c r="A555" s="138">
        <f t="shared" ca="1" si="89"/>
        <v>18.497617000392179</v>
      </c>
      <c r="B555" s="137">
        <f t="shared" ca="1" si="90"/>
        <v>5.3549902266015046</v>
      </c>
      <c r="C555" s="137">
        <f t="shared" ca="1" si="91"/>
        <v>13.142626773790674</v>
      </c>
      <c r="D555" s="152">
        <f t="shared" ca="1" si="92"/>
        <v>1.6609816972218627</v>
      </c>
      <c r="E555" s="197">
        <f t="shared" ca="1" si="93"/>
        <v>4.9045794637403002E-2</v>
      </c>
      <c r="F555" s="137">
        <f t="shared" ca="1" si="94"/>
        <v>59.832482578701693</v>
      </c>
      <c r="G555" s="137">
        <f t="shared" ca="1" si="95"/>
        <v>54.477492352100185</v>
      </c>
      <c r="H555" s="152">
        <f t="shared" ca="1" si="96"/>
        <v>6.8849339835041112</v>
      </c>
      <c r="I555" s="152">
        <f t="shared" ca="1" si="97"/>
        <v>2.7743674379127539E-11</v>
      </c>
      <c r="J555" s="190">
        <f t="shared" ca="1" si="98"/>
        <v>1</v>
      </c>
      <c r="K555" s="187" t="str" cm="1">
        <f t="array" aca="1" ref="K555" ca="1">_xlfn.IFS(G555&lt;$B$11,"Fail",G555&lt;25,"Marginal",G555&lt;35,"Solid",TRUE,"Blowout")</f>
        <v>Blowout</v>
      </c>
      <c r="L555" s="193">
        <f t="shared" ca="1" si="88"/>
        <v>0</v>
      </c>
      <c r="M555" s="184" t="str" cm="1">
        <f t="array" aca="1" ref="M555" ca="1">_xlfn.IFS(C555&lt;$B$11,"Fail",C555&lt;25,"Marginal",C555&lt;35,"Solid",TRUE,"Blowout")</f>
        <v>Fail</v>
      </c>
    </row>
    <row r="556" spans="1:13" x14ac:dyDescent="0.25">
      <c r="A556" s="138">
        <f t="shared" ca="1" si="89"/>
        <v>32.370924802289501</v>
      </c>
      <c r="B556" s="137">
        <f t="shared" ca="1" si="90"/>
        <v>7.426409953579495</v>
      </c>
      <c r="C556" s="137">
        <f t="shared" ca="1" si="91"/>
        <v>24.944514848710007</v>
      </c>
      <c r="D556" s="152">
        <f t="shared" ca="1" si="92"/>
        <v>3.1525191518343734</v>
      </c>
      <c r="E556" s="197">
        <f t="shared" ca="1" si="93"/>
        <v>9.1801948973137162E-4</v>
      </c>
      <c r="F556" s="137">
        <f t="shared" ca="1" si="94"/>
        <v>18.109140045779746</v>
      </c>
      <c r="G556" s="137">
        <f t="shared" ca="1" si="95"/>
        <v>10.682730092200252</v>
      </c>
      <c r="H556" s="152">
        <f t="shared" ca="1" si="96"/>
        <v>1.3500968615262643</v>
      </c>
      <c r="I556" s="152">
        <f t="shared" ca="1" si="97"/>
        <v>8.9161821287418883E-2</v>
      </c>
      <c r="J556" s="190">
        <f t="shared" ca="1" si="98"/>
        <v>0</v>
      </c>
      <c r="K556" s="187" t="str" cm="1">
        <f t="array" aca="1" ref="K556" ca="1">_xlfn.IFS(G556&lt;$B$11,"Fail",G556&lt;25,"Marginal",G556&lt;35,"Solid",TRUE,"Blowout")</f>
        <v>Fail</v>
      </c>
      <c r="L556" s="193">
        <f t="shared" ca="1" si="88"/>
        <v>1</v>
      </c>
      <c r="M556" s="184" t="str" cm="1">
        <f t="array" aca="1" ref="M556" ca="1">_xlfn.IFS(C556&lt;$B$11,"Fail",C556&lt;25,"Marginal",C556&lt;35,"Solid",TRUE,"Blowout")</f>
        <v>Marginal</v>
      </c>
    </row>
    <row r="557" spans="1:13" x14ac:dyDescent="0.25">
      <c r="A557" s="138">
        <f t="shared" ca="1" si="89"/>
        <v>-6.4310205198829724</v>
      </c>
      <c r="B557" s="137">
        <f t="shared" ca="1" si="90"/>
        <v>-0.38229246298935848</v>
      </c>
      <c r="C557" s="137">
        <f t="shared" ca="1" si="91"/>
        <v>-6.0487280568936139</v>
      </c>
      <c r="D557" s="152">
        <f t="shared" ca="1" si="92"/>
        <v>-0.76444585750607064</v>
      </c>
      <c r="E557" s="197">
        <f t="shared" ca="1" si="93"/>
        <v>0.77730398644493848</v>
      </c>
      <c r="F557" s="137">
        <f t="shared" ca="1" si="94"/>
        <v>16.054550118953806</v>
      </c>
      <c r="G557" s="137">
        <f t="shared" ca="1" si="95"/>
        <v>16.436842581943164</v>
      </c>
      <c r="H557" s="152">
        <f t="shared" ca="1" si="96"/>
        <v>2.0773088332059619</v>
      </c>
      <c r="I557" s="152">
        <f t="shared" ca="1" si="97"/>
        <v>1.9446504874584141E-2</v>
      </c>
      <c r="J557" s="190">
        <f t="shared" ca="1" si="98"/>
        <v>0</v>
      </c>
      <c r="K557" s="187" t="str" cm="1">
        <f t="array" aca="1" ref="K557" ca="1">_xlfn.IFS(G557&lt;$B$11,"Fail",G557&lt;25,"Marginal",G557&lt;35,"Solid",TRUE,"Blowout")</f>
        <v>Fail</v>
      </c>
      <c r="L557" s="193">
        <f t="shared" ca="1" si="88"/>
        <v>0</v>
      </c>
      <c r="M557" s="184" t="str" cm="1">
        <f t="array" aca="1" ref="M557" ca="1">_xlfn.IFS(C557&lt;$B$11,"Fail",C557&lt;25,"Marginal",C557&lt;35,"Solid",TRUE,"Blowout")</f>
        <v>Fail</v>
      </c>
    </row>
    <row r="558" spans="1:13" x14ac:dyDescent="0.25">
      <c r="A558" s="138">
        <f t="shared" ca="1" si="89"/>
        <v>41.195174717276586</v>
      </c>
      <c r="B558" s="137">
        <f t="shared" ca="1" si="90"/>
        <v>5.2606246588406949</v>
      </c>
      <c r="C558" s="137">
        <f t="shared" ca="1" si="91"/>
        <v>35.934550058435889</v>
      </c>
      <c r="D558" s="152">
        <f t="shared" ca="1" si="92"/>
        <v>4.5414536205192455</v>
      </c>
      <c r="E558" s="197">
        <f t="shared" ca="1" si="93"/>
        <v>4.5260341178823808E-6</v>
      </c>
      <c r="F558" s="137">
        <f t="shared" ca="1" si="94"/>
        <v>27.485151905823745</v>
      </c>
      <c r="G558" s="137">
        <f t="shared" ca="1" si="95"/>
        <v>22.224527246983051</v>
      </c>
      <c r="H558" s="152">
        <f t="shared" ca="1" si="96"/>
        <v>2.8087636986133733</v>
      </c>
      <c r="I558" s="152">
        <f t="shared" ca="1" si="97"/>
        <v>2.702346158262012E-3</v>
      </c>
      <c r="J558" s="190">
        <f t="shared" ca="1" si="98"/>
        <v>1</v>
      </c>
      <c r="K558" s="187" t="str" cm="1">
        <f t="array" aca="1" ref="K558" ca="1">_xlfn.IFS(G558&lt;$B$11,"Fail",G558&lt;25,"Marginal",G558&lt;35,"Solid",TRUE,"Blowout")</f>
        <v>Marginal</v>
      </c>
      <c r="L558" s="193">
        <f t="shared" ca="1" si="88"/>
        <v>1</v>
      </c>
      <c r="M558" s="184" t="str" cm="1">
        <f t="array" aca="1" ref="M558" ca="1">_xlfn.IFS(C558&lt;$B$11,"Fail",C558&lt;25,"Marginal",C558&lt;35,"Solid",TRUE,"Blowout")</f>
        <v>Blowout</v>
      </c>
    </row>
    <row r="559" spans="1:13" x14ac:dyDescent="0.25">
      <c r="A559" s="138">
        <f t="shared" ca="1" si="89"/>
        <v>14.309724404207831</v>
      </c>
      <c r="B559" s="137">
        <f t="shared" ca="1" si="90"/>
        <v>7.6548926173731866</v>
      </c>
      <c r="C559" s="137">
        <f t="shared" ca="1" si="91"/>
        <v>6.6548317868346443</v>
      </c>
      <c r="D559" s="152">
        <f t="shared" ca="1" si="92"/>
        <v>0.84104600901136883</v>
      </c>
      <c r="E559" s="197">
        <f t="shared" ca="1" si="93"/>
        <v>0.20060167603716128</v>
      </c>
      <c r="F559" s="137">
        <f t="shared" ca="1" si="94"/>
        <v>26.736190853688029</v>
      </c>
      <c r="G559" s="137">
        <f t="shared" ca="1" si="95"/>
        <v>19.081298236314844</v>
      </c>
      <c r="H559" s="152">
        <f t="shared" ca="1" si="96"/>
        <v>2.4115184639462668</v>
      </c>
      <c r="I559" s="152">
        <f t="shared" ca="1" si="97"/>
        <v>8.339020992496898E-3</v>
      </c>
      <c r="J559" s="190">
        <f t="shared" ca="1" si="98"/>
        <v>0</v>
      </c>
      <c r="K559" s="187" t="str" cm="1">
        <f t="array" aca="1" ref="K559" ca="1">_xlfn.IFS(G559&lt;$B$11,"Fail",G559&lt;25,"Marginal",G559&lt;35,"Solid",TRUE,"Blowout")</f>
        <v>Fail</v>
      </c>
      <c r="L559" s="193">
        <f t="shared" ca="1" si="88"/>
        <v>0</v>
      </c>
      <c r="M559" s="184" t="str" cm="1">
        <f t="array" aca="1" ref="M559" ca="1">_xlfn.IFS(C559&lt;$B$11,"Fail",C559&lt;25,"Marginal",C559&lt;35,"Solid",TRUE,"Blowout")</f>
        <v>Fail</v>
      </c>
    </row>
    <row r="560" spans="1:13" x14ac:dyDescent="0.25">
      <c r="A560" s="138">
        <f t="shared" ca="1" si="89"/>
        <v>0.73748337564490996</v>
      </c>
      <c r="B560" s="137">
        <f t="shared" ca="1" si="90"/>
        <v>-0.45592623936805499</v>
      </c>
      <c r="C560" s="137">
        <f t="shared" ca="1" si="91"/>
        <v>1.1934096150129649</v>
      </c>
      <c r="D560" s="152">
        <f t="shared" ca="1" si="92"/>
        <v>0.15082460773961379</v>
      </c>
      <c r="E560" s="197">
        <f t="shared" ca="1" si="93"/>
        <v>0.44012371363043584</v>
      </c>
      <c r="F560" s="137">
        <f t="shared" ca="1" si="94"/>
        <v>9.5631246814523827</v>
      </c>
      <c r="G560" s="137">
        <f t="shared" ca="1" si="95"/>
        <v>10.019050920820437</v>
      </c>
      <c r="H560" s="152">
        <f t="shared" ca="1" si="96"/>
        <v>1.266220253336523</v>
      </c>
      <c r="I560" s="152">
        <f t="shared" ca="1" si="97"/>
        <v>0.10336320135865974</v>
      </c>
      <c r="J560" s="190">
        <f t="shared" ca="1" si="98"/>
        <v>0</v>
      </c>
      <c r="K560" s="187" t="str" cm="1">
        <f t="array" aca="1" ref="K560" ca="1">_xlfn.IFS(G560&lt;$B$11,"Fail",G560&lt;25,"Marginal",G560&lt;35,"Solid",TRUE,"Blowout")</f>
        <v>Fail</v>
      </c>
      <c r="L560" s="193">
        <f t="shared" ca="1" si="88"/>
        <v>0</v>
      </c>
      <c r="M560" s="184" t="str" cm="1">
        <f t="array" aca="1" ref="M560" ca="1">_xlfn.IFS(C560&lt;$B$11,"Fail",C560&lt;25,"Marginal",C560&lt;35,"Solid",TRUE,"Blowout")</f>
        <v>Fail</v>
      </c>
    </row>
    <row r="561" spans="1:13" x14ac:dyDescent="0.25">
      <c r="A561" s="138">
        <f t="shared" ca="1" si="89"/>
        <v>28.565358939146932</v>
      </c>
      <c r="B561" s="137">
        <f t="shared" ca="1" si="90"/>
        <v>-1.1098943455999732</v>
      </c>
      <c r="C561" s="137">
        <f t="shared" ca="1" si="91"/>
        <v>29.675253284746905</v>
      </c>
      <c r="D561" s="152">
        <f t="shared" ca="1" si="92"/>
        <v>3.7503958238152908</v>
      </c>
      <c r="E561" s="197">
        <f t="shared" ca="1" si="93"/>
        <v>1.1195860387543882E-4</v>
      </c>
      <c r="F561" s="137">
        <f t="shared" ca="1" si="94"/>
        <v>4.4406840862288375</v>
      </c>
      <c r="G561" s="137">
        <f t="shared" ca="1" si="95"/>
        <v>5.5505784318288107</v>
      </c>
      <c r="H561" s="152">
        <f t="shared" ca="1" si="96"/>
        <v>0.70148908151661427</v>
      </c>
      <c r="I561" s="152">
        <f t="shared" ca="1" si="97"/>
        <v>0.24185661768641992</v>
      </c>
      <c r="J561" s="190">
        <f t="shared" ca="1" si="98"/>
        <v>0</v>
      </c>
      <c r="K561" s="187" t="str" cm="1">
        <f t="array" aca="1" ref="K561" ca="1">_xlfn.IFS(G561&lt;$B$11,"Fail",G561&lt;25,"Marginal",G561&lt;35,"Solid",TRUE,"Blowout")</f>
        <v>Fail</v>
      </c>
      <c r="L561" s="193">
        <f t="shared" ca="1" si="88"/>
        <v>1</v>
      </c>
      <c r="M561" s="184" t="str" cm="1">
        <f t="array" aca="1" ref="M561" ca="1">_xlfn.IFS(C561&lt;$B$11,"Fail",C561&lt;25,"Marginal",C561&lt;35,"Solid",TRUE,"Blowout")</f>
        <v>Solid</v>
      </c>
    </row>
    <row r="562" spans="1:13" x14ac:dyDescent="0.25">
      <c r="A562" s="138">
        <f t="shared" ca="1" si="89"/>
        <v>77.622135734277506</v>
      </c>
      <c r="B562" s="137">
        <f t="shared" ca="1" si="90"/>
        <v>10.691212579515696</v>
      </c>
      <c r="C562" s="137">
        <f t="shared" ca="1" si="91"/>
        <v>66.930923154761814</v>
      </c>
      <c r="D562" s="152">
        <f t="shared" ca="1" si="92"/>
        <v>8.4588142272990794</v>
      </c>
      <c r="E562" s="197">
        <f t="shared" ca="1" si="93"/>
        <v>1.6344997320932251E-15</v>
      </c>
      <c r="F562" s="137">
        <f t="shared" ca="1" si="94"/>
        <v>19.244774397996064</v>
      </c>
      <c r="G562" s="137">
        <f t="shared" ca="1" si="95"/>
        <v>8.5535618184803681</v>
      </c>
      <c r="H562" s="152">
        <f t="shared" ca="1" si="96"/>
        <v>1.0810098978755287</v>
      </c>
      <c r="I562" s="152">
        <f t="shared" ca="1" si="97"/>
        <v>0.14041739677885909</v>
      </c>
      <c r="J562" s="190">
        <f t="shared" ca="1" si="98"/>
        <v>0</v>
      </c>
      <c r="K562" s="187" t="str" cm="1">
        <f t="array" aca="1" ref="K562" ca="1">_xlfn.IFS(G562&lt;$B$11,"Fail",G562&lt;25,"Marginal",G562&lt;35,"Solid",TRUE,"Blowout")</f>
        <v>Fail</v>
      </c>
      <c r="L562" s="193">
        <f t="shared" ca="1" si="88"/>
        <v>1</v>
      </c>
      <c r="M562" s="184" t="str" cm="1">
        <f t="array" aca="1" ref="M562" ca="1">_xlfn.IFS(C562&lt;$B$11,"Fail",C562&lt;25,"Marginal",C562&lt;35,"Solid",TRUE,"Blowout")</f>
        <v>Blowout</v>
      </c>
    </row>
    <row r="563" spans="1:13" x14ac:dyDescent="0.25">
      <c r="A563" s="138">
        <f t="shared" ca="1" si="89"/>
        <v>18.559642250662012</v>
      </c>
      <c r="B563" s="137">
        <f t="shared" ca="1" si="90"/>
        <v>8.1088873263643713</v>
      </c>
      <c r="C563" s="137">
        <f t="shared" ca="1" si="91"/>
        <v>10.450754924297641</v>
      </c>
      <c r="D563" s="152">
        <f t="shared" ca="1" si="92"/>
        <v>1.3207795481209568</v>
      </c>
      <c r="E563" s="197">
        <f t="shared" ca="1" si="93"/>
        <v>9.3949508643770052E-2</v>
      </c>
      <c r="F563" s="137">
        <f t="shared" ca="1" si="94"/>
        <v>11.978199130530722</v>
      </c>
      <c r="G563" s="137">
        <f t="shared" ca="1" si="95"/>
        <v>3.869311804166351</v>
      </c>
      <c r="H563" s="152">
        <f t="shared" ca="1" si="96"/>
        <v>0.48900849108653044</v>
      </c>
      <c r="I563" s="152">
        <f t="shared" ca="1" si="97"/>
        <v>0.31265287583731116</v>
      </c>
      <c r="J563" s="190">
        <f t="shared" ca="1" si="98"/>
        <v>0</v>
      </c>
      <c r="K563" s="187" t="str" cm="1">
        <f t="array" aca="1" ref="K563" ca="1">_xlfn.IFS(G563&lt;$B$11,"Fail",G563&lt;25,"Marginal",G563&lt;35,"Solid",TRUE,"Blowout")</f>
        <v>Fail</v>
      </c>
      <c r="L563" s="193">
        <f t="shared" ca="1" si="88"/>
        <v>0</v>
      </c>
      <c r="M563" s="184" t="str" cm="1">
        <f t="array" aca="1" ref="M563" ca="1">_xlfn.IFS(C563&lt;$B$11,"Fail",C563&lt;25,"Marginal",C563&lt;35,"Solid",TRUE,"Blowout")</f>
        <v>Fail</v>
      </c>
    </row>
    <row r="564" spans="1:13" x14ac:dyDescent="0.25">
      <c r="A564" s="138">
        <f t="shared" ca="1" si="89"/>
        <v>40.292228041448084</v>
      </c>
      <c r="B564" s="137">
        <f t="shared" ca="1" si="90"/>
        <v>3.6521037245122279</v>
      </c>
      <c r="C564" s="137">
        <f t="shared" ca="1" si="91"/>
        <v>36.640124316935854</v>
      </c>
      <c r="D564" s="152">
        <f t="shared" ca="1" si="92"/>
        <v>4.6306249824981505</v>
      </c>
      <c r="E564" s="197">
        <f t="shared" ca="1" si="93"/>
        <v>3.0622470500199191E-6</v>
      </c>
      <c r="F564" s="137">
        <f t="shared" ca="1" si="94"/>
        <v>55.423251956353084</v>
      </c>
      <c r="G564" s="137">
        <f t="shared" ca="1" si="95"/>
        <v>51.771148231840854</v>
      </c>
      <c r="H564" s="152">
        <f t="shared" ca="1" si="96"/>
        <v>6.5429028106263152</v>
      </c>
      <c r="I564" s="152">
        <f t="shared" ca="1" si="97"/>
        <v>1.9650157655834738E-10</v>
      </c>
      <c r="J564" s="190">
        <f t="shared" ca="1" si="98"/>
        <v>1</v>
      </c>
      <c r="K564" s="187" t="str" cm="1">
        <f t="array" aca="1" ref="K564" ca="1">_xlfn.IFS(G564&lt;$B$11,"Fail",G564&lt;25,"Marginal",G564&lt;35,"Solid",TRUE,"Blowout")</f>
        <v>Blowout</v>
      </c>
      <c r="L564" s="193">
        <f t="shared" ca="1" si="88"/>
        <v>1</v>
      </c>
      <c r="M564" s="184" t="str" cm="1">
        <f t="array" aca="1" ref="M564" ca="1">_xlfn.IFS(C564&lt;$B$11,"Fail",C564&lt;25,"Marginal",C564&lt;35,"Solid",TRUE,"Blowout")</f>
        <v>Blowout</v>
      </c>
    </row>
    <row r="565" spans="1:13" x14ac:dyDescent="0.25">
      <c r="A565" s="138">
        <f t="shared" ca="1" si="89"/>
        <v>25.188931005427307</v>
      </c>
      <c r="B565" s="137">
        <f t="shared" ca="1" si="90"/>
        <v>8.9550373914829073</v>
      </c>
      <c r="C565" s="137">
        <f t="shared" ca="1" si="91"/>
        <v>16.233893613944399</v>
      </c>
      <c r="D565" s="152">
        <f t="shared" ca="1" si="92"/>
        <v>2.0516598874420713</v>
      </c>
      <c r="E565" s="197">
        <f t="shared" ca="1" si="93"/>
        <v>2.0672705171679229E-2</v>
      </c>
      <c r="F565" s="137">
        <f t="shared" ca="1" si="94"/>
        <v>35.438690663173873</v>
      </c>
      <c r="G565" s="137">
        <f t="shared" ca="1" si="95"/>
        <v>26.483653271690965</v>
      </c>
      <c r="H565" s="152">
        <f t="shared" ca="1" si="96"/>
        <v>3.3470374010446826</v>
      </c>
      <c r="I565" s="152">
        <f t="shared" ca="1" si="97"/>
        <v>4.7764543785688954E-4</v>
      </c>
      <c r="J565" s="190">
        <f t="shared" ca="1" si="98"/>
        <v>1</v>
      </c>
      <c r="K565" s="187" t="str" cm="1">
        <f t="array" aca="1" ref="K565" ca="1">_xlfn.IFS(G565&lt;$B$11,"Fail",G565&lt;25,"Marginal",G565&lt;35,"Solid",TRUE,"Blowout")</f>
        <v>Solid</v>
      </c>
      <c r="L565" s="193">
        <f t="shared" ca="1" si="88"/>
        <v>0</v>
      </c>
      <c r="M565" s="184" t="str" cm="1">
        <f t="array" aca="1" ref="M565" ca="1">_xlfn.IFS(C565&lt;$B$11,"Fail",C565&lt;25,"Marginal",C565&lt;35,"Solid",TRUE,"Blowout")</f>
        <v>Fail</v>
      </c>
    </row>
    <row r="566" spans="1:13" x14ac:dyDescent="0.25">
      <c r="A566" s="138">
        <f t="shared" ca="1" si="89"/>
        <v>11.95366244345324</v>
      </c>
      <c r="B566" s="137">
        <f t="shared" ca="1" si="90"/>
        <v>3.0783520218879437</v>
      </c>
      <c r="C566" s="137">
        <f t="shared" ca="1" si="91"/>
        <v>8.8753104215652954</v>
      </c>
      <c r="D566" s="152">
        <f t="shared" ca="1" si="92"/>
        <v>1.1216728909003717</v>
      </c>
      <c r="E566" s="197">
        <f t="shared" ca="1" si="93"/>
        <v>0.13159073532551879</v>
      </c>
      <c r="F566" s="137">
        <f t="shared" ca="1" si="94"/>
        <v>34.908689073582899</v>
      </c>
      <c r="G566" s="137">
        <f t="shared" ca="1" si="95"/>
        <v>31.830337051694954</v>
      </c>
      <c r="H566" s="152">
        <f t="shared" ca="1" si="96"/>
        <v>4.0227580200863651</v>
      </c>
      <c r="I566" s="152">
        <f t="shared" ca="1" si="97"/>
        <v>3.9126343948023801E-5</v>
      </c>
      <c r="J566" s="190">
        <f t="shared" ca="1" si="98"/>
        <v>1</v>
      </c>
      <c r="K566" s="187" t="str" cm="1">
        <f t="array" aca="1" ref="K566" ca="1">_xlfn.IFS(G566&lt;$B$11,"Fail",G566&lt;25,"Marginal",G566&lt;35,"Solid",TRUE,"Blowout")</f>
        <v>Solid</v>
      </c>
      <c r="L566" s="193">
        <f t="shared" ca="1" si="88"/>
        <v>0</v>
      </c>
      <c r="M566" s="184" t="str" cm="1">
        <f t="array" aca="1" ref="M566" ca="1">_xlfn.IFS(C566&lt;$B$11,"Fail",C566&lt;25,"Marginal",C566&lt;35,"Solid",TRUE,"Blowout")</f>
        <v>Fail</v>
      </c>
    </row>
    <row r="567" spans="1:13" x14ac:dyDescent="0.25">
      <c r="A567" s="138">
        <f t="shared" ca="1" si="89"/>
        <v>70.989166715635207</v>
      </c>
      <c r="B567" s="137">
        <f t="shared" ca="1" si="90"/>
        <v>3.2083970304686247</v>
      </c>
      <c r="C567" s="137">
        <f t="shared" ca="1" si="91"/>
        <v>67.780769685166575</v>
      </c>
      <c r="D567" s="152">
        <f t="shared" ca="1" si="92"/>
        <v>8.5662189004093907</v>
      </c>
      <c r="E567" s="197">
        <f t="shared" ca="1" si="93"/>
        <v>8.0921180415875948E-16</v>
      </c>
      <c r="F567" s="137">
        <f t="shared" ca="1" si="94"/>
        <v>39.026738847847881</v>
      </c>
      <c r="G567" s="137">
        <f t="shared" ca="1" si="95"/>
        <v>35.818341817379256</v>
      </c>
      <c r="H567" s="152">
        <f t="shared" ca="1" si="96"/>
        <v>4.5267670768941661</v>
      </c>
      <c r="I567" s="152">
        <f t="shared" ca="1" si="97"/>
        <v>4.8241947677077618E-6</v>
      </c>
      <c r="J567" s="190">
        <f t="shared" ca="1" si="98"/>
        <v>1</v>
      </c>
      <c r="K567" s="187" t="str" cm="1">
        <f t="array" aca="1" ref="K567" ca="1">_xlfn.IFS(G567&lt;$B$11,"Fail",G567&lt;25,"Marginal",G567&lt;35,"Solid",TRUE,"Blowout")</f>
        <v>Blowout</v>
      </c>
      <c r="L567" s="193">
        <f t="shared" ca="1" si="88"/>
        <v>1</v>
      </c>
      <c r="M567" s="184" t="str" cm="1">
        <f t="array" aca="1" ref="M567" ca="1">_xlfn.IFS(C567&lt;$B$11,"Fail",C567&lt;25,"Marginal",C567&lt;35,"Solid",TRUE,"Blowout")</f>
        <v>Blowout</v>
      </c>
    </row>
    <row r="568" spans="1:13" x14ac:dyDescent="0.25">
      <c r="A568" s="138">
        <f t="shared" ca="1" si="89"/>
        <v>27.207723901135257</v>
      </c>
      <c r="B568" s="137">
        <f t="shared" ca="1" si="90"/>
        <v>-0.95259409447790944</v>
      </c>
      <c r="C568" s="137">
        <f t="shared" ca="1" si="91"/>
        <v>28.160317995613166</v>
      </c>
      <c r="D568" s="152">
        <f t="shared" ca="1" si="92"/>
        <v>3.5589363970936345</v>
      </c>
      <c r="E568" s="197">
        <f t="shared" ca="1" si="93"/>
        <v>2.2649845763244417E-4</v>
      </c>
      <c r="F568" s="137">
        <f t="shared" ca="1" si="94"/>
        <v>4.9469718738994937</v>
      </c>
      <c r="G568" s="137">
        <f t="shared" ca="1" si="95"/>
        <v>5.8995659683774031</v>
      </c>
      <c r="H568" s="152">
        <f t="shared" ca="1" si="96"/>
        <v>0.74559456520285372</v>
      </c>
      <c r="I568" s="152">
        <f t="shared" ca="1" si="97"/>
        <v>0.22834016329663021</v>
      </c>
      <c r="J568" s="190">
        <f t="shared" ca="1" si="98"/>
        <v>0</v>
      </c>
      <c r="K568" s="187" t="str" cm="1">
        <f t="array" aca="1" ref="K568" ca="1">_xlfn.IFS(G568&lt;$B$11,"Fail",G568&lt;25,"Marginal",G568&lt;35,"Solid",TRUE,"Blowout")</f>
        <v>Fail</v>
      </c>
      <c r="L568" s="193">
        <f t="shared" ca="1" si="88"/>
        <v>1</v>
      </c>
      <c r="M568" s="184" t="str" cm="1">
        <f t="array" aca="1" ref="M568" ca="1">_xlfn.IFS(C568&lt;$B$11,"Fail",C568&lt;25,"Marginal",C568&lt;35,"Solid",TRUE,"Blowout")</f>
        <v>Solid</v>
      </c>
    </row>
    <row r="569" spans="1:13" x14ac:dyDescent="0.25">
      <c r="A569" s="138">
        <f t="shared" ca="1" si="89"/>
        <v>49.397964514226885</v>
      </c>
      <c r="B569" s="137">
        <f t="shared" ca="1" si="90"/>
        <v>5.789512257751646</v>
      </c>
      <c r="C569" s="137">
        <f t="shared" ca="1" si="91"/>
        <v>43.608452256475239</v>
      </c>
      <c r="D569" s="152">
        <f t="shared" ca="1" si="92"/>
        <v>5.5112910294786754</v>
      </c>
      <c r="E569" s="197">
        <f t="shared" ca="1" si="93"/>
        <v>4.8007071366898496E-8</v>
      </c>
      <c r="F569" s="137">
        <f t="shared" ca="1" si="94"/>
        <v>41.770120985883793</v>
      </c>
      <c r="G569" s="137">
        <f t="shared" ca="1" si="95"/>
        <v>35.980608728132147</v>
      </c>
      <c r="H569" s="152">
        <f t="shared" ca="1" si="96"/>
        <v>4.5472745731096698</v>
      </c>
      <c r="I569" s="152">
        <f t="shared" ca="1" si="97"/>
        <v>4.4128331580078458E-6</v>
      </c>
      <c r="J569" s="190">
        <f t="shared" ca="1" si="98"/>
        <v>1</v>
      </c>
      <c r="K569" s="187" t="str" cm="1">
        <f t="array" aca="1" ref="K569" ca="1">_xlfn.IFS(G569&lt;$B$11,"Fail",G569&lt;25,"Marginal",G569&lt;35,"Solid",TRUE,"Blowout")</f>
        <v>Blowout</v>
      </c>
      <c r="L569" s="193">
        <f t="shared" ca="1" si="88"/>
        <v>1</v>
      </c>
      <c r="M569" s="184" t="str" cm="1">
        <f t="array" aca="1" ref="M569" ca="1">_xlfn.IFS(C569&lt;$B$11,"Fail",C569&lt;25,"Marginal",C569&lt;35,"Solid",TRUE,"Blowout")</f>
        <v>Blowout</v>
      </c>
    </row>
    <row r="570" spans="1:13" x14ac:dyDescent="0.25">
      <c r="A570" s="138">
        <f t="shared" ca="1" si="89"/>
        <v>0.9636108201810083</v>
      </c>
      <c r="B570" s="137">
        <f t="shared" ca="1" si="90"/>
        <v>-3.8867248590215677</v>
      </c>
      <c r="C570" s="137">
        <f t="shared" ca="1" si="91"/>
        <v>4.8503356792025762</v>
      </c>
      <c r="D570" s="152">
        <f t="shared" ca="1" si="92"/>
        <v>0.61299152195387197</v>
      </c>
      <c r="E570" s="197">
        <f t="shared" ca="1" si="93"/>
        <v>0.27024645548956983</v>
      </c>
      <c r="F570" s="137">
        <f t="shared" ca="1" si="94"/>
        <v>42.315710154993795</v>
      </c>
      <c r="G570" s="137">
        <f t="shared" ca="1" si="95"/>
        <v>46.202435014015364</v>
      </c>
      <c r="H570" s="152">
        <f t="shared" ca="1" si="96"/>
        <v>5.8391218320527445</v>
      </c>
      <c r="I570" s="152">
        <f t="shared" ca="1" si="97"/>
        <v>8.9688052592924865E-9</v>
      </c>
      <c r="J570" s="190">
        <f t="shared" ca="1" si="98"/>
        <v>1</v>
      </c>
      <c r="K570" s="187" t="str" cm="1">
        <f t="array" aca="1" ref="K570" ca="1">_xlfn.IFS(G570&lt;$B$11,"Fail",G570&lt;25,"Marginal",G570&lt;35,"Solid",TRUE,"Blowout")</f>
        <v>Blowout</v>
      </c>
      <c r="L570" s="193">
        <f t="shared" ca="1" si="88"/>
        <v>0</v>
      </c>
      <c r="M570" s="184" t="str" cm="1">
        <f t="array" aca="1" ref="M570" ca="1">_xlfn.IFS(C570&lt;$B$11,"Fail",C570&lt;25,"Marginal",C570&lt;35,"Solid",TRUE,"Blowout")</f>
        <v>Fail</v>
      </c>
    </row>
    <row r="571" spans="1:13" x14ac:dyDescent="0.25">
      <c r="A571" s="138">
        <f t="shared" ca="1" si="89"/>
        <v>25.143046197287006</v>
      </c>
      <c r="B571" s="137">
        <f t="shared" ca="1" si="90"/>
        <v>8.5855644803219349</v>
      </c>
      <c r="C571" s="137">
        <f t="shared" ca="1" si="91"/>
        <v>16.557481716965071</v>
      </c>
      <c r="D571" s="152">
        <f t="shared" ca="1" si="92"/>
        <v>2.0925553587817824</v>
      </c>
      <c r="E571" s="197">
        <f t="shared" ca="1" si="93"/>
        <v>1.8747505944413635E-2</v>
      </c>
      <c r="F571" s="137">
        <f t="shared" ca="1" si="94"/>
        <v>27.425921269348731</v>
      </c>
      <c r="G571" s="137">
        <f t="shared" ca="1" si="95"/>
        <v>18.840356789026796</v>
      </c>
      <c r="H571" s="152">
        <f t="shared" ca="1" si="96"/>
        <v>2.3810679808780204</v>
      </c>
      <c r="I571" s="152">
        <f t="shared" ca="1" si="97"/>
        <v>9.0424807926215156E-3</v>
      </c>
      <c r="J571" s="190">
        <f t="shared" ca="1" si="98"/>
        <v>0</v>
      </c>
      <c r="K571" s="187" t="str" cm="1">
        <f t="array" aca="1" ref="K571" ca="1">_xlfn.IFS(G571&lt;$B$11,"Fail",G571&lt;25,"Marginal",G571&lt;35,"Solid",TRUE,"Blowout")</f>
        <v>Fail</v>
      </c>
      <c r="L571" s="193">
        <f t="shared" ca="1" si="88"/>
        <v>0</v>
      </c>
      <c r="M571" s="184" t="str" cm="1">
        <f t="array" aca="1" ref="M571" ca="1">_xlfn.IFS(C571&lt;$B$11,"Fail",C571&lt;25,"Marginal",C571&lt;35,"Solid",TRUE,"Blowout")</f>
        <v>Fail</v>
      </c>
    </row>
    <row r="572" spans="1:13" x14ac:dyDescent="0.25">
      <c r="A572" s="138">
        <f t="shared" ca="1" si="89"/>
        <v>59.374611450865785</v>
      </c>
      <c r="B572" s="137">
        <f t="shared" ca="1" si="90"/>
        <v>7.1614417490986533</v>
      </c>
      <c r="C572" s="137">
        <f t="shared" ca="1" si="91"/>
        <v>52.213169701767129</v>
      </c>
      <c r="D572" s="152">
        <f t="shared" ca="1" si="92"/>
        <v>6.598766039793774</v>
      </c>
      <c r="E572" s="197">
        <f t="shared" ca="1" si="93"/>
        <v>1.4334448526644831E-10</v>
      </c>
      <c r="F572" s="137">
        <f t="shared" ca="1" si="94"/>
        <v>29.71526467561495</v>
      </c>
      <c r="G572" s="137">
        <f t="shared" ca="1" si="95"/>
        <v>22.553822926516297</v>
      </c>
      <c r="H572" s="152">
        <f t="shared" ca="1" si="96"/>
        <v>2.8503805006494551</v>
      </c>
      <c r="I572" s="152">
        <f t="shared" ca="1" si="97"/>
        <v>2.3834413359081577E-3</v>
      </c>
      <c r="J572" s="190">
        <f t="shared" ca="1" si="98"/>
        <v>1</v>
      </c>
      <c r="K572" s="187" t="str" cm="1">
        <f t="array" aca="1" ref="K572" ca="1">_xlfn.IFS(G572&lt;$B$11,"Fail",G572&lt;25,"Marginal",G572&lt;35,"Solid",TRUE,"Blowout")</f>
        <v>Marginal</v>
      </c>
      <c r="L572" s="193">
        <f t="shared" ca="1" si="88"/>
        <v>1</v>
      </c>
      <c r="M572" s="184" t="str" cm="1">
        <f t="array" aca="1" ref="M572" ca="1">_xlfn.IFS(C572&lt;$B$11,"Fail",C572&lt;25,"Marginal",C572&lt;35,"Solid",TRUE,"Blowout")</f>
        <v>Blowout</v>
      </c>
    </row>
    <row r="573" spans="1:13" x14ac:dyDescent="0.25">
      <c r="A573" s="138">
        <f t="shared" ca="1" si="89"/>
        <v>34.539145463552146</v>
      </c>
      <c r="B573" s="137">
        <f t="shared" ca="1" si="90"/>
        <v>2.7687495156832154</v>
      </c>
      <c r="C573" s="137">
        <f t="shared" ca="1" si="91"/>
        <v>31.770395947868931</v>
      </c>
      <c r="D573" s="152">
        <f t="shared" ca="1" si="92"/>
        <v>4.0151825880148371</v>
      </c>
      <c r="E573" s="197">
        <f t="shared" ca="1" si="93"/>
        <v>4.0318319881327917E-5</v>
      </c>
      <c r="F573" s="137">
        <f t="shared" ca="1" si="94"/>
        <v>21.686090890573077</v>
      </c>
      <c r="G573" s="137">
        <f t="shared" ca="1" si="95"/>
        <v>18.917341374889862</v>
      </c>
      <c r="H573" s="152">
        <f t="shared" ca="1" si="96"/>
        <v>2.3907973896398791</v>
      </c>
      <c r="I573" s="152">
        <f t="shared" ca="1" si="97"/>
        <v>8.8122283837069985E-3</v>
      </c>
      <c r="J573" s="190">
        <f t="shared" ca="1" si="98"/>
        <v>0</v>
      </c>
      <c r="K573" s="187" t="str" cm="1">
        <f t="array" aca="1" ref="K573" ca="1">_xlfn.IFS(G573&lt;$B$11,"Fail",G573&lt;25,"Marginal",G573&lt;35,"Solid",TRUE,"Blowout")</f>
        <v>Fail</v>
      </c>
      <c r="L573" s="193">
        <f t="shared" ca="1" si="88"/>
        <v>1</v>
      </c>
      <c r="M573" s="184" t="str" cm="1">
        <f t="array" aca="1" ref="M573" ca="1">_xlfn.IFS(C573&lt;$B$11,"Fail",C573&lt;25,"Marginal",C573&lt;35,"Solid",TRUE,"Blowout")</f>
        <v>Solid</v>
      </c>
    </row>
    <row r="574" spans="1:13" x14ac:dyDescent="0.25">
      <c r="A574" s="138">
        <f t="shared" ca="1" si="89"/>
        <v>39.985475119325301</v>
      </c>
      <c r="B574" s="137">
        <f t="shared" ca="1" si="90"/>
        <v>0.21618520992292556</v>
      </c>
      <c r="C574" s="137">
        <f t="shared" ca="1" si="91"/>
        <v>39.769289909402374</v>
      </c>
      <c r="D574" s="152">
        <f t="shared" ca="1" si="92"/>
        <v>5.0260928646895735</v>
      </c>
      <c r="E574" s="197">
        <f t="shared" ca="1" si="93"/>
        <v>5.0588087228760492E-7</v>
      </c>
      <c r="F574" s="137">
        <f t="shared" ca="1" si="94"/>
        <v>14.315451512883241</v>
      </c>
      <c r="G574" s="137">
        <f t="shared" ca="1" si="95"/>
        <v>14.099266302960316</v>
      </c>
      <c r="H574" s="152">
        <f t="shared" ca="1" si="96"/>
        <v>1.781883003797688</v>
      </c>
      <c r="I574" s="152">
        <f t="shared" ca="1" si="97"/>
        <v>3.8049605675516643E-2</v>
      </c>
      <c r="J574" s="190">
        <f t="shared" ca="1" si="98"/>
        <v>0</v>
      </c>
      <c r="K574" s="187" t="str" cm="1">
        <f t="array" aca="1" ref="K574" ca="1">_xlfn.IFS(G574&lt;$B$11,"Fail",G574&lt;25,"Marginal",G574&lt;35,"Solid",TRUE,"Blowout")</f>
        <v>Fail</v>
      </c>
      <c r="L574" s="193">
        <f t="shared" ca="1" si="88"/>
        <v>1</v>
      </c>
      <c r="M574" s="184" t="str" cm="1">
        <f t="array" aca="1" ref="M574" ca="1">_xlfn.IFS(C574&lt;$B$11,"Fail",C574&lt;25,"Marginal",C574&lt;35,"Solid",TRUE,"Blowout")</f>
        <v>Blowout</v>
      </c>
    </row>
    <row r="575" spans="1:13" x14ac:dyDescent="0.25">
      <c r="A575" s="138">
        <f t="shared" ca="1" si="89"/>
        <v>30.630096980813999</v>
      </c>
      <c r="B575" s="137">
        <f t="shared" ca="1" si="90"/>
        <v>7.6994472326544194</v>
      </c>
      <c r="C575" s="137">
        <f t="shared" ca="1" si="91"/>
        <v>22.930649748159581</v>
      </c>
      <c r="D575" s="152">
        <f t="shared" ca="1" si="92"/>
        <v>2.8980043481911029</v>
      </c>
      <c r="E575" s="197">
        <f t="shared" ca="1" si="93"/>
        <v>2.06081841239616E-3</v>
      </c>
      <c r="F575" s="137">
        <f t="shared" ca="1" si="94"/>
        <v>14.645922695749769</v>
      </c>
      <c r="G575" s="137">
        <f t="shared" ca="1" si="95"/>
        <v>6.94647546309535</v>
      </c>
      <c r="H575" s="152">
        <f t="shared" ca="1" si="96"/>
        <v>0.87790430353020599</v>
      </c>
      <c r="I575" s="152">
        <f t="shared" ca="1" si="97"/>
        <v>0.19045990948513675</v>
      </c>
      <c r="J575" s="190">
        <f t="shared" ca="1" si="98"/>
        <v>0</v>
      </c>
      <c r="K575" s="187" t="str" cm="1">
        <f t="array" aca="1" ref="K575" ca="1">_xlfn.IFS(G575&lt;$B$11,"Fail",G575&lt;25,"Marginal",G575&lt;35,"Solid",TRUE,"Blowout")</f>
        <v>Fail</v>
      </c>
      <c r="L575" s="193">
        <f t="shared" ca="1" si="88"/>
        <v>1</v>
      </c>
      <c r="M575" s="184" t="str" cm="1">
        <f t="array" aca="1" ref="M575" ca="1">_xlfn.IFS(C575&lt;$B$11,"Fail",C575&lt;25,"Marginal",C575&lt;35,"Solid",TRUE,"Blowout")</f>
        <v>Marginal</v>
      </c>
    </row>
    <row r="576" spans="1:13" x14ac:dyDescent="0.25">
      <c r="A576" s="138">
        <f t="shared" ca="1" si="89"/>
        <v>13.712641244313385</v>
      </c>
      <c r="B576" s="137">
        <f t="shared" ca="1" si="90"/>
        <v>5.9606614015614481</v>
      </c>
      <c r="C576" s="137">
        <f t="shared" ca="1" si="91"/>
        <v>7.7519798427519371</v>
      </c>
      <c r="D576" s="152">
        <f t="shared" ca="1" si="92"/>
        <v>0.97970495987310446</v>
      </c>
      <c r="E576" s="197">
        <f t="shared" ca="1" si="93"/>
        <v>0.16413508805510652</v>
      </c>
      <c r="F576" s="137">
        <f t="shared" ca="1" si="94"/>
        <v>14.237938982986398</v>
      </c>
      <c r="G576" s="137">
        <f t="shared" ca="1" si="95"/>
        <v>8.2772775814249506</v>
      </c>
      <c r="H576" s="152">
        <f t="shared" ca="1" si="96"/>
        <v>1.046092748596428</v>
      </c>
      <c r="I576" s="152">
        <f t="shared" ca="1" si="97"/>
        <v>0.14831297878505262</v>
      </c>
      <c r="J576" s="190">
        <f t="shared" ca="1" si="98"/>
        <v>0</v>
      </c>
      <c r="K576" s="187" t="str" cm="1">
        <f t="array" aca="1" ref="K576" ca="1">_xlfn.IFS(G576&lt;$B$11,"Fail",G576&lt;25,"Marginal",G576&lt;35,"Solid",TRUE,"Blowout")</f>
        <v>Fail</v>
      </c>
      <c r="L576" s="193">
        <f t="shared" ca="1" si="88"/>
        <v>0</v>
      </c>
      <c r="M576" s="184" t="str" cm="1">
        <f t="array" aca="1" ref="M576" ca="1">_xlfn.IFS(C576&lt;$B$11,"Fail",C576&lt;25,"Marginal",C576&lt;35,"Solid",TRUE,"Blowout")</f>
        <v>Fail</v>
      </c>
    </row>
    <row r="577" spans="1:13" x14ac:dyDescent="0.25">
      <c r="A577" s="138">
        <f t="shared" ca="1" si="89"/>
        <v>27.714021393342332</v>
      </c>
      <c r="B577" s="137">
        <f t="shared" ca="1" si="90"/>
        <v>4.7111669719261826</v>
      </c>
      <c r="C577" s="137">
        <f t="shared" ca="1" si="91"/>
        <v>23.002854421416149</v>
      </c>
      <c r="D577" s="152">
        <f t="shared" ca="1" si="92"/>
        <v>2.9071296655874863</v>
      </c>
      <c r="E577" s="197">
        <f t="shared" ca="1" si="93"/>
        <v>2.0037546528593408E-3</v>
      </c>
      <c r="F577" s="137">
        <f t="shared" ca="1" si="94"/>
        <v>43.157097672639807</v>
      </c>
      <c r="G577" s="137">
        <f t="shared" ca="1" si="95"/>
        <v>38.445930700713625</v>
      </c>
      <c r="H577" s="152">
        <f t="shared" ca="1" si="96"/>
        <v>4.8588450639024829</v>
      </c>
      <c r="I577" s="152">
        <f t="shared" ca="1" si="97"/>
        <v>1.0979044738421667E-6</v>
      </c>
      <c r="J577" s="190">
        <f t="shared" ca="1" si="98"/>
        <v>1</v>
      </c>
      <c r="K577" s="187" t="str" cm="1">
        <f t="array" aca="1" ref="K577" ca="1">_xlfn.IFS(G577&lt;$B$11,"Fail",G577&lt;25,"Marginal",G577&lt;35,"Solid",TRUE,"Blowout")</f>
        <v>Blowout</v>
      </c>
      <c r="L577" s="193">
        <f t="shared" ca="1" si="88"/>
        <v>1</v>
      </c>
      <c r="M577" s="184" t="str" cm="1">
        <f t="array" aca="1" ref="M577" ca="1">_xlfn.IFS(C577&lt;$B$11,"Fail",C577&lt;25,"Marginal",C577&lt;35,"Solid",TRUE,"Blowout")</f>
        <v>Marginal</v>
      </c>
    </row>
    <row r="578" spans="1:13" x14ac:dyDescent="0.25">
      <c r="A578" s="138">
        <f t="shared" ca="1" si="89"/>
        <v>51.051023844199214</v>
      </c>
      <c r="B578" s="137">
        <f t="shared" ca="1" si="90"/>
        <v>13.575329481877816</v>
      </c>
      <c r="C578" s="137">
        <f t="shared" ca="1" si="91"/>
        <v>37.475694362321399</v>
      </c>
      <c r="D578" s="152">
        <f t="shared" ca="1" si="92"/>
        <v>4.7362253754804682</v>
      </c>
      <c r="E578" s="197">
        <f t="shared" ca="1" si="93"/>
        <v>1.9138286820880316E-6</v>
      </c>
      <c r="F578" s="137">
        <f t="shared" ca="1" si="94"/>
        <v>17.818315791104737</v>
      </c>
      <c r="G578" s="137">
        <f t="shared" ca="1" si="95"/>
        <v>4.2429863092269215</v>
      </c>
      <c r="H578" s="152">
        <f t="shared" ca="1" si="96"/>
        <v>0.53623394489472909</v>
      </c>
      <c r="I578" s="152">
        <f t="shared" ca="1" si="97"/>
        <v>0.29615982667553131</v>
      </c>
      <c r="J578" s="190">
        <f t="shared" ca="1" si="98"/>
        <v>0</v>
      </c>
      <c r="K578" s="187" t="str" cm="1">
        <f t="array" aca="1" ref="K578" ca="1">_xlfn.IFS(G578&lt;$B$11,"Fail",G578&lt;25,"Marginal",G578&lt;35,"Solid",TRUE,"Blowout")</f>
        <v>Fail</v>
      </c>
      <c r="L578" s="193">
        <f t="shared" ca="1" si="88"/>
        <v>1</v>
      </c>
      <c r="M578" s="184" t="str" cm="1">
        <f t="array" aca="1" ref="M578" ca="1">_xlfn.IFS(C578&lt;$B$11,"Fail",C578&lt;25,"Marginal",C578&lt;35,"Solid",TRUE,"Blowout")</f>
        <v>Blowout</v>
      </c>
    </row>
    <row r="579" spans="1:13" x14ac:dyDescent="0.25">
      <c r="A579" s="138">
        <f t="shared" ca="1" si="89"/>
        <v>27.425476651881031</v>
      </c>
      <c r="B579" s="137">
        <f t="shared" ca="1" si="90"/>
        <v>9.8732001544576136</v>
      </c>
      <c r="C579" s="137">
        <f t="shared" ca="1" si="91"/>
        <v>17.552276497423417</v>
      </c>
      <c r="D579" s="152">
        <f t="shared" ca="1" si="92"/>
        <v>2.2182787739919201</v>
      </c>
      <c r="E579" s="197">
        <f t="shared" ca="1" si="93"/>
        <v>1.3760972776535964E-2</v>
      </c>
      <c r="F579" s="137">
        <f t="shared" ca="1" si="94"/>
        <v>-1.253290182400133</v>
      </c>
      <c r="G579" s="137">
        <f t="shared" ca="1" si="95"/>
        <v>-11.126490336857746</v>
      </c>
      <c r="H579" s="152">
        <f t="shared" ca="1" si="96"/>
        <v>-1.4061798392305913</v>
      </c>
      <c r="I579" s="152">
        <f t="shared" ca="1" si="97"/>
        <v>0.9194839371655269</v>
      </c>
      <c r="J579" s="190">
        <f t="shared" ca="1" si="98"/>
        <v>0</v>
      </c>
      <c r="K579" s="187" t="str" cm="1">
        <f t="array" aca="1" ref="K579" ca="1">_xlfn.IFS(G579&lt;$B$11,"Fail",G579&lt;25,"Marginal",G579&lt;35,"Solid",TRUE,"Blowout")</f>
        <v>Fail</v>
      </c>
      <c r="L579" s="193">
        <f t="shared" ca="1" si="88"/>
        <v>0</v>
      </c>
      <c r="M579" s="184" t="str" cm="1">
        <f t="array" aca="1" ref="M579" ca="1">_xlfn.IFS(C579&lt;$B$11,"Fail",C579&lt;25,"Marginal",C579&lt;35,"Solid",TRUE,"Blowout")</f>
        <v>Fail</v>
      </c>
    </row>
    <row r="580" spans="1:13" x14ac:dyDescent="0.25">
      <c r="A580" s="138">
        <f t="shared" ca="1" si="89"/>
        <v>20.667862631905173</v>
      </c>
      <c r="B580" s="137">
        <f t="shared" ca="1" si="90"/>
        <v>-3.3839214345844688</v>
      </c>
      <c r="C580" s="137">
        <f t="shared" ca="1" si="91"/>
        <v>24.051784066489642</v>
      </c>
      <c r="D580" s="152">
        <f t="shared" ca="1" si="92"/>
        <v>3.0396947130569112</v>
      </c>
      <c r="E580" s="197">
        <f t="shared" ca="1" si="93"/>
        <v>1.3223720954233524E-3</v>
      </c>
      <c r="F580" s="137">
        <f t="shared" ca="1" si="94"/>
        <v>-5.2025588279537498</v>
      </c>
      <c r="G580" s="137">
        <f t="shared" ca="1" si="95"/>
        <v>-1.818637393369281</v>
      </c>
      <c r="H580" s="152">
        <f t="shared" ca="1" si="96"/>
        <v>-0.22984168053023071</v>
      </c>
      <c r="I580" s="152">
        <f t="shared" ca="1" si="97"/>
        <v>0.59078956827695717</v>
      </c>
      <c r="J580" s="190">
        <f t="shared" ca="1" si="98"/>
        <v>0</v>
      </c>
      <c r="K580" s="187" t="str" cm="1">
        <f t="array" aca="1" ref="K580" ca="1">_xlfn.IFS(G580&lt;$B$11,"Fail",G580&lt;25,"Marginal",G580&lt;35,"Solid",TRUE,"Blowout")</f>
        <v>Fail</v>
      </c>
      <c r="L580" s="193">
        <f t="shared" ca="1" si="88"/>
        <v>1</v>
      </c>
      <c r="M580" s="184" t="str" cm="1">
        <f t="array" aca="1" ref="M580" ca="1">_xlfn.IFS(C580&lt;$B$11,"Fail",C580&lt;25,"Marginal",C580&lt;35,"Solid",TRUE,"Blowout")</f>
        <v>Marginal</v>
      </c>
    </row>
    <row r="581" spans="1:13" x14ac:dyDescent="0.25">
      <c r="A581" s="138">
        <f t="shared" ca="1" si="89"/>
        <v>22.291937422357577</v>
      </c>
      <c r="B581" s="137">
        <f t="shared" ca="1" si="90"/>
        <v>10.692845720727771</v>
      </c>
      <c r="C581" s="137">
        <f t="shared" ca="1" si="91"/>
        <v>11.599091701629806</v>
      </c>
      <c r="D581" s="152">
        <f t="shared" ca="1" si="92"/>
        <v>1.4659077939598464</v>
      </c>
      <c r="E581" s="197">
        <f t="shared" ca="1" si="93"/>
        <v>7.2025581617075438E-2</v>
      </c>
      <c r="F581" s="137">
        <f t="shared" ca="1" si="94"/>
        <v>35.5584779370296</v>
      </c>
      <c r="G581" s="137">
        <f t="shared" ca="1" si="95"/>
        <v>24.86563221630183</v>
      </c>
      <c r="H581" s="152">
        <f t="shared" ca="1" si="96"/>
        <v>3.1425498655635384</v>
      </c>
      <c r="I581" s="152">
        <f t="shared" ca="1" si="97"/>
        <v>9.4850065897227759E-4</v>
      </c>
      <c r="J581" s="190">
        <f t="shared" ca="1" si="98"/>
        <v>1</v>
      </c>
      <c r="K581" s="187" t="str" cm="1">
        <f t="array" aca="1" ref="K581" ca="1">_xlfn.IFS(G581&lt;$B$11,"Fail",G581&lt;25,"Marginal",G581&lt;35,"Solid",TRUE,"Blowout")</f>
        <v>Marginal</v>
      </c>
      <c r="L581" s="193">
        <f t="shared" ca="1" si="88"/>
        <v>0</v>
      </c>
      <c r="M581" s="184" t="str" cm="1">
        <f t="array" aca="1" ref="M581" ca="1">_xlfn.IFS(C581&lt;$B$11,"Fail",C581&lt;25,"Marginal",C581&lt;35,"Solid",TRUE,"Blowout")</f>
        <v>Fail</v>
      </c>
    </row>
    <row r="582" spans="1:13" x14ac:dyDescent="0.25">
      <c r="A582" s="138">
        <f t="shared" ca="1" si="89"/>
        <v>32.689238523432998</v>
      </c>
      <c r="B582" s="137">
        <f t="shared" ca="1" si="90"/>
        <v>13.220253383450478</v>
      </c>
      <c r="C582" s="137">
        <f t="shared" ca="1" si="91"/>
        <v>19.468985139982522</v>
      </c>
      <c r="D582" s="152">
        <f t="shared" ca="1" si="92"/>
        <v>2.4605148223096336</v>
      </c>
      <c r="E582" s="197">
        <f t="shared" ca="1" si="93"/>
        <v>7.3083538944256118E-3</v>
      </c>
      <c r="F582" s="137">
        <f t="shared" ca="1" si="94"/>
        <v>9.2241911509696468</v>
      </c>
      <c r="G582" s="137">
        <f t="shared" ca="1" si="95"/>
        <v>-3.9960622324808313</v>
      </c>
      <c r="H582" s="152">
        <f t="shared" ca="1" si="96"/>
        <v>-0.50502736959301198</v>
      </c>
      <c r="I582" s="152">
        <f t="shared" ca="1" si="97"/>
        <v>0.69298629412840118</v>
      </c>
      <c r="J582" s="190">
        <f t="shared" ca="1" si="98"/>
        <v>0</v>
      </c>
      <c r="K582" s="187" t="str" cm="1">
        <f t="array" aca="1" ref="K582" ca="1">_xlfn.IFS(G582&lt;$B$11,"Fail",G582&lt;25,"Marginal",G582&lt;35,"Solid",TRUE,"Blowout")</f>
        <v>Fail</v>
      </c>
      <c r="L582" s="193">
        <f t="shared" ca="1" si="88"/>
        <v>0</v>
      </c>
      <c r="M582" s="184" t="str" cm="1">
        <f t="array" aca="1" ref="M582" ca="1">_xlfn.IFS(C582&lt;$B$11,"Fail",C582&lt;25,"Marginal",C582&lt;35,"Solid",TRUE,"Blowout")</f>
        <v>Fail</v>
      </c>
    </row>
    <row r="583" spans="1:13" x14ac:dyDescent="0.25">
      <c r="A583" s="138">
        <f t="shared" ca="1" si="89"/>
        <v>68.074208208293797</v>
      </c>
      <c r="B583" s="137">
        <f t="shared" ca="1" si="90"/>
        <v>11.938112566898418</v>
      </c>
      <c r="C583" s="137">
        <f t="shared" ca="1" si="91"/>
        <v>56.136095641395379</v>
      </c>
      <c r="D583" s="152">
        <f t="shared" ca="1" si="92"/>
        <v>7.0945503527344389</v>
      </c>
      <c r="E583" s="197">
        <f t="shared" ca="1" si="93"/>
        <v>8.1079635330226581E-12</v>
      </c>
      <c r="F583" s="137">
        <f t="shared" ca="1" si="94"/>
        <v>10.662877185090423</v>
      </c>
      <c r="G583" s="137">
        <f t="shared" ca="1" si="95"/>
        <v>-1.2752353818079953</v>
      </c>
      <c r="H583" s="152">
        <f t="shared" ca="1" si="96"/>
        <v>-0.1611658510349592</v>
      </c>
      <c r="I583" s="152">
        <f t="shared" ca="1" si="97"/>
        <v>0.56394725412440017</v>
      </c>
      <c r="J583" s="190">
        <f t="shared" ca="1" si="98"/>
        <v>0</v>
      </c>
      <c r="K583" s="187" t="str" cm="1">
        <f t="array" aca="1" ref="K583" ca="1">_xlfn.IFS(G583&lt;$B$11,"Fail",G583&lt;25,"Marginal",G583&lt;35,"Solid",TRUE,"Blowout")</f>
        <v>Fail</v>
      </c>
      <c r="L583" s="193">
        <f t="shared" ca="1" si="88"/>
        <v>1</v>
      </c>
      <c r="M583" s="184" t="str" cm="1">
        <f t="array" aca="1" ref="M583" ca="1">_xlfn.IFS(C583&lt;$B$11,"Fail",C583&lt;25,"Marginal",C583&lt;35,"Solid",TRUE,"Blowout")</f>
        <v>Blowout</v>
      </c>
    </row>
    <row r="584" spans="1:13" x14ac:dyDescent="0.25">
      <c r="A584" s="138">
        <f t="shared" ca="1" si="89"/>
        <v>10.432573377662493</v>
      </c>
      <c r="B584" s="137">
        <f t="shared" ca="1" si="90"/>
        <v>8.9107268726667321</v>
      </c>
      <c r="C584" s="137">
        <f t="shared" ca="1" si="91"/>
        <v>1.5218465049957608</v>
      </c>
      <c r="D584" s="152">
        <f t="shared" ca="1" si="92"/>
        <v>0.19233287487246717</v>
      </c>
      <c r="E584" s="197">
        <f t="shared" ca="1" si="93"/>
        <v>0.42382633272355336</v>
      </c>
      <c r="F584" s="137">
        <f t="shared" ca="1" si="94"/>
        <v>-3.2179344078915051</v>
      </c>
      <c r="G584" s="137">
        <f t="shared" ca="1" si="95"/>
        <v>-12.128661280558237</v>
      </c>
      <c r="H584" s="152">
        <f t="shared" ca="1" si="96"/>
        <v>-1.532835463226065</v>
      </c>
      <c r="I584" s="152">
        <f t="shared" ca="1" si="97"/>
        <v>0.93664861206335803</v>
      </c>
      <c r="J584" s="190">
        <f t="shared" ca="1" si="98"/>
        <v>0</v>
      </c>
      <c r="K584" s="187" t="str" cm="1">
        <f t="array" aca="1" ref="K584" ca="1">_xlfn.IFS(G584&lt;$B$11,"Fail",G584&lt;25,"Marginal",G584&lt;35,"Solid",TRUE,"Blowout")</f>
        <v>Fail</v>
      </c>
      <c r="L584" s="193">
        <f t="shared" ca="1" si="88"/>
        <v>0</v>
      </c>
      <c r="M584" s="184" t="str" cm="1">
        <f t="array" aca="1" ref="M584" ca="1">_xlfn.IFS(C584&lt;$B$11,"Fail",C584&lt;25,"Marginal",C584&lt;35,"Solid",TRUE,"Blowout")</f>
        <v>Fail</v>
      </c>
    </row>
    <row r="585" spans="1:13" x14ac:dyDescent="0.25">
      <c r="A585" s="138">
        <f t="shared" ca="1" si="89"/>
        <v>13.98963554990115</v>
      </c>
      <c r="B585" s="137">
        <f t="shared" ca="1" si="90"/>
        <v>-1.9402556338372516</v>
      </c>
      <c r="C585" s="137">
        <f t="shared" ca="1" si="91"/>
        <v>15.929891183738402</v>
      </c>
      <c r="D585" s="152">
        <f t="shared" ca="1" si="92"/>
        <v>2.0132396780597204</v>
      </c>
      <c r="E585" s="197">
        <f t="shared" ca="1" si="93"/>
        <v>2.2632463059475867E-2</v>
      </c>
      <c r="F585" s="137">
        <f t="shared" ca="1" si="94"/>
        <v>26.65875486359057</v>
      </c>
      <c r="G585" s="137">
        <f t="shared" ca="1" si="95"/>
        <v>28.59901049742782</v>
      </c>
      <c r="H585" s="152">
        <f t="shared" ca="1" si="96"/>
        <v>3.6143789070852992</v>
      </c>
      <c r="I585" s="152">
        <f t="shared" ca="1" si="97"/>
        <v>1.8524020929412761E-4</v>
      </c>
      <c r="J585" s="190">
        <f t="shared" ca="1" si="98"/>
        <v>1</v>
      </c>
      <c r="K585" s="187" t="str" cm="1">
        <f t="array" aca="1" ref="K585" ca="1">_xlfn.IFS(G585&lt;$B$11,"Fail",G585&lt;25,"Marginal",G585&lt;35,"Solid",TRUE,"Blowout")</f>
        <v>Solid</v>
      </c>
      <c r="L585" s="193">
        <f t="shared" ca="1" si="88"/>
        <v>0</v>
      </c>
      <c r="M585" s="184" t="str" cm="1">
        <f t="array" aca="1" ref="M585" ca="1">_xlfn.IFS(C585&lt;$B$11,"Fail",C585&lt;25,"Marginal",C585&lt;35,"Solid",TRUE,"Blowout")</f>
        <v>Fail</v>
      </c>
    </row>
    <row r="586" spans="1:13" x14ac:dyDescent="0.25">
      <c r="A586" s="138">
        <f t="shared" ca="1" si="89"/>
        <v>80.329087472409682</v>
      </c>
      <c r="B586" s="137">
        <f t="shared" ca="1" si="90"/>
        <v>12.588276051960504</v>
      </c>
      <c r="C586" s="137">
        <f t="shared" ca="1" si="91"/>
        <v>67.740811420449177</v>
      </c>
      <c r="D586" s="152">
        <f t="shared" ca="1" si="92"/>
        <v>8.5611689246708487</v>
      </c>
      <c r="E586" s="197">
        <f t="shared" ca="1" si="93"/>
        <v>8.3648901689606475E-16</v>
      </c>
      <c r="F586" s="137">
        <f t="shared" ca="1" si="94"/>
        <v>-2.880899205112367</v>
      </c>
      <c r="G586" s="137">
        <f t="shared" ca="1" si="95"/>
        <v>-15.469175257072871</v>
      </c>
      <c r="H586" s="152">
        <f t="shared" ca="1" si="96"/>
        <v>-1.9550138199431286</v>
      </c>
      <c r="I586" s="152">
        <f t="shared" ca="1" si="97"/>
        <v>0.97409827861234177</v>
      </c>
      <c r="J586" s="190">
        <f t="shared" ca="1" si="98"/>
        <v>0</v>
      </c>
      <c r="K586" s="187" t="str" cm="1">
        <f t="array" aca="1" ref="K586" ca="1">_xlfn.IFS(G586&lt;$B$11,"Fail",G586&lt;25,"Marginal",G586&lt;35,"Solid",TRUE,"Blowout")</f>
        <v>Fail</v>
      </c>
      <c r="L586" s="193">
        <f t="shared" ca="1" si="88"/>
        <v>1</v>
      </c>
      <c r="M586" s="184" t="str" cm="1">
        <f t="array" aca="1" ref="M586" ca="1">_xlfn.IFS(C586&lt;$B$11,"Fail",C586&lt;25,"Marginal",C586&lt;35,"Solid",TRUE,"Blowout")</f>
        <v>Blowout</v>
      </c>
    </row>
    <row r="587" spans="1:13" x14ac:dyDescent="0.25">
      <c r="A587" s="138">
        <f t="shared" ca="1" si="89"/>
        <v>44.994248936937637</v>
      </c>
      <c r="B587" s="137">
        <f t="shared" ca="1" si="90"/>
        <v>5.1028722158896436</v>
      </c>
      <c r="C587" s="137">
        <f t="shared" ca="1" si="91"/>
        <v>39.89137672104799</v>
      </c>
      <c r="D587" s="152">
        <f t="shared" ca="1" si="92"/>
        <v>5.0415223494574084</v>
      </c>
      <c r="E587" s="197">
        <f t="shared" ca="1" si="93"/>
        <v>4.7052322089420245E-7</v>
      </c>
      <c r="F587" s="137">
        <f t="shared" ca="1" si="94"/>
        <v>41.283802639345168</v>
      </c>
      <c r="G587" s="137">
        <f t="shared" ca="1" si="95"/>
        <v>36.180930423455521</v>
      </c>
      <c r="H587" s="152">
        <f t="shared" ca="1" si="96"/>
        <v>4.5725914808493098</v>
      </c>
      <c r="I587" s="152">
        <f t="shared" ca="1" si="97"/>
        <v>3.9513954332226831E-6</v>
      </c>
      <c r="J587" s="190">
        <f t="shared" ca="1" si="98"/>
        <v>1</v>
      </c>
      <c r="K587" s="187" t="str" cm="1">
        <f t="array" aca="1" ref="K587" ca="1">_xlfn.IFS(G587&lt;$B$11,"Fail",G587&lt;25,"Marginal",G587&lt;35,"Solid",TRUE,"Blowout")</f>
        <v>Blowout</v>
      </c>
      <c r="L587" s="193">
        <f t="shared" ca="1" si="88"/>
        <v>1</v>
      </c>
      <c r="M587" s="184" t="str" cm="1">
        <f t="array" aca="1" ref="M587" ca="1">_xlfn.IFS(C587&lt;$B$11,"Fail",C587&lt;25,"Marginal",C587&lt;35,"Solid",TRUE,"Blowout")</f>
        <v>Blowout</v>
      </c>
    </row>
    <row r="588" spans="1:13" x14ac:dyDescent="0.25">
      <c r="A588" s="138">
        <f t="shared" ca="1" si="89"/>
        <v>34.299597697286224</v>
      </c>
      <c r="B588" s="137">
        <f t="shared" ca="1" si="90"/>
        <v>8.8894998666227245</v>
      </c>
      <c r="C588" s="137">
        <f t="shared" ca="1" si="91"/>
        <v>25.410097830663499</v>
      </c>
      <c r="D588" s="152">
        <f t="shared" ca="1" si="92"/>
        <v>3.2113601145180972</v>
      </c>
      <c r="E588" s="197">
        <f t="shared" ca="1" si="93"/>
        <v>7.5581325159454742E-4</v>
      </c>
      <c r="F588" s="137">
        <f t="shared" ca="1" si="94"/>
        <v>43.26347741716652</v>
      </c>
      <c r="G588" s="137">
        <f t="shared" ca="1" si="95"/>
        <v>34.373977550543799</v>
      </c>
      <c r="H588" s="152">
        <f t="shared" ca="1" si="96"/>
        <v>4.3442265047066311</v>
      </c>
      <c r="I588" s="152">
        <f t="shared" ca="1" si="97"/>
        <v>1.0522107459833306E-5</v>
      </c>
      <c r="J588" s="190">
        <f t="shared" ca="1" si="98"/>
        <v>1</v>
      </c>
      <c r="K588" s="187" t="str" cm="1">
        <f t="array" aca="1" ref="K588" ca="1">_xlfn.IFS(G588&lt;$B$11,"Fail",G588&lt;25,"Marginal",G588&lt;35,"Solid",TRUE,"Blowout")</f>
        <v>Solid</v>
      </c>
      <c r="L588" s="193">
        <f t="shared" ca="1" si="88"/>
        <v>1</v>
      </c>
      <c r="M588" s="184" t="str" cm="1">
        <f t="array" aca="1" ref="M588" ca="1">_xlfn.IFS(C588&lt;$B$11,"Fail",C588&lt;25,"Marginal",C588&lt;35,"Solid",TRUE,"Blowout")</f>
        <v>Solid</v>
      </c>
    </row>
    <row r="589" spans="1:13" x14ac:dyDescent="0.25">
      <c r="A589" s="138">
        <f t="shared" ca="1" si="89"/>
        <v>35.102076152426932</v>
      </c>
      <c r="B589" s="137">
        <f t="shared" ca="1" si="90"/>
        <v>-0.35847218802479741</v>
      </c>
      <c r="C589" s="137">
        <f t="shared" ca="1" si="91"/>
        <v>35.46054834045173</v>
      </c>
      <c r="D589" s="152">
        <f t="shared" ca="1" si="92"/>
        <v>4.4815486873902399</v>
      </c>
      <c r="E589" s="197">
        <f t="shared" ca="1" si="93"/>
        <v>5.8655049581708359E-6</v>
      </c>
      <c r="F589" s="137">
        <f t="shared" ca="1" si="94"/>
        <v>27.989284468361774</v>
      </c>
      <c r="G589" s="137">
        <f t="shared" ca="1" si="95"/>
        <v>28.347756656386572</v>
      </c>
      <c r="H589" s="152">
        <f t="shared" ca="1" si="96"/>
        <v>3.5826251307277106</v>
      </c>
      <c r="I589" s="152">
        <f t="shared" ca="1" si="97"/>
        <v>2.0791249073171E-4</v>
      </c>
      <c r="J589" s="190">
        <f t="shared" ca="1" si="98"/>
        <v>1</v>
      </c>
      <c r="K589" s="187" t="str" cm="1">
        <f t="array" aca="1" ref="K589" ca="1">_xlfn.IFS(G589&lt;$B$11,"Fail",G589&lt;25,"Marginal",G589&lt;35,"Solid",TRUE,"Blowout")</f>
        <v>Solid</v>
      </c>
      <c r="L589" s="193">
        <f t="shared" ca="1" si="88"/>
        <v>1</v>
      </c>
      <c r="M589" s="184" t="str" cm="1">
        <f t="array" aca="1" ref="M589" ca="1">_xlfn.IFS(C589&lt;$B$11,"Fail",C589&lt;25,"Marginal",C589&lt;35,"Solid",TRUE,"Blowout")</f>
        <v>Blowout</v>
      </c>
    </row>
    <row r="590" spans="1:13" x14ac:dyDescent="0.25">
      <c r="A590" s="138">
        <f t="shared" ca="1" si="89"/>
        <v>54.13994236506295</v>
      </c>
      <c r="B590" s="137">
        <f t="shared" ca="1" si="90"/>
        <v>-1.1590481187815325</v>
      </c>
      <c r="C590" s="137">
        <f t="shared" ca="1" si="91"/>
        <v>55.298990483844484</v>
      </c>
      <c r="D590" s="152">
        <f t="shared" ca="1" si="92"/>
        <v>6.9887559503464125</v>
      </c>
      <c r="E590" s="197">
        <f t="shared" ca="1" si="93"/>
        <v>1.5127711285723274E-11</v>
      </c>
      <c r="F590" s="137">
        <f t="shared" ca="1" si="94"/>
        <v>16.195248788407852</v>
      </c>
      <c r="G590" s="137">
        <f t="shared" ca="1" si="95"/>
        <v>17.354296907189386</v>
      </c>
      <c r="H590" s="152">
        <f t="shared" ca="1" si="96"/>
        <v>2.1932578644384364</v>
      </c>
      <c r="I590" s="152">
        <f t="shared" ca="1" si="97"/>
        <v>1.4649760808628422E-2</v>
      </c>
      <c r="J590" s="190">
        <f t="shared" ca="1" si="98"/>
        <v>0</v>
      </c>
      <c r="K590" s="187" t="str" cm="1">
        <f t="array" aca="1" ref="K590" ca="1">_xlfn.IFS(G590&lt;$B$11,"Fail",G590&lt;25,"Marginal",G590&lt;35,"Solid",TRUE,"Blowout")</f>
        <v>Fail</v>
      </c>
      <c r="L590" s="193">
        <f t="shared" ca="1" si="88"/>
        <v>1</v>
      </c>
      <c r="M590" s="184" t="str" cm="1">
        <f t="array" aca="1" ref="M590" ca="1">_xlfn.IFS(C590&lt;$B$11,"Fail",C590&lt;25,"Marginal",C590&lt;35,"Solid",TRUE,"Blowout")</f>
        <v>Blowout</v>
      </c>
    </row>
    <row r="591" spans="1:13" x14ac:dyDescent="0.25">
      <c r="A591" s="138">
        <f t="shared" ca="1" si="89"/>
        <v>30.705458004150973</v>
      </c>
      <c r="B591" s="137">
        <f t="shared" ca="1" si="90"/>
        <v>3.0299952974744642</v>
      </c>
      <c r="C591" s="137">
        <f t="shared" ca="1" si="91"/>
        <v>27.675462706676509</v>
      </c>
      <c r="D591" s="152">
        <f t="shared" ca="1" si="92"/>
        <v>3.4976597760203632</v>
      </c>
      <c r="E591" s="197">
        <f t="shared" ca="1" si="93"/>
        <v>2.8207226328231226E-4</v>
      </c>
      <c r="F591" s="137">
        <f t="shared" ca="1" si="94"/>
        <v>78.248222624113112</v>
      </c>
      <c r="G591" s="137">
        <f t="shared" ca="1" si="95"/>
        <v>75.21822732663864</v>
      </c>
      <c r="H591" s="152">
        <f t="shared" ca="1" si="96"/>
        <v>9.5061741490042593</v>
      </c>
      <c r="I591" s="152">
        <f t="shared" ca="1" si="97"/>
        <v>1.448789296426421E-18</v>
      </c>
      <c r="J591" s="190">
        <f t="shared" ca="1" si="98"/>
        <v>1</v>
      </c>
      <c r="K591" s="187" t="str" cm="1">
        <f t="array" aca="1" ref="K591" ca="1">_xlfn.IFS(G591&lt;$B$11,"Fail",G591&lt;25,"Marginal",G591&lt;35,"Solid",TRUE,"Blowout")</f>
        <v>Blowout</v>
      </c>
      <c r="L591" s="193">
        <f t="shared" ca="1" si="88"/>
        <v>1</v>
      </c>
      <c r="M591" s="184" t="str" cm="1">
        <f t="array" aca="1" ref="M591" ca="1">_xlfn.IFS(C591&lt;$B$11,"Fail",C591&lt;25,"Marginal",C591&lt;35,"Solid",TRUE,"Blowout")</f>
        <v>Solid</v>
      </c>
    </row>
    <row r="592" spans="1:13" x14ac:dyDescent="0.25">
      <c r="A592" s="138">
        <f t="shared" ca="1" si="89"/>
        <v>27.871730161476094</v>
      </c>
      <c r="B592" s="137">
        <f t="shared" ca="1" si="90"/>
        <v>11.615115328951429</v>
      </c>
      <c r="C592" s="137">
        <f t="shared" ca="1" si="91"/>
        <v>16.256614832524665</v>
      </c>
      <c r="D592" s="152">
        <f t="shared" ca="1" si="92"/>
        <v>2.0545314236159249</v>
      </c>
      <c r="E592" s="197">
        <f t="shared" ca="1" si="93"/>
        <v>2.0532226781160685E-2</v>
      </c>
      <c r="F592" s="137">
        <f t="shared" ca="1" si="94"/>
        <v>34.796107694836628</v>
      </c>
      <c r="G592" s="137">
        <f t="shared" ca="1" si="95"/>
        <v>23.180992365885199</v>
      </c>
      <c r="H592" s="152">
        <f t="shared" ca="1" si="96"/>
        <v>2.9296429630002891</v>
      </c>
      <c r="I592" s="152">
        <f t="shared" ca="1" si="97"/>
        <v>1.8690935999447669E-3</v>
      </c>
      <c r="J592" s="190">
        <f t="shared" ca="1" si="98"/>
        <v>1</v>
      </c>
      <c r="K592" s="187" t="str" cm="1">
        <f t="array" aca="1" ref="K592" ca="1">_xlfn.IFS(G592&lt;$B$11,"Fail",G592&lt;25,"Marginal",G592&lt;35,"Solid",TRUE,"Blowout")</f>
        <v>Marginal</v>
      </c>
      <c r="L592" s="193">
        <f t="shared" ref="L592:L655" ca="1" si="99">IF(AND(E592&lt;$B$10,C592&gt;=$B$11),1,0)</f>
        <v>0</v>
      </c>
      <c r="M592" s="184" t="str" cm="1">
        <f t="array" aca="1" ref="M592" ca="1">_xlfn.IFS(C592&lt;$B$11,"Fail",C592&lt;25,"Marginal",C592&lt;35,"Solid",TRUE,"Blowout")</f>
        <v>Fail</v>
      </c>
    </row>
    <row r="593" spans="1:13" x14ac:dyDescent="0.25">
      <c r="A593" s="138">
        <f t="shared" ref="A593:A656" ca="1" si="100">NORMINV(RAND(), MAX(0, NORMINV(RAND(), $B$6, $B$12)), $B$7/SQRT($B$9))</f>
        <v>50.480364920159381</v>
      </c>
      <c r="B593" s="137">
        <f t="shared" ref="B593:B656" ca="1" si="101">NORMINV(RAND(), $B$8, $B$7/SQRT($B$9))</f>
        <v>0.25108704684772132</v>
      </c>
      <c r="C593" s="137">
        <f t="shared" ref="C593:C656" ca="1" si="102">A593-B593</f>
        <v>50.229277873311659</v>
      </c>
      <c r="D593" s="152">
        <f t="shared" ref="D593:D656" ca="1" si="103">C593/($B$7*SQRT(2/$B$9))</f>
        <v>6.3480392959662817</v>
      </c>
      <c r="E593" s="197">
        <f t="shared" ref="E593:E656" ca="1" si="104">_xlfn.T.DIST.RT(D593, 2*$B$9-2)</f>
        <v>5.8249704954132111E-10</v>
      </c>
      <c r="F593" s="137">
        <f t="shared" ref="F593:F656" ca="1" si="105">NORMINV(RAND(), MAX(0, NORMINV(RAND(), $N$7, $N$8)), $B$7/SQRT($B$9))</f>
        <v>55.393307836762872</v>
      </c>
      <c r="G593" s="137">
        <f t="shared" ref="G593:G656" ca="1" si="106">F593-B593</f>
        <v>55.14222078991515</v>
      </c>
      <c r="H593" s="152">
        <f t="shared" ref="H593:H656" ca="1" si="107">G593/($B$7*SQRT(2/$B$9))</f>
        <v>6.9689431993052757</v>
      </c>
      <c r="I593" s="152">
        <f t="shared" ref="I593:I656" ca="1" si="108">_xlfn.T.DIST.RT(H593, 2*$B$9-2)</f>
        <v>1.6991183106805892E-11</v>
      </c>
      <c r="J593" s="190">
        <f t="shared" ref="J593:J656" ca="1" si="109">IF(AND(I593&lt;$B$10, G593&gt;=$B$11), 1, 0)</f>
        <v>1</v>
      </c>
      <c r="K593" s="187" t="str" cm="1">
        <f t="array" aca="1" ref="K593" ca="1">_xlfn.IFS(G593&lt;$B$11,"Fail",G593&lt;25,"Marginal",G593&lt;35,"Solid",TRUE,"Blowout")</f>
        <v>Blowout</v>
      </c>
      <c r="L593" s="193">
        <f t="shared" ca="1" si="99"/>
        <v>1</v>
      </c>
      <c r="M593" s="184" t="str" cm="1">
        <f t="array" aca="1" ref="M593" ca="1">_xlfn.IFS(C593&lt;$B$11,"Fail",C593&lt;25,"Marginal",C593&lt;35,"Solid",TRUE,"Blowout")</f>
        <v>Blowout</v>
      </c>
    </row>
    <row r="594" spans="1:13" x14ac:dyDescent="0.25">
      <c r="A594" s="138">
        <f t="shared" ca="1" si="100"/>
        <v>46.882792279066173</v>
      </c>
      <c r="B594" s="137">
        <f t="shared" ca="1" si="101"/>
        <v>6.5118672539877585</v>
      </c>
      <c r="C594" s="137">
        <f t="shared" ca="1" si="102"/>
        <v>40.370925025078414</v>
      </c>
      <c r="D594" s="152">
        <f t="shared" ca="1" si="103"/>
        <v>5.1021282671052228</v>
      </c>
      <c r="E594" s="197">
        <f t="shared" ca="1" si="104"/>
        <v>3.5342490624602253E-7</v>
      </c>
      <c r="F594" s="137">
        <f t="shared" ca="1" si="105"/>
        <v>3.5776360586445546</v>
      </c>
      <c r="G594" s="137">
        <f t="shared" ca="1" si="106"/>
        <v>-2.9342311953432039</v>
      </c>
      <c r="H594" s="152">
        <f t="shared" ca="1" si="107"/>
        <v>-0.37083182797230019</v>
      </c>
      <c r="I594" s="152">
        <f t="shared" ca="1" si="108"/>
        <v>0.64444644752226754</v>
      </c>
      <c r="J594" s="190">
        <f t="shared" ca="1" si="109"/>
        <v>0</v>
      </c>
      <c r="K594" s="187" t="str" cm="1">
        <f t="array" aca="1" ref="K594" ca="1">_xlfn.IFS(G594&lt;$B$11,"Fail",G594&lt;25,"Marginal",G594&lt;35,"Solid",TRUE,"Blowout")</f>
        <v>Fail</v>
      </c>
      <c r="L594" s="193">
        <f t="shared" ca="1" si="99"/>
        <v>1</v>
      </c>
      <c r="M594" s="184" t="str" cm="1">
        <f t="array" aca="1" ref="M594" ca="1">_xlfn.IFS(C594&lt;$B$11,"Fail",C594&lt;25,"Marginal",C594&lt;35,"Solid",TRUE,"Blowout")</f>
        <v>Blowout</v>
      </c>
    </row>
    <row r="595" spans="1:13" x14ac:dyDescent="0.25">
      <c r="A595" s="138">
        <f t="shared" ca="1" si="100"/>
        <v>14.726898335516292</v>
      </c>
      <c r="B595" s="137">
        <f t="shared" ca="1" si="101"/>
        <v>4.570793156163762</v>
      </c>
      <c r="C595" s="137">
        <f t="shared" ca="1" si="102"/>
        <v>10.156105179352529</v>
      </c>
      <c r="D595" s="152">
        <f t="shared" ca="1" si="103"/>
        <v>1.2835413428619511</v>
      </c>
      <c r="E595" s="197">
        <f t="shared" ca="1" si="104"/>
        <v>0.10030273167512813</v>
      </c>
      <c r="F595" s="137">
        <f t="shared" ca="1" si="105"/>
        <v>38.870730420716129</v>
      </c>
      <c r="G595" s="137">
        <f t="shared" ca="1" si="106"/>
        <v>34.299937264552369</v>
      </c>
      <c r="H595" s="152">
        <f t="shared" ca="1" si="107"/>
        <v>4.3348692002647153</v>
      </c>
      <c r="I595" s="152">
        <f t="shared" ca="1" si="108"/>
        <v>1.0944043852888123E-5</v>
      </c>
      <c r="J595" s="190">
        <f t="shared" ca="1" si="109"/>
        <v>1</v>
      </c>
      <c r="K595" s="187" t="str" cm="1">
        <f t="array" aca="1" ref="K595" ca="1">_xlfn.IFS(G595&lt;$B$11,"Fail",G595&lt;25,"Marginal",G595&lt;35,"Solid",TRUE,"Blowout")</f>
        <v>Solid</v>
      </c>
      <c r="L595" s="193">
        <f t="shared" ca="1" si="99"/>
        <v>0</v>
      </c>
      <c r="M595" s="184" t="str" cm="1">
        <f t="array" aca="1" ref="M595" ca="1">_xlfn.IFS(C595&lt;$B$11,"Fail",C595&lt;25,"Marginal",C595&lt;35,"Solid",TRUE,"Blowout")</f>
        <v>Fail</v>
      </c>
    </row>
    <row r="596" spans="1:13" x14ac:dyDescent="0.25">
      <c r="A596" s="138">
        <f t="shared" ca="1" si="100"/>
        <v>11.536331529172458</v>
      </c>
      <c r="B596" s="137">
        <f t="shared" ca="1" si="101"/>
        <v>2.9651645456959308E-2</v>
      </c>
      <c r="C596" s="137">
        <f t="shared" ca="1" si="102"/>
        <v>11.506679883715499</v>
      </c>
      <c r="D596" s="152">
        <f t="shared" ca="1" si="103"/>
        <v>1.454228672213137</v>
      </c>
      <c r="E596" s="197">
        <f t="shared" ca="1" si="104"/>
        <v>7.3629057244348858E-2</v>
      </c>
      <c r="F596" s="137">
        <f t="shared" ca="1" si="105"/>
        <v>5.3059137836149768</v>
      </c>
      <c r="G596" s="137">
        <f t="shared" ca="1" si="106"/>
        <v>5.2762621381580175</v>
      </c>
      <c r="H596" s="152">
        <f t="shared" ca="1" si="107"/>
        <v>0.66682064339695601</v>
      </c>
      <c r="I596" s="152">
        <f t="shared" ca="1" si="108"/>
        <v>0.25278047122631336</v>
      </c>
      <c r="J596" s="190">
        <f t="shared" ca="1" si="109"/>
        <v>0</v>
      </c>
      <c r="K596" s="187" t="str" cm="1">
        <f t="array" aca="1" ref="K596" ca="1">_xlfn.IFS(G596&lt;$B$11,"Fail",G596&lt;25,"Marginal",G596&lt;35,"Solid",TRUE,"Blowout")</f>
        <v>Fail</v>
      </c>
      <c r="L596" s="193">
        <f t="shared" ca="1" si="99"/>
        <v>0</v>
      </c>
      <c r="M596" s="184" t="str" cm="1">
        <f t="array" aca="1" ref="M596" ca="1">_xlfn.IFS(C596&lt;$B$11,"Fail",C596&lt;25,"Marginal",C596&lt;35,"Solid",TRUE,"Blowout")</f>
        <v>Fail</v>
      </c>
    </row>
    <row r="597" spans="1:13" x14ac:dyDescent="0.25">
      <c r="A597" s="138">
        <f t="shared" ca="1" si="100"/>
        <v>60.535393160721995</v>
      </c>
      <c r="B597" s="137">
        <f t="shared" ca="1" si="101"/>
        <v>9.0186868849939827</v>
      </c>
      <c r="C597" s="137">
        <f t="shared" ca="1" si="102"/>
        <v>51.516706275728012</v>
      </c>
      <c r="D597" s="152">
        <f t="shared" ca="1" si="103"/>
        <v>6.5107461162772395</v>
      </c>
      <c r="E597" s="197">
        <f t="shared" ca="1" si="104"/>
        <v>2.354398100010896E-10</v>
      </c>
      <c r="F597" s="137">
        <f t="shared" ca="1" si="105"/>
        <v>10.146519286487104</v>
      </c>
      <c r="G597" s="137">
        <f t="shared" ca="1" si="106"/>
        <v>1.1278324014931211</v>
      </c>
      <c r="H597" s="152">
        <f t="shared" ca="1" si="107"/>
        <v>0.14253687703813131</v>
      </c>
      <c r="I597" s="152">
        <f t="shared" ca="1" si="108"/>
        <v>0.44339091597649039</v>
      </c>
      <c r="J597" s="190">
        <f t="shared" ca="1" si="109"/>
        <v>0</v>
      </c>
      <c r="K597" s="187" t="str" cm="1">
        <f t="array" aca="1" ref="K597" ca="1">_xlfn.IFS(G597&lt;$B$11,"Fail",G597&lt;25,"Marginal",G597&lt;35,"Solid",TRUE,"Blowout")</f>
        <v>Fail</v>
      </c>
      <c r="L597" s="193">
        <f t="shared" ca="1" si="99"/>
        <v>1</v>
      </c>
      <c r="M597" s="184" t="str" cm="1">
        <f t="array" aca="1" ref="M597" ca="1">_xlfn.IFS(C597&lt;$B$11,"Fail",C597&lt;25,"Marginal",C597&lt;35,"Solid",TRUE,"Blowout")</f>
        <v>Blowout</v>
      </c>
    </row>
    <row r="598" spans="1:13" x14ac:dyDescent="0.25">
      <c r="A598" s="138">
        <f t="shared" ca="1" si="100"/>
        <v>18.810763351879498</v>
      </c>
      <c r="B598" s="137">
        <f t="shared" ca="1" si="101"/>
        <v>-9.1878705848285946E-2</v>
      </c>
      <c r="C598" s="137">
        <f t="shared" ca="1" si="102"/>
        <v>18.902642057727782</v>
      </c>
      <c r="D598" s="152">
        <f t="shared" ca="1" si="103"/>
        <v>2.3889396714540014</v>
      </c>
      <c r="E598" s="197">
        <f t="shared" ca="1" si="104"/>
        <v>8.8557886503420873E-3</v>
      </c>
      <c r="F598" s="137">
        <f t="shared" ca="1" si="105"/>
        <v>29.725272324196109</v>
      </c>
      <c r="G598" s="137">
        <f t="shared" ca="1" si="106"/>
        <v>29.817151030044393</v>
      </c>
      <c r="H598" s="152">
        <f t="shared" ca="1" si="107"/>
        <v>3.768329039288334</v>
      </c>
      <c r="I598" s="152">
        <f t="shared" ca="1" si="108"/>
        <v>1.0465462451687425E-4</v>
      </c>
      <c r="J598" s="190">
        <f t="shared" ca="1" si="109"/>
        <v>1</v>
      </c>
      <c r="K598" s="187" t="str" cm="1">
        <f t="array" aca="1" ref="K598" ca="1">_xlfn.IFS(G598&lt;$B$11,"Fail",G598&lt;25,"Marginal",G598&lt;35,"Solid",TRUE,"Blowout")</f>
        <v>Solid</v>
      </c>
      <c r="L598" s="193">
        <f t="shared" ca="1" si="99"/>
        <v>0</v>
      </c>
      <c r="M598" s="184" t="str" cm="1">
        <f t="array" aca="1" ref="M598" ca="1">_xlfn.IFS(C598&lt;$B$11,"Fail",C598&lt;25,"Marginal",C598&lt;35,"Solid",TRUE,"Blowout")</f>
        <v>Fail</v>
      </c>
    </row>
    <row r="599" spans="1:13" x14ac:dyDescent="0.25">
      <c r="A599" s="138">
        <f t="shared" ca="1" si="100"/>
        <v>42.62212419702881</v>
      </c>
      <c r="B599" s="137">
        <f t="shared" ca="1" si="101"/>
        <v>2.4267431287027499</v>
      </c>
      <c r="C599" s="137">
        <f t="shared" ca="1" si="102"/>
        <v>40.195381068326057</v>
      </c>
      <c r="D599" s="152">
        <f t="shared" ca="1" si="103"/>
        <v>5.0799428011217378</v>
      </c>
      <c r="E599" s="197">
        <f t="shared" ca="1" si="104"/>
        <v>3.9257144901577312E-7</v>
      </c>
      <c r="F599" s="137">
        <f t="shared" ca="1" si="105"/>
        <v>29.402482418347741</v>
      </c>
      <c r="G599" s="137">
        <f t="shared" ca="1" si="106"/>
        <v>26.975739289644991</v>
      </c>
      <c r="H599" s="152">
        <f t="shared" ca="1" si="107"/>
        <v>3.4092278507430942</v>
      </c>
      <c r="I599" s="152">
        <f t="shared" ca="1" si="108"/>
        <v>3.8513178298136072E-4</v>
      </c>
      <c r="J599" s="190">
        <f t="shared" ca="1" si="109"/>
        <v>1</v>
      </c>
      <c r="K599" s="187" t="str" cm="1">
        <f t="array" aca="1" ref="K599" ca="1">_xlfn.IFS(G599&lt;$B$11,"Fail",G599&lt;25,"Marginal",G599&lt;35,"Solid",TRUE,"Blowout")</f>
        <v>Solid</v>
      </c>
      <c r="L599" s="193">
        <f t="shared" ca="1" si="99"/>
        <v>1</v>
      </c>
      <c r="M599" s="184" t="str" cm="1">
        <f t="array" aca="1" ref="M599" ca="1">_xlfn.IFS(C599&lt;$B$11,"Fail",C599&lt;25,"Marginal",C599&lt;35,"Solid",TRUE,"Blowout")</f>
        <v>Blowout</v>
      </c>
    </row>
    <row r="600" spans="1:13" x14ac:dyDescent="0.25">
      <c r="A600" s="138">
        <f t="shared" ca="1" si="100"/>
        <v>26.94992877847482</v>
      </c>
      <c r="B600" s="137">
        <f t="shared" ca="1" si="101"/>
        <v>8.1179042141523698</v>
      </c>
      <c r="C600" s="137">
        <f t="shared" ca="1" si="102"/>
        <v>18.832024564322452</v>
      </c>
      <c r="D600" s="152">
        <f t="shared" ca="1" si="103"/>
        <v>2.380014943842939</v>
      </c>
      <c r="E600" s="197">
        <f t="shared" ca="1" si="104"/>
        <v>9.0677168793751508E-3</v>
      </c>
      <c r="F600" s="137">
        <f t="shared" ca="1" si="105"/>
        <v>20.321210379692907</v>
      </c>
      <c r="G600" s="137">
        <f t="shared" ca="1" si="106"/>
        <v>12.203306165540537</v>
      </c>
      <c r="H600" s="152">
        <f t="shared" ca="1" si="107"/>
        <v>1.5422691776486706</v>
      </c>
      <c r="I600" s="152">
        <f t="shared" ca="1" si="108"/>
        <v>6.2197479567192369E-2</v>
      </c>
      <c r="J600" s="190">
        <f t="shared" ca="1" si="109"/>
        <v>0</v>
      </c>
      <c r="K600" s="187" t="str" cm="1">
        <f t="array" aca="1" ref="K600" ca="1">_xlfn.IFS(G600&lt;$B$11,"Fail",G600&lt;25,"Marginal",G600&lt;35,"Solid",TRUE,"Blowout")</f>
        <v>Fail</v>
      </c>
      <c r="L600" s="193">
        <f t="shared" ca="1" si="99"/>
        <v>0</v>
      </c>
      <c r="M600" s="184" t="str" cm="1">
        <f t="array" aca="1" ref="M600" ca="1">_xlfn.IFS(C600&lt;$B$11,"Fail",C600&lt;25,"Marginal",C600&lt;35,"Solid",TRUE,"Blowout")</f>
        <v>Fail</v>
      </c>
    </row>
    <row r="601" spans="1:13" x14ac:dyDescent="0.25">
      <c r="A601" s="138">
        <f t="shared" ca="1" si="100"/>
        <v>55.079809127654478</v>
      </c>
      <c r="B601" s="137">
        <f t="shared" ca="1" si="101"/>
        <v>8.0695223043341269</v>
      </c>
      <c r="C601" s="137">
        <f t="shared" ca="1" si="102"/>
        <v>47.010286823320349</v>
      </c>
      <c r="D601" s="152">
        <f t="shared" ca="1" si="103"/>
        <v>5.941219159506268</v>
      </c>
      <c r="E601" s="197">
        <f t="shared" ca="1" si="104"/>
        <v>5.2469048620877061E-9</v>
      </c>
      <c r="F601" s="137">
        <f t="shared" ca="1" si="105"/>
        <v>47.95967479840057</v>
      </c>
      <c r="G601" s="137">
        <f t="shared" ca="1" si="106"/>
        <v>39.890152494066442</v>
      </c>
      <c r="H601" s="152">
        <f t="shared" ca="1" si="107"/>
        <v>5.041367630112136</v>
      </c>
      <c r="I601" s="152">
        <f t="shared" ca="1" si="108"/>
        <v>4.7086558559030838E-7</v>
      </c>
      <c r="J601" s="190">
        <f t="shared" ca="1" si="109"/>
        <v>1</v>
      </c>
      <c r="K601" s="187" t="str" cm="1">
        <f t="array" aca="1" ref="K601" ca="1">_xlfn.IFS(G601&lt;$B$11,"Fail",G601&lt;25,"Marginal",G601&lt;35,"Solid",TRUE,"Blowout")</f>
        <v>Blowout</v>
      </c>
      <c r="L601" s="193">
        <f t="shared" ca="1" si="99"/>
        <v>1</v>
      </c>
      <c r="M601" s="184" t="str" cm="1">
        <f t="array" aca="1" ref="M601" ca="1">_xlfn.IFS(C601&lt;$B$11,"Fail",C601&lt;25,"Marginal",C601&lt;35,"Solid",TRUE,"Blowout")</f>
        <v>Blowout</v>
      </c>
    </row>
    <row r="602" spans="1:13" x14ac:dyDescent="0.25">
      <c r="A602" s="138">
        <f t="shared" ca="1" si="100"/>
        <v>31.039261429856218</v>
      </c>
      <c r="B602" s="137">
        <f t="shared" ca="1" si="101"/>
        <v>15.259680255989224</v>
      </c>
      <c r="C602" s="137">
        <f t="shared" ca="1" si="102"/>
        <v>15.779581173866994</v>
      </c>
      <c r="D602" s="152">
        <f t="shared" ca="1" si="103"/>
        <v>1.9942433100122363</v>
      </c>
      <c r="E602" s="197">
        <f t="shared" ca="1" si="104"/>
        <v>2.3658301050194425E-2</v>
      </c>
      <c r="F602" s="137">
        <f t="shared" ca="1" si="105"/>
        <v>3.0982379781803546</v>
      </c>
      <c r="G602" s="137">
        <f t="shared" ca="1" si="106"/>
        <v>-12.16144227780887</v>
      </c>
      <c r="H602" s="152">
        <f t="shared" ca="1" si="107"/>
        <v>-1.5369783668774541</v>
      </c>
      <c r="I602" s="152">
        <f t="shared" ca="1" si="108"/>
        <v>0.93715741099327332</v>
      </c>
      <c r="J602" s="190">
        <f t="shared" ca="1" si="109"/>
        <v>0</v>
      </c>
      <c r="K602" s="187" t="str" cm="1">
        <f t="array" aca="1" ref="K602" ca="1">_xlfn.IFS(G602&lt;$B$11,"Fail",G602&lt;25,"Marginal",G602&lt;35,"Solid",TRUE,"Blowout")</f>
        <v>Fail</v>
      </c>
      <c r="L602" s="193">
        <f t="shared" ca="1" si="99"/>
        <v>0</v>
      </c>
      <c r="M602" s="184" t="str" cm="1">
        <f t="array" aca="1" ref="M602" ca="1">_xlfn.IFS(C602&lt;$B$11,"Fail",C602&lt;25,"Marginal",C602&lt;35,"Solid",TRUE,"Blowout")</f>
        <v>Fail</v>
      </c>
    </row>
    <row r="603" spans="1:13" x14ac:dyDescent="0.25">
      <c r="A603" s="138">
        <f t="shared" ca="1" si="100"/>
        <v>-6.2729174125532126</v>
      </c>
      <c r="B603" s="137">
        <f t="shared" ca="1" si="101"/>
        <v>1.455325245712173</v>
      </c>
      <c r="C603" s="137">
        <f t="shared" ca="1" si="102"/>
        <v>-7.7282426582653851</v>
      </c>
      <c r="D603" s="152">
        <f t="shared" ca="1" si="103"/>
        <v>-0.97670502465053788</v>
      </c>
      <c r="E603" s="197">
        <f t="shared" ca="1" si="104"/>
        <v>0.83512481915094949</v>
      </c>
      <c r="F603" s="137">
        <f t="shared" ca="1" si="105"/>
        <v>24.734107563761533</v>
      </c>
      <c r="G603" s="137">
        <f t="shared" ca="1" si="106"/>
        <v>23.278782318049359</v>
      </c>
      <c r="H603" s="152">
        <f t="shared" ca="1" si="107"/>
        <v>2.9420017801159655</v>
      </c>
      <c r="I603" s="152">
        <f t="shared" ca="1" si="108"/>
        <v>1.798741255195774E-3</v>
      </c>
      <c r="J603" s="190">
        <f t="shared" ca="1" si="109"/>
        <v>1</v>
      </c>
      <c r="K603" s="187" t="str" cm="1">
        <f t="array" aca="1" ref="K603" ca="1">_xlfn.IFS(G603&lt;$B$11,"Fail",G603&lt;25,"Marginal",G603&lt;35,"Solid",TRUE,"Blowout")</f>
        <v>Marginal</v>
      </c>
      <c r="L603" s="193">
        <f t="shared" ca="1" si="99"/>
        <v>0</v>
      </c>
      <c r="M603" s="184" t="str" cm="1">
        <f t="array" aca="1" ref="M603" ca="1">_xlfn.IFS(C603&lt;$B$11,"Fail",C603&lt;25,"Marginal",C603&lt;35,"Solid",TRUE,"Blowout")</f>
        <v>Fail</v>
      </c>
    </row>
    <row r="604" spans="1:13" x14ac:dyDescent="0.25">
      <c r="A604" s="138">
        <f t="shared" ca="1" si="100"/>
        <v>5.2723689524826138</v>
      </c>
      <c r="B604" s="137">
        <f t="shared" ca="1" si="101"/>
        <v>13.26119578073655</v>
      </c>
      <c r="C604" s="137">
        <f t="shared" ca="1" si="102"/>
        <v>-7.9888268282539361</v>
      </c>
      <c r="D604" s="152">
        <f t="shared" ca="1" si="103"/>
        <v>-1.0096379797124502</v>
      </c>
      <c r="E604" s="197">
        <f t="shared" ca="1" si="104"/>
        <v>0.84313048145225533</v>
      </c>
      <c r="F604" s="137">
        <f t="shared" ca="1" si="105"/>
        <v>40.337378912957867</v>
      </c>
      <c r="G604" s="137">
        <f t="shared" ca="1" si="106"/>
        <v>27.076183132221317</v>
      </c>
      <c r="H604" s="152">
        <f t="shared" ca="1" si="107"/>
        <v>3.421922069866064</v>
      </c>
      <c r="I604" s="152">
        <f t="shared" ca="1" si="108"/>
        <v>3.684346918057647E-4</v>
      </c>
      <c r="J604" s="190">
        <f t="shared" ca="1" si="109"/>
        <v>1</v>
      </c>
      <c r="K604" s="187" t="str" cm="1">
        <f t="array" aca="1" ref="K604" ca="1">_xlfn.IFS(G604&lt;$B$11,"Fail",G604&lt;25,"Marginal",G604&lt;35,"Solid",TRUE,"Blowout")</f>
        <v>Solid</v>
      </c>
      <c r="L604" s="193">
        <f t="shared" ca="1" si="99"/>
        <v>0</v>
      </c>
      <c r="M604" s="184" t="str" cm="1">
        <f t="array" aca="1" ref="M604" ca="1">_xlfn.IFS(C604&lt;$B$11,"Fail",C604&lt;25,"Marginal",C604&lt;35,"Solid",TRUE,"Blowout")</f>
        <v>Fail</v>
      </c>
    </row>
    <row r="605" spans="1:13" x14ac:dyDescent="0.25">
      <c r="A605" s="138">
        <f t="shared" ca="1" si="100"/>
        <v>30.238400169400254</v>
      </c>
      <c r="B605" s="137">
        <f t="shared" ca="1" si="101"/>
        <v>-6.9488441225583859</v>
      </c>
      <c r="C605" s="137">
        <f t="shared" ca="1" si="102"/>
        <v>37.187244291958642</v>
      </c>
      <c r="D605" s="152">
        <f t="shared" ca="1" si="103"/>
        <v>4.6997706928906569</v>
      </c>
      <c r="E605" s="197">
        <f t="shared" ca="1" si="104"/>
        <v>2.2530128294018749E-6</v>
      </c>
      <c r="F605" s="137">
        <f t="shared" ca="1" si="105"/>
        <v>58.661588286088559</v>
      </c>
      <c r="G605" s="137">
        <f t="shared" ca="1" si="106"/>
        <v>65.610432408646943</v>
      </c>
      <c r="H605" s="152">
        <f t="shared" ca="1" si="107"/>
        <v>8.2919289464188832</v>
      </c>
      <c r="I605" s="152">
        <f t="shared" ca="1" si="108"/>
        <v>4.8302834395935176E-15</v>
      </c>
      <c r="J605" s="190">
        <f t="shared" ca="1" si="109"/>
        <v>1</v>
      </c>
      <c r="K605" s="187" t="str" cm="1">
        <f t="array" aca="1" ref="K605" ca="1">_xlfn.IFS(G605&lt;$B$11,"Fail",G605&lt;25,"Marginal",G605&lt;35,"Solid",TRUE,"Blowout")</f>
        <v>Blowout</v>
      </c>
      <c r="L605" s="193">
        <f t="shared" ca="1" si="99"/>
        <v>1</v>
      </c>
      <c r="M605" s="184" t="str" cm="1">
        <f t="array" aca="1" ref="M605" ca="1">_xlfn.IFS(C605&lt;$B$11,"Fail",C605&lt;25,"Marginal",C605&lt;35,"Solid",TRUE,"Blowout")</f>
        <v>Blowout</v>
      </c>
    </row>
    <row r="606" spans="1:13" x14ac:dyDescent="0.25">
      <c r="A606" s="138">
        <f t="shared" ca="1" si="100"/>
        <v>23.018622409070851</v>
      </c>
      <c r="B606" s="137">
        <f t="shared" ca="1" si="101"/>
        <v>6.2342047600812123</v>
      </c>
      <c r="C606" s="137">
        <f t="shared" ca="1" si="102"/>
        <v>16.784417648989638</v>
      </c>
      <c r="D606" s="152">
        <f t="shared" ca="1" si="103"/>
        <v>2.1212358072204833</v>
      </c>
      <c r="E606" s="197">
        <f t="shared" ca="1" si="104"/>
        <v>1.7490817631904586E-2</v>
      </c>
      <c r="F606" s="137">
        <f t="shared" ca="1" si="105"/>
        <v>23.179300901768684</v>
      </c>
      <c r="G606" s="137">
        <f t="shared" ca="1" si="106"/>
        <v>16.945096141687472</v>
      </c>
      <c r="H606" s="152">
        <f t="shared" ca="1" si="107"/>
        <v>2.1415425571649105</v>
      </c>
      <c r="I606" s="152">
        <f t="shared" ca="1" si="108"/>
        <v>1.6645433515783885E-2</v>
      </c>
      <c r="J606" s="190">
        <f t="shared" ca="1" si="109"/>
        <v>0</v>
      </c>
      <c r="K606" s="187" t="str" cm="1">
        <f t="array" aca="1" ref="K606" ca="1">_xlfn.IFS(G606&lt;$B$11,"Fail",G606&lt;25,"Marginal",G606&lt;35,"Solid",TRUE,"Blowout")</f>
        <v>Fail</v>
      </c>
      <c r="L606" s="193">
        <f t="shared" ca="1" si="99"/>
        <v>0</v>
      </c>
      <c r="M606" s="184" t="str" cm="1">
        <f t="array" aca="1" ref="M606" ca="1">_xlfn.IFS(C606&lt;$B$11,"Fail",C606&lt;25,"Marginal",C606&lt;35,"Solid",TRUE,"Blowout")</f>
        <v>Fail</v>
      </c>
    </row>
    <row r="607" spans="1:13" x14ac:dyDescent="0.25">
      <c r="A607" s="138">
        <f t="shared" ca="1" si="100"/>
        <v>17.502778000890267</v>
      </c>
      <c r="B607" s="137">
        <f t="shared" ca="1" si="101"/>
        <v>-0.39005978742762526</v>
      </c>
      <c r="C607" s="137">
        <f t="shared" ca="1" si="102"/>
        <v>17.892837788317891</v>
      </c>
      <c r="D607" s="152">
        <f t="shared" ca="1" si="103"/>
        <v>2.2613193381572234</v>
      </c>
      <c r="E607" s="197">
        <f t="shared" ca="1" si="104"/>
        <v>1.2341373446095079E-2</v>
      </c>
      <c r="F607" s="137">
        <f t="shared" ca="1" si="105"/>
        <v>24.725774963020907</v>
      </c>
      <c r="G607" s="137">
        <f t="shared" ca="1" si="106"/>
        <v>25.115834750448531</v>
      </c>
      <c r="H607" s="152">
        <f t="shared" ca="1" si="107"/>
        <v>3.17417077643388</v>
      </c>
      <c r="I607" s="152">
        <f t="shared" ca="1" si="108"/>
        <v>8.549145612916409E-4</v>
      </c>
      <c r="J607" s="190">
        <f t="shared" ca="1" si="109"/>
        <v>1</v>
      </c>
      <c r="K607" s="187" t="str" cm="1">
        <f t="array" aca="1" ref="K607" ca="1">_xlfn.IFS(G607&lt;$B$11,"Fail",G607&lt;25,"Marginal",G607&lt;35,"Solid",TRUE,"Blowout")</f>
        <v>Solid</v>
      </c>
      <c r="L607" s="193">
        <f t="shared" ca="1" si="99"/>
        <v>0</v>
      </c>
      <c r="M607" s="184" t="str" cm="1">
        <f t="array" aca="1" ref="M607" ca="1">_xlfn.IFS(C607&lt;$B$11,"Fail",C607&lt;25,"Marginal",C607&lt;35,"Solid",TRUE,"Blowout")</f>
        <v>Fail</v>
      </c>
    </row>
    <row r="608" spans="1:13" x14ac:dyDescent="0.25">
      <c r="A608" s="138">
        <f t="shared" ca="1" si="100"/>
        <v>6.3523794986428737</v>
      </c>
      <c r="B608" s="137">
        <f t="shared" ca="1" si="101"/>
        <v>-2.2349380409141091</v>
      </c>
      <c r="C608" s="137">
        <f t="shared" ca="1" si="102"/>
        <v>8.5873175395569827</v>
      </c>
      <c r="D608" s="152">
        <f t="shared" ca="1" si="103"/>
        <v>1.0852759883496639</v>
      </c>
      <c r="E608" s="197">
        <f t="shared" ca="1" si="104"/>
        <v>0.13947280132255502</v>
      </c>
      <c r="F608" s="137">
        <f t="shared" ca="1" si="105"/>
        <v>2.7904941672501855</v>
      </c>
      <c r="G608" s="137">
        <f t="shared" ca="1" si="106"/>
        <v>5.025432208164295</v>
      </c>
      <c r="H608" s="152">
        <f t="shared" ca="1" si="107"/>
        <v>0.63512044145057989</v>
      </c>
      <c r="I608" s="152">
        <f t="shared" ca="1" si="108"/>
        <v>0.26299336416957986</v>
      </c>
      <c r="J608" s="190">
        <f t="shared" ca="1" si="109"/>
        <v>0</v>
      </c>
      <c r="K608" s="187" t="str" cm="1">
        <f t="array" aca="1" ref="K608" ca="1">_xlfn.IFS(G608&lt;$B$11,"Fail",G608&lt;25,"Marginal",G608&lt;35,"Solid",TRUE,"Blowout")</f>
        <v>Fail</v>
      </c>
      <c r="L608" s="193">
        <f t="shared" ca="1" si="99"/>
        <v>0</v>
      </c>
      <c r="M608" s="184" t="str" cm="1">
        <f t="array" aca="1" ref="M608" ca="1">_xlfn.IFS(C608&lt;$B$11,"Fail",C608&lt;25,"Marginal",C608&lt;35,"Solid",TRUE,"Blowout")</f>
        <v>Fail</v>
      </c>
    </row>
    <row r="609" spans="1:13" x14ac:dyDescent="0.25">
      <c r="A609" s="138">
        <f t="shared" ca="1" si="100"/>
        <v>26.166087250514124</v>
      </c>
      <c r="B609" s="137">
        <f t="shared" ca="1" si="101"/>
        <v>4.5523180268289121</v>
      </c>
      <c r="C609" s="137">
        <f t="shared" ca="1" si="102"/>
        <v>21.61376922368521</v>
      </c>
      <c r="D609" s="152">
        <f t="shared" ca="1" si="103"/>
        <v>2.7315753316613289</v>
      </c>
      <c r="E609" s="197">
        <f t="shared" ca="1" si="104"/>
        <v>3.3982606565887636E-3</v>
      </c>
      <c r="F609" s="137">
        <f t="shared" ca="1" si="105"/>
        <v>27.629665589876474</v>
      </c>
      <c r="G609" s="137">
        <f t="shared" ca="1" si="106"/>
        <v>23.07734756304756</v>
      </c>
      <c r="H609" s="152">
        <f t="shared" ca="1" si="107"/>
        <v>2.9165442024946042</v>
      </c>
      <c r="I609" s="152">
        <f t="shared" ca="1" si="108"/>
        <v>1.9463989065538916E-3</v>
      </c>
      <c r="J609" s="190">
        <f t="shared" ca="1" si="109"/>
        <v>1</v>
      </c>
      <c r="K609" s="187" t="str" cm="1">
        <f t="array" aca="1" ref="K609" ca="1">_xlfn.IFS(G609&lt;$B$11,"Fail",G609&lt;25,"Marginal",G609&lt;35,"Solid",TRUE,"Blowout")</f>
        <v>Marginal</v>
      </c>
      <c r="L609" s="193">
        <f t="shared" ca="1" si="99"/>
        <v>1</v>
      </c>
      <c r="M609" s="184" t="str" cm="1">
        <f t="array" aca="1" ref="M609" ca="1">_xlfn.IFS(C609&lt;$B$11,"Fail",C609&lt;25,"Marginal",C609&lt;35,"Solid",TRUE,"Blowout")</f>
        <v>Marginal</v>
      </c>
    </row>
    <row r="610" spans="1:13" x14ac:dyDescent="0.25">
      <c r="A610" s="138">
        <f t="shared" ca="1" si="100"/>
        <v>8.8045490235439736</v>
      </c>
      <c r="B610" s="137">
        <f t="shared" ca="1" si="101"/>
        <v>-4.081596619539134</v>
      </c>
      <c r="C610" s="137">
        <f t="shared" ca="1" si="102"/>
        <v>12.886145643083108</v>
      </c>
      <c r="D610" s="152">
        <f t="shared" ca="1" si="103"/>
        <v>1.6285672894234464</v>
      </c>
      <c r="E610" s="197">
        <f t="shared" ca="1" si="104"/>
        <v>5.2392795789766772E-2</v>
      </c>
      <c r="F610" s="137">
        <f t="shared" ca="1" si="105"/>
        <v>29.962199587351645</v>
      </c>
      <c r="G610" s="137">
        <f t="shared" ca="1" si="106"/>
        <v>34.043796206890775</v>
      </c>
      <c r="H610" s="152">
        <f t="shared" ca="1" si="107"/>
        <v>4.3024977713254566</v>
      </c>
      <c r="I610" s="152">
        <f t="shared" ca="1" si="108"/>
        <v>1.2532335710291463E-5</v>
      </c>
      <c r="J610" s="190">
        <f t="shared" ca="1" si="109"/>
        <v>1</v>
      </c>
      <c r="K610" s="187" t="str" cm="1">
        <f t="array" aca="1" ref="K610" ca="1">_xlfn.IFS(G610&lt;$B$11,"Fail",G610&lt;25,"Marginal",G610&lt;35,"Solid",TRUE,"Blowout")</f>
        <v>Solid</v>
      </c>
      <c r="L610" s="193">
        <f t="shared" ca="1" si="99"/>
        <v>0</v>
      </c>
      <c r="M610" s="184" t="str" cm="1">
        <f t="array" aca="1" ref="M610" ca="1">_xlfn.IFS(C610&lt;$B$11,"Fail",C610&lt;25,"Marginal",C610&lt;35,"Solid",TRUE,"Blowout")</f>
        <v>Fail</v>
      </c>
    </row>
    <row r="611" spans="1:13" x14ac:dyDescent="0.25">
      <c r="A611" s="138">
        <f t="shared" ca="1" si="100"/>
        <v>-5.7936623386211092</v>
      </c>
      <c r="B611" s="137">
        <f t="shared" ca="1" si="101"/>
        <v>-4.8707914084072215</v>
      </c>
      <c r="C611" s="137">
        <f t="shared" ca="1" si="102"/>
        <v>-0.92287093021388777</v>
      </c>
      <c r="D611" s="152">
        <f t="shared" ca="1" si="103"/>
        <v>-0.11663358857913171</v>
      </c>
      <c r="E611" s="197">
        <f t="shared" ca="1" si="104"/>
        <v>0.54637345550344008</v>
      </c>
      <c r="F611" s="137">
        <f t="shared" ca="1" si="105"/>
        <v>26.617899769533679</v>
      </c>
      <c r="G611" s="137">
        <f t="shared" ca="1" si="106"/>
        <v>31.4886911779409</v>
      </c>
      <c r="H611" s="152">
        <f t="shared" ca="1" si="107"/>
        <v>3.9795803849755127</v>
      </c>
      <c r="I611" s="152">
        <f t="shared" ca="1" si="108"/>
        <v>4.6398097424834129E-5</v>
      </c>
      <c r="J611" s="190">
        <f t="shared" ca="1" si="109"/>
        <v>1</v>
      </c>
      <c r="K611" s="187" t="str" cm="1">
        <f t="array" aca="1" ref="K611" ca="1">_xlfn.IFS(G611&lt;$B$11,"Fail",G611&lt;25,"Marginal",G611&lt;35,"Solid",TRUE,"Blowout")</f>
        <v>Solid</v>
      </c>
      <c r="L611" s="193">
        <f t="shared" ca="1" si="99"/>
        <v>0</v>
      </c>
      <c r="M611" s="184" t="str" cm="1">
        <f t="array" aca="1" ref="M611" ca="1">_xlfn.IFS(C611&lt;$B$11,"Fail",C611&lt;25,"Marginal",C611&lt;35,"Solid",TRUE,"Blowout")</f>
        <v>Fail</v>
      </c>
    </row>
    <row r="612" spans="1:13" x14ac:dyDescent="0.25">
      <c r="A612" s="138">
        <f t="shared" ca="1" si="100"/>
        <v>18.996873053051768</v>
      </c>
      <c r="B612" s="137">
        <f t="shared" ca="1" si="101"/>
        <v>1.4184952910269</v>
      </c>
      <c r="C612" s="137">
        <f t="shared" ca="1" si="102"/>
        <v>17.578377762024868</v>
      </c>
      <c r="D612" s="152">
        <f t="shared" ca="1" si="103"/>
        <v>2.2215774846320038</v>
      </c>
      <c r="E612" s="197">
        <f t="shared" ca="1" si="104"/>
        <v>1.3647362618181485E-2</v>
      </c>
      <c r="F612" s="137">
        <f t="shared" ca="1" si="105"/>
        <v>26.846272808914378</v>
      </c>
      <c r="G612" s="137">
        <f t="shared" ca="1" si="106"/>
        <v>25.427777517887478</v>
      </c>
      <c r="H612" s="152">
        <f t="shared" ca="1" si="107"/>
        <v>3.2135944956199176</v>
      </c>
      <c r="I612" s="152">
        <f t="shared" ca="1" si="108"/>
        <v>7.5021240634047374E-4</v>
      </c>
      <c r="J612" s="190">
        <f t="shared" ca="1" si="109"/>
        <v>1</v>
      </c>
      <c r="K612" s="187" t="str" cm="1">
        <f t="array" aca="1" ref="K612" ca="1">_xlfn.IFS(G612&lt;$B$11,"Fail",G612&lt;25,"Marginal",G612&lt;35,"Solid",TRUE,"Blowout")</f>
        <v>Solid</v>
      </c>
      <c r="L612" s="193">
        <f t="shared" ca="1" si="99"/>
        <v>0</v>
      </c>
      <c r="M612" s="184" t="str" cm="1">
        <f t="array" aca="1" ref="M612" ca="1">_xlfn.IFS(C612&lt;$B$11,"Fail",C612&lt;25,"Marginal",C612&lt;35,"Solid",TRUE,"Blowout")</f>
        <v>Fail</v>
      </c>
    </row>
    <row r="613" spans="1:13" x14ac:dyDescent="0.25">
      <c r="A613" s="138">
        <f t="shared" ca="1" si="100"/>
        <v>12.176838312699552</v>
      </c>
      <c r="B613" s="137">
        <f t="shared" ca="1" si="101"/>
        <v>-1.3912753865521843</v>
      </c>
      <c r="C613" s="137">
        <f t="shared" ca="1" si="102"/>
        <v>13.568113699251736</v>
      </c>
      <c r="D613" s="152">
        <f t="shared" ca="1" si="103"/>
        <v>1.7147552698692574</v>
      </c>
      <c r="E613" s="197">
        <f t="shared" ca="1" si="104"/>
        <v>4.3874436726679969E-2</v>
      </c>
      <c r="F613" s="137">
        <f t="shared" ca="1" si="105"/>
        <v>54.255058053321761</v>
      </c>
      <c r="G613" s="137">
        <f t="shared" ca="1" si="106"/>
        <v>55.646333439873942</v>
      </c>
      <c r="H613" s="152">
        <f t="shared" ca="1" si="107"/>
        <v>7.0326535898787466</v>
      </c>
      <c r="I613" s="152">
        <f t="shared" ca="1" si="108"/>
        <v>1.1686470266540987E-11</v>
      </c>
      <c r="J613" s="190">
        <f t="shared" ca="1" si="109"/>
        <v>1</v>
      </c>
      <c r="K613" s="187" t="str" cm="1">
        <f t="array" aca="1" ref="K613" ca="1">_xlfn.IFS(G613&lt;$B$11,"Fail",G613&lt;25,"Marginal",G613&lt;35,"Solid",TRUE,"Blowout")</f>
        <v>Blowout</v>
      </c>
      <c r="L613" s="193">
        <f t="shared" ca="1" si="99"/>
        <v>0</v>
      </c>
      <c r="M613" s="184" t="str" cm="1">
        <f t="array" aca="1" ref="M613" ca="1">_xlfn.IFS(C613&lt;$B$11,"Fail",C613&lt;25,"Marginal",C613&lt;35,"Solid",TRUE,"Blowout")</f>
        <v>Fail</v>
      </c>
    </row>
    <row r="614" spans="1:13" x14ac:dyDescent="0.25">
      <c r="A614" s="138">
        <f t="shared" ca="1" si="100"/>
        <v>60.032643901920352</v>
      </c>
      <c r="B614" s="137">
        <f t="shared" ca="1" si="101"/>
        <v>2.670345927736554</v>
      </c>
      <c r="C614" s="137">
        <f t="shared" ca="1" si="102"/>
        <v>57.362297974183797</v>
      </c>
      <c r="D614" s="152">
        <f t="shared" ca="1" si="103"/>
        <v>7.2495193453801061</v>
      </c>
      <c r="E614" s="197">
        <f t="shared" ca="1" si="104"/>
        <v>3.2192277638521108E-12</v>
      </c>
      <c r="F614" s="137">
        <f t="shared" ca="1" si="105"/>
        <v>38.659962993384738</v>
      </c>
      <c r="G614" s="137">
        <f t="shared" ca="1" si="106"/>
        <v>35.989617065648183</v>
      </c>
      <c r="H614" s="152">
        <f t="shared" ca="1" si="107"/>
        <v>4.5484130581320379</v>
      </c>
      <c r="I614" s="152">
        <f t="shared" ca="1" si="108"/>
        <v>4.3910135632881997E-6</v>
      </c>
      <c r="J614" s="190">
        <f t="shared" ca="1" si="109"/>
        <v>1</v>
      </c>
      <c r="K614" s="187" t="str" cm="1">
        <f t="array" aca="1" ref="K614" ca="1">_xlfn.IFS(G614&lt;$B$11,"Fail",G614&lt;25,"Marginal",G614&lt;35,"Solid",TRUE,"Blowout")</f>
        <v>Blowout</v>
      </c>
      <c r="L614" s="193">
        <f t="shared" ca="1" si="99"/>
        <v>1</v>
      </c>
      <c r="M614" s="184" t="str" cm="1">
        <f t="array" aca="1" ref="M614" ca="1">_xlfn.IFS(C614&lt;$B$11,"Fail",C614&lt;25,"Marginal",C614&lt;35,"Solid",TRUE,"Blowout")</f>
        <v>Blowout</v>
      </c>
    </row>
    <row r="615" spans="1:13" x14ac:dyDescent="0.25">
      <c r="A615" s="138">
        <f t="shared" ca="1" si="100"/>
        <v>33.612884639297974</v>
      </c>
      <c r="B615" s="137">
        <f t="shared" ca="1" si="101"/>
        <v>8.3056057254565463</v>
      </c>
      <c r="C615" s="137">
        <f t="shared" ca="1" si="102"/>
        <v>25.307278913841429</v>
      </c>
      <c r="D615" s="152">
        <f t="shared" ca="1" si="103"/>
        <v>3.1983657305255297</v>
      </c>
      <c r="E615" s="197">
        <f t="shared" ca="1" si="104"/>
        <v>7.8916160046366016E-4</v>
      </c>
      <c r="F615" s="137">
        <f t="shared" ca="1" si="105"/>
        <v>8.0968955323086469</v>
      </c>
      <c r="G615" s="137">
        <f t="shared" ca="1" si="106"/>
        <v>-0.2087101931478994</v>
      </c>
      <c r="H615" s="152">
        <f t="shared" ca="1" si="107"/>
        <v>-2.6377056642407713E-2</v>
      </c>
      <c r="I615" s="152">
        <f t="shared" ca="1" si="108"/>
        <v>0.51051016709635921</v>
      </c>
      <c r="J615" s="190">
        <f t="shared" ca="1" si="109"/>
        <v>0</v>
      </c>
      <c r="K615" s="187" t="str" cm="1">
        <f t="array" aca="1" ref="K615" ca="1">_xlfn.IFS(G615&lt;$B$11,"Fail",G615&lt;25,"Marginal",G615&lt;35,"Solid",TRUE,"Blowout")</f>
        <v>Fail</v>
      </c>
      <c r="L615" s="193">
        <f t="shared" ca="1" si="99"/>
        <v>1</v>
      </c>
      <c r="M615" s="184" t="str" cm="1">
        <f t="array" aca="1" ref="M615" ca="1">_xlfn.IFS(C615&lt;$B$11,"Fail",C615&lt;25,"Marginal",C615&lt;35,"Solid",TRUE,"Blowout")</f>
        <v>Solid</v>
      </c>
    </row>
    <row r="616" spans="1:13" x14ac:dyDescent="0.25">
      <c r="A616" s="138">
        <f t="shared" ca="1" si="100"/>
        <v>5.7501805945138127</v>
      </c>
      <c r="B616" s="137">
        <f t="shared" ca="1" si="101"/>
        <v>2.9121341523594348</v>
      </c>
      <c r="C616" s="137">
        <f t="shared" ca="1" si="102"/>
        <v>2.8380464421543778</v>
      </c>
      <c r="D616" s="152">
        <f t="shared" ca="1" si="103"/>
        <v>0.35867587792150507</v>
      </c>
      <c r="E616" s="197">
        <f t="shared" ca="1" si="104"/>
        <v>0.36008473719000755</v>
      </c>
      <c r="F616" s="137">
        <f t="shared" ca="1" si="105"/>
        <v>61.389186330884499</v>
      </c>
      <c r="G616" s="137">
        <f t="shared" ca="1" si="106"/>
        <v>58.477052178525064</v>
      </c>
      <c r="H616" s="152">
        <f t="shared" ca="1" si="107"/>
        <v>7.3904033834176497</v>
      </c>
      <c r="I616" s="152">
        <f t="shared" ca="1" si="108"/>
        <v>1.3760192543488304E-12</v>
      </c>
      <c r="J616" s="190">
        <f t="shared" ca="1" si="109"/>
        <v>1</v>
      </c>
      <c r="K616" s="187" t="str" cm="1">
        <f t="array" aca="1" ref="K616" ca="1">_xlfn.IFS(G616&lt;$B$11,"Fail",G616&lt;25,"Marginal",G616&lt;35,"Solid",TRUE,"Blowout")</f>
        <v>Blowout</v>
      </c>
      <c r="L616" s="193">
        <f t="shared" ca="1" si="99"/>
        <v>0</v>
      </c>
      <c r="M616" s="184" t="str" cm="1">
        <f t="array" aca="1" ref="M616" ca="1">_xlfn.IFS(C616&lt;$B$11,"Fail",C616&lt;25,"Marginal",C616&lt;35,"Solid",TRUE,"Blowout")</f>
        <v>Fail</v>
      </c>
    </row>
    <row r="617" spans="1:13" x14ac:dyDescent="0.25">
      <c r="A617" s="138">
        <f t="shared" ca="1" si="100"/>
        <v>2.0866037594565316</v>
      </c>
      <c r="B617" s="137">
        <f t="shared" ca="1" si="101"/>
        <v>-2.2079836415604666</v>
      </c>
      <c r="C617" s="137">
        <f t="shared" ca="1" si="102"/>
        <v>4.2945874010169982</v>
      </c>
      <c r="D617" s="152">
        <f t="shared" ca="1" si="103"/>
        <v>0.54275535575841616</v>
      </c>
      <c r="E617" s="197">
        <f t="shared" ca="1" si="104"/>
        <v>0.2939142055213485</v>
      </c>
      <c r="F617" s="137">
        <f t="shared" ca="1" si="105"/>
        <v>9.2129321664681409</v>
      </c>
      <c r="G617" s="137">
        <f t="shared" ca="1" si="106"/>
        <v>11.420915808028607</v>
      </c>
      <c r="H617" s="152">
        <f t="shared" ca="1" si="107"/>
        <v>1.443389700488005</v>
      </c>
      <c r="I617" s="152">
        <f t="shared" ca="1" si="108"/>
        <v>7.5141633090657092E-2</v>
      </c>
      <c r="J617" s="190">
        <f t="shared" ca="1" si="109"/>
        <v>0</v>
      </c>
      <c r="K617" s="187" t="str" cm="1">
        <f t="array" aca="1" ref="K617" ca="1">_xlfn.IFS(G617&lt;$B$11,"Fail",G617&lt;25,"Marginal",G617&lt;35,"Solid",TRUE,"Blowout")</f>
        <v>Fail</v>
      </c>
      <c r="L617" s="193">
        <f t="shared" ca="1" si="99"/>
        <v>0</v>
      </c>
      <c r="M617" s="184" t="str" cm="1">
        <f t="array" aca="1" ref="M617" ca="1">_xlfn.IFS(C617&lt;$B$11,"Fail",C617&lt;25,"Marginal",C617&lt;35,"Solid",TRUE,"Blowout")</f>
        <v>Fail</v>
      </c>
    </row>
    <row r="618" spans="1:13" x14ac:dyDescent="0.25">
      <c r="A618" s="138">
        <f t="shared" ca="1" si="100"/>
        <v>13.398092011603156</v>
      </c>
      <c r="B618" s="137">
        <f t="shared" ca="1" si="101"/>
        <v>8.0216493332097301</v>
      </c>
      <c r="C618" s="137">
        <f t="shared" ca="1" si="102"/>
        <v>5.3764426783934258</v>
      </c>
      <c r="D618" s="152">
        <f t="shared" ca="1" si="103"/>
        <v>0.67948158603900433</v>
      </c>
      <c r="E618" s="197">
        <f t="shared" ca="1" si="104"/>
        <v>0.24876100493502645</v>
      </c>
      <c r="F618" s="137">
        <f t="shared" ca="1" si="105"/>
        <v>28.782795883403754</v>
      </c>
      <c r="G618" s="137">
        <f t="shared" ca="1" si="106"/>
        <v>20.761146550194024</v>
      </c>
      <c r="H618" s="152">
        <f t="shared" ca="1" si="107"/>
        <v>2.6238198060970306</v>
      </c>
      <c r="I618" s="152">
        <f t="shared" ca="1" si="108"/>
        <v>4.6410714521959353E-3</v>
      </c>
      <c r="J618" s="190">
        <f t="shared" ca="1" si="109"/>
        <v>1</v>
      </c>
      <c r="K618" s="187" t="str" cm="1">
        <f t="array" aca="1" ref="K618" ca="1">_xlfn.IFS(G618&lt;$B$11,"Fail",G618&lt;25,"Marginal",G618&lt;35,"Solid",TRUE,"Blowout")</f>
        <v>Marginal</v>
      </c>
      <c r="L618" s="193">
        <f t="shared" ca="1" si="99"/>
        <v>0</v>
      </c>
      <c r="M618" s="184" t="str" cm="1">
        <f t="array" aca="1" ref="M618" ca="1">_xlfn.IFS(C618&lt;$B$11,"Fail",C618&lt;25,"Marginal",C618&lt;35,"Solid",TRUE,"Blowout")</f>
        <v>Fail</v>
      </c>
    </row>
    <row r="619" spans="1:13" x14ac:dyDescent="0.25">
      <c r="A619" s="138">
        <f t="shared" ca="1" si="100"/>
        <v>5.3575533243683973</v>
      </c>
      <c r="B619" s="137">
        <f t="shared" ca="1" si="101"/>
        <v>8.1715284993317052</v>
      </c>
      <c r="C619" s="137">
        <f t="shared" ca="1" si="102"/>
        <v>-2.813975174963308</v>
      </c>
      <c r="D619" s="152">
        <f t="shared" ca="1" si="103"/>
        <v>-0.35563372090666562</v>
      </c>
      <c r="E619" s="197">
        <f t="shared" ca="1" si="104"/>
        <v>0.63877815292816109</v>
      </c>
      <c r="F619" s="137">
        <f t="shared" ca="1" si="105"/>
        <v>33.269371870580983</v>
      </c>
      <c r="G619" s="137">
        <f t="shared" ca="1" si="106"/>
        <v>25.097843371249276</v>
      </c>
      <c r="H619" s="152">
        <f t="shared" ca="1" si="107"/>
        <v>3.171897003308302</v>
      </c>
      <c r="I619" s="152">
        <f t="shared" ca="1" si="108"/>
        <v>8.6134772328689765E-4</v>
      </c>
      <c r="J619" s="190">
        <f t="shared" ca="1" si="109"/>
        <v>1</v>
      </c>
      <c r="K619" s="187" t="str" cm="1">
        <f t="array" aca="1" ref="K619" ca="1">_xlfn.IFS(G619&lt;$B$11,"Fail",G619&lt;25,"Marginal",G619&lt;35,"Solid",TRUE,"Blowout")</f>
        <v>Solid</v>
      </c>
      <c r="L619" s="193">
        <f t="shared" ca="1" si="99"/>
        <v>0</v>
      </c>
      <c r="M619" s="184" t="str" cm="1">
        <f t="array" aca="1" ref="M619" ca="1">_xlfn.IFS(C619&lt;$B$11,"Fail",C619&lt;25,"Marginal",C619&lt;35,"Solid",TRUE,"Blowout")</f>
        <v>Fail</v>
      </c>
    </row>
    <row r="620" spans="1:13" x14ac:dyDescent="0.25">
      <c r="A620" s="138">
        <f t="shared" ca="1" si="100"/>
        <v>12.906729501586536</v>
      </c>
      <c r="B620" s="137">
        <f t="shared" ca="1" si="101"/>
        <v>6.5541021199761742</v>
      </c>
      <c r="C620" s="137">
        <f t="shared" ca="1" si="102"/>
        <v>6.352627381610362</v>
      </c>
      <c r="D620" s="152">
        <f t="shared" ca="1" si="103"/>
        <v>0.8028530362870453</v>
      </c>
      <c r="E620" s="197">
        <f t="shared" ca="1" si="104"/>
        <v>0.21144789767407796</v>
      </c>
      <c r="F620" s="137">
        <f t="shared" ca="1" si="105"/>
        <v>-3.9194652438467883</v>
      </c>
      <c r="G620" s="137">
        <f t="shared" ca="1" si="106"/>
        <v>-10.473567363822962</v>
      </c>
      <c r="H620" s="152">
        <f t="shared" ca="1" si="107"/>
        <v>-1.3236626129125479</v>
      </c>
      <c r="I620" s="152">
        <f t="shared" ca="1" si="108"/>
        <v>0.90652961330237325</v>
      </c>
      <c r="J620" s="190">
        <f t="shared" ca="1" si="109"/>
        <v>0</v>
      </c>
      <c r="K620" s="187" t="str" cm="1">
        <f t="array" aca="1" ref="K620" ca="1">_xlfn.IFS(G620&lt;$B$11,"Fail",G620&lt;25,"Marginal",G620&lt;35,"Solid",TRUE,"Blowout")</f>
        <v>Fail</v>
      </c>
      <c r="L620" s="193">
        <f t="shared" ca="1" si="99"/>
        <v>0</v>
      </c>
      <c r="M620" s="184" t="str" cm="1">
        <f t="array" aca="1" ref="M620" ca="1">_xlfn.IFS(C620&lt;$B$11,"Fail",C620&lt;25,"Marginal",C620&lt;35,"Solid",TRUE,"Blowout")</f>
        <v>Fail</v>
      </c>
    </row>
    <row r="621" spans="1:13" x14ac:dyDescent="0.25">
      <c r="A621" s="138">
        <f t="shared" ca="1" si="100"/>
        <v>22.373525555428262</v>
      </c>
      <c r="B621" s="137">
        <f t="shared" ca="1" si="101"/>
        <v>2.4719580639853564</v>
      </c>
      <c r="C621" s="137">
        <f t="shared" ca="1" si="102"/>
        <v>19.901567491442904</v>
      </c>
      <c r="D621" s="152">
        <f t="shared" ca="1" si="103"/>
        <v>2.5151851238166172</v>
      </c>
      <c r="E621" s="197">
        <f t="shared" ca="1" si="104"/>
        <v>6.293163541314031E-3</v>
      </c>
      <c r="F621" s="137">
        <f t="shared" ca="1" si="105"/>
        <v>-0.54053752694431578</v>
      </c>
      <c r="G621" s="137">
        <f t="shared" ca="1" si="106"/>
        <v>-3.0124955909296722</v>
      </c>
      <c r="H621" s="152">
        <f t="shared" ca="1" si="107"/>
        <v>-0.38072298069623633</v>
      </c>
      <c r="I621" s="152">
        <f t="shared" ca="1" si="108"/>
        <v>0.64811835075433899</v>
      </c>
      <c r="J621" s="190">
        <f t="shared" ca="1" si="109"/>
        <v>0</v>
      </c>
      <c r="K621" s="187" t="str" cm="1">
        <f t="array" aca="1" ref="K621" ca="1">_xlfn.IFS(G621&lt;$B$11,"Fail",G621&lt;25,"Marginal",G621&lt;35,"Solid",TRUE,"Blowout")</f>
        <v>Fail</v>
      </c>
      <c r="L621" s="193">
        <f t="shared" ca="1" si="99"/>
        <v>0</v>
      </c>
      <c r="M621" s="184" t="str" cm="1">
        <f t="array" aca="1" ref="M621" ca="1">_xlfn.IFS(C621&lt;$B$11,"Fail",C621&lt;25,"Marginal",C621&lt;35,"Solid",TRUE,"Blowout")</f>
        <v>Fail</v>
      </c>
    </row>
    <row r="622" spans="1:13" x14ac:dyDescent="0.25">
      <c r="A622" s="138">
        <f t="shared" ca="1" si="100"/>
        <v>40.082886516653858</v>
      </c>
      <c r="B622" s="137">
        <f t="shared" ca="1" si="101"/>
        <v>7.9986635992772754</v>
      </c>
      <c r="C622" s="137">
        <f t="shared" ca="1" si="102"/>
        <v>32.084222917376579</v>
      </c>
      <c r="D622" s="152">
        <f t="shared" ca="1" si="103"/>
        <v>4.0548444350275146</v>
      </c>
      <c r="E622" s="197">
        <f t="shared" ca="1" si="104"/>
        <v>3.4439455529341028E-5</v>
      </c>
      <c r="F622" s="137">
        <f t="shared" ca="1" si="105"/>
        <v>1.6414241843337782</v>
      </c>
      <c r="G622" s="137">
        <f t="shared" ca="1" si="106"/>
        <v>-6.3572394149434972</v>
      </c>
      <c r="H622" s="152">
        <f t="shared" ca="1" si="107"/>
        <v>-0.80343591085886157</v>
      </c>
      <c r="I622" s="152">
        <f t="shared" ca="1" si="108"/>
        <v>0.78872018555579615</v>
      </c>
      <c r="J622" s="190">
        <f t="shared" ca="1" si="109"/>
        <v>0</v>
      </c>
      <c r="K622" s="187" t="str" cm="1">
        <f t="array" aca="1" ref="K622" ca="1">_xlfn.IFS(G622&lt;$B$11,"Fail",G622&lt;25,"Marginal",G622&lt;35,"Solid",TRUE,"Blowout")</f>
        <v>Fail</v>
      </c>
      <c r="L622" s="193">
        <f t="shared" ca="1" si="99"/>
        <v>1</v>
      </c>
      <c r="M622" s="184" t="str" cm="1">
        <f t="array" aca="1" ref="M622" ca="1">_xlfn.IFS(C622&lt;$B$11,"Fail",C622&lt;25,"Marginal",C622&lt;35,"Solid",TRUE,"Blowout")</f>
        <v>Solid</v>
      </c>
    </row>
    <row r="623" spans="1:13" x14ac:dyDescent="0.25">
      <c r="A623" s="138">
        <f t="shared" ca="1" si="100"/>
        <v>42.013154055961152</v>
      </c>
      <c r="B623" s="137">
        <f t="shared" ca="1" si="101"/>
        <v>0.64700041863656743</v>
      </c>
      <c r="C623" s="137">
        <f t="shared" ca="1" si="102"/>
        <v>41.366153637324587</v>
      </c>
      <c r="D623" s="152">
        <f t="shared" ca="1" si="103"/>
        <v>5.2279065105222058</v>
      </c>
      <c r="E623" s="197">
        <f t="shared" ca="1" si="104"/>
        <v>1.9360597009609429E-7</v>
      </c>
      <c r="F623" s="137">
        <f t="shared" ca="1" si="105"/>
        <v>42.459579598772926</v>
      </c>
      <c r="G623" s="137">
        <f t="shared" ca="1" si="106"/>
        <v>41.81257918013636</v>
      </c>
      <c r="H623" s="152">
        <f t="shared" ca="1" si="107"/>
        <v>5.2843263319586189</v>
      </c>
      <c r="I623" s="152">
        <f t="shared" ca="1" si="108"/>
        <v>1.4729133274419264E-7</v>
      </c>
      <c r="J623" s="190">
        <f t="shared" ca="1" si="109"/>
        <v>1</v>
      </c>
      <c r="K623" s="187" t="str" cm="1">
        <f t="array" aca="1" ref="K623" ca="1">_xlfn.IFS(G623&lt;$B$11,"Fail",G623&lt;25,"Marginal",G623&lt;35,"Solid",TRUE,"Blowout")</f>
        <v>Blowout</v>
      </c>
      <c r="L623" s="193">
        <f t="shared" ca="1" si="99"/>
        <v>1</v>
      </c>
      <c r="M623" s="184" t="str" cm="1">
        <f t="array" aca="1" ref="M623" ca="1">_xlfn.IFS(C623&lt;$B$11,"Fail",C623&lt;25,"Marginal",C623&lt;35,"Solid",TRUE,"Blowout")</f>
        <v>Blowout</v>
      </c>
    </row>
    <row r="624" spans="1:13" x14ac:dyDescent="0.25">
      <c r="A624" s="138">
        <f t="shared" ca="1" si="100"/>
        <v>8.4592345583006203</v>
      </c>
      <c r="B624" s="137">
        <f t="shared" ca="1" si="101"/>
        <v>1.2397987707898874</v>
      </c>
      <c r="C624" s="137">
        <f t="shared" ca="1" si="102"/>
        <v>7.2194357875107329</v>
      </c>
      <c r="D624" s="152">
        <f t="shared" ca="1" si="103"/>
        <v>0.91240137255036846</v>
      </c>
      <c r="E624" s="197">
        <f t="shared" ca="1" si="104"/>
        <v>0.18126059657146432</v>
      </c>
      <c r="F624" s="137">
        <f t="shared" ca="1" si="105"/>
        <v>30.669186258353552</v>
      </c>
      <c r="G624" s="137">
        <f t="shared" ca="1" si="106"/>
        <v>29.429387487563666</v>
      </c>
      <c r="H624" s="152">
        <f t="shared" ca="1" si="107"/>
        <v>3.7193229952154083</v>
      </c>
      <c r="I624" s="152">
        <f t="shared" ca="1" si="108"/>
        <v>1.2576701396153385E-4</v>
      </c>
      <c r="J624" s="190">
        <f t="shared" ca="1" si="109"/>
        <v>1</v>
      </c>
      <c r="K624" s="187" t="str" cm="1">
        <f t="array" aca="1" ref="K624" ca="1">_xlfn.IFS(G624&lt;$B$11,"Fail",G624&lt;25,"Marginal",G624&lt;35,"Solid",TRUE,"Blowout")</f>
        <v>Solid</v>
      </c>
      <c r="L624" s="193">
        <f t="shared" ca="1" si="99"/>
        <v>0</v>
      </c>
      <c r="M624" s="184" t="str" cm="1">
        <f t="array" aca="1" ref="M624" ca="1">_xlfn.IFS(C624&lt;$B$11,"Fail",C624&lt;25,"Marginal",C624&lt;35,"Solid",TRUE,"Blowout")</f>
        <v>Fail</v>
      </c>
    </row>
    <row r="625" spans="1:13" x14ac:dyDescent="0.25">
      <c r="A625" s="138">
        <f t="shared" ca="1" si="100"/>
        <v>39.252806872683827</v>
      </c>
      <c r="B625" s="137">
        <f t="shared" ca="1" si="101"/>
        <v>-1.3411872166393159</v>
      </c>
      <c r="C625" s="137">
        <f t="shared" ca="1" si="102"/>
        <v>40.593994089323147</v>
      </c>
      <c r="D625" s="152">
        <f t="shared" ca="1" si="103"/>
        <v>5.1303200159317051</v>
      </c>
      <c r="E625" s="197">
        <f t="shared" ca="1" si="104"/>
        <v>3.0911149440731089E-7</v>
      </c>
      <c r="F625" s="137">
        <f t="shared" ca="1" si="105"/>
        <v>30.785416671389591</v>
      </c>
      <c r="G625" s="137">
        <f t="shared" ca="1" si="106"/>
        <v>32.12660388802891</v>
      </c>
      <c r="H625" s="152">
        <f t="shared" ca="1" si="107"/>
        <v>4.0602005953884248</v>
      </c>
      <c r="I625" s="152">
        <f t="shared" ca="1" si="108"/>
        <v>3.371112108642448E-5</v>
      </c>
      <c r="J625" s="190">
        <f t="shared" ca="1" si="109"/>
        <v>1</v>
      </c>
      <c r="K625" s="187" t="str" cm="1">
        <f t="array" aca="1" ref="K625" ca="1">_xlfn.IFS(G625&lt;$B$11,"Fail",G625&lt;25,"Marginal",G625&lt;35,"Solid",TRUE,"Blowout")</f>
        <v>Solid</v>
      </c>
      <c r="L625" s="193">
        <f t="shared" ca="1" si="99"/>
        <v>1</v>
      </c>
      <c r="M625" s="184" t="str" cm="1">
        <f t="array" aca="1" ref="M625" ca="1">_xlfn.IFS(C625&lt;$B$11,"Fail",C625&lt;25,"Marginal",C625&lt;35,"Solid",TRUE,"Blowout")</f>
        <v>Blowout</v>
      </c>
    </row>
    <row r="626" spans="1:13" x14ac:dyDescent="0.25">
      <c r="A626" s="138">
        <f t="shared" ca="1" si="100"/>
        <v>28.329555926968663</v>
      </c>
      <c r="B626" s="137">
        <f t="shared" ca="1" si="101"/>
        <v>8.769470235188626</v>
      </c>
      <c r="C626" s="137">
        <f t="shared" ca="1" si="102"/>
        <v>19.560085691780039</v>
      </c>
      <c r="D626" s="152">
        <f t="shared" ca="1" si="103"/>
        <v>2.4720282245957157</v>
      </c>
      <c r="E626" s="197">
        <f t="shared" ca="1" si="104"/>
        <v>7.0832174300803543E-3</v>
      </c>
      <c r="F626" s="137">
        <f t="shared" ca="1" si="105"/>
        <v>0.1346947299978109</v>
      </c>
      <c r="G626" s="137">
        <f t="shared" ca="1" si="106"/>
        <v>-8.6347755051908148</v>
      </c>
      <c r="H626" s="152">
        <f t="shared" ca="1" si="107"/>
        <v>-1.0912737857201542</v>
      </c>
      <c r="I626" s="152">
        <f t="shared" ca="1" si="108"/>
        <v>0.86184785475028114</v>
      </c>
      <c r="J626" s="190">
        <f t="shared" ca="1" si="109"/>
        <v>0</v>
      </c>
      <c r="K626" s="187" t="str" cm="1">
        <f t="array" aca="1" ref="K626" ca="1">_xlfn.IFS(G626&lt;$B$11,"Fail",G626&lt;25,"Marginal",G626&lt;35,"Solid",TRUE,"Blowout")</f>
        <v>Fail</v>
      </c>
      <c r="L626" s="193">
        <f t="shared" ca="1" si="99"/>
        <v>0</v>
      </c>
      <c r="M626" s="184" t="str" cm="1">
        <f t="array" aca="1" ref="M626" ca="1">_xlfn.IFS(C626&lt;$B$11,"Fail",C626&lt;25,"Marginal",C626&lt;35,"Solid",TRUE,"Blowout")</f>
        <v>Fail</v>
      </c>
    </row>
    <row r="627" spans="1:13" x14ac:dyDescent="0.25">
      <c r="A627" s="138">
        <f t="shared" ca="1" si="100"/>
        <v>27.527657396872772</v>
      </c>
      <c r="B627" s="137">
        <f t="shared" ca="1" si="101"/>
        <v>4.1421397548326588</v>
      </c>
      <c r="C627" s="137">
        <f t="shared" ca="1" si="102"/>
        <v>23.385517642040114</v>
      </c>
      <c r="D627" s="152">
        <f t="shared" ca="1" si="103"/>
        <v>2.9554911245710054</v>
      </c>
      <c r="E627" s="197">
        <f t="shared" ca="1" si="104"/>
        <v>1.7247268519982417E-3</v>
      </c>
      <c r="F627" s="137">
        <f t="shared" ca="1" si="105"/>
        <v>-2.8461365495987465</v>
      </c>
      <c r="G627" s="137">
        <f t="shared" ca="1" si="106"/>
        <v>-6.9882763044314054</v>
      </c>
      <c r="H627" s="152">
        <f t="shared" ca="1" si="107"/>
        <v>-0.88318714641867047</v>
      </c>
      <c r="I627" s="152">
        <f t="shared" ca="1" si="108"/>
        <v>0.8109672826225629</v>
      </c>
      <c r="J627" s="190">
        <f t="shared" ca="1" si="109"/>
        <v>0</v>
      </c>
      <c r="K627" s="187" t="str" cm="1">
        <f t="array" aca="1" ref="K627" ca="1">_xlfn.IFS(G627&lt;$B$11,"Fail",G627&lt;25,"Marginal",G627&lt;35,"Solid",TRUE,"Blowout")</f>
        <v>Fail</v>
      </c>
      <c r="L627" s="193">
        <f t="shared" ca="1" si="99"/>
        <v>1</v>
      </c>
      <c r="M627" s="184" t="str" cm="1">
        <f t="array" aca="1" ref="M627" ca="1">_xlfn.IFS(C627&lt;$B$11,"Fail",C627&lt;25,"Marginal",C627&lt;35,"Solid",TRUE,"Blowout")</f>
        <v>Marginal</v>
      </c>
    </row>
    <row r="628" spans="1:13" x14ac:dyDescent="0.25">
      <c r="A628" s="138">
        <f t="shared" ca="1" si="100"/>
        <v>20.951504805382065</v>
      </c>
      <c r="B628" s="137">
        <f t="shared" ca="1" si="101"/>
        <v>-2.6024672945439589</v>
      </c>
      <c r="C628" s="137">
        <f t="shared" ca="1" si="102"/>
        <v>23.553972099926025</v>
      </c>
      <c r="D628" s="152">
        <f t="shared" ca="1" si="103"/>
        <v>2.9767806107734067</v>
      </c>
      <c r="E628" s="197">
        <f t="shared" ca="1" si="104"/>
        <v>1.6135734613791518E-3</v>
      </c>
      <c r="F628" s="137">
        <f t="shared" ca="1" si="105"/>
        <v>33.323192072308586</v>
      </c>
      <c r="G628" s="137">
        <f t="shared" ca="1" si="106"/>
        <v>35.925659366852543</v>
      </c>
      <c r="H628" s="152">
        <f t="shared" ca="1" si="107"/>
        <v>4.540330003737779</v>
      </c>
      <c r="I628" s="152">
        <f t="shared" ca="1" si="108"/>
        <v>4.5482045240033812E-6</v>
      </c>
      <c r="J628" s="190">
        <f t="shared" ca="1" si="109"/>
        <v>1</v>
      </c>
      <c r="K628" s="187" t="str" cm="1">
        <f t="array" aca="1" ref="K628" ca="1">_xlfn.IFS(G628&lt;$B$11,"Fail",G628&lt;25,"Marginal",G628&lt;35,"Solid",TRUE,"Blowout")</f>
        <v>Blowout</v>
      </c>
      <c r="L628" s="193">
        <f t="shared" ca="1" si="99"/>
        <v>1</v>
      </c>
      <c r="M628" s="184" t="str" cm="1">
        <f t="array" aca="1" ref="M628" ca="1">_xlfn.IFS(C628&lt;$B$11,"Fail",C628&lt;25,"Marginal",C628&lt;35,"Solid",TRUE,"Blowout")</f>
        <v>Marginal</v>
      </c>
    </row>
    <row r="629" spans="1:13" x14ac:dyDescent="0.25">
      <c r="A629" s="138">
        <f t="shared" ca="1" si="100"/>
        <v>30.241539014675507</v>
      </c>
      <c r="B629" s="137">
        <f t="shared" ca="1" si="101"/>
        <v>-1.5169691870534345</v>
      </c>
      <c r="C629" s="137">
        <f t="shared" ca="1" si="102"/>
        <v>31.75850820172894</v>
      </c>
      <c r="D629" s="152">
        <f t="shared" ca="1" si="103"/>
        <v>4.0136801997100031</v>
      </c>
      <c r="E629" s="197">
        <f t="shared" ca="1" si="104"/>
        <v>4.0558787109521455E-5</v>
      </c>
      <c r="F629" s="137">
        <f t="shared" ca="1" si="105"/>
        <v>24.746673214877944</v>
      </c>
      <c r="G629" s="137">
        <f t="shared" ca="1" si="106"/>
        <v>26.263642401931378</v>
      </c>
      <c r="H629" s="152">
        <f t="shared" ca="1" si="107"/>
        <v>3.319232150682609</v>
      </c>
      <c r="I629" s="152">
        <f t="shared" ca="1" si="108"/>
        <v>5.2538012661038655E-4</v>
      </c>
      <c r="J629" s="190">
        <f t="shared" ca="1" si="109"/>
        <v>1</v>
      </c>
      <c r="K629" s="187" t="str" cm="1">
        <f t="array" aca="1" ref="K629" ca="1">_xlfn.IFS(G629&lt;$B$11,"Fail",G629&lt;25,"Marginal",G629&lt;35,"Solid",TRUE,"Blowout")</f>
        <v>Solid</v>
      </c>
      <c r="L629" s="193">
        <f t="shared" ca="1" si="99"/>
        <v>1</v>
      </c>
      <c r="M629" s="184" t="str" cm="1">
        <f t="array" aca="1" ref="M629" ca="1">_xlfn.IFS(C629&lt;$B$11,"Fail",C629&lt;25,"Marginal",C629&lt;35,"Solid",TRUE,"Blowout")</f>
        <v>Solid</v>
      </c>
    </row>
    <row r="630" spans="1:13" x14ac:dyDescent="0.25">
      <c r="A630" s="138">
        <f t="shared" ca="1" si="100"/>
        <v>18.776468166721706</v>
      </c>
      <c r="B630" s="137">
        <f t="shared" ca="1" si="101"/>
        <v>11.77302576258948</v>
      </c>
      <c r="C630" s="137">
        <f t="shared" ca="1" si="102"/>
        <v>7.0034424041322261</v>
      </c>
      <c r="D630" s="152">
        <f t="shared" ca="1" si="103"/>
        <v>0.88510385716872697</v>
      </c>
      <c r="E630" s="197">
        <f t="shared" ca="1" si="104"/>
        <v>0.18851654988137312</v>
      </c>
      <c r="F630" s="137">
        <f t="shared" ca="1" si="105"/>
        <v>9.8883367999486573</v>
      </c>
      <c r="G630" s="137">
        <f t="shared" ca="1" si="106"/>
        <v>-1.8846889626408228</v>
      </c>
      <c r="H630" s="152">
        <f t="shared" ca="1" si="107"/>
        <v>-0.23818936090806811</v>
      </c>
      <c r="I630" s="152">
        <f t="shared" ca="1" si="108"/>
        <v>0.5940259226472272</v>
      </c>
      <c r="J630" s="190">
        <f t="shared" ca="1" si="109"/>
        <v>0</v>
      </c>
      <c r="K630" s="187" t="str" cm="1">
        <f t="array" aca="1" ref="K630" ca="1">_xlfn.IFS(G630&lt;$B$11,"Fail",G630&lt;25,"Marginal",G630&lt;35,"Solid",TRUE,"Blowout")</f>
        <v>Fail</v>
      </c>
      <c r="L630" s="193">
        <f t="shared" ca="1" si="99"/>
        <v>0</v>
      </c>
      <c r="M630" s="184" t="str" cm="1">
        <f t="array" aca="1" ref="M630" ca="1">_xlfn.IFS(C630&lt;$B$11,"Fail",C630&lt;25,"Marginal",C630&lt;35,"Solid",TRUE,"Blowout")</f>
        <v>Fail</v>
      </c>
    </row>
    <row r="631" spans="1:13" x14ac:dyDescent="0.25">
      <c r="A631" s="138">
        <f t="shared" ca="1" si="100"/>
        <v>28.08590634193019</v>
      </c>
      <c r="B631" s="137">
        <f t="shared" ca="1" si="101"/>
        <v>-0.52387066229579471</v>
      </c>
      <c r="C631" s="137">
        <f t="shared" ca="1" si="102"/>
        <v>28.609777004225986</v>
      </c>
      <c r="D631" s="152">
        <f t="shared" ca="1" si="103"/>
        <v>3.6157395917522663</v>
      </c>
      <c r="E631" s="197">
        <f t="shared" ca="1" si="104"/>
        <v>1.8432268671778564E-4</v>
      </c>
      <c r="F631" s="137">
        <f t="shared" ca="1" si="105"/>
        <v>55.740699704572094</v>
      </c>
      <c r="G631" s="137">
        <f t="shared" ca="1" si="106"/>
        <v>56.264570366867886</v>
      </c>
      <c r="H631" s="152">
        <f t="shared" ca="1" si="107"/>
        <v>7.1107871500838842</v>
      </c>
      <c r="I631" s="152">
        <f t="shared" ca="1" si="108"/>
        <v>7.3641707482023149E-12</v>
      </c>
      <c r="J631" s="190">
        <f t="shared" ca="1" si="109"/>
        <v>1</v>
      </c>
      <c r="K631" s="187" t="str" cm="1">
        <f t="array" aca="1" ref="K631" ca="1">_xlfn.IFS(G631&lt;$B$11,"Fail",G631&lt;25,"Marginal",G631&lt;35,"Solid",TRUE,"Blowout")</f>
        <v>Blowout</v>
      </c>
      <c r="L631" s="193">
        <f t="shared" ca="1" si="99"/>
        <v>1</v>
      </c>
      <c r="M631" s="184" t="str" cm="1">
        <f t="array" aca="1" ref="M631" ca="1">_xlfn.IFS(C631&lt;$B$11,"Fail",C631&lt;25,"Marginal",C631&lt;35,"Solid",TRUE,"Blowout")</f>
        <v>Solid</v>
      </c>
    </row>
    <row r="632" spans="1:13" x14ac:dyDescent="0.25">
      <c r="A632" s="138">
        <f t="shared" ca="1" si="100"/>
        <v>39.655868376946195</v>
      </c>
      <c r="B632" s="137">
        <f t="shared" ca="1" si="101"/>
        <v>11.353516231901198</v>
      </c>
      <c r="C632" s="137">
        <f t="shared" ca="1" si="102"/>
        <v>28.302352145044999</v>
      </c>
      <c r="D632" s="152">
        <f t="shared" ca="1" si="103"/>
        <v>3.576886851492691</v>
      </c>
      <c r="E632" s="197">
        <f t="shared" ca="1" si="104"/>
        <v>2.12278340963851E-4</v>
      </c>
      <c r="F632" s="137">
        <f t="shared" ca="1" si="105"/>
        <v>57.368838979201762</v>
      </c>
      <c r="G632" s="137">
        <f t="shared" ca="1" si="106"/>
        <v>46.015322747300566</v>
      </c>
      <c r="H632" s="152">
        <f t="shared" ca="1" si="107"/>
        <v>5.8154743485102038</v>
      </c>
      <c r="I632" s="152">
        <f t="shared" ca="1" si="108"/>
        <v>1.0145333484774495E-8</v>
      </c>
      <c r="J632" s="190">
        <f t="shared" ca="1" si="109"/>
        <v>1</v>
      </c>
      <c r="K632" s="187" t="str" cm="1">
        <f t="array" aca="1" ref="K632" ca="1">_xlfn.IFS(G632&lt;$B$11,"Fail",G632&lt;25,"Marginal",G632&lt;35,"Solid",TRUE,"Blowout")</f>
        <v>Blowout</v>
      </c>
      <c r="L632" s="193">
        <f t="shared" ca="1" si="99"/>
        <v>1</v>
      </c>
      <c r="M632" s="184" t="str" cm="1">
        <f t="array" aca="1" ref="M632" ca="1">_xlfn.IFS(C632&lt;$B$11,"Fail",C632&lt;25,"Marginal",C632&lt;35,"Solid",TRUE,"Blowout")</f>
        <v>Solid</v>
      </c>
    </row>
    <row r="633" spans="1:13" x14ac:dyDescent="0.25">
      <c r="A633" s="138">
        <f t="shared" ca="1" si="100"/>
        <v>26.204433118258073</v>
      </c>
      <c r="B633" s="137">
        <f t="shared" ca="1" si="101"/>
        <v>2.2148146394664385</v>
      </c>
      <c r="C633" s="137">
        <f t="shared" ca="1" si="102"/>
        <v>23.989618478791634</v>
      </c>
      <c r="D633" s="152">
        <f t="shared" ca="1" si="103"/>
        <v>3.0318381479165737</v>
      </c>
      <c r="E633" s="197">
        <f t="shared" ca="1" si="104"/>
        <v>1.3558883317108784E-3</v>
      </c>
      <c r="F633" s="137">
        <f t="shared" ca="1" si="105"/>
        <v>43.074404910727836</v>
      </c>
      <c r="G633" s="137">
        <f t="shared" ca="1" si="106"/>
        <v>40.859590271261396</v>
      </c>
      <c r="H633" s="152">
        <f t="shared" ca="1" si="107"/>
        <v>5.1638863953659282</v>
      </c>
      <c r="I633" s="152">
        <f t="shared" ca="1" si="108"/>
        <v>2.6335197550758121E-7</v>
      </c>
      <c r="J633" s="190">
        <f t="shared" ca="1" si="109"/>
        <v>1</v>
      </c>
      <c r="K633" s="187" t="str" cm="1">
        <f t="array" aca="1" ref="K633" ca="1">_xlfn.IFS(G633&lt;$B$11,"Fail",G633&lt;25,"Marginal",G633&lt;35,"Solid",TRUE,"Blowout")</f>
        <v>Blowout</v>
      </c>
      <c r="L633" s="193">
        <f t="shared" ca="1" si="99"/>
        <v>1</v>
      </c>
      <c r="M633" s="184" t="str" cm="1">
        <f t="array" aca="1" ref="M633" ca="1">_xlfn.IFS(C633&lt;$B$11,"Fail",C633&lt;25,"Marginal",C633&lt;35,"Solid",TRUE,"Blowout")</f>
        <v>Marginal</v>
      </c>
    </row>
    <row r="634" spans="1:13" x14ac:dyDescent="0.25">
      <c r="A634" s="138">
        <f t="shared" ca="1" si="100"/>
        <v>14.667352842165451</v>
      </c>
      <c r="B634" s="137">
        <f t="shared" ca="1" si="101"/>
        <v>0.62487484735699983</v>
      </c>
      <c r="C634" s="137">
        <f t="shared" ca="1" si="102"/>
        <v>14.042477994808451</v>
      </c>
      <c r="D634" s="152">
        <f t="shared" ca="1" si="103"/>
        <v>1.7747060260077878</v>
      </c>
      <c r="E634" s="197">
        <f t="shared" ca="1" si="104"/>
        <v>3.8640368831765151E-2</v>
      </c>
      <c r="F634" s="137">
        <f t="shared" ca="1" si="105"/>
        <v>40.094093843804991</v>
      </c>
      <c r="G634" s="137">
        <f t="shared" ca="1" si="106"/>
        <v>39.469218996447992</v>
      </c>
      <c r="H634" s="152">
        <f t="shared" ca="1" si="107"/>
        <v>4.9881695254009752</v>
      </c>
      <c r="I634" s="152">
        <f t="shared" ca="1" si="108"/>
        <v>6.0407187794059167E-7</v>
      </c>
      <c r="J634" s="190">
        <f t="shared" ca="1" si="109"/>
        <v>1</v>
      </c>
      <c r="K634" s="187" t="str" cm="1">
        <f t="array" aca="1" ref="K634" ca="1">_xlfn.IFS(G634&lt;$B$11,"Fail",G634&lt;25,"Marginal",G634&lt;35,"Solid",TRUE,"Blowout")</f>
        <v>Blowout</v>
      </c>
      <c r="L634" s="193">
        <f t="shared" ca="1" si="99"/>
        <v>0</v>
      </c>
      <c r="M634" s="184" t="str" cm="1">
        <f t="array" aca="1" ref="M634" ca="1">_xlfn.IFS(C634&lt;$B$11,"Fail",C634&lt;25,"Marginal",C634&lt;35,"Solid",TRUE,"Blowout")</f>
        <v>Fail</v>
      </c>
    </row>
    <row r="635" spans="1:13" x14ac:dyDescent="0.25">
      <c r="A635" s="138">
        <f t="shared" ca="1" si="100"/>
        <v>29.710702633434572</v>
      </c>
      <c r="B635" s="137">
        <f t="shared" ca="1" si="101"/>
        <v>14.705993666266755</v>
      </c>
      <c r="C635" s="137">
        <f t="shared" ca="1" si="102"/>
        <v>15.004708967167817</v>
      </c>
      <c r="D635" s="152">
        <f t="shared" ca="1" si="103"/>
        <v>1.8963139862046159</v>
      </c>
      <c r="E635" s="197">
        <f t="shared" ca="1" si="104"/>
        <v>2.9591413625684845E-2</v>
      </c>
      <c r="F635" s="137">
        <f t="shared" ca="1" si="105"/>
        <v>71.036563626910848</v>
      </c>
      <c r="G635" s="137">
        <f t="shared" ca="1" si="106"/>
        <v>56.330569960644091</v>
      </c>
      <c r="H635" s="152">
        <f t="shared" ca="1" si="107"/>
        <v>7.119128261733267</v>
      </c>
      <c r="I635" s="152">
        <f t="shared" ca="1" si="108"/>
        <v>7.0086499211041647E-12</v>
      </c>
      <c r="J635" s="190">
        <f t="shared" ca="1" si="109"/>
        <v>1</v>
      </c>
      <c r="K635" s="187" t="str" cm="1">
        <f t="array" aca="1" ref="K635" ca="1">_xlfn.IFS(G635&lt;$B$11,"Fail",G635&lt;25,"Marginal",G635&lt;35,"Solid",TRUE,"Blowout")</f>
        <v>Blowout</v>
      </c>
      <c r="L635" s="193">
        <f t="shared" ca="1" si="99"/>
        <v>0</v>
      </c>
      <c r="M635" s="184" t="str" cm="1">
        <f t="array" aca="1" ref="M635" ca="1">_xlfn.IFS(C635&lt;$B$11,"Fail",C635&lt;25,"Marginal",C635&lt;35,"Solid",TRUE,"Blowout")</f>
        <v>Fail</v>
      </c>
    </row>
    <row r="636" spans="1:13" x14ac:dyDescent="0.25">
      <c r="A636" s="138">
        <f t="shared" ca="1" si="100"/>
        <v>39.891136578270959</v>
      </c>
      <c r="B636" s="137">
        <f t="shared" ca="1" si="101"/>
        <v>8.1448293620775694</v>
      </c>
      <c r="C636" s="137">
        <f t="shared" ca="1" si="102"/>
        <v>31.74630721619339</v>
      </c>
      <c r="D636" s="152">
        <f t="shared" ca="1" si="103"/>
        <v>4.01213822381649</v>
      </c>
      <c r="E636" s="197">
        <f t="shared" ca="1" si="104"/>
        <v>4.0807009195975616E-5</v>
      </c>
      <c r="F636" s="137">
        <f t="shared" ca="1" si="105"/>
        <v>25.75093448177379</v>
      </c>
      <c r="G636" s="137">
        <f t="shared" ca="1" si="106"/>
        <v>17.60610511969622</v>
      </c>
      <c r="H636" s="152">
        <f t="shared" ca="1" si="107"/>
        <v>2.2250817029589127</v>
      </c>
      <c r="I636" s="152">
        <f t="shared" ca="1" si="108"/>
        <v>1.3527567870439272E-2</v>
      </c>
      <c r="J636" s="190">
        <f t="shared" ca="1" si="109"/>
        <v>0</v>
      </c>
      <c r="K636" s="187" t="str" cm="1">
        <f t="array" aca="1" ref="K636" ca="1">_xlfn.IFS(G636&lt;$B$11,"Fail",G636&lt;25,"Marginal",G636&lt;35,"Solid",TRUE,"Blowout")</f>
        <v>Fail</v>
      </c>
      <c r="L636" s="193">
        <f t="shared" ca="1" si="99"/>
        <v>1</v>
      </c>
      <c r="M636" s="184" t="str" cm="1">
        <f t="array" aca="1" ref="M636" ca="1">_xlfn.IFS(C636&lt;$B$11,"Fail",C636&lt;25,"Marginal",C636&lt;35,"Solid",TRUE,"Blowout")</f>
        <v>Solid</v>
      </c>
    </row>
    <row r="637" spans="1:13" x14ac:dyDescent="0.25">
      <c r="A637" s="138">
        <f t="shared" ca="1" si="100"/>
        <v>49.871640123881484</v>
      </c>
      <c r="B637" s="137">
        <f t="shared" ca="1" si="101"/>
        <v>15.780186111908495</v>
      </c>
      <c r="C637" s="137">
        <f t="shared" ca="1" si="102"/>
        <v>34.091454011972985</v>
      </c>
      <c r="D637" s="152">
        <f t="shared" ca="1" si="103"/>
        <v>4.3085208246567115</v>
      </c>
      <c r="E637" s="197">
        <f t="shared" ca="1" si="104"/>
        <v>1.2221008892016037E-5</v>
      </c>
      <c r="F637" s="137">
        <f t="shared" ca="1" si="105"/>
        <v>59.876355687122633</v>
      </c>
      <c r="G637" s="137">
        <f t="shared" ca="1" si="106"/>
        <v>44.096169575214134</v>
      </c>
      <c r="H637" s="152">
        <f t="shared" ca="1" si="107"/>
        <v>5.5729293574770731</v>
      </c>
      <c r="I637" s="152">
        <f t="shared" ca="1" si="108"/>
        <v>3.5202652465926992E-8</v>
      </c>
      <c r="J637" s="190">
        <f t="shared" ca="1" si="109"/>
        <v>1</v>
      </c>
      <c r="K637" s="187" t="str" cm="1">
        <f t="array" aca="1" ref="K637" ca="1">_xlfn.IFS(G637&lt;$B$11,"Fail",G637&lt;25,"Marginal",G637&lt;35,"Solid",TRUE,"Blowout")</f>
        <v>Blowout</v>
      </c>
      <c r="L637" s="193">
        <f t="shared" ca="1" si="99"/>
        <v>1</v>
      </c>
      <c r="M637" s="184" t="str" cm="1">
        <f t="array" aca="1" ref="M637" ca="1">_xlfn.IFS(C637&lt;$B$11,"Fail",C637&lt;25,"Marginal",C637&lt;35,"Solid",TRUE,"Blowout")</f>
        <v>Solid</v>
      </c>
    </row>
    <row r="638" spans="1:13" x14ac:dyDescent="0.25">
      <c r="A638" s="138">
        <f t="shared" ca="1" si="100"/>
        <v>34.557185408602074</v>
      </c>
      <c r="B638" s="137">
        <f t="shared" ca="1" si="101"/>
        <v>8.9412556944254717</v>
      </c>
      <c r="C638" s="137">
        <f t="shared" ca="1" si="102"/>
        <v>25.615929714176602</v>
      </c>
      <c r="D638" s="152">
        <f t="shared" ca="1" si="103"/>
        <v>3.2373734067696702</v>
      </c>
      <c r="E638" s="197">
        <f t="shared" ca="1" si="104"/>
        <v>6.9294496192122889E-4</v>
      </c>
      <c r="F638" s="137">
        <f t="shared" ca="1" si="105"/>
        <v>35.163678535806753</v>
      </c>
      <c r="G638" s="137">
        <f t="shared" ca="1" si="106"/>
        <v>26.222422841381281</v>
      </c>
      <c r="H638" s="152">
        <f t="shared" ca="1" si="107"/>
        <v>3.314022770790777</v>
      </c>
      <c r="I638" s="152">
        <f t="shared" ca="1" si="108"/>
        <v>5.3480338426873243E-4</v>
      </c>
      <c r="J638" s="190">
        <f t="shared" ca="1" si="109"/>
        <v>1</v>
      </c>
      <c r="K638" s="187" t="str" cm="1">
        <f t="array" aca="1" ref="K638" ca="1">_xlfn.IFS(G638&lt;$B$11,"Fail",G638&lt;25,"Marginal",G638&lt;35,"Solid",TRUE,"Blowout")</f>
        <v>Solid</v>
      </c>
      <c r="L638" s="193">
        <f t="shared" ca="1" si="99"/>
        <v>1</v>
      </c>
      <c r="M638" s="184" t="str" cm="1">
        <f t="array" aca="1" ref="M638" ca="1">_xlfn.IFS(C638&lt;$B$11,"Fail",C638&lt;25,"Marginal",C638&lt;35,"Solid",TRUE,"Blowout")</f>
        <v>Solid</v>
      </c>
    </row>
    <row r="639" spans="1:13" x14ac:dyDescent="0.25">
      <c r="A639" s="138">
        <f t="shared" ca="1" si="100"/>
        <v>-4.494351880705965</v>
      </c>
      <c r="B639" s="137">
        <f t="shared" ca="1" si="101"/>
        <v>8.5302063382893287</v>
      </c>
      <c r="C639" s="137">
        <f t="shared" ca="1" si="102"/>
        <v>-13.024558218995294</v>
      </c>
      <c r="D639" s="152">
        <f t="shared" ca="1" si="103"/>
        <v>-1.6460600448073204</v>
      </c>
      <c r="E639" s="197">
        <f t="shared" ca="1" si="104"/>
        <v>0.94943543613283854</v>
      </c>
      <c r="F639" s="137">
        <f t="shared" ca="1" si="105"/>
        <v>60.776014625161807</v>
      </c>
      <c r="G639" s="137">
        <f t="shared" ca="1" si="106"/>
        <v>52.245808286872474</v>
      </c>
      <c r="H639" s="152">
        <f t="shared" ca="1" si="107"/>
        <v>6.6028909452191717</v>
      </c>
      <c r="I639" s="152">
        <f t="shared" ca="1" si="108"/>
        <v>1.4003499996236987E-10</v>
      </c>
      <c r="J639" s="190">
        <f t="shared" ca="1" si="109"/>
        <v>1</v>
      </c>
      <c r="K639" s="187" t="str" cm="1">
        <f t="array" aca="1" ref="K639" ca="1">_xlfn.IFS(G639&lt;$B$11,"Fail",G639&lt;25,"Marginal",G639&lt;35,"Solid",TRUE,"Blowout")</f>
        <v>Blowout</v>
      </c>
      <c r="L639" s="193">
        <f t="shared" ca="1" si="99"/>
        <v>0</v>
      </c>
      <c r="M639" s="184" t="str" cm="1">
        <f t="array" aca="1" ref="M639" ca="1">_xlfn.IFS(C639&lt;$B$11,"Fail",C639&lt;25,"Marginal",C639&lt;35,"Solid",TRUE,"Blowout")</f>
        <v>Fail</v>
      </c>
    </row>
    <row r="640" spans="1:13" x14ac:dyDescent="0.25">
      <c r="A640" s="138">
        <f t="shared" ca="1" si="100"/>
        <v>23.436603274298211</v>
      </c>
      <c r="B640" s="137">
        <f t="shared" ca="1" si="101"/>
        <v>0.75464025375061361</v>
      </c>
      <c r="C640" s="137">
        <f t="shared" ca="1" si="102"/>
        <v>22.681963020547599</v>
      </c>
      <c r="D640" s="152">
        <f t="shared" ca="1" si="103"/>
        <v>2.8665750068565958</v>
      </c>
      <c r="E640" s="197">
        <f t="shared" ca="1" si="104"/>
        <v>2.2689022444099274E-3</v>
      </c>
      <c r="F640" s="137">
        <f t="shared" ca="1" si="105"/>
        <v>44.153942974341298</v>
      </c>
      <c r="G640" s="137">
        <f t="shared" ca="1" si="106"/>
        <v>43.399302720590683</v>
      </c>
      <c r="H640" s="152">
        <f t="shared" ca="1" si="107"/>
        <v>5.4848584481487794</v>
      </c>
      <c r="I640" s="152">
        <f t="shared" ca="1" si="108"/>
        <v>5.479699448641795E-8</v>
      </c>
      <c r="J640" s="190">
        <f t="shared" ca="1" si="109"/>
        <v>1</v>
      </c>
      <c r="K640" s="187" t="str" cm="1">
        <f t="array" aca="1" ref="K640" ca="1">_xlfn.IFS(G640&lt;$B$11,"Fail",G640&lt;25,"Marginal",G640&lt;35,"Solid",TRUE,"Blowout")</f>
        <v>Blowout</v>
      </c>
      <c r="L640" s="193">
        <f t="shared" ca="1" si="99"/>
        <v>1</v>
      </c>
      <c r="M640" s="184" t="str" cm="1">
        <f t="array" aca="1" ref="M640" ca="1">_xlfn.IFS(C640&lt;$B$11,"Fail",C640&lt;25,"Marginal",C640&lt;35,"Solid",TRUE,"Blowout")</f>
        <v>Marginal</v>
      </c>
    </row>
    <row r="641" spans="1:13" x14ac:dyDescent="0.25">
      <c r="A641" s="138">
        <f t="shared" ca="1" si="100"/>
        <v>27.745948066503825</v>
      </c>
      <c r="B641" s="137">
        <f t="shared" ca="1" si="101"/>
        <v>3.7048688646644719</v>
      </c>
      <c r="C641" s="137">
        <f t="shared" ca="1" si="102"/>
        <v>24.041079201839352</v>
      </c>
      <c r="D641" s="152">
        <f t="shared" ca="1" si="103"/>
        <v>3.0383418188021016</v>
      </c>
      <c r="E641" s="197">
        <f t="shared" ca="1" si="104"/>
        <v>1.3280886875555557E-3</v>
      </c>
      <c r="F641" s="137">
        <f t="shared" ca="1" si="105"/>
        <v>38.088799468041131</v>
      </c>
      <c r="G641" s="137">
        <f t="shared" ca="1" si="106"/>
        <v>34.383930603376662</v>
      </c>
      <c r="H641" s="152">
        <f t="shared" ca="1" si="107"/>
        <v>4.3454843840386257</v>
      </c>
      <c r="I641" s="152">
        <f t="shared" ca="1" si="108"/>
        <v>1.0466590441982463E-5</v>
      </c>
      <c r="J641" s="190">
        <f t="shared" ca="1" si="109"/>
        <v>1</v>
      </c>
      <c r="K641" s="187" t="str" cm="1">
        <f t="array" aca="1" ref="K641" ca="1">_xlfn.IFS(G641&lt;$B$11,"Fail",G641&lt;25,"Marginal",G641&lt;35,"Solid",TRUE,"Blowout")</f>
        <v>Solid</v>
      </c>
      <c r="L641" s="193">
        <f t="shared" ca="1" si="99"/>
        <v>1</v>
      </c>
      <c r="M641" s="184" t="str" cm="1">
        <f t="array" aca="1" ref="M641" ca="1">_xlfn.IFS(C641&lt;$B$11,"Fail",C641&lt;25,"Marginal",C641&lt;35,"Solid",TRUE,"Blowout")</f>
        <v>Marginal</v>
      </c>
    </row>
    <row r="642" spans="1:13" x14ac:dyDescent="0.25">
      <c r="A642" s="138">
        <f t="shared" ca="1" si="100"/>
        <v>28.924001417063888</v>
      </c>
      <c r="B642" s="137">
        <f t="shared" ca="1" si="101"/>
        <v>9.2937518315745216</v>
      </c>
      <c r="C642" s="137">
        <f t="shared" ca="1" si="102"/>
        <v>19.630249585489366</v>
      </c>
      <c r="D642" s="152">
        <f t="shared" ca="1" si="103"/>
        <v>2.4808956257068409</v>
      </c>
      <c r="E642" s="197">
        <f t="shared" ca="1" si="104"/>
        <v>6.9140428659468867E-3</v>
      </c>
      <c r="F642" s="137">
        <f t="shared" ca="1" si="105"/>
        <v>3.6656911374115078</v>
      </c>
      <c r="G642" s="137">
        <f t="shared" ca="1" si="106"/>
        <v>-5.6280606941630138</v>
      </c>
      <c r="H642" s="152">
        <f t="shared" ca="1" si="107"/>
        <v>-0.71128138725667411</v>
      </c>
      <c r="I642" s="152">
        <f t="shared" ca="1" si="108"/>
        <v>0.7611815343349333</v>
      </c>
      <c r="J642" s="190">
        <f t="shared" ca="1" si="109"/>
        <v>0</v>
      </c>
      <c r="K642" s="187" t="str" cm="1">
        <f t="array" aca="1" ref="K642" ca="1">_xlfn.IFS(G642&lt;$B$11,"Fail",G642&lt;25,"Marginal",G642&lt;35,"Solid",TRUE,"Blowout")</f>
        <v>Fail</v>
      </c>
      <c r="L642" s="193">
        <f t="shared" ca="1" si="99"/>
        <v>0</v>
      </c>
      <c r="M642" s="184" t="str" cm="1">
        <f t="array" aca="1" ref="M642" ca="1">_xlfn.IFS(C642&lt;$B$11,"Fail",C642&lt;25,"Marginal",C642&lt;35,"Solid",TRUE,"Blowout")</f>
        <v>Fail</v>
      </c>
    </row>
    <row r="643" spans="1:13" x14ac:dyDescent="0.25">
      <c r="A643" s="138">
        <f t="shared" ca="1" si="100"/>
        <v>38.485276815510524</v>
      </c>
      <c r="B643" s="137">
        <f t="shared" ca="1" si="101"/>
        <v>8.3779937234729829</v>
      </c>
      <c r="C643" s="137">
        <f t="shared" ca="1" si="102"/>
        <v>30.107283092037541</v>
      </c>
      <c r="D643" s="152">
        <f t="shared" ca="1" si="103"/>
        <v>3.8049962940953321</v>
      </c>
      <c r="E643" s="197">
        <f t="shared" ca="1" si="104"/>
        <v>9.1099222586578892E-5</v>
      </c>
      <c r="F643" s="137">
        <f t="shared" ca="1" si="105"/>
        <v>4.3893941242205354</v>
      </c>
      <c r="G643" s="137">
        <f t="shared" ca="1" si="106"/>
        <v>-3.9885995992524474</v>
      </c>
      <c r="H643" s="152">
        <f t="shared" ca="1" si="107"/>
        <v>-0.50408423262208735</v>
      </c>
      <c r="I643" s="152">
        <f t="shared" ca="1" si="108"/>
        <v>0.69265553141678771</v>
      </c>
      <c r="J643" s="190">
        <f t="shared" ca="1" si="109"/>
        <v>0</v>
      </c>
      <c r="K643" s="187" t="str" cm="1">
        <f t="array" aca="1" ref="K643" ca="1">_xlfn.IFS(G643&lt;$B$11,"Fail",G643&lt;25,"Marginal",G643&lt;35,"Solid",TRUE,"Blowout")</f>
        <v>Fail</v>
      </c>
      <c r="L643" s="193">
        <f t="shared" ca="1" si="99"/>
        <v>1</v>
      </c>
      <c r="M643" s="184" t="str" cm="1">
        <f t="array" aca="1" ref="M643" ca="1">_xlfn.IFS(C643&lt;$B$11,"Fail",C643&lt;25,"Marginal",C643&lt;35,"Solid",TRUE,"Blowout")</f>
        <v>Solid</v>
      </c>
    </row>
    <row r="644" spans="1:13" x14ac:dyDescent="0.25">
      <c r="A644" s="138">
        <f t="shared" ca="1" si="100"/>
        <v>40.133055992719029</v>
      </c>
      <c r="B644" s="137">
        <f t="shared" ca="1" si="101"/>
        <v>5.0572644091633254</v>
      </c>
      <c r="C644" s="137">
        <f t="shared" ca="1" si="102"/>
        <v>35.075791583555706</v>
      </c>
      <c r="D644" s="152">
        <f t="shared" ca="1" si="103"/>
        <v>4.4329226446602439</v>
      </c>
      <c r="E644" s="197">
        <f t="shared" ca="1" si="104"/>
        <v>7.2253912338980296E-6</v>
      </c>
      <c r="F644" s="137">
        <f t="shared" ca="1" si="105"/>
        <v>29.107252513348488</v>
      </c>
      <c r="G644" s="137">
        <f t="shared" ca="1" si="106"/>
        <v>24.049988104185161</v>
      </c>
      <c r="H644" s="152">
        <f t="shared" ca="1" si="107"/>
        <v>3.0394677370826262</v>
      </c>
      <c r="I644" s="152">
        <f t="shared" ca="1" si="108"/>
        <v>1.3233295886665723E-3</v>
      </c>
      <c r="J644" s="190">
        <f t="shared" ca="1" si="109"/>
        <v>1</v>
      </c>
      <c r="K644" s="187" t="str" cm="1">
        <f t="array" aca="1" ref="K644" ca="1">_xlfn.IFS(G644&lt;$B$11,"Fail",G644&lt;25,"Marginal",G644&lt;35,"Solid",TRUE,"Blowout")</f>
        <v>Marginal</v>
      </c>
      <c r="L644" s="193">
        <f t="shared" ca="1" si="99"/>
        <v>1</v>
      </c>
      <c r="M644" s="184" t="str" cm="1">
        <f t="array" aca="1" ref="M644" ca="1">_xlfn.IFS(C644&lt;$B$11,"Fail",C644&lt;25,"Marginal",C644&lt;35,"Solid",TRUE,"Blowout")</f>
        <v>Blowout</v>
      </c>
    </row>
    <row r="645" spans="1:13" x14ac:dyDescent="0.25">
      <c r="A645" s="138">
        <f t="shared" ca="1" si="100"/>
        <v>70.354514829582882</v>
      </c>
      <c r="B645" s="137">
        <f t="shared" ca="1" si="101"/>
        <v>11.352488059607872</v>
      </c>
      <c r="C645" s="137">
        <f t="shared" ca="1" si="102"/>
        <v>59.002026769975011</v>
      </c>
      <c r="D645" s="152">
        <f t="shared" ca="1" si="103"/>
        <v>7.4567503323885962</v>
      </c>
      <c r="E645" s="197">
        <f t="shared" ca="1" si="104"/>
        <v>9.1909832858421321E-13</v>
      </c>
      <c r="F645" s="137">
        <f t="shared" ca="1" si="105"/>
        <v>-11.751503927427624</v>
      </c>
      <c r="G645" s="137">
        <f t="shared" ca="1" si="106"/>
        <v>-23.103991987035496</v>
      </c>
      <c r="H645" s="152">
        <f t="shared" ca="1" si="107"/>
        <v>-2.919911558300921</v>
      </c>
      <c r="I645" s="152">
        <f t="shared" ca="1" si="108"/>
        <v>0.99807374866897292</v>
      </c>
      <c r="J645" s="190">
        <f t="shared" ca="1" si="109"/>
        <v>0</v>
      </c>
      <c r="K645" s="187" t="str" cm="1">
        <f t="array" aca="1" ref="K645" ca="1">_xlfn.IFS(G645&lt;$B$11,"Fail",G645&lt;25,"Marginal",G645&lt;35,"Solid",TRUE,"Blowout")</f>
        <v>Fail</v>
      </c>
      <c r="L645" s="193">
        <f t="shared" ca="1" si="99"/>
        <v>1</v>
      </c>
      <c r="M645" s="184" t="str" cm="1">
        <f t="array" aca="1" ref="M645" ca="1">_xlfn.IFS(C645&lt;$B$11,"Fail",C645&lt;25,"Marginal",C645&lt;35,"Solid",TRUE,"Blowout")</f>
        <v>Blowout</v>
      </c>
    </row>
    <row r="646" spans="1:13" x14ac:dyDescent="0.25">
      <c r="A646" s="138">
        <f t="shared" ca="1" si="100"/>
        <v>28.40135586252466</v>
      </c>
      <c r="B646" s="137">
        <f t="shared" ca="1" si="101"/>
        <v>3.3179685357142112</v>
      </c>
      <c r="C646" s="137">
        <f t="shared" ca="1" si="102"/>
        <v>25.083387326810449</v>
      </c>
      <c r="D646" s="152">
        <f t="shared" ca="1" si="103"/>
        <v>3.1700700302350806</v>
      </c>
      <c r="E646" s="197">
        <f t="shared" ca="1" si="104"/>
        <v>8.6654919540422566E-4</v>
      </c>
      <c r="F646" s="137">
        <f t="shared" ca="1" si="105"/>
        <v>-6.2637374798962648</v>
      </c>
      <c r="G646" s="137">
        <f t="shared" ca="1" si="106"/>
        <v>-9.5817060156104752</v>
      </c>
      <c r="H646" s="152">
        <f t="shared" ca="1" si="107"/>
        <v>-1.2109480542982283</v>
      </c>
      <c r="I646" s="152">
        <f t="shared" ca="1" si="108"/>
        <v>0.88641548855559726</v>
      </c>
      <c r="J646" s="190">
        <f t="shared" ca="1" si="109"/>
        <v>0</v>
      </c>
      <c r="K646" s="187" t="str" cm="1">
        <f t="array" aca="1" ref="K646" ca="1">_xlfn.IFS(G646&lt;$B$11,"Fail",G646&lt;25,"Marginal",G646&lt;35,"Solid",TRUE,"Blowout")</f>
        <v>Fail</v>
      </c>
      <c r="L646" s="193">
        <f t="shared" ca="1" si="99"/>
        <v>1</v>
      </c>
      <c r="M646" s="184" t="str" cm="1">
        <f t="array" aca="1" ref="M646" ca="1">_xlfn.IFS(C646&lt;$B$11,"Fail",C646&lt;25,"Marginal",C646&lt;35,"Solid",TRUE,"Blowout")</f>
        <v>Solid</v>
      </c>
    </row>
    <row r="647" spans="1:13" x14ac:dyDescent="0.25">
      <c r="A647" s="138">
        <f t="shared" ca="1" si="100"/>
        <v>38.223559252463595</v>
      </c>
      <c r="B647" s="137">
        <f t="shared" ca="1" si="101"/>
        <v>0.34085455602026471</v>
      </c>
      <c r="C647" s="137">
        <f t="shared" ca="1" si="102"/>
        <v>37.882704696443326</v>
      </c>
      <c r="D647" s="152">
        <f t="shared" ca="1" si="103"/>
        <v>4.7876638532819413</v>
      </c>
      <c r="E647" s="197">
        <f t="shared" ca="1" si="104"/>
        <v>1.5178260450271944E-6</v>
      </c>
      <c r="F647" s="137">
        <f t="shared" ca="1" si="105"/>
        <v>37.097123688472252</v>
      </c>
      <c r="G647" s="137">
        <f t="shared" ca="1" si="106"/>
        <v>36.75626913245199</v>
      </c>
      <c r="H647" s="152">
        <f t="shared" ca="1" si="107"/>
        <v>4.6453035103236706</v>
      </c>
      <c r="I647" s="152">
        <f t="shared" ca="1" si="108"/>
        <v>2.8699329725066998E-6</v>
      </c>
      <c r="J647" s="190">
        <f t="shared" ca="1" si="109"/>
        <v>1</v>
      </c>
      <c r="K647" s="187" t="str" cm="1">
        <f t="array" aca="1" ref="K647" ca="1">_xlfn.IFS(G647&lt;$B$11,"Fail",G647&lt;25,"Marginal",G647&lt;35,"Solid",TRUE,"Blowout")</f>
        <v>Blowout</v>
      </c>
      <c r="L647" s="193">
        <f t="shared" ca="1" si="99"/>
        <v>1</v>
      </c>
      <c r="M647" s="184" t="str" cm="1">
        <f t="array" aca="1" ref="M647" ca="1">_xlfn.IFS(C647&lt;$B$11,"Fail",C647&lt;25,"Marginal",C647&lt;35,"Solid",TRUE,"Blowout")</f>
        <v>Blowout</v>
      </c>
    </row>
    <row r="648" spans="1:13" x14ac:dyDescent="0.25">
      <c r="A648" s="138">
        <f t="shared" ca="1" si="100"/>
        <v>31.921184069075405</v>
      </c>
      <c r="B648" s="137">
        <f t="shared" ca="1" si="101"/>
        <v>12.669982950264034</v>
      </c>
      <c r="C648" s="137">
        <f t="shared" ca="1" si="102"/>
        <v>19.251201118811373</v>
      </c>
      <c r="D648" s="152">
        <f t="shared" ca="1" si="103"/>
        <v>2.4329910038722087</v>
      </c>
      <c r="E648" s="197">
        <f t="shared" ca="1" si="104"/>
        <v>7.872485524389513E-3</v>
      </c>
      <c r="F648" s="137">
        <f t="shared" ca="1" si="105"/>
        <v>11.069923024544357</v>
      </c>
      <c r="G648" s="137">
        <f t="shared" ca="1" si="106"/>
        <v>-1.6000599257196768</v>
      </c>
      <c r="H648" s="152">
        <f t="shared" ca="1" si="107"/>
        <v>-0.20221758532917811</v>
      </c>
      <c r="I648" s="152">
        <f t="shared" ca="1" si="108"/>
        <v>0.58003652704229314</v>
      </c>
      <c r="J648" s="190">
        <f t="shared" ca="1" si="109"/>
        <v>0</v>
      </c>
      <c r="K648" s="187" t="str" cm="1">
        <f t="array" aca="1" ref="K648" ca="1">_xlfn.IFS(G648&lt;$B$11,"Fail",G648&lt;25,"Marginal",G648&lt;35,"Solid",TRUE,"Blowout")</f>
        <v>Fail</v>
      </c>
      <c r="L648" s="193">
        <f t="shared" ca="1" si="99"/>
        <v>0</v>
      </c>
      <c r="M648" s="184" t="str" cm="1">
        <f t="array" aca="1" ref="M648" ca="1">_xlfn.IFS(C648&lt;$B$11,"Fail",C648&lt;25,"Marginal",C648&lt;35,"Solid",TRUE,"Blowout")</f>
        <v>Fail</v>
      </c>
    </row>
    <row r="649" spans="1:13" x14ac:dyDescent="0.25">
      <c r="A649" s="138">
        <f t="shared" ca="1" si="100"/>
        <v>74.660720414478163</v>
      </c>
      <c r="B649" s="137">
        <f t="shared" ca="1" si="101"/>
        <v>-6.4277088003632521E-2</v>
      </c>
      <c r="C649" s="137">
        <f t="shared" ca="1" si="102"/>
        <v>74.724997502481799</v>
      </c>
      <c r="D649" s="152">
        <f t="shared" ca="1" si="103"/>
        <v>9.4438391436397122</v>
      </c>
      <c r="E649" s="197">
        <f t="shared" ca="1" si="104"/>
        <v>2.2234839583836486E-18</v>
      </c>
      <c r="F649" s="137">
        <f t="shared" ca="1" si="105"/>
        <v>52.116400523226368</v>
      </c>
      <c r="G649" s="137">
        <f t="shared" ca="1" si="106"/>
        <v>52.180677611230003</v>
      </c>
      <c r="H649" s="152">
        <f t="shared" ca="1" si="107"/>
        <v>6.5946596485361093</v>
      </c>
      <c r="I649" s="152">
        <f t="shared" ca="1" si="108"/>
        <v>1.467154440826123E-10</v>
      </c>
      <c r="J649" s="190">
        <f t="shared" ca="1" si="109"/>
        <v>1</v>
      </c>
      <c r="K649" s="187" t="str" cm="1">
        <f t="array" aca="1" ref="K649" ca="1">_xlfn.IFS(G649&lt;$B$11,"Fail",G649&lt;25,"Marginal",G649&lt;35,"Solid",TRUE,"Blowout")</f>
        <v>Blowout</v>
      </c>
      <c r="L649" s="193">
        <f t="shared" ca="1" si="99"/>
        <v>1</v>
      </c>
      <c r="M649" s="184" t="str" cm="1">
        <f t="array" aca="1" ref="M649" ca="1">_xlfn.IFS(C649&lt;$B$11,"Fail",C649&lt;25,"Marginal",C649&lt;35,"Solid",TRUE,"Blowout")</f>
        <v>Blowout</v>
      </c>
    </row>
    <row r="650" spans="1:13" x14ac:dyDescent="0.25">
      <c r="A650" s="138">
        <f t="shared" ca="1" si="100"/>
        <v>15.962509352964556</v>
      </c>
      <c r="B650" s="137">
        <f t="shared" ca="1" si="101"/>
        <v>0.61728919315530195</v>
      </c>
      <c r="C650" s="137">
        <f t="shared" ca="1" si="102"/>
        <v>15.345220159809255</v>
      </c>
      <c r="D650" s="152">
        <f t="shared" ca="1" si="103"/>
        <v>1.9393482188897071</v>
      </c>
      <c r="E650" s="197">
        <f t="shared" ca="1" si="104"/>
        <v>2.6846359976980216E-2</v>
      </c>
      <c r="F650" s="137">
        <f t="shared" ca="1" si="105"/>
        <v>21.192827322391832</v>
      </c>
      <c r="G650" s="137">
        <f t="shared" ca="1" si="106"/>
        <v>20.575538129236531</v>
      </c>
      <c r="H650" s="152">
        <f t="shared" ca="1" si="107"/>
        <v>2.6003623804722347</v>
      </c>
      <c r="I650" s="152">
        <f t="shared" ca="1" si="108"/>
        <v>4.960595148106363E-3</v>
      </c>
      <c r="J650" s="190">
        <f t="shared" ca="1" si="109"/>
        <v>1</v>
      </c>
      <c r="K650" s="187" t="str" cm="1">
        <f t="array" aca="1" ref="K650" ca="1">_xlfn.IFS(G650&lt;$B$11,"Fail",G650&lt;25,"Marginal",G650&lt;35,"Solid",TRUE,"Blowout")</f>
        <v>Marginal</v>
      </c>
      <c r="L650" s="193">
        <f t="shared" ca="1" si="99"/>
        <v>0</v>
      </c>
      <c r="M650" s="184" t="str" cm="1">
        <f t="array" aca="1" ref="M650" ca="1">_xlfn.IFS(C650&lt;$B$11,"Fail",C650&lt;25,"Marginal",C650&lt;35,"Solid",TRUE,"Blowout")</f>
        <v>Fail</v>
      </c>
    </row>
    <row r="651" spans="1:13" x14ac:dyDescent="0.25">
      <c r="A651" s="138">
        <f t="shared" ca="1" si="100"/>
        <v>22.466837489563076</v>
      </c>
      <c r="B651" s="137">
        <f t="shared" ca="1" si="101"/>
        <v>12.223798414894915</v>
      </c>
      <c r="C651" s="137">
        <f t="shared" ca="1" si="102"/>
        <v>10.243039074668161</v>
      </c>
      <c r="D651" s="152">
        <f t="shared" ca="1" si="103"/>
        <v>1.2945281578626953</v>
      </c>
      <c r="E651" s="197">
        <f t="shared" ca="1" si="104"/>
        <v>9.8396285192522207E-2</v>
      </c>
      <c r="F651" s="137">
        <f t="shared" ca="1" si="105"/>
        <v>42.866442531650939</v>
      </c>
      <c r="G651" s="137">
        <f t="shared" ca="1" si="106"/>
        <v>30.642644116756024</v>
      </c>
      <c r="H651" s="152">
        <f t="shared" ca="1" si="107"/>
        <v>3.8726558935626665</v>
      </c>
      <c r="I651" s="152">
        <f t="shared" ca="1" si="108"/>
        <v>7.0334049540309525E-5</v>
      </c>
      <c r="J651" s="190">
        <f t="shared" ca="1" si="109"/>
        <v>1</v>
      </c>
      <c r="K651" s="187" t="str" cm="1">
        <f t="array" aca="1" ref="K651" ca="1">_xlfn.IFS(G651&lt;$B$11,"Fail",G651&lt;25,"Marginal",G651&lt;35,"Solid",TRUE,"Blowout")</f>
        <v>Solid</v>
      </c>
      <c r="L651" s="193">
        <f t="shared" ca="1" si="99"/>
        <v>0</v>
      </c>
      <c r="M651" s="184" t="str" cm="1">
        <f t="array" aca="1" ref="M651" ca="1">_xlfn.IFS(C651&lt;$B$11,"Fail",C651&lt;25,"Marginal",C651&lt;35,"Solid",TRUE,"Blowout")</f>
        <v>Fail</v>
      </c>
    </row>
    <row r="652" spans="1:13" x14ac:dyDescent="0.25">
      <c r="A652" s="138">
        <f t="shared" ca="1" si="100"/>
        <v>53.60799629693021</v>
      </c>
      <c r="B652" s="137">
        <f t="shared" ca="1" si="101"/>
        <v>4.1907992659255893</v>
      </c>
      <c r="C652" s="137">
        <f t="shared" ca="1" si="102"/>
        <v>49.417197031004619</v>
      </c>
      <c r="D652" s="152">
        <f t="shared" ca="1" si="103"/>
        <v>6.2454074980043695</v>
      </c>
      <c r="E652" s="197">
        <f t="shared" ca="1" si="104"/>
        <v>1.0235035848262548E-9</v>
      </c>
      <c r="F652" s="137">
        <f t="shared" ca="1" si="105"/>
        <v>12.907710036648881</v>
      </c>
      <c r="G652" s="137">
        <f t="shared" ca="1" si="106"/>
        <v>8.7169107707232918</v>
      </c>
      <c r="H652" s="152">
        <f t="shared" ca="1" si="107"/>
        <v>1.1016541438551022</v>
      </c>
      <c r="I652" s="152">
        <f t="shared" ca="1" si="108"/>
        <v>0.13588682888204734</v>
      </c>
      <c r="J652" s="190">
        <f t="shared" ca="1" si="109"/>
        <v>0</v>
      </c>
      <c r="K652" s="187" t="str" cm="1">
        <f t="array" aca="1" ref="K652" ca="1">_xlfn.IFS(G652&lt;$B$11,"Fail",G652&lt;25,"Marginal",G652&lt;35,"Solid",TRUE,"Blowout")</f>
        <v>Fail</v>
      </c>
      <c r="L652" s="193">
        <f t="shared" ca="1" si="99"/>
        <v>1</v>
      </c>
      <c r="M652" s="184" t="str" cm="1">
        <f t="array" aca="1" ref="M652" ca="1">_xlfn.IFS(C652&lt;$B$11,"Fail",C652&lt;25,"Marginal",C652&lt;35,"Solid",TRUE,"Blowout")</f>
        <v>Blowout</v>
      </c>
    </row>
    <row r="653" spans="1:13" x14ac:dyDescent="0.25">
      <c r="A653" s="138">
        <f t="shared" ca="1" si="100"/>
        <v>55.144161345945818</v>
      </c>
      <c r="B653" s="137">
        <f t="shared" ca="1" si="101"/>
        <v>2.1540911034339927</v>
      </c>
      <c r="C653" s="137">
        <f t="shared" ca="1" si="102"/>
        <v>52.990070242511827</v>
      </c>
      <c r="D653" s="152">
        <f t="shared" ca="1" si="103"/>
        <v>6.6969517070084956</v>
      </c>
      <c r="E653" s="197">
        <f t="shared" ca="1" si="104"/>
        <v>8.2001302008500085E-11</v>
      </c>
      <c r="F653" s="137">
        <f t="shared" ca="1" si="105"/>
        <v>22.98333746176543</v>
      </c>
      <c r="G653" s="137">
        <f t="shared" ca="1" si="106"/>
        <v>20.829246358331439</v>
      </c>
      <c r="H653" s="152">
        <f t="shared" ca="1" si="107"/>
        <v>2.6324263454781942</v>
      </c>
      <c r="I653" s="152">
        <f t="shared" ca="1" si="108"/>
        <v>4.5285549597367828E-3</v>
      </c>
      <c r="J653" s="190">
        <f t="shared" ca="1" si="109"/>
        <v>1</v>
      </c>
      <c r="K653" s="187" t="str" cm="1">
        <f t="array" aca="1" ref="K653" ca="1">_xlfn.IFS(G653&lt;$B$11,"Fail",G653&lt;25,"Marginal",G653&lt;35,"Solid",TRUE,"Blowout")</f>
        <v>Marginal</v>
      </c>
      <c r="L653" s="193">
        <f t="shared" ca="1" si="99"/>
        <v>1</v>
      </c>
      <c r="M653" s="184" t="str" cm="1">
        <f t="array" aca="1" ref="M653" ca="1">_xlfn.IFS(C653&lt;$B$11,"Fail",C653&lt;25,"Marginal",C653&lt;35,"Solid",TRUE,"Blowout")</f>
        <v>Blowout</v>
      </c>
    </row>
    <row r="654" spans="1:13" x14ac:dyDescent="0.25">
      <c r="A654" s="138">
        <f t="shared" ca="1" si="100"/>
        <v>14.876129615231186</v>
      </c>
      <c r="B654" s="137">
        <f t="shared" ca="1" si="101"/>
        <v>-0.83142807047811651</v>
      </c>
      <c r="C654" s="137">
        <f t="shared" ca="1" si="102"/>
        <v>15.707557685709302</v>
      </c>
      <c r="D654" s="152">
        <f t="shared" ca="1" si="103"/>
        <v>1.9851408910164714</v>
      </c>
      <c r="E654" s="197">
        <f t="shared" ca="1" si="104"/>
        <v>2.4163632486344698E-2</v>
      </c>
      <c r="F654" s="137">
        <f t="shared" ca="1" si="105"/>
        <v>28.645669574328444</v>
      </c>
      <c r="G654" s="137">
        <f t="shared" ca="1" si="106"/>
        <v>29.477097644806562</v>
      </c>
      <c r="H654" s="152">
        <f t="shared" ca="1" si="107"/>
        <v>3.7253526648785584</v>
      </c>
      <c r="I654" s="152">
        <f t="shared" ca="1" si="108"/>
        <v>1.2296767694742217E-4</v>
      </c>
      <c r="J654" s="190">
        <f t="shared" ca="1" si="109"/>
        <v>1</v>
      </c>
      <c r="K654" s="187" t="str" cm="1">
        <f t="array" aca="1" ref="K654" ca="1">_xlfn.IFS(G654&lt;$B$11,"Fail",G654&lt;25,"Marginal",G654&lt;35,"Solid",TRUE,"Blowout")</f>
        <v>Solid</v>
      </c>
      <c r="L654" s="193">
        <f t="shared" ca="1" si="99"/>
        <v>0</v>
      </c>
      <c r="M654" s="184" t="str" cm="1">
        <f t="array" aca="1" ref="M654" ca="1">_xlfn.IFS(C654&lt;$B$11,"Fail",C654&lt;25,"Marginal",C654&lt;35,"Solid",TRUE,"Blowout")</f>
        <v>Fail</v>
      </c>
    </row>
    <row r="655" spans="1:13" x14ac:dyDescent="0.25">
      <c r="A655" s="138">
        <f t="shared" ca="1" si="100"/>
        <v>41.203103836613749</v>
      </c>
      <c r="B655" s="137">
        <f t="shared" ca="1" si="101"/>
        <v>10.774394039923479</v>
      </c>
      <c r="C655" s="137">
        <f t="shared" ca="1" si="102"/>
        <v>30.428709796690271</v>
      </c>
      <c r="D655" s="152">
        <f t="shared" ca="1" si="103"/>
        <v>3.8456186051915586</v>
      </c>
      <c r="E655" s="197">
        <f t="shared" ca="1" si="104"/>
        <v>7.8027053898278043E-5</v>
      </c>
      <c r="F655" s="137">
        <f t="shared" ca="1" si="105"/>
        <v>38.335831594095907</v>
      </c>
      <c r="G655" s="137">
        <f t="shared" ca="1" si="106"/>
        <v>27.561437554172429</v>
      </c>
      <c r="H655" s="152">
        <f t="shared" ca="1" si="107"/>
        <v>3.4832491338715728</v>
      </c>
      <c r="I655" s="152">
        <f t="shared" ca="1" si="108"/>
        <v>2.9688208580656904E-4</v>
      </c>
      <c r="J655" s="190">
        <f t="shared" ca="1" si="109"/>
        <v>1</v>
      </c>
      <c r="K655" s="187" t="str" cm="1">
        <f t="array" aca="1" ref="K655" ca="1">_xlfn.IFS(G655&lt;$B$11,"Fail",G655&lt;25,"Marginal",G655&lt;35,"Solid",TRUE,"Blowout")</f>
        <v>Solid</v>
      </c>
      <c r="L655" s="193">
        <f t="shared" ca="1" si="99"/>
        <v>1</v>
      </c>
      <c r="M655" s="184" t="str" cm="1">
        <f t="array" aca="1" ref="M655" ca="1">_xlfn.IFS(C655&lt;$B$11,"Fail",C655&lt;25,"Marginal",C655&lt;35,"Solid",TRUE,"Blowout")</f>
        <v>Solid</v>
      </c>
    </row>
    <row r="656" spans="1:13" x14ac:dyDescent="0.25">
      <c r="A656" s="138">
        <f t="shared" ca="1" si="100"/>
        <v>10.98988704819752</v>
      </c>
      <c r="B656" s="137">
        <f t="shared" ca="1" si="101"/>
        <v>4.1770703332424057</v>
      </c>
      <c r="C656" s="137">
        <f t="shared" ca="1" si="102"/>
        <v>6.8128167149551144</v>
      </c>
      <c r="D656" s="152">
        <f t="shared" ca="1" si="103"/>
        <v>0.86101234287761819</v>
      </c>
      <c r="E656" s="197">
        <f t="shared" ca="1" si="104"/>
        <v>0.19506789719041295</v>
      </c>
      <c r="F656" s="137">
        <f t="shared" ca="1" si="105"/>
        <v>39.844765184033939</v>
      </c>
      <c r="G656" s="137">
        <f t="shared" ca="1" si="106"/>
        <v>35.667694850791534</v>
      </c>
      <c r="H656" s="152">
        <f t="shared" ca="1" si="107"/>
        <v>4.5077281238331848</v>
      </c>
      <c r="I656" s="152">
        <f t="shared" ca="1" si="108"/>
        <v>5.2389216354379403E-6</v>
      </c>
      <c r="J656" s="190">
        <f t="shared" ca="1" si="109"/>
        <v>1</v>
      </c>
      <c r="K656" s="187" t="str" cm="1">
        <f t="array" aca="1" ref="K656" ca="1">_xlfn.IFS(G656&lt;$B$11,"Fail",G656&lt;25,"Marginal",G656&lt;35,"Solid",TRUE,"Blowout")</f>
        <v>Blowout</v>
      </c>
      <c r="L656" s="193">
        <f t="shared" ref="L656:L719" ca="1" si="110">IF(AND(E656&lt;$B$10,C656&gt;=$B$11),1,0)</f>
        <v>0</v>
      </c>
      <c r="M656" s="184" t="str" cm="1">
        <f t="array" aca="1" ref="M656" ca="1">_xlfn.IFS(C656&lt;$B$11,"Fail",C656&lt;25,"Marginal",C656&lt;35,"Solid",TRUE,"Blowout")</f>
        <v>Fail</v>
      </c>
    </row>
    <row r="657" spans="1:13" x14ac:dyDescent="0.25">
      <c r="A657" s="138">
        <f t="shared" ref="A657:A720" ca="1" si="111">NORMINV(RAND(), MAX(0, NORMINV(RAND(), $B$6, $B$12)), $B$7/SQRT($B$9))</f>
        <v>36.909248802344138</v>
      </c>
      <c r="B657" s="137">
        <f t="shared" ref="B657:B720" ca="1" si="112">NORMINV(RAND(), $B$8, $B$7/SQRT($B$9))</f>
        <v>5.6276808534948488</v>
      </c>
      <c r="C657" s="137">
        <f t="shared" ref="C657:C720" ca="1" si="113">A657-B657</f>
        <v>31.28156794884929</v>
      </c>
      <c r="D657" s="152">
        <f t="shared" ref="D657:D720" ca="1" si="114">C657/($B$7*SQRT(2/$B$9))</f>
        <v>3.9534038908459888</v>
      </c>
      <c r="E657" s="197">
        <f t="shared" ref="E657:E720" ca="1" si="115">_xlfn.T.DIST.RT(D657, 2*$B$9-2)</f>
        <v>5.1413940110447291E-5</v>
      </c>
      <c r="F657" s="137">
        <f t="shared" ref="F657:F720" ca="1" si="116">NORMINV(RAND(), MAX(0, NORMINV(RAND(), $N$7, $N$8)), $B$7/SQRT($B$9))</f>
        <v>14.235698395476</v>
      </c>
      <c r="G657" s="137">
        <f t="shared" ref="G657:G720" ca="1" si="117">F657-B657</f>
        <v>8.6080175419811518</v>
      </c>
      <c r="H657" s="152">
        <f t="shared" ref="H657:H720" ca="1" si="118">G657/($B$7*SQRT(2/$B$9))</f>
        <v>1.0878920806842312</v>
      </c>
      <c r="I657" s="152">
        <f t="shared" ref="I657:I720" ca="1" si="119">_xlfn.T.DIST.RT(H657, 2*$B$9-2)</f>
        <v>0.13889570434073473</v>
      </c>
      <c r="J657" s="190">
        <f t="shared" ref="J657:J720" ca="1" si="120">IF(AND(I657&lt;$B$10, G657&gt;=$B$11), 1, 0)</f>
        <v>0</v>
      </c>
      <c r="K657" s="187" t="str" cm="1">
        <f t="array" aca="1" ref="K657" ca="1">_xlfn.IFS(G657&lt;$B$11,"Fail",G657&lt;25,"Marginal",G657&lt;35,"Solid",TRUE,"Blowout")</f>
        <v>Fail</v>
      </c>
      <c r="L657" s="193">
        <f t="shared" ca="1" si="110"/>
        <v>1</v>
      </c>
      <c r="M657" s="184" t="str" cm="1">
        <f t="array" aca="1" ref="M657" ca="1">_xlfn.IFS(C657&lt;$B$11,"Fail",C657&lt;25,"Marginal",C657&lt;35,"Solid",TRUE,"Blowout")</f>
        <v>Solid</v>
      </c>
    </row>
    <row r="658" spans="1:13" x14ac:dyDescent="0.25">
      <c r="A658" s="138">
        <f t="shared" ca="1" si="111"/>
        <v>-1.6462574592600787</v>
      </c>
      <c r="B658" s="137">
        <f t="shared" ca="1" si="112"/>
        <v>13.092080434400655</v>
      </c>
      <c r="C658" s="137">
        <f t="shared" ca="1" si="113"/>
        <v>-14.738337893660734</v>
      </c>
      <c r="D658" s="152">
        <f t="shared" ca="1" si="114"/>
        <v>-1.862649674999574</v>
      </c>
      <c r="E658" s="197">
        <f t="shared" ca="1" si="115"/>
        <v>0.96810111911667285</v>
      </c>
      <c r="F658" s="137">
        <f t="shared" ca="1" si="116"/>
        <v>35.329485409014431</v>
      </c>
      <c r="G658" s="137">
        <f t="shared" ca="1" si="117"/>
        <v>22.237404974613774</v>
      </c>
      <c r="H658" s="152">
        <f t="shared" ca="1" si="118"/>
        <v>2.8103912020238098</v>
      </c>
      <c r="I658" s="152">
        <f t="shared" ca="1" si="119"/>
        <v>2.6891796837097462E-3</v>
      </c>
      <c r="J658" s="190">
        <f t="shared" ca="1" si="120"/>
        <v>1</v>
      </c>
      <c r="K658" s="187" t="str" cm="1">
        <f t="array" aca="1" ref="K658" ca="1">_xlfn.IFS(G658&lt;$B$11,"Fail",G658&lt;25,"Marginal",G658&lt;35,"Solid",TRUE,"Blowout")</f>
        <v>Marginal</v>
      </c>
      <c r="L658" s="193">
        <f t="shared" ca="1" si="110"/>
        <v>0</v>
      </c>
      <c r="M658" s="184" t="str" cm="1">
        <f t="array" aca="1" ref="M658" ca="1">_xlfn.IFS(C658&lt;$B$11,"Fail",C658&lt;25,"Marginal",C658&lt;35,"Solid",TRUE,"Blowout")</f>
        <v>Fail</v>
      </c>
    </row>
    <row r="659" spans="1:13" x14ac:dyDescent="0.25">
      <c r="A659" s="138">
        <f t="shared" ca="1" si="111"/>
        <v>42.849117344913083</v>
      </c>
      <c r="B659" s="137">
        <f t="shared" ca="1" si="112"/>
        <v>7.0006475837272397</v>
      </c>
      <c r="C659" s="137">
        <f t="shared" ca="1" si="113"/>
        <v>35.848469761185839</v>
      </c>
      <c r="D659" s="152">
        <f t="shared" ca="1" si="114"/>
        <v>4.5305746843153445</v>
      </c>
      <c r="E659" s="197">
        <f t="shared" ca="1" si="115"/>
        <v>4.7451295512962208E-6</v>
      </c>
      <c r="F659" s="137">
        <f t="shared" ca="1" si="116"/>
        <v>17.348946664646711</v>
      </c>
      <c r="G659" s="137">
        <f t="shared" ca="1" si="117"/>
        <v>10.348299080919471</v>
      </c>
      <c r="H659" s="152">
        <f t="shared" ca="1" si="118"/>
        <v>1.3078310498067582</v>
      </c>
      <c r="I659" s="152">
        <f t="shared" ca="1" si="119"/>
        <v>9.6123864016358002E-2</v>
      </c>
      <c r="J659" s="190">
        <f t="shared" ca="1" si="120"/>
        <v>0</v>
      </c>
      <c r="K659" s="187" t="str" cm="1">
        <f t="array" aca="1" ref="K659" ca="1">_xlfn.IFS(G659&lt;$B$11,"Fail",G659&lt;25,"Marginal",G659&lt;35,"Solid",TRUE,"Blowout")</f>
        <v>Fail</v>
      </c>
      <c r="L659" s="193">
        <f t="shared" ca="1" si="110"/>
        <v>1</v>
      </c>
      <c r="M659" s="184" t="str" cm="1">
        <f t="array" aca="1" ref="M659" ca="1">_xlfn.IFS(C659&lt;$B$11,"Fail",C659&lt;25,"Marginal",C659&lt;35,"Solid",TRUE,"Blowout")</f>
        <v>Blowout</v>
      </c>
    </row>
    <row r="660" spans="1:13" x14ac:dyDescent="0.25">
      <c r="A660" s="138">
        <f t="shared" ca="1" si="111"/>
        <v>40.92995863090183</v>
      </c>
      <c r="B660" s="137">
        <f t="shared" ca="1" si="112"/>
        <v>-6.4222148879582797</v>
      </c>
      <c r="C660" s="137">
        <f t="shared" ca="1" si="113"/>
        <v>47.352173518860113</v>
      </c>
      <c r="D660" s="152">
        <f t="shared" ca="1" si="114"/>
        <v>5.9844272299772081</v>
      </c>
      <c r="E660" s="197">
        <f t="shared" ca="1" si="115"/>
        <v>4.1738662931093335E-9</v>
      </c>
      <c r="F660" s="137">
        <f t="shared" ca="1" si="116"/>
        <v>23.601972020156516</v>
      </c>
      <c r="G660" s="137">
        <f t="shared" ca="1" si="117"/>
        <v>30.024186908114796</v>
      </c>
      <c r="H660" s="152">
        <f t="shared" ca="1" si="118"/>
        <v>3.7944944938859626</v>
      </c>
      <c r="I660" s="152">
        <f t="shared" ca="1" si="119"/>
        <v>9.4801500346832748E-5</v>
      </c>
      <c r="J660" s="190">
        <f t="shared" ca="1" si="120"/>
        <v>1</v>
      </c>
      <c r="K660" s="187" t="str" cm="1">
        <f t="array" aca="1" ref="K660" ca="1">_xlfn.IFS(G660&lt;$B$11,"Fail",G660&lt;25,"Marginal",G660&lt;35,"Solid",TRUE,"Blowout")</f>
        <v>Solid</v>
      </c>
      <c r="L660" s="193">
        <f t="shared" ca="1" si="110"/>
        <v>1</v>
      </c>
      <c r="M660" s="184" t="str" cm="1">
        <f t="array" aca="1" ref="M660" ca="1">_xlfn.IFS(C660&lt;$B$11,"Fail",C660&lt;25,"Marginal",C660&lt;35,"Solid",TRUE,"Blowout")</f>
        <v>Blowout</v>
      </c>
    </row>
    <row r="661" spans="1:13" x14ac:dyDescent="0.25">
      <c r="A661" s="138">
        <f t="shared" ca="1" si="111"/>
        <v>15.499836106344475</v>
      </c>
      <c r="B661" s="137">
        <f t="shared" ca="1" si="112"/>
        <v>6.0139890162916894</v>
      </c>
      <c r="C661" s="137">
        <f t="shared" ca="1" si="113"/>
        <v>9.4858470900527863</v>
      </c>
      <c r="D661" s="152">
        <f t="shared" ca="1" si="114"/>
        <v>1.1988332827531523</v>
      </c>
      <c r="E661" s="197">
        <f t="shared" ca="1" si="115"/>
        <v>0.11591864359285883</v>
      </c>
      <c r="F661" s="137">
        <f t="shared" ca="1" si="116"/>
        <v>17.367655007318216</v>
      </c>
      <c r="G661" s="137">
        <f t="shared" ca="1" si="117"/>
        <v>11.353665991026528</v>
      </c>
      <c r="H661" s="152">
        <f t="shared" ca="1" si="118"/>
        <v>1.4348905840553046</v>
      </c>
      <c r="I661" s="152">
        <f t="shared" ca="1" si="119"/>
        <v>7.6344276508959252E-2</v>
      </c>
      <c r="J661" s="190">
        <f t="shared" ca="1" si="120"/>
        <v>0</v>
      </c>
      <c r="K661" s="187" t="str" cm="1">
        <f t="array" aca="1" ref="K661" ca="1">_xlfn.IFS(G661&lt;$B$11,"Fail",G661&lt;25,"Marginal",G661&lt;35,"Solid",TRUE,"Blowout")</f>
        <v>Fail</v>
      </c>
      <c r="L661" s="193">
        <f t="shared" ca="1" si="110"/>
        <v>0</v>
      </c>
      <c r="M661" s="184" t="str" cm="1">
        <f t="array" aca="1" ref="M661" ca="1">_xlfn.IFS(C661&lt;$B$11,"Fail",C661&lt;25,"Marginal",C661&lt;35,"Solid",TRUE,"Blowout")</f>
        <v>Fail</v>
      </c>
    </row>
    <row r="662" spans="1:13" x14ac:dyDescent="0.25">
      <c r="A662" s="138">
        <f t="shared" ca="1" si="111"/>
        <v>17.421915002466427</v>
      </c>
      <c r="B662" s="137">
        <f t="shared" ca="1" si="112"/>
        <v>-3.2050148390497917</v>
      </c>
      <c r="C662" s="137">
        <f t="shared" ca="1" si="113"/>
        <v>20.626929841516219</v>
      </c>
      <c r="D662" s="152">
        <f t="shared" ca="1" si="114"/>
        <v>2.6068573296901247</v>
      </c>
      <c r="E662" s="197">
        <f t="shared" ca="1" si="115"/>
        <v>4.8702061507910812E-3</v>
      </c>
      <c r="F662" s="137">
        <f t="shared" ca="1" si="116"/>
        <v>46.019889852950854</v>
      </c>
      <c r="G662" s="137">
        <f t="shared" ca="1" si="117"/>
        <v>49.224904692000649</v>
      </c>
      <c r="H662" s="152">
        <f t="shared" ca="1" si="118"/>
        <v>6.2211053504124951</v>
      </c>
      <c r="I662" s="152">
        <f t="shared" ca="1" si="119"/>
        <v>1.1686054475175612E-9</v>
      </c>
      <c r="J662" s="190">
        <f t="shared" ca="1" si="120"/>
        <v>1</v>
      </c>
      <c r="K662" s="187" t="str" cm="1">
        <f t="array" aca="1" ref="K662" ca="1">_xlfn.IFS(G662&lt;$B$11,"Fail",G662&lt;25,"Marginal",G662&lt;35,"Solid",TRUE,"Blowout")</f>
        <v>Blowout</v>
      </c>
      <c r="L662" s="193">
        <f t="shared" ca="1" si="110"/>
        <v>1</v>
      </c>
      <c r="M662" s="184" t="str" cm="1">
        <f t="array" aca="1" ref="M662" ca="1">_xlfn.IFS(C662&lt;$B$11,"Fail",C662&lt;25,"Marginal",C662&lt;35,"Solid",TRUE,"Blowout")</f>
        <v>Marginal</v>
      </c>
    </row>
    <row r="663" spans="1:13" x14ac:dyDescent="0.25">
      <c r="A663" s="138">
        <f t="shared" ca="1" si="111"/>
        <v>53.506645402478917</v>
      </c>
      <c r="B663" s="137">
        <f t="shared" ca="1" si="112"/>
        <v>4.4472073746959033</v>
      </c>
      <c r="C663" s="137">
        <f t="shared" ca="1" si="113"/>
        <v>49.059438027783017</v>
      </c>
      <c r="D663" s="152">
        <f t="shared" ca="1" si="114"/>
        <v>6.2001934653307451</v>
      </c>
      <c r="E663" s="197">
        <f t="shared" ca="1" si="115"/>
        <v>1.3094670831647602E-9</v>
      </c>
      <c r="F663" s="137">
        <f t="shared" ca="1" si="116"/>
        <v>60.385635513318668</v>
      </c>
      <c r="G663" s="137">
        <f t="shared" ca="1" si="117"/>
        <v>55.938428138622768</v>
      </c>
      <c r="H663" s="152">
        <f t="shared" ca="1" si="118"/>
        <v>7.0695688851867482</v>
      </c>
      <c r="I663" s="152">
        <f t="shared" ca="1" si="119"/>
        <v>9.399246215834152E-12</v>
      </c>
      <c r="J663" s="190">
        <f t="shared" ca="1" si="120"/>
        <v>1</v>
      </c>
      <c r="K663" s="187" t="str" cm="1">
        <f t="array" aca="1" ref="K663" ca="1">_xlfn.IFS(G663&lt;$B$11,"Fail",G663&lt;25,"Marginal",G663&lt;35,"Solid",TRUE,"Blowout")</f>
        <v>Blowout</v>
      </c>
      <c r="L663" s="193">
        <f t="shared" ca="1" si="110"/>
        <v>1</v>
      </c>
      <c r="M663" s="184" t="str" cm="1">
        <f t="array" aca="1" ref="M663" ca="1">_xlfn.IFS(C663&lt;$B$11,"Fail",C663&lt;25,"Marginal",C663&lt;35,"Solid",TRUE,"Blowout")</f>
        <v>Blowout</v>
      </c>
    </row>
    <row r="664" spans="1:13" x14ac:dyDescent="0.25">
      <c r="A664" s="138">
        <f t="shared" ca="1" si="111"/>
        <v>-5.1250832888050759</v>
      </c>
      <c r="B664" s="137">
        <f t="shared" ca="1" si="112"/>
        <v>3.5581143932433994</v>
      </c>
      <c r="C664" s="137">
        <f t="shared" ca="1" si="113"/>
        <v>-8.6831976820484762</v>
      </c>
      <c r="D664" s="152">
        <f t="shared" ca="1" si="114"/>
        <v>-1.0973934413175124</v>
      </c>
      <c r="E664" s="197">
        <f t="shared" ca="1" si="115"/>
        <v>0.86318647014001848</v>
      </c>
      <c r="F664" s="137">
        <f t="shared" ca="1" si="116"/>
        <v>33.748359118256204</v>
      </c>
      <c r="G664" s="137">
        <f t="shared" ca="1" si="117"/>
        <v>30.190244725012803</v>
      </c>
      <c r="H664" s="152">
        <f t="shared" ca="1" si="118"/>
        <v>3.8154810895867746</v>
      </c>
      <c r="I664" s="152">
        <f t="shared" ca="1" si="119"/>
        <v>8.7539722109390759E-5</v>
      </c>
      <c r="J664" s="190">
        <f t="shared" ca="1" si="120"/>
        <v>1</v>
      </c>
      <c r="K664" s="187" t="str" cm="1">
        <f t="array" aca="1" ref="K664" ca="1">_xlfn.IFS(G664&lt;$B$11,"Fail",G664&lt;25,"Marginal",G664&lt;35,"Solid",TRUE,"Blowout")</f>
        <v>Solid</v>
      </c>
      <c r="L664" s="193">
        <f t="shared" ca="1" si="110"/>
        <v>0</v>
      </c>
      <c r="M664" s="184" t="str" cm="1">
        <f t="array" aca="1" ref="M664" ca="1">_xlfn.IFS(C664&lt;$B$11,"Fail",C664&lt;25,"Marginal",C664&lt;35,"Solid",TRUE,"Blowout")</f>
        <v>Fail</v>
      </c>
    </row>
    <row r="665" spans="1:13" x14ac:dyDescent="0.25">
      <c r="A665" s="138">
        <f t="shared" ca="1" si="111"/>
        <v>57.23989580494262</v>
      </c>
      <c r="B665" s="137">
        <f t="shared" ca="1" si="112"/>
        <v>-1.9693351751679176</v>
      </c>
      <c r="C665" s="137">
        <f t="shared" ca="1" si="113"/>
        <v>59.20923098011054</v>
      </c>
      <c r="D665" s="152">
        <f t="shared" ca="1" si="114"/>
        <v>7.482937061004276</v>
      </c>
      <c r="E665" s="197">
        <f t="shared" ca="1" si="115"/>
        <v>7.8331938413029023E-13</v>
      </c>
      <c r="F665" s="137">
        <f t="shared" ca="1" si="116"/>
        <v>0.2814355817010053</v>
      </c>
      <c r="G665" s="137">
        <f t="shared" ca="1" si="117"/>
        <v>2.2507707568689228</v>
      </c>
      <c r="H665" s="152">
        <f t="shared" ca="1" si="118"/>
        <v>0.28445523837417797</v>
      </c>
      <c r="I665" s="152">
        <f t="shared" ca="1" si="119"/>
        <v>0.38815985708490974</v>
      </c>
      <c r="J665" s="190">
        <f t="shared" ca="1" si="120"/>
        <v>0</v>
      </c>
      <c r="K665" s="187" t="str" cm="1">
        <f t="array" aca="1" ref="K665" ca="1">_xlfn.IFS(G665&lt;$B$11,"Fail",G665&lt;25,"Marginal",G665&lt;35,"Solid",TRUE,"Blowout")</f>
        <v>Fail</v>
      </c>
      <c r="L665" s="193">
        <f t="shared" ca="1" si="110"/>
        <v>1</v>
      </c>
      <c r="M665" s="184" t="str" cm="1">
        <f t="array" aca="1" ref="M665" ca="1">_xlfn.IFS(C665&lt;$B$11,"Fail",C665&lt;25,"Marginal",C665&lt;35,"Solid",TRUE,"Blowout")</f>
        <v>Blowout</v>
      </c>
    </row>
    <row r="666" spans="1:13" x14ac:dyDescent="0.25">
      <c r="A666" s="138">
        <f t="shared" ca="1" si="111"/>
        <v>12.974770658249568</v>
      </c>
      <c r="B666" s="137">
        <f t="shared" ca="1" si="112"/>
        <v>10.41384346765528</v>
      </c>
      <c r="C666" s="137">
        <f t="shared" ca="1" si="113"/>
        <v>2.5609271905942883</v>
      </c>
      <c r="D666" s="152">
        <f t="shared" ca="1" si="114"/>
        <v>0.32365319845935592</v>
      </c>
      <c r="E666" s="197">
        <f t="shared" ca="1" si="115"/>
        <v>0.37324864203680341</v>
      </c>
      <c r="F666" s="137">
        <f t="shared" ca="1" si="116"/>
        <v>11.392566496175904</v>
      </c>
      <c r="G666" s="137">
        <f t="shared" ca="1" si="117"/>
        <v>0.97872302852062454</v>
      </c>
      <c r="H666" s="152">
        <f t="shared" ca="1" si="118"/>
        <v>0.12369224699161349</v>
      </c>
      <c r="I666" s="152">
        <f t="shared" ca="1" si="119"/>
        <v>0.45083396161127476</v>
      </c>
      <c r="J666" s="190">
        <f t="shared" ca="1" si="120"/>
        <v>0</v>
      </c>
      <c r="K666" s="187" t="str" cm="1">
        <f t="array" aca="1" ref="K666" ca="1">_xlfn.IFS(G666&lt;$B$11,"Fail",G666&lt;25,"Marginal",G666&lt;35,"Solid",TRUE,"Blowout")</f>
        <v>Fail</v>
      </c>
      <c r="L666" s="193">
        <f t="shared" ca="1" si="110"/>
        <v>0</v>
      </c>
      <c r="M666" s="184" t="str" cm="1">
        <f t="array" aca="1" ref="M666" ca="1">_xlfn.IFS(C666&lt;$B$11,"Fail",C666&lt;25,"Marginal",C666&lt;35,"Solid",TRUE,"Blowout")</f>
        <v>Fail</v>
      </c>
    </row>
    <row r="667" spans="1:13" x14ac:dyDescent="0.25">
      <c r="A667" s="138">
        <f t="shared" ca="1" si="111"/>
        <v>19.377734684053081</v>
      </c>
      <c r="B667" s="137">
        <f t="shared" ca="1" si="112"/>
        <v>-1.8125054176865003</v>
      </c>
      <c r="C667" s="137">
        <f t="shared" ca="1" si="113"/>
        <v>21.190240101739583</v>
      </c>
      <c r="D667" s="152">
        <f t="shared" ca="1" si="114"/>
        <v>2.6780491886839588</v>
      </c>
      <c r="E667" s="197">
        <f t="shared" ca="1" si="115"/>
        <v>3.9720569576114492E-3</v>
      </c>
      <c r="F667" s="137">
        <f t="shared" ca="1" si="116"/>
        <v>29.913071758213238</v>
      </c>
      <c r="G667" s="137">
        <f t="shared" ca="1" si="117"/>
        <v>31.725577175899737</v>
      </c>
      <c r="H667" s="152">
        <f t="shared" ca="1" si="118"/>
        <v>4.0095183352582078</v>
      </c>
      <c r="I667" s="152">
        <f t="shared" ca="1" si="119"/>
        <v>4.1232067200256787E-5</v>
      </c>
      <c r="J667" s="190">
        <f t="shared" ca="1" si="120"/>
        <v>1</v>
      </c>
      <c r="K667" s="187" t="str" cm="1">
        <f t="array" aca="1" ref="K667" ca="1">_xlfn.IFS(G667&lt;$B$11,"Fail",G667&lt;25,"Marginal",G667&lt;35,"Solid",TRUE,"Blowout")</f>
        <v>Solid</v>
      </c>
      <c r="L667" s="193">
        <f t="shared" ca="1" si="110"/>
        <v>1</v>
      </c>
      <c r="M667" s="184" t="str" cm="1">
        <f t="array" aca="1" ref="M667" ca="1">_xlfn.IFS(C667&lt;$B$11,"Fail",C667&lt;25,"Marginal",C667&lt;35,"Solid",TRUE,"Blowout")</f>
        <v>Marginal</v>
      </c>
    </row>
    <row r="668" spans="1:13" x14ac:dyDescent="0.25">
      <c r="A668" s="138">
        <f t="shared" ca="1" si="111"/>
        <v>13.547441696814397</v>
      </c>
      <c r="B668" s="137">
        <f t="shared" ca="1" si="112"/>
        <v>3.011136042099448</v>
      </c>
      <c r="C668" s="137">
        <f t="shared" ca="1" si="113"/>
        <v>10.536305654714949</v>
      </c>
      <c r="D668" s="152">
        <f t="shared" ca="1" si="114"/>
        <v>1.3315915570026582</v>
      </c>
      <c r="E668" s="197">
        <f t="shared" ca="1" si="115"/>
        <v>9.2162086663339707E-2</v>
      </c>
      <c r="F668" s="137">
        <f t="shared" ca="1" si="116"/>
        <v>13.26244529337359</v>
      </c>
      <c r="G668" s="137">
        <f t="shared" ca="1" si="117"/>
        <v>10.251309251274142</v>
      </c>
      <c r="H668" s="152">
        <f t="shared" ca="1" si="118"/>
        <v>1.2955733531810865</v>
      </c>
      <c r="I668" s="152">
        <f t="shared" ca="1" si="119"/>
        <v>9.821632232299804E-2</v>
      </c>
      <c r="J668" s="190">
        <f t="shared" ca="1" si="120"/>
        <v>0</v>
      </c>
      <c r="K668" s="187" t="str" cm="1">
        <f t="array" aca="1" ref="K668" ca="1">_xlfn.IFS(G668&lt;$B$11,"Fail",G668&lt;25,"Marginal",G668&lt;35,"Solid",TRUE,"Blowout")</f>
        <v>Fail</v>
      </c>
      <c r="L668" s="193">
        <f t="shared" ca="1" si="110"/>
        <v>0</v>
      </c>
      <c r="M668" s="184" t="str" cm="1">
        <f t="array" aca="1" ref="M668" ca="1">_xlfn.IFS(C668&lt;$B$11,"Fail",C668&lt;25,"Marginal",C668&lt;35,"Solid",TRUE,"Blowout")</f>
        <v>Fail</v>
      </c>
    </row>
    <row r="669" spans="1:13" x14ac:dyDescent="0.25">
      <c r="A669" s="138">
        <f t="shared" ca="1" si="111"/>
        <v>30.268617226438572</v>
      </c>
      <c r="B669" s="137">
        <f t="shared" ca="1" si="112"/>
        <v>1.5310722994986063</v>
      </c>
      <c r="C669" s="137">
        <f t="shared" ca="1" si="113"/>
        <v>28.737544926939965</v>
      </c>
      <c r="D669" s="152">
        <f t="shared" ca="1" si="114"/>
        <v>3.631887062480355</v>
      </c>
      <c r="E669" s="197">
        <f t="shared" ca="1" si="115"/>
        <v>1.7375584106708373E-4</v>
      </c>
      <c r="F669" s="137">
        <f t="shared" ca="1" si="116"/>
        <v>-4.7643239234974422</v>
      </c>
      <c r="G669" s="137">
        <f t="shared" ca="1" si="117"/>
        <v>-6.2953962229960485</v>
      </c>
      <c r="H669" s="152">
        <f t="shared" ca="1" si="118"/>
        <v>-0.79562009049886029</v>
      </c>
      <c r="I669" s="152">
        <f t="shared" ca="1" si="119"/>
        <v>0.78645979224010287</v>
      </c>
      <c r="J669" s="190">
        <f t="shared" ca="1" si="120"/>
        <v>0</v>
      </c>
      <c r="K669" s="187" t="str" cm="1">
        <f t="array" aca="1" ref="K669" ca="1">_xlfn.IFS(G669&lt;$B$11,"Fail",G669&lt;25,"Marginal",G669&lt;35,"Solid",TRUE,"Blowout")</f>
        <v>Fail</v>
      </c>
      <c r="L669" s="193">
        <f t="shared" ca="1" si="110"/>
        <v>1</v>
      </c>
      <c r="M669" s="184" t="str" cm="1">
        <f t="array" aca="1" ref="M669" ca="1">_xlfn.IFS(C669&lt;$B$11,"Fail",C669&lt;25,"Marginal",C669&lt;35,"Solid",TRUE,"Blowout")</f>
        <v>Solid</v>
      </c>
    </row>
    <row r="670" spans="1:13" x14ac:dyDescent="0.25">
      <c r="A670" s="138">
        <f t="shared" ca="1" si="111"/>
        <v>41.061416788702068</v>
      </c>
      <c r="B670" s="137">
        <f t="shared" ca="1" si="112"/>
        <v>10.940816005046322</v>
      </c>
      <c r="C670" s="137">
        <f t="shared" ca="1" si="113"/>
        <v>30.120600783655746</v>
      </c>
      <c r="D670" s="152">
        <f t="shared" ca="1" si="114"/>
        <v>3.8066794007077176</v>
      </c>
      <c r="E670" s="197">
        <f t="shared" ca="1" si="115"/>
        <v>9.0518738667907023E-5</v>
      </c>
      <c r="F670" s="137">
        <f t="shared" ca="1" si="116"/>
        <v>29.526573432729087</v>
      </c>
      <c r="G670" s="137">
        <f t="shared" ca="1" si="117"/>
        <v>18.585757427682765</v>
      </c>
      <c r="H670" s="152">
        <f t="shared" ca="1" si="118"/>
        <v>2.3488913934579059</v>
      </c>
      <c r="I670" s="152">
        <f t="shared" ca="1" si="119"/>
        <v>9.8421672066509227E-3</v>
      </c>
      <c r="J670" s="190">
        <f t="shared" ca="1" si="120"/>
        <v>0</v>
      </c>
      <c r="K670" s="187" t="str" cm="1">
        <f t="array" aca="1" ref="K670" ca="1">_xlfn.IFS(G670&lt;$B$11,"Fail",G670&lt;25,"Marginal",G670&lt;35,"Solid",TRUE,"Blowout")</f>
        <v>Fail</v>
      </c>
      <c r="L670" s="193">
        <f t="shared" ca="1" si="110"/>
        <v>1</v>
      </c>
      <c r="M670" s="184" t="str" cm="1">
        <f t="array" aca="1" ref="M670" ca="1">_xlfn.IFS(C670&lt;$B$11,"Fail",C670&lt;25,"Marginal",C670&lt;35,"Solid",TRUE,"Blowout")</f>
        <v>Solid</v>
      </c>
    </row>
    <row r="671" spans="1:13" x14ac:dyDescent="0.25">
      <c r="A671" s="138">
        <f t="shared" ca="1" si="111"/>
        <v>19.023139719550834</v>
      </c>
      <c r="B671" s="137">
        <f t="shared" ca="1" si="112"/>
        <v>7.3422920573700186</v>
      </c>
      <c r="C671" s="137">
        <f t="shared" ca="1" si="113"/>
        <v>11.680847662180815</v>
      </c>
      <c r="D671" s="152">
        <f t="shared" ca="1" si="114"/>
        <v>1.4762402150542979</v>
      </c>
      <c r="E671" s="197">
        <f t="shared" ca="1" si="115"/>
        <v>7.0629587429451732E-2</v>
      </c>
      <c r="F671" s="137">
        <f t="shared" ca="1" si="116"/>
        <v>12.174918188801453</v>
      </c>
      <c r="G671" s="137">
        <f t="shared" ca="1" si="117"/>
        <v>4.832626131431434</v>
      </c>
      <c r="H671" s="152">
        <f t="shared" ca="1" si="118"/>
        <v>0.61075336703855443</v>
      </c>
      <c r="I671" s="152">
        <f t="shared" ca="1" si="119"/>
        <v>0.2709856131063888</v>
      </c>
      <c r="J671" s="190">
        <f t="shared" ca="1" si="120"/>
        <v>0</v>
      </c>
      <c r="K671" s="187" t="str" cm="1">
        <f t="array" aca="1" ref="K671" ca="1">_xlfn.IFS(G671&lt;$B$11,"Fail",G671&lt;25,"Marginal",G671&lt;35,"Solid",TRUE,"Blowout")</f>
        <v>Fail</v>
      </c>
      <c r="L671" s="193">
        <f t="shared" ca="1" si="110"/>
        <v>0</v>
      </c>
      <c r="M671" s="184" t="str" cm="1">
        <f t="array" aca="1" ref="M671" ca="1">_xlfn.IFS(C671&lt;$B$11,"Fail",C671&lt;25,"Marginal",C671&lt;35,"Solid",TRUE,"Blowout")</f>
        <v>Fail</v>
      </c>
    </row>
    <row r="672" spans="1:13" x14ac:dyDescent="0.25">
      <c r="A672" s="138">
        <f t="shared" ca="1" si="111"/>
        <v>16.610773419729085</v>
      </c>
      <c r="B672" s="137">
        <f t="shared" ca="1" si="112"/>
        <v>10.52476792186671</v>
      </c>
      <c r="C672" s="137">
        <f t="shared" ca="1" si="113"/>
        <v>6.0860054978623754</v>
      </c>
      <c r="D672" s="152">
        <f t="shared" ca="1" si="114"/>
        <v>0.76915702736838909</v>
      </c>
      <c r="E672" s="197">
        <f t="shared" ca="1" si="115"/>
        <v>0.22129807416574082</v>
      </c>
      <c r="F672" s="137">
        <f t="shared" ca="1" si="116"/>
        <v>42.542640393024833</v>
      </c>
      <c r="G672" s="137">
        <f t="shared" ca="1" si="117"/>
        <v>32.017872471158121</v>
      </c>
      <c r="H672" s="152">
        <f t="shared" ca="1" si="118"/>
        <v>4.0464589822053183</v>
      </c>
      <c r="I672" s="152">
        <f t="shared" ca="1" si="119"/>
        <v>3.5609890544516193E-5</v>
      </c>
      <c r="J672" s="190">
        <f t="shared" ca="1" si="120"/>
        <v>1</v>
      </c>
      <c r="K672" s="187" t="str" cm="1">
        <f t="array" aca="1" ref="K672" ca="1">_xlfn.IFS(G672&lt;$B$11,"Fail",G672&lt;25,"Marginal",G672&lt;35,"Solid",TRUE,"Blowout")</f>
        <v>Solid</v>
      </c>
      <c r="L672" s="193">
        <f t="shared" ca="1" si="110"/>
        <v>0</v>
      </c>
      <c r="M672" s="184" t="str" cm="1">
        <f t="array" aca="1" ref="M672" ca="1">_xlfn.IFS(C672&lt;$B$11,"Fail",C672&lt;25,"Marginal",C672&lt;35,"Solid",TRUE,"Blowout")</f>
        <v>Fail</v>
      </c>
    </row>
    <row r="673" spans="1:13" x14ac:dyDescent="0.25">
      <c r="A673" s="138">
        <f t="shared" ca="1" si="111"/>
        <v>-0.65367448271848261</v>
      </c>
      <c r="B673" s="137">
        <f t="shared" ca="1" si="112"/>
        <v>1.9564047033720664</v>
      </c>
      <c r="C673" s="137">
        <f t="shared" ca="1" si="113"/>
        <v>-2.610079186090549</v>
      </c>
      <c r="D673" s="152">
        <f t="shared" ca="1" si="114"/>
        <v>-0.32986508945393472</v>
      </c>
      <c r="E673" s="197">
        <f t="shared" ca="1" si="115"/>
        <v>0.62909761552294396</v>
      </c>
      <c r="F673" s="137">
        <f t="shared" ca="1" si="116"/>
        <v>51.73965357528521</v>
      </c>
      <c r="G673" s="137">
        <f t="shared" ca="1" si="117"/>
        <v>49.783248871913145</v>
      </c>
      <c r="H673" s="152">
        <f t="shared" ca="1" si="118"/>
        <v>6.2916695899322876</v>
      </c>
      <c r="I673" s="152">
        <f t="shared" ca="1" si="119"/>
        <v>7.9445878989621794E-10</v>
      </c>
      <c r="J673" s="190">
        <f t="shared" ca="1" si="120"/>
        <v>1</v>
      </c>
      <c r="K673" s="187" t="str" cm="1">
        <f t="array" aca="1" ref="K673" ca="1">_xlfn.IFS(G673&lt;$B$11,"Fail",G673&lt;25,"Marginal",G673&lt;35,"Solid",TRUE,"Blowout")</f>
        <v>Blowout</v>
      </c>
      <c r="L673" s="193">
        <f t="shared" ca="1" si="110"/>
        <v>0</v>
      </c>
      <c r="M673" s="184" t="str" cm="1">
        <f t="array" aca="1" ref="M673" ca="1">_xlfn.IFS(C673&lt;$B$11,"Fail",C673&lt;25,"Marginal",C673&lt;35,"Solid",TRUE,"Blowout")</f>
        <v>Fail</v>
      </c>
    </row>
    <row r="674" spans="1:13" x14ac:dyDescent="0.25">
      <c r="A674" s="138">
        <f t="shared" ca="1" si="111"/>
        <v>58.423260565064666</v>
      </c>
      <c r="B674" s="137">
        <f t="shared" ca="1" si="112"/>
        <v>3.971131240221955</v>
      </c>
      <c r="C674" s="137">
        <f t="shared" ca="1" si="113"/>
        <v>54.452129324842709</v>
      </c>
      <c r="D674" s="152">
        <f t="shared" ca="1" si="114"/>
        <v>6.8817285722278188</v>
      </c>
      <c r="E674" s="197">
        <f t="shared" ca="1" si="115"/>
        <v>2.826554068017423E-11</v>
      </c>
      <c r="F674" s="137">
        <f t="shared" ca="1" si="116"/>
        <v>9.3172674352437745</v>
      </c>
      <c r="G674" s="137">
        <f t="shared" ca="1" si="117"/>
        <v>5.3461361950218196</v>
      </c>
      <c r="H674" s="152">
        <f t="shared" ca="1" si="118"/>
        <v>0.67565141456310251</v>
      </c>
      <c r="I674" s="152">
        <f t="shared" ca="1" si="119"/>
        <v>0.24997334334243165</v>
      </c>
      <c r="J674" s="190">
        <f t="shared" ca="1" si="120"/>
        <v>0</v>
      </c>
      <c r="K674" s="187" t="str" cm="1">
        <f t="array" aca="1" ref="K674" ca="1">_xlfn.IFS(G674&lt;$B$11,"Fail",G674&lt;25,"Marginal",G674&lt;35,"Solid",TRUE,"Blowout")</f>
        <v>Fail</v>
      </c>
      <c r="L674" s="193">
        <f t="shared" ca="1" si="110"/>
        <v>1</v>
      </c>
      <c r="M674" s="184" t="str" cm="1">
        <f t="array" aca="1" ref="M674" ca="1">_xlfn.IFS(C674&lt;$B$11,"Fail",C674&lt;25,"Marginal",C674&lt;35,"Solid",TRUE,"Blowout")</f>
        <v>Blowout</v>
      </c>
    </row>
    <row r="675" spans="1:13" x14ac:dyDescent="0.25">
      <c r="A675" s="138">
        <f t="shared" ca="1" si="111"/>
        <v>7.406764690836412</v>
      </c>
      <c r="B675" s="137">
        <f t="shared" ca="1" si="112"/>
        <v>7.2035946168992986</v>
      </c>
      <c r="C675" s="137">
        <f t="shared" ca="1" si="113"/>
        <v>0.20317007393711339</v>
      </c>
      <c r="D675" s="152">
        <f t="shared" ca="1" si="114"/>
        <v>2.5676889410397922E-2</v>
      </c>
      <c r="E675" s="197">
        <f t="shared" ca="1" si="115"/>
        <v>0.48976875819729115</v>
      </c>
      <c r="F675" s="137">
        <f t="shared" ca="1" si="116"/>
        <v>28.827712094446323</v>
      </c>
      <c r="G675" s="137">
        <f t="shared" ca="1" si="117"/>
        <v>21.624117477547024</v>
      </c>
      <c r="H675" s="152">
        <f t="shared" ca="1" si="118"/>
        <v>2.7328831569962881</v>
      </c>
      <c r="I675" s="152">
        <f t="shared" ca="1" si="119"/>
        <v>3.3852308140152388E-3</v>
      </c>
      <c r="J675" s="190">
        <f t="shared" ca="1" si="120"/>
        <v>1</v>
      </c>
      <c r="K675" s="187" t="str" cm="1">
        <f t="array" aca="1" ref="K675" ca="1">_xlfn.IFS(G675&lt;$B$11,"Fail",G675&lt;25,"Marginal",G675&lt;35,"Solid",TRUE,"Blowout")</f>
        <v>Marginal</v>
      </c>
      <c r="L675" s="193">
        <f t="shared" ca="1" si="110"/>
        <v>0</v>
      </c>
      <c r="M675" s="184" t="str" cm="1">
        <f t="array" aca="1" ref="M675" ca="1">_xlfn.IFS(C675&lt;$B$11,"Fail",C675&lt;25,"Marginal",C675&lt;35,"Solid",TRUE,"Blowout")</f>
        <v>Fail</v>
      </c>
    </row>
    <row r="676" spans="1:13" x14ac:dyDescent="0.25">
      <c r="A676" s="138">
        <f t="shared" ca="1" si="111"/>
        <v>37.542807344813504</v>
      </c>
      <c r="B676" s="137">
        <f t="shared" ca="1" si="112"/>
        <v>-1.8123484322852166</v>
      </c>
      <c r="C676" s="137">
        <f t="shared" ca="1" si="113"/>
        <v>39.355155777098723</v>
      </c>
      <c r="D676" s="152">
        <f t="shared" ca="1" si="114"/>
        <v>4.9737540723164244</v>
      </c>
      <c r="E676" s="197">
        <f t="shared" ca="1" si="115"/>
        <v>6.4604181632016967E-7</v>
      </c>
      <c r="F676" s="137">
        <f t="shared" ca="1" si="116"/>
        <v>50.931064672742679</v>
      </c>
      <c r="G676" s="137">
        <f t="shared" ca="1" si="117"/>
        <v>52.743413105027898</v>
      </c>
      <c r="H676" s="152">
        <f t="shared" ca="1" si="118"/>
        <v>6.6657788678263801</v>
      </c>
      <c r="I676" s="152">
        <f t="shared" ca="1" si="119"/>
        <v>9.7966366707715771E-11</v>
      </c>
      <c r="J676" s="190">
        <f t="shared" ca="1" si="120"/>
        <v>1</v>
      </c>
      <c r="K676" s="187" t="str" cm="1">
        <f t="array" aca="1" ref="K676" ca="1">_xlfn.IFS(G676&lt;$B$11,"Fail",G676&lt;25,"Marginal",G676&lt;35,"Solid",TRUE,"Blowout")</f>
        <v>Blowout</v>
      </c>
      <c r="L676" s="193">
        <f t="shared" ca="1" si="110"/>
        <v>1</v>
      </c>
      <c r="M676" s="184" t="str" cm="1">
        <f t="array" aca="1" ref="M676" ca="1">_xlfn.IFS(C676&lt;$B$11,"Fail",C676&lt;25,"Marginal",C676&lt;35,"Solid",TRUE,"Blowout")</f>
        <v>Blowout</v>
      </c>
    </row>
    <row r="677" spans="1:13" x14ac:dyDescent="0.25">
      <c r="A677" s="138">
        <f t="shared" ca="1" si="111"/>
        <v>43.452325601666772</v>
      </c>
      <c r="B677" s="137">
        <f t="shared" ca="1" si="112"/>
        <v>-0.49702307873951934</v>
      </c>
      <c r="C677" s="137">
        <f t="shared" ca="1" si="113"/>
        <v>43.949348680406288</v>
      </c>
      <c r="D677" s="152">
        <f t="shared" ca="1" si="114"/>
        <v>5.5543739481785384</v>
      </c>
      <c r="E677" s="197">
        <f t="shared" ca="1" si="115"/>
        <v>3.8658530295746065E-8</v>
      </c>
      <c r="F677" s="137">
        <f t="shared" ca="1" si="116"/>
        <v>31.961473615820854</v>
      </c>
      <c r="G677" s="137">
        <f t="shared" ca="1" si="117"/>
        <v>32.458496694560374</v>
      </c>
      <c r="H677" s="152">
        <f t="shared" ca="1" si="118"/>
        <v>4.1021456256001718</v>
      </c>
      <c r="I677" s="152">
        <f t="shared" ca="1" si="119"/>
        <v>2.849375696658575E-5</v>
      </c>
      <c r="J677" s="190">
        <f t="shared" ca="1" si="120"/>
        <v>1</v>
      </c>
      <c r="K677" s="187" t="str" cm="1">
        <f t="array" aca="1" ref="K677" ca="1">_xlfn.IFS(G677&lt;$B$11,"Fail",G677&lt;25,"Marginal",G677&lt;35,"Solid",TRUE,"Blowout")</f>
        <v>Solid</v>
      </c>
      <c r="L677" s="193">
        <f t="shared" ca="1" si="110"/>
        <v>1</v>
      </c>
      <c r="M677" s="184" t="str" cm="1">
        <f t="array" aca="1" ref="M677" ca="1">_xlfn.IFS(C677&lt;$B$11,"Fail",C677&lt;25,"Marginal",C677&lt;35,"Solid",TRUE,"Blowout")</f>
        <v>Blowout</v>
      </c>
    </row>
    <row r="678" spans="1:13" x14ac:dyDescent="0.25">
      <c r="A678" s="138">
        <f t="shared" ca="1" si="111"/>
        <v>19.117819698303677</v>
      </c>
      <c r="B678" s="137">
        <f t="shared" ca="1" si="112"/>
        <v>7.0367091534149155</v>
      </c>
      <c r="C678" s="137">
        <f t="shared" ca="1" si="113"/>
        <v>12.081110544888762</v>
      </c>
      <c r="D678" s="152">
        <f t="shared" ca="1" si="114"/>
        <v>1.5268259414618208</v>
      </c>
      <c r="E678" s="197">
        <f t="shared" ca="1" si="115"/>
        <v>6.409516052283018E-2</v>
      </c>
      <c r="F678" s="137">
        <f t="shared" ca="1" si="116"/>
        <v>19.377362867311341</v>
      </c>
      <c r="G678" s="137">
        <f t="shared" ca="1" si="117"/>
        <v>12.340653713896426</v>
      </c>
      <c r="H678" s="152">
        <f t="shared" ca="1" si="118"/>
        <v>1.5596273335108131</v>
      </c>
      <c r="I678" s="152">
        <f t="shared" ca="1" si="119"/>
        <v>6.0117459486092796E-2</v>
      </c>
      <c r="J678" s="190">
        <f t="shared" ca="1" si="120"/>
        <v>0</v>
      </c>
      <c r="K678" s="187" t="str" cm="1">
        <f t="array" aca="1" ref="K678" ca="1">_xlfn.IFS(G678&lt;$B$11,"Fail",G678&lt;25,"Marginal",G678&lt;35,"Solid",TRUE,"Blowout")</f>
        <v>Fail</v>
      </c>
      <c r="L678" s="193">
        <f t="shared" ca="1" si="110"/>
        <v>0</v>
      </c>
      <c r="M678" s="184" t="str" cm="1">
        <f t="array" aca="1" ref="M678" ca="1">_xlfn.IFS(C678&lt;$B$11,"Fail",C678&lt;25,"Marginal",C678&lt;35,"Solid",TRUE,"Blowout")</f>
        <v>Fail</v>
      </c>
    </row>
    <row r="679" spans="1:13" x14ac:dyDescent="0.25">
      <c r="A679" s="138">
        <f t="shared" ca="1" si="111"/>
        <v>59.408945238091249</v>
      </c>
      <c r="B679" s="137">
        <f t="shared" ca="1" si="112"/>
        <v>6.676339228069633</v>
      </c>
      <c r="C679" s="137">
        <f t="shared" ca="1" si="113"/>
        <v>52.732606010021613</v>
      </c>
      <c r="D679" s="152">
        <f t="shared" ca="1" si="114"/>
        <v>6.6644130535706356</v>
      </c>
      <c r="E679" s="197">
        <f t="shared" ca="1" si="115"/>
        <v>9.8731721314927624E-11</v>
      </c>
      <c r="F679" s="137">
        <f t="shared" ca="1" si="116"/>
        <v>39.630831491813936</v>
      </c>
      <c r="G679" s="137">
        <f t="shared" ca="1" si="117"/>
        <v>32.954492263744299</v>
      </c>
      <c r="H679" s="152">
        <f t="shared" ca="1" si="118"/>
        <v>4.1648301692988907</v>
      </c>
      <c r="I679" s="152">
        <f t="shared" ca="1" si="119"/>
        <v>2.2107817261832143E-5</v>
      </c>
      <c r="J679" s="190">
        <f t="shared" ca="1" si="120"/>
        <v>1</v>
      </c>
      <c r="K679" s="187" t="str" cm="1">
        <f t="array" aca="1" ref="K679" ca="1">_xlfn.IFS(G679&lt;$B$11,"Fail",G679&lt;25,"Marginal",G679&lt;35,"Solid",TRUE,"Blowout")</f>
        <v>Solid</v>
      </c>
      <c r="L679" s="193">
        <f t="shared" ca="1" si="110"/>
        <v>1</v>
      </c>
      <c r="M679" s="184" t="str" cm="1">
        <f t="array" aca="1" ref="M679" ca="1">_xlfn.IFS(C679&lt;$B$11,"Fail",C679&lt;25,"Marginal",C679&lt;35,"Solid",TRUE,"Blowout")</f>
        <v>Blowout</v>
      </c>
    </row>
    <row r="680" spans="1:13" x14ac:dyDescent="0.25">
      <c r="A680" s="138">
        <f t="shared" ca="1" si="111"/>
        <v>-1.2161833511910567</v>
      </c>
      <c r="B680" s="137">
        <f t="shared" ca="1" si="112"/>
        <v>17.193410957492745</v>
      </c>
      <c r="C680" s="137">
        <f t="shared" ca="1" si="113"/>
        <v>-18.409594308683801</v>
      </c>
      <c r="D680" s="152">
        <f t="shared" ca="1" si="114"/>
        <v>-2.3266276769711598</v>
      </c>
      <c r="E680" s="197">
        <f t="shared" ca="1" si="115"/>
        <v>0.98956873048603577</v>
      </c>
      <c r="F680" s="137">
        <f t="shared" ca="1" si="116"/>
        <v>37.373719261082456</v>
      </c>
      <c r="G680" s="137">
        <f t="shared" ca="1" si="117"/>
        <v>20.180308303589712</v>
      </c>
      <c r="H680" s="152">
        <f t="shared" ca="1" si="118"/>
        <v>2.5504127381446673</v>
      </c>
      <c r="I680" s="152">
        <f t="shared" ca="1" si="119"/>
        <v>5.7075235001675904E-3</v>
      </c>
      <c r="J680" s="190">
        <f t="shared" ca="1" si="120"/>
        <v>1</v>
      </c>
      <c r="K680" s="187" t="str" cm="1">
        <f t="array" aca="1" ref="K680" ca="1">_xlfn.IFS(G680&lt;$B$11,"Fail",G680&lt;25,"Marginal",G680&lt;35,"Solid",TRUE,"Blowout")</f>
        <v>Marginal</v>
      </c>
      <c r="L680" s="193">
        <f t="shared" ca="1" si="110"/>
        <v>0</v>
      </c>
      <c r="M680" s="184" t="str" cm="1">
        <f t="array" aca="1" ref="M680" ca="1">_xlfn.IFS(C680&lt;$B$11,"Fail",C680&lt;25,"Marginal",C680&lt;35,"Solid",TRUE,"Blowout")</f>
        <v>Fail</v>
      </c>
    </row>
    <row r="681" spans="1:13" x14ac:dyDescent="0.25">
      <c r="A681" s="138">
        <f t="shared" ca="1" si="111"/>
        <v>16.861380489769566</v>
      </c>
      <c r="B681" s="137">
        <f t="shared" ca="1" si="112"/>
        <v>11.595199884077804</v>
      </c>
      <c r="C681" s="137">
        <f t="shared" ca="1" si="113"/>
        <v>5.2661806056917619</v>
      </c>
      <c r="D681" s="152">
        <f t="shared" ca="1" si="114"/>
        <v>0.66554652664734315</v>
      </c>
      <c r="E681" s="197">
        <f t="shared" ca="1" si="115"/>
        <v>0.25318686253600292</v>
      </c>
      <c r="F681" s="137">
        <f t="shared" ca="1" si="116"/>
        <v>6.5712052212208985</v>
      </c>
      <c r="G681" s="137">
        <f t="shared" ca="1" si="117"/>
        <v>-5.0239946628569054</v>
      </c>
      <c r="H681" s="152">
        <f t="shared" ca="1" si="118"/>
        <v>-0.63493876266706128</v>
      </c>
      <c r="I681" s="152">
        <f t="shared" ca="1" si="119"/>
        <v>0.73694749814252969</v>
      </c>
      <c r="J681" s="190">
        <f t="shared" ca="1" si="120"/>
        <v>0</v>
      </c>
      <c r="K681" s="187" t="str" cm="1">
        <f t="array" aca="1" ref="K681" ca="1">_xlfn.IFS(G681&lt;$B$11,"Fail",G681&lt;25,"Marginal",G681&lt;35,"Solid",TRUE,"Blowout")</f>
        <v>Fail</v>
      </c>
      <c r="L681" s="193">
        <f t="shared" ca="1" si="110"/>
        <v>0</v>
      </c>
      <c r="M681" s="184" t="str" cm="1">
        <f t="array" aca="1" ref="M681" ca="1">_xlfn.IFS(C681&lt;$B$11,"Fail",C681&lt;25,"Marginal",C681&lt;35,"Solid",TRUE,"Blowout")</f>
        <v>Fail</v>
      </c>
    </row>
    <row r="682" spans="1:13" x14ac:dyDescent="0.25">
      <c r="A682" s="138">
        <f t="shared" ca="1" si="111"/>
        <v>34.157023824187071</v>
      </c>
      <c r="B682" s="137">
        <f t="shared" ca="1" si="112"/>
        <v>6.3024977734435073</v>
      </c>
      <c r="C682" s="137">
        <f t="shared" ca="1" si="113"/>
        <v>27.854526050743566</v>
      </c>
      <c r="D682" s="152">
        <f t="shared" ca="1" si="114"/>
        <v>3.5202900265979604</v>
      </c>
      <c r="E682" s="197">
        <f t="shared" ca="1" si="115"/>
        <v>2.6020563961110996E-4</v>
      </c>
      <c r="F682" s="137">
        <f t="shared" ca="1" si="116"/>
        <v>11.201777643806478</v>
      </c>
      <c r="G682" s="137">
        <f t="shared" ca="1" si="117"/>
        <v>4.899279870362971</v>
      </c>
      <c r="H682" s="152">
        <f t="shared" ca="1" si="118"/>
        <v>0.61917715037519061</v>
      </c>
      <c r="I682" s="152">
        <f t="shared" ca="1" si="119"/>
        <v>0.26820892453199863</v>
      </c>
      <c r="J682" s="190">
        <f t="shared" ca="1" si="120"/>
        <v>0</v>
      </c>
      <c r="K682" s="187" t="str" cm="1">
        <f t="array" aca="1" ref="K682" ca="1">_xlfn.IFS(G682&lt;$B$11,"Fail",G682&lt;25,"Marginal",G682&lt;35,"Solid",TRUE,"Blowout")</f>
        <v>Fail</v>
      </c>
      <c r="L682" s="193">
        <f t="shared" ca="1" si="110"/>
        <v>1</v>
      </c>
      <c r="M682" s="184" t="str" cm="1">
        <f t="array" aca="1" ref="M682" ca="1">_xlfn.IFS(C682&lt;$B$11,"Fail",C682&lt;25,"Marginal",C682&lt;35,"Solid",TRUE,"Blowout")</f>
        <v>Solid</v>
      </c>
    </row>
    <row r="683" spans="1:13" x14ac:dyDescent="0.25">
      <c r="A683" s="138">
        <f t="shared" ca="1" si="111"/>
        <v>61.038216856767697</v>
      </c>
      <c r="B683" s="137">
        <f t="shared" ca="1" si="112"/>
        <v>13.706380489885314</v>
      </c>
      <c r="C683" s="137">
        <f t="shared" ca="1" si="113"/>
        <v>47.331836366882385</v>
      </c>
      <c r="D683" s="152">
        <f t="shared" ca="1" si="114"/>
        <v>5.98185699513831</v>
      </c>
      <c r="E683" s="197">
        <f t="shared" ca="1" si="115"/>
        <v>4.2311940814003218E-9</v>
      </c>
      <c r="F683" s="137">
        <f t="shared" ca="1" si="116"/>
        <v>41.681187929667516</v>
      </c>
      <c r="G683" s="137">
        <f t="shared" ca="1" si="117"/>
        <v>27.974807439782204</v>
      </c>
      <c r="H683" s="152">
        <f t="shared" ca="1" si="118"/>
        <v>3.5354913397865855</v>
      </c>
      <c r="I683" s="152">
        <f t="shared" ca="1" si="119"/>
        <v>2.464213073564442E-4</v>
      </c>
      <c r="J683" s="190">
        <f t="shared" ca="1" si="120"/>
        <v>1</v>
      </c>
      <c r="K683" s="187" t="str" cm="1">
        <f t="array" aca="1" ref="K683" ca="1">_xlfn.IFS(G683&lt;$B$11,"Fail",G683&lt;25,"Marginal",G683&lt;35,"Solid",TRUE,"Blowout")</f>
        <v>Solid</v>
      </c>
      <c r="L683" s="193">
        <f t="shared" ca="1" si="110"/>
        <v>1</v>
      </c>
      <c r="M683" s="184" t="str" cm="1">
        <f t="array" aca="1" ref="M683" ca="1">_xlfn.IFS(C683&lt;$B$11,"Fail",C683&lt;25,"Marginal",C683&lt;35,"Solid",TRUE,"Blowout")</f>
        <v>Blowout</v>
      </c>
    </row>
    <row r="684" spans="1:13" x14ac:dyDescent="0.25">
      <c r="A684" s="138">
        <f t="shared" ca="1" si="111"/>
        <v>40.115180551648109</v>
      </c>
      <c r="B684" s="137">
        <f t="shared" ca="1" si="112"/>
        <v>15.784395124425313</v>
      </c>
      <c r="C684" s="137">
        <f t="shared" ca="1" si="113"/>
        <v>24.330785427222796</v>
      </c>
      <c r="D684" s="152">
        <f t="shared" ca="1" si="114"/>
        <v>3.0749552558429181</v>
      </c>
      <c r="E684" s="197">
        <f t="shared" ca="1" si="115"/>
        <v>1.1811345607243672E-3</v>
      </c>
      <c r="F684" s="137">
        <f t="shared" ca="1" si="116"/>
        <v>45.723585245416501</v>
      </c>
      <c r="G684" s="137">
        <f t="shared" ca="1" si="117"/>
        <v>29.939190120991189</v>
      </c>
      <c r="H684" s="152">
        <f t="shared" ca="1" si="118"/>
        <v>3.7837524930542479</v>
      </c>
      <c r="I684" s="152">
        <f t="shared" ca="1" si="119"/>
        <v>9.873544085353862E-5</v>
      </c>
      <c r="J684" s="190">
        <f t="shared" ca="1" si="120"/>
        <v>1</v>
      </c>
      <c r="K684" s="187" t="str" cm="1">
        <f t="array" aca="1" ref="K684" ca="1">_xlfn.IFS(G684&lt;$B$11,"Fail",G684&lt;25,"Marginal",G684&lt;35,"Solid",TRUE,"Blowout")</f>
        <v>Solid</v>
      </c>
      <c r="L684" s="193">
        <f t="shared" ca="1" si="110"/>
        <v>1</v>
      </c>
      <c r="M684" s="184" t="str" cm="1">
        <f t="array" aca="1" ref="M684" ca="1">_xlfn.IFS(C684&lt;$B$11,"Fail",C684&lt;25,"Marginal",C684&lt;35,"Solid",TRUE,"Blowout")</f>
        <v>Marginal</v>
      </c>
    </row>
    <row r="685" spans="1:13" x14ac:dyDescent="0.25">
      <c r="A685" s="138">
        <f t="shared" ca="1" si="111"/>
        <v>7.6405924809887082</v>
      </c>
      <c r="B685" s="137">
        <f t="shared" ca="1" si="112"/>
        <v>5.3785107627073838</v>
      </c>
      <c r="C685" s="137">
        <f t="shared" ca="1" si="113"/>
        <v>2.2620817182813244</v>
      </c>
      <c r="D685" s="152">
        <f t="shared" ca="1" si="114"/>
        <v>0.28588473189988989</v>
      </c>
      <c r="E685" s="197">
        <f t="shared" ca="1" si="115"/>
        <v>0.38761298858726317</v>
      </c>
      <c r="F685" s="137">
        <f t="shared" ca="1" si="116"/>
        <v>47.742051079261714</v>
      </c>
      <c r="G685" s="137">
        <f t="shared" ca="1" si="117"/>
        <v>42.363540316554328</v>
      </c>
      <c r="H685" s="152">
        <f t="shared" ca="1" si="118"/>
        <v>5.353957493158128</v>
      </c>
      <c r="I685" s="152">
        <f t="shared" ca="1" si="119"/>
        <v>1.0480136678309916E-7</v>
      </c>
      <c r="J685" s="190">
        <f t="shared" ca="1" si="120"/>
        <v>1</v>
      </c>
      <c r="K685" s="187" t="str" cm="1">
        <f t="array" aca="1" ref="K685" ca="1">_xlfn.IFS(G685&lt;$B$11,"Fail",G685&lt;25,"Marginal",G685&lt;35,"Solid",TRUE,"Blowout")</f>
        <v>Blowout</v>
      </c>
      <c r="L685" s="193">
        <f t="shared" ca="1" si="110"/>
        <v>0</v>
      </c>
      <c r="M685" s="184" t="str" cm="1">
        <f t="array" aca="1" ref="M685" ca="1">_xlfn.IFS(C685&lt;$B$11,"Fail",C685&lt;25,"Marginal",C685&lt;35,"Solid",TRUE,"Blowout")</f>
        <v>Fail</v>
      </c>
    </row>
    <row r="686" spans="1:13" x14ac:dyDescent="0.25">
      <c r="A686" s="138">
        <f t="shared" ca="1" si="111"/>
        <v>27.579461822678397</v>
      </c>
      <c r="B686" s="137">
        <f t="shared" ca="1" si="112"/>
        <v>0.64203881136002572</v>
      </c>
      <c r="C686" s="137">
        <f t="shared" ca="1" si="113"/>
        <v>26.937423011318373</v>
      </c>
      <c r="D686" s="152">
        <f t="shared" ca="1" si="114"/>
        <v>3.4043853913092548</v>
      </c>
      <c r="E686" s="197">
        <f t="shared" ca="1" si="115"/>
        <v>3.9168553201254981E-4</v>
      </c>
      <c r="F686" s="137">
        <f t="shared" ca="1" si="116"/>
        <v>73.583241795637889</v>
      </c>
      <c r="G686" s="137">
        <f t="shared" ca="1" si="117"/>
        <v>72.941202984277865</v>
      </c>
      <c r="H686" s="152">
        <f t="shared" ca="1" si="118"/>
        <v>9.2184009494843391</v>
      </c>
      <c r="I686" s="152">
        <f t="shared" ca="1" si="119"/>
        <v>1.0363202441383308E-17</v>
      </c>
      <c r="J686" s="190">
        <f t="shared" ca="1" si="120"/>
        <v>1</v>
      </c>
      <c r="K686" s="187" t="str" cm="1">
        <f t="array" aca="1" ref="K686" ca="1">_xlfn.IFS(G686&lt;$B$11,"Fail",G686&lt;25,"Marginal",G686&lt;35,"Solid",TRUE,"Blowout")</f>
        <v>Blowout</v>
      </c>
      <c r="L686" s="193">
        <f t="shared" ca="1" si="110"/>
        <v>1</v>
      </c>
      <c r="M686" s="184" t="str" cm="1">
        <f t="array" aca="1" ref="M686" ca="1">_xlfn.IFS(C686&lt;$B$11,"Fail",C686&lt;25,"Marginal",C686&lt;35,"Solid",TRUE,"Blowout")</f>
        <v>Solid</v>
      </c>
    </row>
    <row r="687" spans="1:13" x14ac:dyDescent="0.25">
      <c r="A687" s="138">
        <f t="shared" ca="1" si="111"/>
        <v>67.872390776608327</v>
      </c>
      <c r="B687" s="137">
        <f t="shared" ca="1" si="112"/>
        <v>-1.5238778295704831</v>
      </c>
      <c r="C687" s="137">
        <f t="shared" ca="1" si="113"/>
        <v>69.396268606178808</v>
      </c>
      <c r="D687" s="152">
        <f t="shared" ca="1" si="114"/>
        <v>8.7703876853766474</v>
      </c>
      <c r="E687" s="197">
        <f t="shared" ca="1" si="115"/>
        <v>2.1015465857936142E-16</v>
      </c>
      <c r="F687" s="137">
        <f t="shared" ca="1" si="116"/>
        <v>11.565821574696756</v>
      </c>
      <c r="G687" s="137">
        <f t="shared" ca="1" si="117"/>
        <v>13.08969940426724</v>
      </c>
      <c r="H687" s="152">
        <f t="shared" ca="1" si="118"/>
        <v>1.6542926697105711</v>
      </c>
      <c r="I687" s="152">
        <f t="shared" ca="1" si="119"/>
        <v>4.9722025485156911E-2</v>
      </c>
      <c r="J687" s="190">
        <f t="shared" ca="1" si="120"/>
        <v>0</v>
      </c>
      <c r="K687" s="187" t="str" cm="1">
        <f t="array" aca="1" ref="K687" ca="1">_xlfn.IFS(G687&lt;$B$11,"Fail",G687&lt;25,"Marginal",G687&lt;35,"Solid",TRUE,"Blowout")</f>
        <v>Fail</v>
      </c>
      <c r="L687" s="193">
        <f t="shared" ca="1" si="110"/>
        <v>1</v>
      </c>
      <c r="M687" s="184" t="str" cm="1">
        <f t="array" aca="1" ref="M687" ca="1">_xlfn.IFS(C687&lt;$B$11,"Fail",C687&lt;25,"Marginal",C687&lt;35,"Solid",TRUE,"Blowout")</f>
        <v>Blowout</v>
      </c>
    </row>
    <row r="688" spans="1:13" x14ac:dyDescent="0.25">
      <c r="A688" s="138">
        <f t="shared" ca="1" si="111"/>
        <v>29.125106667870352</v>
      </c>
      <c r="B688" s="137">
        <f t="shared" ca="1" si="112"/>
        <v>-2.0673979803176143</v>
      </c>
      <c r="C688" s="137">
        <f t="shared" ca="1" si="113"/>
        <v>31.192504648187967</v>
      </c>
      <c r="D688" s="152">
        <f t="shared" ca="1" si="114"/>
        <v>3.94214795892014</v>
      </c>
      <c r="E688" s="197">
        <f t="shared" ca="1" si="115"/>
        <v>5.3725533251389481E-5</v>
      </c>
      <c r="F688" s="137">
        <f t="shared" ca="1" si="116"/>
        <v>37.669645970667759</v>
      </c>
      <c r="G688" s="137">
        <f t="shared" ca="1" si="117"/>
        <v>39.737043950985374</v>
      </c>
      <c r="H688" s="152">
        <f t="shared" ca="1" si="118"/>
        <v>5.022017579918737</v>
      </c>
      <c r="I688" s="152">
        <f t="shared" ca="1" si="119"/>
        <v>5.1564125461113917E-7</v>
      </c>
      <c r="J688" s="190">
        <f t="shared" ca="1" si="120"/>
        <v>1</v>
      </c>
      <c r="K688" s="187" t="str" cm="1">
        <f t="array" aca="1" ref="K688" ca="1">_xlfn.IFS(G688&lt;$B$11,"Fail",G688&lt;25,"Marginal",G688&lt;35,"Solid",TRUE,"Blowout")</f>
        <v>Blowout</v>
      </c>
      <c r="L688" s="193">
        <f t="shared" ca="1" si="110"/>
        <v>1</v>
      </c>
      <c r="M688" s="184" t="str" cm="1">
        <f t="array" aca="1" ref="M688" ca="1">_xlfn.IFS(C688&lt;$B$11,"Fail",C688&lt;25,"Marginal",C688&lt;35,"Solid",TRUE,"Blowout")</f>
        <v>Solid</v>
      </c>
    </row>
    <row r="689" spans="1:13" x14ac:dyDescent="0.25">
      <c r="A689" s="138">
        <f t="shared" ca="1" si="111"/>
        <v>21.587832707084289</v>
      </c>
      <c r="B689" s="137">
        <f t="shared" ca="1" si="112"/>
        <v>7.1086439597216504</v>
      </c>
      <c r="C689" s="137">
        <f t="shared" ca="1" si="113"/>
        <v>14.479188747362638</v>
      </c>
      <c r="D689" s="152">
        <f t="shared" ca="1" si="114"/>
        <v>1.8298980800360616</v>
      </c>
      <c r="E689" s="197">
        <f t="shared" ca="1" si="115"/>
        <v>3.4285444111543294E-2</v>
      </c>
      <c r="F689" s="137">
        <f t="shared" ca="1" si="116"/>
        <v>28.30461311204256</v>
      </c>
      <c r="G689" s="137">
        <f t="shared" ca="1" si="117"/>
        <v>21.19596915232091</v>
      </c>
      <c r="H689" s="152">
        <f t="shared" ca="1" si="118"/>
        <v>2.6787732333001402</v>
      </c>
      <c r="I689" s="152">
        <f t="shared" ca="1" si="119"/>
        <v>3.9637452995095277E-3</v>
      </c>
      <c r="J689" s="190">
        <f t="shared" ca="1" si="120"/>
        <v>1</v>
      </c>
      <c r="K689" s="187" t="str" cm="1">
        <f t="array" aca="1" ref="K689" ca="1">_xlfn.IFS(G689&lt;$B$11,"Fail",G689&lt;25,"Marginal",G689&lt;35,"Solid",TRUE,"Blowout")</f>
        <v>Marginal</v>
      </c>
      <c r="L689" s="193">
        <f t="shared" ca="1" si="110"/>
        <v>0</v>
      </c>
      <c r="M689" s="184" t="str" cm="1">
        <f t="array" aca="1" ref="M689" ca="1">_xlfn.IFS(C689&lt;$B$11,"Fail",C689&lt;25,"Marginal",C689&lt;35,"Solid",TRUE,"Blowout")</f>
        <v>Fail</v>
      </c>
    </row>
    <row r="690" spans="1:13" x14ac:dyDescent="0.25">
      <c r="A690" s="138">
        <f t="shared" ca="1" si="111"/>
        <v>0.37390780947470142</v>
      </c>
      <c r="B690" s="137">
        <f t="shared" ca="1" si="112"/>
        <v>5.4471694653490497</v>
      </c>
      <c r="C690" s="137">
        <f t="shared" ca="1" si="113"/>
        <v>-5.0732616558743482</v>
      </c>
      <c r="D690" s="152">
        <f t="shared" ca="1" si="114"/>
        <v>-0.64116518719296511</v>
      </c>
      <c r="E690" s="197">
        <f t="shared" ca="1" si="115"/>
        <v>0.73897033446403437</v>
      </c>
      <c r="F690" s="137">
        <f t="shared" ca="1" si="116"/>
        <v>12.525102101675927</v>
      </c>
      <c r="G690" s="137">
        <f t="shared" ca="1" si="117"/>
        <v>7.0779326363268771</v>
      </c>
      <c r="H690" s="152">
        <f t="shared" ca="1" si="118"/>
        <v>0.89451802637756894</v>
      </c>
      <c r="I690" s="152">
        <f t="shared" ca="1" si="119"/>
        <v>0.18599404886912241</v>
      </c>
      <c r="J690" s="190">
        <f t="shared" ca="1" si="120"/>
        <v>0</v>
      </c>
      <c r="K690" s="187" t="str" cm="1">
        <f t="array" aca="1" ref="K690" ca="1">_xlfn.IFS(G690&lt;$B$11,"Fail",G690&lt;25,"Marginal",G690&lt;35,"Solid",TRUE,"Blowout")</f>
        <v>Fail</v>
      </c>
      <c r="L690" s="193">
        <f t="shared" ca="1" si="110"/>
        <v>0</v>
      </c>
      <c r="M690" s="184" t="str" cm="1">
        <f t="array" aca="1" ref="M690" ca="1">_xlfn.IFS(C690&lt;$B$11,"Fail",C690&lt;25,"Marginal",C690&lt;35,"Solid",TRUE,"Blowout")</f>
        <v>Fail</v>
      </c>
    </row>
    <row r="691" spans="1:13" x14ac:dyDescent="0.25">
      <c r="A691" s="138">
        <f t="shared" ca="1" si="111"/>
        <v>11.629779470326625</v>
      </c>
      <c r="B691" s="137">
        <f t="shared" ca="1" si="112"/>
        <v>3.7439426192776502</v>
      </c>
      <c r="C691" s="137">
        <f t="shared" ca="1" si="113"/>
        <v>7.8858368510489747</v>
      </c>
      <c r="D691" s="152">
        <f t="shared" ca="1" si="114"/>
        <v>0.99662197689360132</v>
      </c>
      <c r="E691" s="197">
        <f t="shared" ca="1" si="115"/>
        <v>0.16000228024270102</v>
      </c>
      <c r="F691" s="137">
        <f t="shared" ca="1" si="116"/>
        <v>41.069163455155348</v>
      </c>
      <c r="G691" s="137">
        <f t="shared" ca="1" si="117"/>
        <v>37.325220835877701</v>
      </c>
      <c r="H691" s="152">
        <f t="shared" ca="1" si="118"/>
        <v>4.717208342002972</v>
      </c>
      <c r="I691" s="152">
        <f t="shared" ca="1" si="119"/>
        <v>2.0841044029912341E-6</v>
      </c>
      <c r="J691" s="190">
        <f t="shared" ca="1" si="120"/>
        <v>1</v>
      </c>
      <c r="K691" s="187" t="str" cm="1">
        <f t="array" aca="1" ref="K691" ca="1">_xlfn.IFS(G691&lt;$B$11,"Fail",G691&lt;25,"Marginal",G691&lt;35,"Solid",TRUE,"Blowout")</f>
        <v>Blowout</v>
      </c>
      <c r="L691" s="193">
        <f t="shared" ca="1" si="110"/>
        <v>0</v>
      </c>
      <c r="M691" s="184" t="str" cm="1">
        <f t="array" aca="1" ref="M691" ca="1">_xlfn.IFS(C691&lt;$B$11,"Fail",C691&lt;25,"Marginal",C691&lt;35,"Solid",TRUE,"Blowout")</f>
        <v>Fail</v>
      </c>
    </row>
    <row r="692" spans="1:13" x14ac:dyDescent="0.25">
      <c r="A692" s="138">
        <f t="shared" ca="1" si="111"/>
        <v>30.940844039594207</v>
      </c>
      <c r="B692" s="137">
        <f t="shared" ca="1" si="112"/>
        <v>2.4127015039953577</v>
      </c>
      <c r="C692" s="137">
        <f t="shared" ca="1" si="113"/>
        <v>28.52814253559885</v>
      </c>
      <c r="D692" s="152">
        <f t="shared" ca="1" si="114"/>
        <v>3.6054225249599181</v>
      </c>
      <c r="E692" s="197">
        <f t="shared" ca="1" si="115"/>
        <v>1.9138767208118059E-4</v>
      </c>
      <c r="F692" s="137">
        <f t="shared" ca="1" si="116"/>
        <v>56.284136352239493</v>
      </c>
      <c r="G692" s="137">
        <f t="shared" ca="1" si="117"/>
        <v>53.871434848244135</v>
      </c>
      <c r="H692" s="152">
        <f t="shared" ca="1" si="118"/>
        <v>6.8083396741095576</v>
      </c>
      <c r="I692" s="152">
        <f t="shared" ca="1" si="119"/>
        <v>4.3243084209816237E-11</v>
      </c>
      <c r="J692" s="190">
        <f t="shared" ca="1" si="120"/>
        <v>1</v>
      </c>
      <c r="K692" s="187" t="str" cm="1">
        <f t="array" aca="1" ref="K692" ca="1">_xlfn.IFS(G692&lt;$B$11,"Fail",G692&lt;25,"Marginal",G692&lt;35,"Solid",TRUE,"Blowout")</f>
        <v>Blowout</v>
      </c>
      <c r="L692" s="193">
        <f t="shared" ca="1" si="110"/>
        <v>1</v>
      </c>
      <c r="M692" s="184" t="str" cm="1">
        <f t="array" aca="1" ref="M692" ca="1">_xlfn.IFS(C692&lt;$B$11,"Fail",C692&lt;25,"Marginal",C692&lt;35,"Solid",TRUE,"Blowout")</f>
        <v>Solid</v>
      </c>
    </row>
    <row r="693" spans="1:13" x14ac:dyDescent="0.25">
      <c r="A693" s="138">
        <f t="shared" ca="1" si="111"/>
        <v>51.712805335498295</v>
      </c>
      <c r="B693" s="137">
        <f t="shared" ca="1" si="112"/>
        <v>8.7432712878312895</v>
      </c>
      <c r="C693" s="137">
        <f t="shared" ca="1" si="113"/>
        <v>42.969534047667004</v>
      </c>
      <c r="D693" s="152">
        <f t="shared" ca="1" si="114"/>
        <v>5.4305437428731862</v>
      </c>
      <c r="E693" s="197">
        <f t="shared" ca="1" si="115"/>
        <v>7.1811490803034679E-8</v>
      </c>
      <c r="F693" s="137">
        <f t="shared" ca="1" si="116"/>
        <v>28.947426142615544</v>
      </c>
      <c r="G693" s="137">
        <f t="shared" ca="1" si="117"/>
        <v>20.204154854784257</v>
      </c>
      <c r="H693" s="152">
        <f t="shared" ca="1" si="118"/>
        <v>2.5534264952693078</v>
      </c>
      <c r="I693" s="152">
        <f t="shared" ca="1" si="119"/>
        <v>5.6597573641091643E-3</v>
      </c>
      <c r="J693" s="190">
        <f t="shared" ca="1" si="120"/>
        <v>1</v>
      </c>
      <c r="K693" s="187" t="str" cm="1">
        <f t="array" aca="1" ref="K693" ca="1">_xlfn.IFS(G693&lt;$B$11,"Fail",G693&lt;25,"Marginal",G693&lt;35,"Solid",TRUE,"Blowout")</f>
        <v>Marginal</v>
      </c>
      <c r="L693" s="193">
        <f t="shared" ca="1" si="110"/>
        <v>1</v>
      </c>
      <c r="M693" s="184" t="str" cm="1">
        <f t="array" aca="1" ref="M693" ca="1">_xlfn.IFS(C693&lt;$B$11,"Fail",C693&lt;25,"Marginal",C693&lt;35,"Solid",TRUE,"Blowout")</f>
        <v>Blowout</v>
      </c>
    </row>
    <row r="694" spans="1:13" x14ac:dyDescent="0.25">
      <c r="A694" s="138">
        <f t="shared" ca="1" si="111"/>
        <v>36.390110795270139</v>
      </c>
      <c r="B694" s="137">
        <f t="shared" ca="1" si="112"/>
        <v>9.8649265146057701</v>
      </c>
      <c r="C694" s="137">
        <f t="shared" ca="1" si="113"/>
        <v>26.525184280664369</v>
      </c>
      <c r="D694" s="152">
        <f t="shared" ca="1" si="114"/>
        <v>3.3522861421798678</v>
      </c>
      <c r="E694" s="197">
        <f t="shared" ca="1" si="115"/>
        <v>4.6910120834546635E-4</v>
      </c>
      <c r="F694" s="137">
        <f t="shared" ca="1" si="116"/>
        <v>58.844407102185443</v>
      </c>
      <c r="G694" s="137">
        <f t="shared" ca="1" si="117"/>
        <v>48.979480587579673</v>
      </c>
      <c r="H694" s="152">
        <f t="shared" ca="1" si="118"/>
        <v>6.1900883434992924</v>
      </c>
      <c r="I694" s="152">
        <f t="shared" ca="1" si="119"/>
        <v>1.3833722145976736E-9</v>
      </c>
      <c r="J694" s="190">
        <f t="shared" ca="1" si="120"/>
        <v>1</v>
      </c>
      <c r="K694" s="187" t="str" cm="1">
        <f t="array" aca="1" ref="K694" ca="1">_xlfn.IFS(G694&lt;$B$11,"Fail",G694&lt;25,"Marginal",G694&lt;35,"Solid",TRUE,"Blowout")</f>
        <v>Blowout</v>
      </c>
      <c r="L694" s="193">
        <f t="shared" ca="1" si="110"/>
        <v>1</v>
      </c>
      <c r="M694" s="184" t="str" cm="1">
        <f t="array" aca="1" ref="M694" ca="1">_xlfn.IFS(C694&lt;$B$11,"Fail",C694&lt;25,"Marginal",C694&lt;35,"Solid",TRUE,"Blowout")</f>
        <v>Solid</v>
      </c>
    </row>
    <row r="695" spans="1:13" x14ac:dyDescent="0.25">
      <c r="A695" s="138">
        <f t="shared" ca="1" si="111"/>
        <v>30.419114247670556</v>
      </c>
      <c r="B695" s="137">
        <f t="shared" ca="1" si="112"/>
        <v>6.5416953240145634</v>
      </c>
      <c r="C695" s="137">
        <f t="shared" ca="1" si="113"/>
        <v>23.877418923655995</v>
      </c>
      <c r="D695" s="152">
        <f t="shared" ca="1" si="114"/>
        <v>3.0176582270587144</v>
      </c>
      <c r="E695" s="197">
        <f t="shared" ca="1" si="115"/>
        <v>1.4183646696781511E-3</v>
      </c>
      <c r="F695" s="137">
        <f t="shared" ca="1" si="116"/>
        <v>3.2921029564539923</v>
      </c>
      <c r="G695" s="137">
        <f t="shared" ca="1" si="117"/>
        <v>-3.2495923675605711</v>
      </c>
      <c r="H695" s="152">
        <f t="shared" ca="1" si="118"/>
        <v>-0.41068756945253998</v>
      </c>
      <c r="I695" s="152">
        <f t="shared" ca="1" si="119"/>
        <v>0.65915632979659222</v>
      </c>
      <c r="J695" s="190">
        <f t="shared" ca="1" si="120"/>
        <v>0</v>
      </c>
      <c r="K695" s="187" t="str" cm="1">
        <f t="array" aca="1" ref="K695" ca="1">_xlfn.IFS(G695&lt;$B$11,"Fail",G695&lt;25,"Marginal",G695&lt;35,"Solid",TRUE,"Blowout")</f>
        <v>Fail</v>
      </c>
      <c r="L695" s="193">
        <f t="shared" ca="1" si="110"/>
        <v>1</v>
      </c>
      <c r="M695" s="184" t="str" cm="1">
        <f t="array" aca="1" ref="M695" ca="1">_xlfn.IFS(C695&lt;$B$11,"Fail",C695&lt;25,"Marginal",C695&lt;35,"Solid",TRUE,"Blowout")</f>
        <v>Marginal</v>
      </c>
    </row>
    <row r="696" spans="1:13" x14ac:dyDescent="0.25">
      <c r="A696" s="138">
        <f t="shared" ca="1" si="111"/>
        <v>48.095183084264008</v>
      </c>
      <c r="B696" s="137">
        <f t="shared" ca="1" si="112"/>
        <v>-0.69864296072574206</v>
      </c>
      <c r="C696" s="137">
        <f t="shared" ca="1" si="113"/>
        <v>48.79382604498975</v>
      </c>
      <c r="D696" s="152">
        <f t="shared" ca="1" si="114"/>
        <v>6.1666250889645964</v>
      </c>
      <c r="E696" s="197">
        <f t="shared" ca="1" si="115"/>
        <v>1.5711002646029654E-9</v>
      </c>
      <c r="F696" s="137">
        <f t="shared" ca="1" si="116"/>
        <v>38.83962911736846</v>
      </c>
      <c r="G696" s="137">
        <f t="shared" ca="1" si="117"/>
        <v>39.538272078094202</v>
      </c>
      <c r="H696" s="152">
        <f t="shared" ca="1" si="118"/>
        <v>4.9968965406868273</v>
      </c>
      <c r="I696" s="152">
        <f t="shared" ca="1" si="119"/>
        <v>5.7995980943176261E-7</v>
      </c>
      <c r="J696" s="190">
        <f t="shared" ca="1" si="120"/>
        <v>1</v>
      </c>
      <c r="K696" s="187" t="str" cm="1">
        <f t="array" aca="1" ref="K696" ca="1">_xlfn.IFS(G696&lt;$B$11,"Fail",G696&lt;25,"Marginal",G696&lt;35,"Solid",TRUE,"Blowout")</f>
        <v>Blowout</v>
      </c>
      <c r="L696" s="193">
        <f t="shared" ca="1" si="110"/>
        <v>1</v>
      </c>
      <c r="M696" s="184" t="str" cm="1">
        <f t="array" aca="1" ref="M696" ca="1">_xlfn.IFS(C696&lt;$B$11,"Fail",C696&lt;25,"Marginal",C696&lt;35,"Solid",TRUE,"Blowout")</f>
        <v>Blowout</v>
      </c>
    </row>
    <row r="697" spans="1:13" x14ac:dyDescent="0.25">
      <c r="A697" s="138">
        <f t="shared" ca="1" si="111"/>
        <v>4.9859470439970739</v>
      </c>
      <c r="B697" s="137">
        <f t="shared" ca="1" si="112"/>
        <v>7.5298935049728932</v>
      </c>
      <c r="C697" s="137">
        <f t="shared" ca="1" si="113"/>
        <v>-2.5439464609758193</v>
      </c>
      <c r="D697" s="152">
        <f t="shared" ca="1" si="114"/>
        <v>-0.3215071524985898</v>
      </c>
      <c r="E697" s="197">
        <f t="shared" ca="1" si="115"/>
        <v>0.62593968144364387</v>
      </c>
      <c r="F697" s="137">
        <f t="shared" ca="1" si="116"/>
        <v>38.750876075163134</v>
      </c>
      <c r="G697" s="137">
        <f t="shared" ca="1" si="117"/>
        <v>31.220982570190241</v>
      </c>
      <c r="H697" s="152">
        <f t="shared" ca="1" si="118"/>
        <v>3.9457470345109509</v>
      </c>
      <c r="I697" s="152">
        <f t="shared" ca="1" si="119"/>
        <v>5.2975876525587335E-5</v>
      </c>
      <c r="J697" s="190">
        <f t="shared" ca="1" si="120"/>
        <v>1</v>
      </c>
      <c r="K697" s="187" t="str" cm="1">
        <f t="array" aca="1" ref="K697" ca="1">_xlfn.IFS(G697&lt;$B$11,"Fail",G697&lt;25,"Marginal",G697&lt;35,"Solid",TRUE,"Blowout")</f>
        <v>Solid</v>
      </c>
      <c r="L697" s="193">
        <f t="shared" ca="1" si="110"/>
        <v>0</v>
      </c>
      <c r="M697" s="184" t="str" cm="1">
        <f t="array" aca="1" ref="M697" ca="1">_xlfn.IFS(C697&lt;$B$11,"Fail",C697&lt;25,"Marginal",C697&lt;35,"Solid",TRUE,"Blowout")</f>
        <v>Fail</v>
      </c>
    </row>
    <row r="698" spans="1:13" x14ac:dyDescent="0.25">
      <c r="A698" s="138">
        <f t="shared" ca="1" si="111"/>
        <v>20.026611556513604</v>
      </c>
      <c r="B698" s="137">
        <f t="shared" ca="1" si="112"/>
        <v>7.3698922646438749</v>
      </c>
      <c r="C698" s="137">
        <f t="shared" ca="1" si="113"/>
        <v>12.656719291869729</v>
      </c>
      <c r="D698" s="152">
        <f t="shared" ca="1" si="114"/>
        <v>1.5995720986762085</v>
      </c>
      <c r="E698" s="197">
        <f t="shared" ca="1" si="115"/>
        <v>5.5539153563624648E-2</v>
      </c>
      <c r="F698" s="137">
        <f t="shared" ca="1" si="116"/>
        <v>7.8416632875417278</v>
      </c>
      <c r="G698" s="137">
        <f t="shared" ca="1" si="117"/>
        <v>0.47177102289785289</v>
      </c>
      <c r="H698" s="152">
        <f t="shared" ca="1" si="118"/>
        <v>5.9623015079120177E-2</v>
      </c>
      <c r="I698" s="152">
        <f t="shared" ca="1" si="119"/>
        <v>0.47625405688991485</v>
      </c>
      <c r="J698" s="190">
        <f t="shared" ca="1" si="120"/>
        <v>0</v>
      </c>
      <c r="K698" s="187" t="str" cm="1">
        <f t="array" aca="1" ref="K698" ca="1">_xlfn.IFS(G698&lt;$B$11,"Fail",G698&lt;25,"Marginal",G698&lt;35,"Solid",TRUE,"Blowout")</f>
        <v>Fail</v>
      </c>
      <c r="L698" s="193">
        <f t="shared" ca="1" si="110"/>
        <v>0</v>
      </c>
      <c r="M698" s="184" t="str" cm="1">
        <f t="array" aca="1" ref="M698" ca="1">_xlfn.IFS(C698&lt;$B$11,"Fail",C698&lt;25,"Marginal",C698&lt;35,"Solid",TRUE,"Blowout")</f>
        <v>Fail</v>
      </c>
    </row>
    <row r="699" spans="1:13" x14ac:dyDescent="0.25">
      <c r="A699" s="138">
        <f t="shared" ca="1" si="111"/>
        <v>6.7357372476720165</v>
      </c>
      <c r="B699" s="137">
        <f t="shared" ca="1" si="112"/>
        <v>8.4519085248510333</v>
      </c>
      <c r="C699" s="137">
        <f t="shared" ca="1" si="113"/>
        <v>-1.7161712771790167</v>
      </c>
      <c r="D699" s="152">
        <f t="shared" ca="1" si="114"/>
        <v>-0.21689188392512257</v>
      </c>
      <c r="E699" s="197">
        <f t="shared" ca="1" si="115"/>
        <v>0.58575672359921349</v>
      </c>
      <c r="F699" s="137">
        <f t="shared" ca="1" si="116"/>
        <v>22.722470038321578</v>
      </c>
      <c r="G699" s="137">
        <f t="shared" ca="1" si="117"/>
        <v>14.270561513470545</v>
      </c>
      <c r="H699" s="152">
        <f t="shared" ca="1" si="118"/>
        <v>1.8035315078887155</v>
      </c>
      <c r="I699" s="152">
        <f t="shared" ca="1" si="119"/>
        <v>3.6312421260670559E-2</v>
      </c>
      <c r="J699" s="190">
        <f t="shared" ca="1" si="120"/>
        <v>0</v>
      </c>
      <c r="K699" s="187" t="str" cm="1">
        <f t="array" aca="1" ref="K699" ca="1">_xlfn.IFS(G699&lt;$B$11,"Fail",G699&lt;25,"Marginal",G699&lt;35,"Solid",TRUE,"Blowout")</f>
        <v>Fail</v>
      </c>
      <c r="L699" s="193">
        <f t="shared" ca="1" si="110"/>
        <v>0</v>
      </c>
      <c r="M699" s="184" t="str" cm="1">
        <f t="array" aca="1" ref="M699" ca="1">_xlfn.IFS(C699&lt;$B$11,"Fail",C699&lt;25,"Marginal",C699&lt;35,"Solid",TRUE,"Blowout")</f>
        <v>Fail</v>
      </c>
    </row>
    <row r="700" spans="1:13" x14ac:dyDescent="0.25">
      <c r="A700" s="138">
        <f t="shared" ca="1" si="111"/>
        <v>36.1370962589219</v>
      </c>
      <c r="B700" s="137">
        <f t="shared" ca="1" si="112"/>
        <v>3.7693942840678734</v>
      </c>
      <c r="C700" s="137">
        <f t="shared" ca="1" si="113"/>
        <v>32.367701974854029</v>
      </c>
      <c r="D700" s="152">
        <f t="shared" ca="1" si="114"/>
        <v>4.0906708747583256</v>
      </c>
      <c r="E700" s="197">
        <f t="shared" ca="1" si="115"/>
        <v>2.9838973729374853E-5</v>
      </c>
      <c r="F700" s="137">
        <f t="shared" ca="1" si="116"/>
        <v>50.321510165729478</v>
      </c>
      <c r="G700" s="137">
        <f t="shared" ca="1" si="117"/>
        <v>46.552115881661607</v>
      </c>
      <c r="H700" s="152">
        <f t="shared" ca="1" si="118"/>
        <v>5.8833149397949001</v>
      </c>
      <c r="I700" s="152">
        <f t="shared" ca="1" si="119"/>
        <v>7.116927733655392E-9</v>
      </c>
      <c r="J700" s="190">
        <f t="shared" ca="1" si="120"/>
        <v>1</v>
      </c>
      <c r="K700" s="187" t="str" cm="1">
        <f t="array" aca="1" ref="K700" ca="1">_xlfn.IFS(G700&lt;$B$11,"Fail",G700&lt;25,"Marginal",G700&lt;35,"Solid",TRUE,"Blowout")</f>
        <v>Blowout</v>
      </c>
      <c r="L700" s="193">
        <f t="shared" ca="1" si="110"/>
        <v>1</v>
      </c>
      <c r="M700" s="184" t="str" cm="1">
        <f t="array" aca="1" ref="M700" ca="1">_xlfn.IFS(C700&lt;$B$11,"Fail",C700&lt;25,"Marginal",C700&lt;35,"Solid",TRUE,"Blowout")</f>
        <v>Solid</v>
      </c>
    </row>
    <row r="701" spans="1:13" x14ac:dyDescent="0.25">
      <c r="A701" s="138">
        <f t="shared" ca="1" si="111"/>
        <v>43.333365257866348</v>
      </c>
      <c r="B701" s="137">
        <f t="shared" ca="1" si="112"/>
        <v>2.0575182169301178</v>
      </c>
      <c r="C701" s="137">
        <f t="shared" ca="1" si="113"/>
        <v>41.275847040936227</v>
      </c>
      <c r="D701" s="152">
        <f t="shared" ca="1" si="114"/>
        <v>5.2164934493190538</v>
      </c>
      <c r="E701" s="197">
        <f t="shared" ca="1" si="115"/>
        <v>2.0456277804777194E-7</v>
      </c>
      <c r="F701" s="137">
        <f t="shared" ca="1" si="116"/>
        <v>1.316414148527898</v>
      </c>
      <c r="G701" s="137">
        <f t="shared" ca="1" si="117"/>
        <v>-0.74110406840221987</v>
      </c>
      <c r="H701" s="152">
        <f t="shared" ca="1" si="118"/>
        <v>-9.3661664029564898E-2</v>
      </c>
      <c r="I701" s="152">
        <f t="shared" ca="1" si="119"/>
        <v>0.53726991122165368</v>
      </c>
      <c r="J701" s="190">
        <f t="shared" ca="1" si="120"/>
        <v>0</v>
      </c>
      <c r="K701" s="187" t="str" cm="1">
        <f t="array" aca="1" ref="K701" ca="1">_xlfn.IFS(G701&lt;$B$11,"Fail",G701&lt;25,"Marginal",G701&lt;35,"Solid",TRUE,"Blowout")</f>
        <v>Fail</v>
      </c>
      <c r="L701" s="193">
        <f t="shared" ca="1" si="110"/>
        <v>1</v>
      </c>
      <c r="M701" s="184" t="str" cm="1">
        <f t="array" aca="1" ref="M701" ca="1">_xlfn.IFS(C701&lt;$B$11,"Fail",C701&lt;25,"Marginal",C701&lt;35,"Solid",TRUE,"Blowout")</f>
        <v>Blowout</v>
      </c>
    </row>
    <row r="702" spans="1:13" x14ac:dyDescent="0.25">
      <c r="A702" s="138">
        <f t="shared" ca="1" si="111"/>
        <v>-0.72036696858650329</v>
      </c>
      <c r="B702" s="137">
        <f t="shared" ca="1" si="112"/>
        <v>9.8703002800139501</v>
      </c>
      <c r="C702" s="137">
        <f t="shared" ca="1" si="113"/>
        <v>-10.590667248600454</v>
      </c>
      <c r="D702" s="152">
        <f t="shared" ca="1" si="114"/>
        <v>-1.3384618435922231</v>
      </c>
      <c r="E702" s="197">
        <f t="shared" ca="1" si="115"/>
        <v>0.90896045550496796</v>
      </c>
      <c r="F702" s="137">
        <f t="shared" ca="1" si="116"/>
        <v>27.953921981349364</v>
      </c>
      <c r="G702" s="137">
        <f t="shared" ca="1" si="117"/>
        <v>18.083621701335414</v>
      </c>
      <c r="H702" s="152">
        <f t="shared" ca="1" si="118"/>
        <v>2.2854308489762341</v>
      </c>
      <c r="I702" s="152">
        <f t="shared" ca="1" si="119"/>
        <v>1.160330545042677E-2</v>
      </c>
      <c r="J702" s="190">
        <f t="shared" ca="1" si="120"/>
        <v>0</v>
      </c>
      <c r="K702" s="187" t="str" cm="1">
        <f t="array" aca="1" ref="K702" ca="1">_xlfn.IFS(G702&lt;$B$11,"Fail",G702&lt;25,"Marginal",G702&lt;35,"Solid",TRUE,"Blowout")</f>
        <v>Fail</v>
      </c>
      <c r="L702" s="193">
        <f t="shared" ca="1" si="110"/>
        <v>0</v>
      </c>
      <c r="M702" s="184" t="str" cm="1">
        <f t="array" aca="1" ref="M702" ca="1">_xlfn.IFS(C702&lt;$B$11,"Fail",C702&lt;25,"Marginal",C702&lt;35,"Solid",TRUE,"Blowout")</f>
        <v>Fail</v>
      </c>
    </row>
    <row r="703" spans="1:13" x14ac:dyDescent="0.25">
      <c r="A703" s="138">
        <f t="shared" ca="1" si="111"/>
        <v>30.16227559320502</v>
      </c>
      <c r="B703" s="137">
        <f t="shared" ca="1" si="112"/>
        <v>6.6310143344289543</v>
      </c>
      <c r="C703" s="137">
        <f t="shared" ca="1" si="113"/>
        <v>23.531261258776066</v>
      </c>
      <c r="D703" s="152">
        <f t="shared" ca="1" si="114"/>
        <v>2.9739103861122436</v>
      </c>
      <c r="E703" s="197">
        <f t="shared" ca="1" si="115"/>
        <v>1.6281658018474543E-3</v>
      </c>
      <c r="F703" s="137">
        <f t="shared" ca="1" si="116"/>
        <v>16.498579704323607</v>
      </c>
      <c r="G703" s="137">
        <f t="shared" ca="1" si="117"/>
        <v>9.8675653698946526</v>
      </c>
      <c r="H703" s="152">
        <f t="shared" ca="1" si="118"/>
        <v>1.2470753189324604</v>
      </c>
      <c r="I703" s="152">
        <f t="shared" ca="1" si="119"/>
        <v>0.10682469769385268</v>
      </c>
      <c r="J703" s="190">
        <f t="shared" ca="1" si="120"/>
        <v>0</v>
      </c>
      <c r="K703" s="187" t="str" cm="1">
        <f t="array" aca="1" ref="K703" ca="1">_xlfn.IFS(G703&lt;$B$11,"Fail",G703&lt;25,"Marginal",G703&lt;35,"Solid",TRUE,"Blowout")</f>
        <v>Fail</v>
      </c>
      <c r="L703" s="193">
        <f t="shared" ca="1" si="110"/>
        <v>1</v>
      </c>
      <c r="M703" s="184" t="str" cm="1">
        <f t="array" aca="1" ref="M703" ca="1">_xlfn.IFS(C703&lt;$B$11,"Fail",C703&lt;25,"Marginal",C703&lt;35,"Solid",TRUE,"Blowout")</f>
        <v>Marginal</v>
      </c>
    </row>
    <row r="704" spans="1:13" x14ac:dyDescent="0.25">
      <c r="A704" s="138">
        <f t="shared" ca="1" si="111"/>
        <v>21.395698010173014</v>
      </c>
      <c r="B704" s="137">
        <f t="shared" ca="1" si="112"/>
        <v>12.926684104430784</v>
      </c>
      <c r="C704" s="137">
        <f t="shared" ca="1" si="113"/>
        <v>8.46901390574223</v>
      </c>
      <c r="D704" s="152">
        <f t="shared" ca="1" si="114"/>
        <v>1.0703246263530646</v>
      </c>
      <c r="E704" s="197">
        <f t="shared" ca="1" si="115"/>
        <v>0.14280248011755237</v>
      </c>
      <c r="F704" s="137">
        <f t="shared" ca="1" si="116"/>
        <v>-0.38268627538735434</v>
      </c>
      <c r="G704" s="137">
        <f t="shared" ca="1" si="117"/>
        <v>-13.309370379818137</v>
      </c>
      <c r="H704" s="152">
        <f t="shared" ca="1" si="118"/>
        <v>-1.6820549638151669</v>
      </c>
      <c r="I704" s="152">
        <f t="shared" ca="1" si="119"/>
        <v>0.95303638820201397</v>
      </c>
      <c r="J704" s="190">
        <f t="shared" ca="1" si="120"/>
        <v>0</v>
      </c>
      <c r="K704" s="187" t="str" cm="1">
        <f t="array" aca="1" ref="K704" ca="1">_xlfn.IFS(G704&lt;$B$11,"Fail",G704&lt;25,"Marginal",G704&lt;35,"Solid",TRUE,"Blowout")</f>
        <v>Fail</v>
      </c>
      <c r="L704" s="193">
        <f t="shared" ca="1" si="110"/>
        <v>0</v>
      </c>
      <c r="M704" s="184" t="str" cm="1">
        <f t="array" aca="1" ref="M704" ca="1">_xlfn.IFS(C704&lt;$B$11,"Fail",C704&lt;25,"Marginal",C704&lt;35,"Solid",TRUE,"Blowout")</f>
        <v>Fail</v>
      </c>
    </row>
    <row r="705" spans="1:13" x14ac:dyDescent="0.25">
      <c r="A705" s="138">
        <f t="shared" ca="1" si="111"/>
        <v>40.753525720090046</v>
      </c>
      <c r="B705" s="137">
        <f t="shared" ca="1" si="112"/>
        <v>2.9674349562550244</v>
      </c>
      <c r="C705" s="137">
        <f t="shared" ca="1" si="113"/>
        <v>37.78609076383502</v>
      </c>
      <c r="D705" s="152">
        <f t="shared" ca="1" si="114"/>
        <v>4.7754536629964619</v>
      </c>
      <c r="E705" s="197">
        <f t="shared" ca="1" si="115"/>
        <v>1.6039637604111549E-6</v>
      </c>
      <c r="F705" s="137">
        <f t="shared" ca="1" si="116"/>
        <v>4.5853954465211268</v>
      </c>
      <c r="G705" s="137">
        <f t="shared" ca="1" si="117"/>
        <v>1.6179604902661024</v>
      </c>
      <c r="H705" s="152">
        <f t="shared" ca="1" si="118"/>
        <v>0.20447988118474061</v>
      </c>
      <c r="I705" s="152">
        <f t="shared" ca="1" si="119"/>
        <v>0.41908046336558064</v>
      </c>
      <c r="J705" s="190">
        <f t="shared" ca="1" si="120"/>
        <v>0</v>
      </c>
      <c r="K705" s="187" t="str" cm="1">
        <f t="array" aca="1" ref="K705" ca="1">_xlfn.IFS(G705&lt;$B$11,"Fail",G705&lt;25,"Marginal",G705&lt;35,"Solid",TRUE,"Blowout")</f>
        <v>Fail</v>
      </c>
      <c r="L705" s="193">
        <f t="shared" ca="1" si="110"/>
        <v>1</v>
      </c>
      <c r="M705" s="184" t="str" cm="1">
        <f t="array" aca="1" ref="M705" ca="1">_xlfn.IFS(C705&lt;$B$11,"Fail",C705&lt;25,"Marginal",C705&lt;35,"Solid",TRUE,"Blowout")</f>
        <v>Blowout</v>
      </c>
    </row>
    <row r="706" spans="1:13" x14ac:dyDescent="0.25">
      <c r="A706" s="138">
        <f t="shared" ca="1" si="111"/>
        <v>23.321125641528631</v>
      </c>
      <c r="B706" s="137">
        <f t="shared" ca="1" si="112"/>
        <v>4.2822506010361039</v>
      </c>
      <c r="C706" s="137">
        <f t="shared" ca="1" si="113"/>
        <v>19.038875040492528</v>
      </c>
      <c r="D706" s="152">
        <f t="shared" ca="1" si="114"/>
        <v>2.4061569671152796</v>
      </c>
      <c r="E706" s="197">
        <f t="shared" ca="1" si="115"/>
        <v>8.4592570549197384E-3</v>
      </c>
      <c r="F706" s="137">
        <f t="shared" ca="1" si="116"/>
        <v>23.361970567308308</v>
      </c>
      <c r="G706" s="137">
        <f t="shared" ca="1" si="117"/>
        <v>19.079719966272204</v>
      </c>
      <c r="H706" s="152">
        <f t="shared" ca="1" si="118"/>
        <v>2.4113190001937599</v>
      </c>
      <c r="I706" s="152">
        <f t="shared" ca="1" si="119"/>
        <v>8.343466939357785E-3</v>
      </c>
      <c r="J706" s="190">
        <f t="shared" ca="1" si="120"/>
        <v>0</v>
      </c>
      <c r="K706" s="187" t="str" cm="1">
        <f t="array" aca="1" ref="K706" ca="1">_xlfn.IFS(G706&lt;$B$11,"Fail",G706&lt;25,"Marginal",G706&lt;35,"Solid",TRUE,"Blowout")</f>
        <v>Fail</v>
      </c>
      <c r="L706" s="193">
        <f t="shared" ca="1" si="110"/>
        <v>0</v>
      </c>
      <c r="M706" s="184" t="str" cm="1">
        <f t="array" aca="1" ref="M706" ca="1">_xlfn.IFS(C706&lt;$B$11,"Fail",C706&lt;25,"Marginal",C706&lt;35,"Solid",TRUE,"Blowout")</f>
        <v>Fail</v>
      </c>
    </row>
    <row r="707" spans="1:13" x14ac:dyDescent="0.25">
      <c r="A707" s="138">
        <f t="shared" ca="1" si="111"/>
        <v>32.254469522209618</v>
      </c>
      <c r="B707" s="137">
        <f t="shared" ca="1" si="112"/>
        <v>1.4423662107691952</v>
      </c>
      <c r="C707" s="137">
        <f t="shared" ca="1" si="113"/>
        <v>30.812103311440424</v>
      </c>
      <c r="D707" s="152">
        <f t="shared" ca="1" si="114"/>
        <v>3.8940723596650182</v>
      </c>
      <c r="E707" s="197">
        <f t="shared" ca="1" si="115"/>
        <v>6.4756626720183645E-5</v>
      </c>
      <c r="F707" s="137">
        <f t="shared" ca="1" si="116"/>
        <v>36.198103383227966</v>
      </c>
      <c r="G707" s="137">
        <f t="shared" ca="1" si="117"/>
        <v>34.755737172458772</v>
      </c>
      <c r="H707" s="152">
        <f t="shared" ca="1" si="118"/>
        <v>4.3924737657491217</v>
      </c>
      <c r="I707" s="152">
        <f t="shared" ca="1" si="119"/>
        <v>8.5825634319735253E-6</v>
      </c>
      <c r="J707" s="190">
        <f t="shared" ca="1" si="120"/>
        <v>1</v>
      </c>
      <c r="K707" s="187" t="str" cm="1">
        <f t="array" aca="1" ref="K707" ca="1">_xlfn.IFS(G707&lt;$B$11,"Fail",G707&lt;25,"Marginal",G707&lt;35,"Solid",TRUE,"Blowout")</f>
        <v>Solid</v>
      </c>
      <c r="L707" s="193">
        <f t="shared" ca="1" si="110"/>
        <v>1</v>
      </c>
      <c r="M707" s="184" t="str" cm="1">
        <f t="array" aca="1" ref="M707" ca="1">_xlfn.IFS(C707&lt;$B$11,"Fail",C707&lt;25,"Marginal",C707&lt;35,"Solid",TRUE,"Blowout")</f>
        <v>Solid</v>
      </c>
    </row>
    <row r="708" spans="1:13" x14ac:dyDescent="0.25">
      <c r="A708" s="138">
        <f t="shared" ca="1" si="111"/>
        <v>43.876015818598198</v>
      </c>
      <c r="B708" s="137">
        <f t="shared" ca="1" si="112"/>
        <v>19.914564457240225</v>
      </c>
      <c r="C708" s="137">
        <f t="shared" ca="1" si="113"/>
        <v>23.961451361357973</v>
      </c>
      <c r="D708" s="152">
        <f t="shared" ca="1" si="114"/>
        <v>3.0282783521979497</v>
      </c>
      <c r="E708" s="197">
        <f t="shared" ca="1" si="115"/>
        <v>1.3713301903227667E-3</v>
      </c>
      <c r="F708" s="137">
        <f t="shared" ca="1" si="116"/>
        <v>60.186344826925342</v>
      </c>
      <c r="G708" s="137">
        <f t="shared" ca="1" si="117"/>
        <v>40.271780369685118</v>
      </c>
      <c r="H708" s="152">
        <f t="shared" ca="1" si="118"/>
        <v>5.0895982408920428</v>
      </c>
      <c r="I708" s="152">
        <f t="shared" ca="1" si="119"/>
        <v>3.7504328837656879E-7</v>
      </c>
      <c r="J708" s="190">
        <f t="shared" ca="1" si="120"/>
        <v>1</v>
      </c>
      <c r="K708" s="187" t="str" cm="1">
        <f t="array" aca="1" ref="K708" ca="1">_xlfn.IFS(G708&lt;$B$11,"Fail",G708&lt;25,"Marginal",G708&lt;35,"Solid",TRUE,"Blowout")</f>
        <v>Blowout</v>
      </c>
      <c r="L708" s="193">
        <f t="shared" ca="1" si="110"/>
        <v>1</v>
      </c>
      <c r="M708" s="184" t="str" cm="1">
        <f t="array" aca="1" ref="M708" ca="1">_xlfn.IFS(C708&lt;$B$11,"Fail",C708&lt;25,"Marginal",C708&lt;35,"Solid",TRUE,"Blowout")</f>
        <v>Marginal</v>
      </c>
    </row>
    <row r="709" spans="1:13" x14ac:dyDescent="0.25">
      <c r="A709" s="138">
        <f t="shared" ca="1" si="111"/>
        <v>41.729522974944835</v>
      </c>
      <c r="B709" s="137">
        <f t="shared" ca="1" si="112"/>
        <v>-1.7897319882602263</v>
      </c>
      <c r="C709" s="137">
        <f t="shared" ca="1" si="113"/>
        <v>43.519254963205064</v>
      </c>
      <c r="D709" s="152">
        <f t="shared" ca="1" si="114"/>
        <v>5.5000181633984377</v>
      </c>
      <c r="E709" s="197">
        <f t="shared" ca="1" si="115"/>
        <v>5.0796158069417035E-8</v>
      </c>
      <c r="F709" s="137">
        <f t="shared" ca="1" si="116"/>
        <v>31.048870691413324</v>
      </c>
      <c r="G709" s="137">
        <f t="shared" ca="1" si="117"/>
        <v>32.838602679673549</v>
      </c>
      <c r="H709" s="152">
        <f t="shared" ca="1" si="118"/>
        <v>4.150183897944367</v>
      </c>
      <c r="I709" s="152">
        <f t="shared" ca="1" si="119"/>
        <v>2.3464428177307928E-5</v>
      </c>
      <c r="J709" s="190">
        <f t="shared" ca="1" si="120"/>
        <v>1</v>
      </c>
      <c r="K709" s="187" t="str" cm="1">
        <f t="array" aca="1" ref="K709" ca="1">_xlfn.IFS(G709&lt;$B$11,"Fail",G709&lt;25,"Marginal",G709&lt;35,"Solid",TRUE,"Blowout")</f>
        <v>Solid</v>
      </c>
      <c r="L709" s="193">
        <f t="shared" ca="1" si="110"/>
        <v>1</v>
      </c>
      <c r="M709" s="184" t="str" cm="1">
        <f t="array" aca="1" ref="M709" ca="1">_xlfn.IFS(C709&lt;$B$11,"Fail",C709&lt;25,"Marginal",C709&lt;35,"Solid",TRUE,"Blowout")</f>
        <v>Blowout</v>
      </c>
    </row>
    <row r="710" spans="1:13" x14ac:dyDescent="0.25">
      <c r="A710" s="138">
        <f t="shared" ca="1" si="111"/>
        <v>1.2060503493296653</v>
      </c>
      <c r="B710" s="137">
        <f t="shared" ca="1" si="112"/>
        <v>4.944852992369837</v>
      </c>
      <c r="C710" s="137">
        <f t="shared" ca="1" si="113"/>
        <v>-3.738802643040172</v>
      </c>
      <c r="D710" s="152">
        <f t="shared" ca="1" si="114"/>
        <v>-0.47251457920107265</v>
      </c>
      <c r="E710" s="197">
        <f t="shared" ca="1" si="115"/>
        <v>0.68149424501792488</v>
      </c>
      <c r="F710" s="137">
        <f t="shared" ca="1" si="116"/>
        <v>45.336253411368773</v>
      </c>
      <c r="G710" s="137">
        <f t="shared" ca="1" si="117"/>
        <v>40.391400418998934</v>
      </c>
      <c r="H710" s="152">
        <f t="shared" ca="1" si="118"/>
        <v>5.1047159731346756</v>
      </c>
      <c r="I710" s="152">
        <f t="shared" ca="1" si="119"/>
        <v>3.491133126285781E-7</v>
      </c>
      <c r="J710" s="190">
        <f t="shared" ca="1" si="120"/>
        <v>1</v>
      </c>
      <c r="K710" s="187" t="str" cm="1">
        <f t="array" aca="1" ref="K710" ca="1">_xlfn.IFS(G710&lt;$B$11,"Fail",G710&lt;25,"Marginal",G710&lt;35,"Solid",TRUE,"Blowout")</f>
        <v>Blowout</v>
      </c>
      <c r="L710" s="193">
        <f t="shared" ca="1" si="110"/>
        <v>0</v>
      </c>
      <c r="M710" s="184" t="str" cm="1">
        <f t="array" aca="1" ref="M710" ca="1">_xlfn.IFS(C710&lt;$B$11,"Fail",C710&lt;25,"Marginal",C710&lt;35,"Solid",TRUE,"Blowout")</f>
        <v>Fail</v>
      </c>
    </row>
    <row r="711" spans="1:13" x14ac:dyDescent="0.25">
      <c r="A711" s="138">
        <f t="shared" ca="1" si="111"/>
        <v>1.3127998672915928</v>
      </c>
      <c r="B711" s="137">
        <f t="shared" ca="1" si="112"/>
        <v>10.277143333456067</v>
      </c>
      <c r="C711" s="137">
        <f t="shared" ca="1" si="113"/>
        <v>-8.9643434661644736</v>
      </c>
      <c r="D711" s="152">
        <f t="shared" ca="1" si="114"/>
        <v>-1.1329249990270427</v>
      </c>
      <c r="E711" s="197">
        <f t="shared" ca="1" si="115"/>
        <v>0.87078214751747895</v>
      </c>
      <c r="F711" s="137">
        <f t="shared" ca="1" si="116"/>
        <v>59.861473121381302</v>
      </c>
      <c r="G711" s="137">
        <f t="shared" ca="1" si="117"/>
        <v>49.584329787925235</v>
      </c>
      <c r="H711" s="152">
        <f t="shared" ca="1" si="118"/>
        <v>6.2665299459768686</v>
      </c>
      <c r="I711" s="152">
        <f t="shared" ca="1" si="119"/>
        <v>9.1185059503983916E-10</v>
      </c>
      <c r="J711" s="190">
        <f t="shared" ca="1" si="120"/>
        <v>1</v>
      </c>
      <c r="K711" s="187" t="str" cm="1">
        <f t="array" aca="1" ref="K711" ca="1">_xlfn.IFS(G711&lt;$B$11,"Fail",G711&lt;25,"Marginal",G711&lt;35,"Solid",TRUE,"Blowout")</f>
        <v>Blowout</v>
      </c>
      <c r="L711" s="193">
        <f t="shared" ca="1" si="110"/>
        <v>0</v>
      </c>
      <c r="M711" s="184" t="str" cm="1">
        <f t="array" aca="1" ref="M711" ca="1">_xlfn.IFS(C711&lt;$B$11,"Fail",C711&lt;25,"Marginal",C711&lt;35,"Solid",TRUE,"Blowout")</f>
        <v>Fail</v>
      </c>
    </row>
    <row r="712" spans="1:13" x14ac:dyDescent="0.25">
      <c r="A712" s="138">
        <f t="shared" ca="1" si="111"/>
        <v>67.792237599449663</v>
      </c>
      <c r="B712" s="137">
        <f t="shared" ca="1" si="112"/>
        <v>5.6928600333461761</v>
      </c>
      <c r="C712" s="137">
        <f t="shared" ca="1" si="113"/>
        <v>62.099377566103485</v>
      </c>
      <c r="D712" s="152">
        <f t="shared" ca="1" si="114"/>
        <v>7.8481974206148646</v>
      </c>
      <c r="E712" s="197">
        <f t="shared" ca="1" si="115"/>
        <v>8.1543385311204846E-14</v>
      </c>
      <c r="F712" s="137">
        <f t="shared" ca="1" si="116"/>
        <v>26.452686120585398</v>
      </c>
      <c r="G712" s="137">
        <f t="shared" ca="1" si="117"/>
        <v>20.759826087239222</v>
      </c>
      <c r="H712" s="152">
        <f t="shared" ca="1" si="118"/>
        <v>2.6236529243284514</v>
      </c>
      <c r="I712" s="152">
        <f t="shared" ca="1" si="119"/>
        <v>4.6432777600687097E-3</v>
      </c>
      <c r="J712" s="190">
        <f t="shared" ca="1" si="120"/>
        <v>1</v>
      </c>
      <c r="K712" s="187" t="str" cm="1">
        <f t="array" aca="1" ref="K712" ca="1">_xlfn.IFS(G712&lt;$B$11,"Fail",G712&lt;25,"Marginal",G712&lt;35,"Solid",TRUE,"Blowout")</f>
        <v>Marginal</v>
      </c>
      <c r="L712" s="193">
        <f t="shared" ca="1" si="110"/>
        <v>1</v>
      </c>
      <c r="M712" s="184" t="str" cm="1">
        <f t="array" aca="1" ref="M712" ca="1">_xlfn.IFS(C712&lt;$B$11,"Fail",C712&lt;25,"Marginal",C712&lt;35,"Solid",TRUE,"Blowout")</f>
        <v>Blowout</v>
      </c>
    </row>
    <row r="713" spans="1:13" x14ac:dyDescent="0.25">
      <c r="A713" s="138">
        <f t="shared" ca="1" si="111"/>
        <v>24.117999762681766</v>
      </c>
      <c r="B713" s="137">
        <f t="shared" ca="1" si="112"/>
        <v>1.3052283239457405</v>
      </c>
      <c r="C713" s="137">
        <f t="shared" ca="1" si="113"/>
        <v>22.812771438736025</v>
      </c>
      <c r="D713" s="152">
        <f t="shared" ca="1" si="114"/>
        <v>2.8831067392258665</v>
      </c>
      <c r="E713" s="197">
        <f t="shared" ca="1" si="115"/>
        <v>2.1571755469275517E-3</v>
      </c>
      <c r="F713" s="137">
        <f t="shared" ca="1" si="116"/>
        <v>15.956952599244659</v>
      </c>
      <c r="G713" s="137">
        <f t="shared" ca="1" si="117"/>
        <v>14.651724275298918</v>
      </c>
      <c r="H713" s="152">
        <f t="shared" ca="1" si="118"/>
        <v>1.8517033370029696</v>
      </c>
      <c r="I713" s="152">
        <f t="shared" ca="1" si="119"/>
        <v>3.2680675413767832E-2</v>
      </c>
      <c r="J713" s="190">
        <f t="shared" ca="1" si="120"/>
        <v>0</v>
      </c>
      <c r="K713" s="187" t="str" cm="1">
        <f t="array" aca="1" ref="K713" ca="1">_xlfn.IFS(G713&lt;$B$11,"Fail",G713&lt;25,"Marginal",G713&lt;35,"Solid",TRUE,"Blowout")</f>
        <v>Fail</v>
      </c>
      <c r="L713" s="193">
        <f t="shared" ca="1" si="110"/>
        <v>1</v>
      </c>
      <c r="M713" s="184" t="str" cm="1">
        <f t="array" aca="1" ref="M713" ca="1">_xlfn.IFS(C713&lt;$B$11,"Fail",C713&lt;25,"Marginal",C713&lt;35,"Solid",TRUE,"Blowout")</f>
        <v>Marginal</v>
      </c>
    </row>
    <row r="714" spans="1:13" x14ac:dyDescent="0.25">
      <c r="A714" s="138">
        <f t="shared" ca="1" si="111"/>
        <v>58.909151900736845</v>
      </c>
      <c r="B714" s="137">
        <f t="shared" ca="1" si="112"/>
        <v>-5.7158537495105062</v>
      </c>
      <c r="C714" s="137">
        <f t="shared" ca="1" si="113"/>
        <v>64.625005650247346</v>
      </c>
      <c r="D714" s="152">
        <f t="shared" ca="1" si="114"/>
        <v>8.1673894736158896</v>
      </c>
      <c r="E714" s="197">
        <f t="shared" ca="1" si="115"/>
        <v>1.0765461444062477E-14</v>
      </c>
      <c r="F714" s="137">
        <f t="shared" ca="1" si="116"/>
        <v>26.435812262177834</v>
      </c>
      <c r="G714" s="137">
        <f t="shared" ca="1" si="117"/>
        <v>32.151666011688341</v>
      </c>
      <c r="H714" s="152">
        <f t="shared" ca="1" si="118"/>
        <v>4.0633679780896399</v>
      </c>
      <c r="I714" s="152">
        <f t="shared" ca="1" si="119"/>
        <v>3.3287346274879947E-5</v>
      </c>
      <c r="J714" s="190">
        <f t="shared" ca="1" si="120"/>
        <v>1</v>
      </c>
      <c r="K714" s="187" t="str" cm="1">
        <f t="array" aca="1" ref="K714" ca="1">_xlfn.IFS(G714&lt;$B$11,"Fail",G714&lt;25,"Marginal",G714&lt;35,"Solid",TRUE,"Blowout")</f>
        <v>Solid</v>
      </c>
      <c r="L714" s="193">
        <f t="shared" ca="1" si="110"/>
        <v>1</v>
      </c>
      <c r="M714" s="184" t="str" cm="1">
        <f t="array" aca="1" ref="M714" ca="1">_xlfn.IFS(C714&lt;$B$11,"Fail",C714&lt;25,"Marginal",C714&lt;35,"Solid",TRUE,"Blowout")</f>
        <v>Blowout</v>
      </c>
    </row>
    <row r="715" spans="1:13" x14ac:dyDescent="0.25">
      <c r="A715" s="138">
        <f t="shared" ca="1" si="111"/>
        <v>36.903589654863175</v>
      </c>
      <c r="B715" s="137">
        <f t="shared" ca="1" si="112"/>
        <v>4.0223521115259411</v>
      </c>
      <c r="C715" s="137">
        <f t="shared" ca="1" si="113"/>
        <v>32.881237543337235</v>
      </c>
      <c r="D715" s="152">
        <f t="shared" ca="1" si="114"/>
        <v>4.1555721456232977</v>
      </c>
      <c r="E715" s="197">
        <f t="shared" ca="1" si="115"/>
        <v>2.2956353772172278E-5</v>
      </c>
      <c r="F715" s="137">
        <f t="shared" ca="1" si="116"/>
        <v>47.61774860799396</v>
      </c>
      <c r="G715" s="137">
        <f t="shared" ca="1" si="117"/>
        <v>43.59539649646802</v>
      </c>
      <c r="H715" s="152">
        <f t="shared" ca="1" si="118"/>
        <v>5.5096410261126394</v>
      </c>
      <c r="I715" s="152">
        <f t="shared" ca="1" si="119"/>
        <v>4.8405782164951223E-8</v>
      </c>
      <c r="J715" s="190">
        <f t="shared" ca="1" si="120"/>
        <v>1</v>
      </c>
      <c r="K715" s="187" t="str" cm="1">
        <f t="array" aca="1" ref="K715" ca="1">_xlfn.IFS(G715&lt;$B$11,"Fail",G715&lt;25,"Marginal",G715&lt;35,"Solid",TRUE,"Blowout")</f>
        <v>Blowout</v>
      </c>
      <c r="L715" s="193">
        <f t="shared" ca="1" si="110"/>
        <v>1</v>
      </c>
      <c r="M715" s="184" t="str" cm="1">
        <f t="array" aca="1" ref="M715" ca="1">_xlfn.IFS(C715&lt;$B$11,"Fail",C715&lt;25,"Marginal",C715&lt;35,"Solid",TRUE,"Blowout")</f>
        <v>Solid</v>
      </c>
    </row>
    <row r="716" spans="1:13" x14ac:dyDescent="0.25">
      <c r="A716" s="138">
        <f t="shared" ca="1" si="111"/>
        <v>53.931032151202658</v>
      </c>
      <c r="B716" s="137">
        <f t="shared" ca="1" si="112"/>
        <v>2.6843247748203494</v>
      </c>
      <c r="C716" s="137">
        <f t="shared" ca="1" si="113"/>
        <v>51.246707376382311</v>
      </c>
      <c r="D716" s="152">
        <f t="shared" ca="1" si="114"/>
        <v>6.4766233158810822</v>
      </c>
      <c r="E716" s="197">
        <f t="shared" ca="1" si="115"/>
        <v>2.8505021162737401E-10</v>
      </c>
      <c r="F716" s="137">
        <f t="shared" ca="1" si="116"/>
        <v>9.5937707533065009</v>
      </c>
      <c r="G716" s="137">
        <f t="shared" ca="1" si="117"/>
        <v>6.9094459784861515</v>
      </c>
      <c r="H716" s="152">
        <f t="shared" ca="1" si="118"/>
        <v>0.87322447070438969</v>
      </c>
      <c r="I716" s="152">
        <f t="shared" ca="1" si="119"/>
        <v>0.19172974233346013</v>
      </c>
      <c r="J716" s="190">
        <f t="shared" ca="1" si="120"/>
        <v>0</v>
      </c>
      <c r="K716" s="187" t="str" cm="1">
        <f t="array" aca="1" ref="K716" ca="1">_xlfn.IFS(G716&lt;$B$11,"Fail",G716&lt;25,"Marginal",G716&lt;35,"Solid",TRUE,"Blowout")</f>
        <v>Fail</v>
      </c>
      <c r="L716" s="193">
        <f t="shared" ca="1" si="110"/>
        <v>1</v>
      </c>
      <c r="M716" s="184" t="str" cm="1">
        <f t="array" aca="1" ref="M716" ca="1">_xlfn.IFS(C716&lt;$B$11,"Fail",C716&lt;25,"Marginal",C716&lt;35,"Solid",TRUE,"Blowout")</f>
        <v>Blowout</v>
      </c>
    </row>
    <row r="717" spans="1:13" x14ac:dyDescent="0.25">
      <c r="A717" s="138">
        <f t="shared" ca="1" si="111"/>
        <v>28.049089665908102</v>
      </c>
      <c r="B717" s="137">
        <f t="shared" ca="1" si="112"/>
        <v>5.4873674817563955</v>
      </c>
      <c r="C717" s="137">
        <f t="shared" ca="1" si="113"/>
        <v>22.561722184151705</v>
      </c>
      <c r="D717" s="152">
        <f t="shared" ca="1" si="114"/>
        <v>2.8513788187619515</v>
      </c>
      <c r="E717" s="197">
        <f t="shared" ca="1" si="115"/>
        <v>2.376230964413742E-3</v>
      </c>
      <c r="F717" s="137">
        <f t="shared" ca="1" si="116"/>
        <v>17.48106479060684</v>
      </c>
      <c r="G717" s="137">
        <f t="shared" ca="1" si="117"/>
        <v>11.993697308850445</v>
      </c>
      <c r="H717" s="152">
        <f t="shared" ca="1" si="118"/>
        <v>1.5157785467778202</v>
      </c>
      <c r="I717" s="152">
        <f t="shared" ca="1" si="119"/>
        <v>6.5480257162186639E-2</v>
      </c>
      <c r="J717" s="190">
        <f t="shared" ca="1" si="120"/>
        <v>0</v>
      </c>
      <c r="K717" s="187" t="str" cm="1">
        <f t="array" aca="1" ref="K717" ca="1">_xlfn.IFS(G717&lt;$B$11,"Fail",G717&lt;25,"Marginal",G717&lt;35,"Solid",TRUE,"Blowout")</f>
        <v>Fail</v>
      </c>
      <c r="L717" s="193">
        <f t="shared" ca="1" si="110"/>
        <v>1</v>
      </c>
      <c r="M717" s="184" t="str" cm="1">
        <f t="array" aca="1" ref="M717" ca="1">_xlfn.IFS(C717&lt;$B$11,"Fail",C717&lt;25,"Marginal",C717&lt;35,"Solid",TRUE,"Blowout")</f>
        <v>Marginal</v>
      </c>
    </row>
    <row r="718" spans="1:13" x14ac:dyDescent="0.25">
      <c r="A718" s="138">
        <f t="shared" ca="1" si="111"/>
        <v>55.986688415725617</v>
      </c>
      <c r="B718" s="137">
        <f t="shared" ca="1" si="112"/>
        <v>1.728991301326555</v>
      </c>
      <c r="C718" s="137">
        <f t="shared" ca="1" si="113"/>
        <v>54.257697114399065</v>
      </c>
      <c r="D718" s="152">
        <f t="shared" ca="1" si="114"/>
        <v>6.8571559849927226</v>
      </c>
      <c r="E718" s="197">
        <f t="shared" ca="1" si="115"/>
        <v>3.2600403488003496E-11</v>
      </c>
      <c r="F718" s="137">
        <f t="shared" ca="1" si="116"/>
        <v>44.777538401152633</v>
      </c>
      <c r="G718" s="137">
        <f t="shared" ca="1" si="117"/>
        <v>43.048547099826081</v>
      </c>
      <c r="H718" s="152">
        <f t="shared" ca="1" si="118"/>
        <v>5.4405295117561305</v>
      </c>
      <c r="I718" s="152">
        <f t="shared" ca="1" si="119"/>
        <v>6.8338509693536541E-8</v>
      </c>
      <c r="J718" s="190">
        <f t="shared" ca="1" si="120"/>
        <v>1</v>
      </c>
      <c r="K718" s="187" t="str" cm="1">
        <f t="array" aca="1" ref="K718" ca="1">_xlfn.IFS(G718&lt;$B$11,"Fail",G718&lt;25,"Marginal",G718&lt;35,"Solid",TRUE,"Blowout")</f>
        <v>Blowout</v>
      </c>
      <c r="L718" s="193">
        <f t="shared" ca="1" si="110"/>
        <v>1</v>
      </c>
      <c r="M718" s="184" t="str" cm="1">
        <f t="array" aca="1" ref="M718" ca="1">_xlfn.IFS(C718&lt;$B$11,"Fail",C718&lt;25,"Marginal",C718&lt;35,"Solid",TRUE,"Blowout")</f>
        <v>Blowout</v>
      </c>
    </row>
    <row r="719" spans="1:13" x14ac:dyDescent="0.25">
      <c r="A719" s="138">
        <f t="shared" ca="1" si="111"/>
        <v>35.575769722949893</v>
      </c>
      <c r="B719" s="137">
        <f t="shared" ca="1" si="112"/>
        <v>-4.8524930610751174</v>
      </c>
      <c r="C719" s="137">
        <f t="shared" ca="1" si="113"/>
        <v>40.428262784025009</v>
      </c>
      <c r="D719" s="152">
        <f t="shared" ca="1" si="114"/>
        <v>5.1093746851774409</v>
      </c>
      <c r="E719" s="197">
        <f t="shared" ca="1" si="115"/>
        <v>3.4147928882574327E-7</v>
      </c>
      <c r="F719" s="137">
        <f t="shared" ca="1" si="116"/>
        <v>55.923298239207121</v>
      </c>
      <c r="G719" s="137">
        <f t="shared" ca="1" si="117"/>
        <v>60.775791300282236</v>
      </c>
      <c r="H719" s="152">
        <f t="shared" ca="1" si="118"/>
        <v>7.6809209240618674</v>
      </c>
      <c r="I719" s="152">
        <f t="shared" ca="1" si="119"/>
        <v>2.3153011522036458E-13</v>
      </c>
      <c r="J719" s="190">
        <f t="shared" ca="1" si="120"/>
        <v>1</v>
      </c>
      <c r="K719" s="187" t="str" cm="1">
        <f t="array" aca="1" ref="K719" ca="1">_xlfn.IFS(G719&lt;$B$11,"Fail",G719&lt;25,"Marginal",G719&lt;35,"Solid",TRUE,"Blowout")</f>
        <v>Blowout</v>
      </c>
      <c r="L719" s="193">
        <f t="shared" ca="1" si="110"/>
        <v>1</v>
      </c>
      <c r="M719" s="184" t="str" cm="1">
        <f t="array" aca="1" ref="M719" ca="1">_xlfn.IFS(C719&lt;$B$11,"Fail",C719&lt;25,"Marginal",C719&lt;35,"Solid",TRUE,"Blowout")</f>
        <v>Blowout</v>
      </c>
    </row>
    <row r="720" spans="1:13" x14ac:dyDescent="0.25">
      <c r="A720" s="138">
        <f t="shared" ca="1" si="111"/>
        <v>13.208724335303199</v>
      </c>
      <c r="B720" s="137">
        <f t="shared" ca="1" si="112"/>
        <v>3.7235147129455921</v>
      </c>
      <c r="C720" s="137">
        <f t="shared" ca="1" si="113"/>
        <v>9.4852096223576066</v>
      </c>
      <c r="D720" s="152">
        <f t="shared" ca="1" si="114"/>
        <v>1.198752718784283</v>
      </c>
      <c r="E720" s="197">
        <f t="shared" ca="1" si="115"/>
        <v>0.11593427961849753</v>
      </c>
      <c r="F720" s="137">
        <f t="shared" ca="1" si="116"/>
        <v>-9.9306959125926095</v>
      </c>
      <c r="G720" s="137">
        <f t="shared" ca="1" si="117"/>
        <v>-13.654210625538202</v>
      </c>
      <c r="H720" s="152">
        <f t="shared" ca="1" si="118"/>
        <v>-1.7256363076716901</v>
      </c>
      <c r="I720" s="152">
        <f t="shared" ca="1" si="119"/>
        <v>0.95711613866437917</v>
      </c>
      <c r="J720" s="190">
        <f t="shared" ca="1" si="120"/>
        <v>0</v>
      </c>
      <c r="K720" s="187" t="str" cm="1">
        <f t="array" aca="1" ref="K720" ca="1">_xlfn.IFS(G720&lt;$B$11,"Fail",G720&lt;25,"Marginal",G720&lt;35,"Solid",TRUE,"Blowout")</f>
        <v>Fail</v>
      </c>
      <c r="L720" s="193">
        <f t="shared" ref="L720:L783" ca="1" si="121">IF(AND(E720&lt;$B$10,C720&gt;=$B$11),1,0)</f>
        <v>0</v>
      </c>
      <c r="M720" s="184" t="str" cm="1">
        <f t="array" aca="1" ref="M720" ca="1">_xlfn.IFS(C720&lt;$B$11,"Fail",C720&lt;25,"Marginal",C720&lt;35,"Solid",TRUE,"Blowout")</f>
        <v>Fail</v>
      </c>
    </row>
    <row r="721" spans="1:13" x14ac:dyDescent="0.25">
      <c r="A721" s="138">
        <f t="shared" ref="A721:A784" ca="1" si="122">NORMINV(RAND(), MAX(0, NORMINV(RAND(), $B$6, $B$12)), $B$7/SQRT($B$9))</f>
        <v>64.918053269696884</v>
      </c>
      <c r="B721" s="137">
        <f t="shared" ref="B721:B784" ca="1" si="123">NORMINV(RAND(), $B$8, $B$7/SQRT($B$9))</f>
        <v>7.5512689560009782</v>
      </c>
      <c r="C721" s="137">
        <f t="shared" ref="C721:C784" ca="1" si="124">A721-B721</f>
        <v>57.366784313695902</v>
      </c>
      <c r="D721" s="152">
        <f t="shared" ref="D721:D784" ca="1" si="125">C721/($B$7*SQRT(2/$B$9))</f>
        <v>7.2500863346087732</v>
      </c>
      <c r="E721" s="197">
        <f t="shared" ref="E721:E784" ca="1" si="126">_xlfn.T.DIST.RT(D721, 2*$B$9-2)</f>
        <v>3.2082966669365946E-12</v>
      </c>
      <c r="F721" s="137">
        <f t="shared" ref="F721:F784" ca="1" si="127">NORMINV(RAND(), MAX(0, NORMINV(RAND(), $N$7, $N$8)), $B$7/SQRT($B$9))</f>
        <v>40.77807731818276</v>
      </c>
      <c r="G721" s="137">
        <f t="shared" ref="G721:G784" ca="1" si="128">F721-B721</f>
        <v>33.226808362181785</v>
      </c>
      <c r="H721" s="152">
        <f t="shared" ref="H721:H784" ca="1" si="129">G721/($B$7*SQRT(2/$B$9))</f>
        <v>4.1992458202299163</v>
      </c>
      <c r="I721" s="152">
        <f t="shared" ref="I721:I784" ca="1" si="130">_xlfn.T.DIST.RT(H721, 2*$B$9-2)</f>
        <v>1.9208597632938783E-5</v>
      </c>
      <c r="J721" s="190">
        <f t="shared" ref="J721:J784" ca="1" si="131">IF(AND(I721&lt;$B$10, G721&gt;=$B$11), 1, 0)</f>
        <v>1</v>
      </c>
      <c r="K721" s="187" t="str" cm="1">
        <f t="array" aca="1" ref="K721" ca="1">_xlfn.IFS(G721&lt;$B$11,"Fail",G721&lt;25,"Marginal",G721&lt;35,"Solid",TRUE,"Blowout")</f>
        <v>Solid</v>
      </c>
      <c r="L721" s="193">
        <f t="shared" ca="1" si="121"/>
        <v>1</v>
      </c>
      <c r="M721" s="184" t="str" cm="1">
        <f t="array" aca="1" ref="M721" ca="1">_xlfn.IFS(C721&lt;$B$11,"Fail",C721&lt;25,"Marginal",C721&lt;35,"Solid",TRUE,"Blowout")</f>
        <v>Blowout</v>
      </c>
    </row>
    <row r="722" spans="1:13" x14ac:dyDescent="0.25">
      <c r="A722" s="138">
        <f t="shared" ca="1" si="122"/>
        <v>52.313870618653198</v>
      </c>
      <c r="B722" s="137">
        <f t="shared" ca="1" si="123"/>
        <v>5.0187889564410479</v>
      </c>
      <c r="C722" s="137">
        <f t="shared" ca="1" si="124"/>
        <v>47.295081662212148</v>
      </c>
      <c r="D722" s="152">
        <f t="shared" ca="1" si="125"/>
        <v>5.9772118893466883</v>
      </c>
      <c r="E722" s="197">
        <f t="shared" ca="1" si="126"/>
        <v>4.33676178689548E-9</v>
      </c>
      <c r="F722" s="137">
        <f t="shared" ca="1" si="127"/>
        <v>5.0884009138067681</v>
      </c>
      <c r="G722" s="137">
        <f t="shared" ca="1" si="128"/>
        <v>6.9611957365720123E-2</v>
      </c>
      <c r="H722" s="152">
        <f t="shared" ca="1" si="129"/>
        <v>8.7976467020147112E-3</v>
      </c>
      <c r="I722" s="152">
        <f t="shared" ca="1" si="130"/>
        <v>0.49649413847793694</v>
      </c>
      <c r="J722" s="190">
        <f t="shared" ca="1" si="131"/>
        <v>0</v>
      </c>
      <c r="K722" s="187" t="str" cm="1">
        <f t="array" aca="1" ref="K722" ca="1">_xlfn.IFS(G722&lt;$B$11,"Fail",G722&lt;25,"Marginal",G722&lt;35,"Solid",TRUE,"Blowout")</f>
        <v>Fail</v>
      </c>
      <c r="L722" s="193">
        <f t="shared" ca="1" si="121"/>
        <v>1</v>
      </c>
      <c r="M722" s="184" t="str" cm="1">
        <f t="array" aca="1" ref="M722" ca="1">_xlfn.IFS(C722&lt;$B$11,"Fail",C722&lt;25,"Marginal",C722&lt;35,"Solid",TRUE,"Blowout")</f>
        <v>Blowout</v>
      </c>
    </row>
    <row r="723" spans="1:13" x14ac:dyDescent="0.25">
      <c r="A723" s="138">
        <f t="shared" ca="1" si="122"/>
        <v>1.2775373425239387</v>
      </c>
      <c r="B723" s="137">
        <f t="shared" ca="1" si="123"/>
        <v>15.401801022575675</v>
      </c>
      <c r="C723" s="137">
        <f t="shared" ca="1" si="124"/>
        <v>-14.124263680051737</v>
      </c>
      <c r="D723" s="152">
        <f t="shared" ca="1" si="125"/>
        <v>-1.7850422037462252</v>
      </c>
      <c r="E723" s="197">
        <f t="shared" ca="1" si="126"/>
        <v>0.96220807848460144</v>
      </c>
      <c r="F723" s="137">
        <f t="shared" ca="1" si="127"/>
        <v>27.14836949526293</v>
      </c>
      <c r="G723" s="137">
        <f t="shared" ca="1" si="128"/>
        <v>11.746568472687255</v>
      </c>
      <c r="H723" s="152">
        <f t="shared" ca="1" si="129"/>
        <v>1.4845460937235053</v>
      </c>
      <c r="I723" s="152">
        <f t="shared" ca="1" si="130"/>
        <v>6.9522647066847063E-2</v>
      </c>
      <c r="J723" s="190">
        <f t="shared" ca="1" si="131"/>
        <v>0</v>
      </c>
      <c r="K723" s="187" t="str" cm="1">
        <f t="array" aca="1" ref="K723" ca="1">_xlfn.IFS(G723&lt;$B$11,"Fail",G723&lt;25,"Marginal",G723&lt;35,"Solid",TRUE,"Blowout")</f>
        <v>Fail</v>
      </c>
      <c r="L723" s="193">
        <f t="shared" ca="1" si="121"/>
        <v>0</v>
      </c>
      <c r="M723" s="184" t="str" cm="1">
        <f t="array" aca="1" ref="M723" ca="1">_xlfn.IFS(C723&lt;$B$11,"Fail",C723&lt;25,"Marginal",C723&lt;35,"Solid",TRUE,"Blowout")</f>
        <v>Fail</v>
      </c>
    </row>
    <row r="724" spans="1:13" x14ac:dyDescent="0.25">
      <c r="A724" s="138">
        <f t="shared" ca="1" si="122"/>
        <v>37.943585994616548</v>
      </c>
      <c r="B724" s="137">
        <f t="shared" ca="1" si="123"/>
        <v>-0.25513806950752294</v>
      </c>
      <c r="C724" s="137">
        <f t="shared" ca="1" si="124"/>
        <v>38.198724064124072</v>
      </c>
      <c r="D724" s="152">
        <f t="shared" ca="1" si="125"/>
        <v>4.8276027783324587</v>
      </c>
      <c r="E724" s="197">
        <f t="shared" ca="1" si="126"/>
        <v>1.2661664714344454E-6</v>
      </c>
      <c r="F724" s="137">
        <f t="shared" ca="1" si="127"/>
        <v>1.9635968509685835</v>
      </c>
      <c r="G724" s="137">
        <f t="shared" ca="1" si="128"/>
        <v>2.2187349204761064</v>
      </c>
      <c r="H724" s="152">
        <f t="shared" ca="1" si="129"/>
        <v>0.28040650908896564</v>
      </c>
      <c r="I724" s="152">
        <f t="shared" ca="1" si="130"/>
        <v>0.38970995159342919</v>
      </c>
      <c r="J724" s="190">
        <f t="shared" ca="1" si="131"/>
        <v>0</v>
      </c>
      <c r="K724" s="187" t="str" cm="1">
        <f t="array" aca="1" ref="K724" ca="1">_xlfn.IFS(G724&lt;$B$11,"Fail",G724&lt;25,"Marginal",G724&lt;35,"Solid",TRUE,"Blowout")</f>
        <v>Fail</v>
      </c>
      <c r="L724" s="193">
        <f t="shared" ca="1" si="121"/>
        <v>1</v>
      </c>
      <c r="M724" s="184" t="str" cm="1">
        <f t="array" aca="1" ref="M724" ca="1">_xlfn.IFS(C724&lt;$B$11,"Fail",C724&lt;25,"Marginal",C724&lt;35,"Solid",TRUE,"Blowout")</f>
        <v>Blowout</v>
      </c>
    </row>
    <row r="725" spans="1:13" x14ac:dyDescent="0.25">
      <c r="A725" s="138">
        <f t="shared" ca="1" si="122"/>
        <v>41.165248039994061</v>
      </c>
      <c r="B725" s="137">
        <f t="shared" ca="1" si="123"/>
        <v>4.285738677882442</v>
      </c>
      <c r="C725" s="137">
        <f t="shared" ca="1" si="124"/>
        <v>36.879509362111619</v>
      </c>
      <c r="D725" s="152">
        <f t="shared" ca="1" si="125"/>
        <v>4.6608787655104251</v>
      </c>
      <c r="E725" s="197">
        <f t="shared" ca="1" si="126"/>
        <v>2.6786085348471315E-6</v>
      </c>
      <c r="F725" s="137">
        <f t="shared" ca="1" si="127"/>
        <v>-5.2867969825477363</v>
      </c>
      <c r="G725" s="137">
        <f t="shared" ca="1" si="128"/>
        <v>-9.5725356604301783</v>
      </c>
      <c r="H725" s="152">
        <f t="shared" ca="1" si="129"/>
        <v>-1.2097890932797299</v>
      </c>
      <c r="I725" s="152">
        <f t="shared" ca="1" si="130"/>
        <v>0.88619366350581041</v>
      </c>
      <c r="J725" s="190">
        <f t="shared" ca="1" si="131"/>
        <v>0</v>
      </c>
      <c r="K725" s="187" t="str" cm="1">
        <f t="array" aca="1" ref="K725" ca="1">_xlfn.IFS(G725&lt;$B$11,"Fail",G725&lt;25,"Marginal",G725&lt;35,"Solid",TRUE,"Blowout")</f>
        <v>Fail</v>
      </c>
      <c r="L725" s="193">
        <f t="shared" ca="1" si="121"/>
        <v>1</v>
      </c>
      <c r="M725" s="184" t="str" cm="1">
        <f t="array" aca="1" ref="M725" ca="1">_xlfn.IFS(C725&lt;$B$11,"Fail",C725&lt;25,"Marginal",C725&lt;35,"Solid",TRUE,"Blowout")</f>
        <v>Blowout</v>
      </c>
    </row>
    <row r="726" spans="1:13" x14ac:dyDescent="0.25">
      <c r="A726" s="138">
        <f t="shared" ca="1" si="122"/>
        <v>17.145130827978473</v>
      </c>
      <c r="B726" s="137">
        <f t="shared" ca="1" si="123"/>
        <v>-1.4493540921357653</v>
      </c>
      <c r="C726" s="137">
        <f t="shared" ca="1" si="124"/>
        <v>18.59448492011424</v>
      </c>
      <c r="D726" s="152">
        <f t="shared" ca="1" si="125"/>
        <v>2.3499943849253526</v>
      </c>
      <c r="E726" s="197">
        <f t="shared" ca="1" si="126"/>
        <v>9.8137576888686125E-3</v>
      </c>
      <c r="F726" s="137">
        <f t="shared" ca="1" si="127"/>
        <v>3.2127347326542708</v>
      </c>
      <c r="G726" s="137">
        <f t="shared" ca="1" si="128"/>
        <v>4.6620888247900361</v>
      </c>
      <c r="H726" s="152">
        <f t="shared" ca="1" si="129"/>
        <v>0.58920064779145864</v>
      </c>
      <c r="I726" s="152">
        <f t="shared" ca="1" si="130"/>
        <v>0.27815501023018929</v>
      </c>
      <c r="J726" s="190">
        <f t="shared" ca="1" si="131"/>
        <v>0</v>
      </c>
      <c r="K726" s="187" t="str" cm="1">
        <f t="array" aca="1" ref="K726" ca="1">_xlfn.IFS(G726&lt;$B$11,"Fail",G726&lt;25,"Marginal",G726&lt;35,"Solid",TRUE,"Blowout")</f>
        <v>Fail</v>
      </c>
      <c r="L726" s="193">
        <f t="shared" ca="1" si="121"/>
        <v>0</v>
      </c>
      <c r="M726" s="184" t="str" cm="1">
        <f t="array" aca="1" ref="M726" ca="1">_xlfn.IFS(C726&lt;$B$11,"Fail",C726&lt;25,"Marginal",C726&lt;35,"Solid",TRUE,"Blowout")</f>
        <v>Fail</v>
      </c>
    </row>
    <row r="727" spans="1:13" x14ac:dyDescent="0.25">
      <c r="A727" s="138">
        <f t="shared" ca="1" si="122"/>
        <v>43.576462703374006</v>
      </c>
      <c r="B727" s="137">
        <f t="shared" ca="1" si="123"/>
        <v>8.6980024305441059</v>
      </c>
      <c r="C727" s="137">
        <f t="shared" ca="1" si="124"/>
        <v>34.878460272829898</v>
      </c>
      <c r="D727" s="152">
        <f t="shared" ca="1" si="125"/>
        <v>4.4079836654861566</v>
      </c>
      <c r="E727" s="197">
        <f t="shared" ca="1" si="126"/>
        <v>8.0355191538021536E-6</v>
      </c>
      <c r="F727" s="137">
        <f t="shared" ca="1" si="127"/>
        <v>2.3369783222403089</v>
      </c>
      <c r="G727" s="137">
        <f t="shared" ca="1" si="128"/>
        <v>-6.3610241083037966</v>
      </c>
      <c r="H727" s="152">
        <f t="shared" ca="1" si="129"/>
        <v>-0.80391422516461286</v>
      </c>
      <c r="I727" s="152">
        <f t="shared" ca="1" si="130"/>
        <v>0.78885805792106334</v>
      </c>
      <c r="J727" s="190">
        <f t="shared" ca="1" si="131"/>
        <v>0</v>
      </c>
      <c r="K727" s="187" t="str" cm="1">
        <f t="array" aca="1" ref="K727" ca="1">_xlfn.IFS(G727&lt;$B$11,"Fail",G727&lt;25,"Marginal",G727&lt;35,"Solid",TRUE,"Blowout")</f>
        <v>Fail</v>
      </c>
      <c r="L727" s="193">
        <f t="shared" ca="1" si="121"/>
        <v>1</v>
      </c>
      <c r="M727" s="184" t="str" cm="1">
        <f t="array" aca="1" ref="M727" ca="1">_xlfn.IFS(C727&lt;$B$11,"Fail",C727&lt;25,"Marginal",C727&lt;35,"Solid",TRUE,"Blowout")</f>
        <v>Solid</v>
      </c>
    </row>
    <row r="728" spans="1:13" x14ac:dyDescent="0.25">
      <c r="A728" s="138">
        <f t="shared" ca="1" si="122"/>
        <v>23.386397440579355</v>
      </c>
      <c r="B728" s="137">
        <f t="shared" ca="1" si="123"/>
        <v>7.6306758632286247</v>
      </c>
      <c r="C728" s="137">
        <f t="shared" ca="1" si="124"/>
        <v>15.75572157735073</v>
      </c>
      <c r="D728" s="152">
        <f t="shared" ca="1" si="125"/>
        <v>1.9912279042034338</v>
      </c>
      <c r="E728" s="197">
        <f t="shared" ca="1" si="126"/>
        <v>2.3824704790212082E-2</v>
      </c>
      <c r="F728" s="137">
        <f t="shared" ca="1" si="127"/>
        <v>42.96030905770732</v>
      </c>
      <c r="G728" s="137">
        <f t="shared" ca="1" si="128"/>
        <v>35.329633194478696</v>
      </c>
      <c r="H728" s="152">
        <f t="shared" ca="1" si="129"/>
        <v>4.4650034666293514</v>
      </c>
      <c r="I728" s="152">
        <f t="shared" ca="1" si="130"/>
        <v>6.297983623514399E-6</v>
      </c>
      <c r="J728" s="190">
        <f t="shared" ca="1" si="131"/>
        <v>1</v>
      </c>
      <c r="K728" s="187" t="str" cm="1">
        <f t="array" aca="1" ref="K728" ca="1">_xlfn.IFS(G728&lt;$B$11,"Fail",G728&lt;25,"Marginal",G728&lt;35,"Solid",TRUE,"Blowout")</f>
        <v>Blowout</v>
      </c>
      <c r="L728" s="193">
        <f t="shared" ca="1" si="121"/>
        <v>0</v>
      </c>
      <c r="M728" s="184" t="str" cm="1">
        <f t="array" aca="1" ref="M728" ca="1">_xlfn.IFS(C728&lt;$B$11,"Fail",C728&lt;25,"Marginal",C728&lt;35,"Solid",TRUE,"Blowout")</f>
        <v>Fail</v>
      </c>
    </row>
    <row r="729" spans="1:13" x14ac:dyDescent="0.25">
      <c r="A729" s="138">
        <f t="shared" ca="1" si="122"/>
        <v>-6.165468332507384</v>
      </c>
      <c r="B729" s="137">
        <f t="shared" ca="1" si="123"/>
        <v>3.9963316061196439</v>
      </c>
      <c r="C729" s="137">
        <f t="shared" ca="1" si="124"/>
        <v>-10.161799938627027</v>
      </c>
      <c r="D729" s="152">
        <f t="shared" ca="1" si="125"/>
        <v>-1.2842610536996575</v>
      </c>
      <c r="E729" s="197">
        <f t="shared" ca="1" si="126"/>
        <v>0.89982297818954449</v>
      </c>
      <c r="F729" s="137">
        <f t="shared" ca="1" si="127"/>
        <v>30.126789466899069</v>
      </c>
      <c r="G729" s="137">
        <f t="shared" ca="1" si="128"/>
        <v>26.130457860779426</v>
      </c>
      <c r="H729" s="152">
        <f t="shared" ca="1" si="129"/>
        <v>3.3024001209054692</v>
      </c>
      <c r="I729" s="152">
        <f t="shared" ca="1" si="130"/>
        <v>5.563977213699948E-4</v>
      </c>
      <c r="J729" s="190">
        <f t="shared" ca="1" si="131"/>
        <v>1</v>
      </c>
      <c r="K729" s="187" t="str" cm="1">
        <f t="array" aca="1" ref="K729" ca="1">_xlfn.IFS(G729&lt;$B$11,"Fail",G729&lt;25,"Marginal",G729&lt;35,"Solid",TRUE,"Blowout")</f>
        <v>Solid</v>
      </c>
      <c r="L729" s="193">
        <f t="shared" ca="1" si="121"/>
        <v>0</v>
      </c>
      <c r="M729" s="184" t="str" cm="1">
        <f t="array" aca="1" ref="M729" ca="1">_xlfn.IFS(C729&lt;$B$11,"Fail",C729&lt;25,"Marginal",C729&lt;35,"Solid",TRUE,"Blowout")</f>
        <v>Fail</v>
      </c>
    </row>
    <row r="730" spans="1:13" x14ac:dyDescent="0.25">
      <c r="A730" s="138">
        <f t="shared" ca="1" si="122"/>
        <v>14.621145569588371</v>
      </c>
      <c r="B730" s="137">
        <f t="shared" ca="1" si="123"/>
        <v>2.8705497718296016</v>
      </c>
      <c r="C730" s="137">
        <f t="shared" ca="1" si="124"/>
        <v>11.75059579775877</v>
      </c>
      <c r="D730" s="152">
        <f t="shared" ca="1" si="125"/>
        <v>1.4850550721300053</v>
      </c>
      <c r="E730" s="197">
        <f t="shared" ca="1" si="126"/>
        <v>6.9455254280321357E-2</v>
      </c>
      <c r="F730" s="137">
        <f t="shared" ca="1" si="127"/>
        <v>51.523881893270236</v>
      </c>
      <c r="G730" s="137">
        <f t="shared" ca="1" si="128"/>
        <v>48.653332121440634</v>
      </c>
      <c r="H730" s="152">
        <f t="shared" ca="1" si="129"/>
        <v>6.1488692902492792</v>
      </c>
      <c r="I730" s="152">
        <f t="shared" ca="1" si="130"/>
        <v>1.7295469601630716E-9</v>
      </c>
      <c r="J730" s="190">
        <f t="shared" ca="1" si="131"/>
        <v>1</v>
      </c>
      <c r="K730" s="187" t="str" cm="1">
        <f t="array" aca="1" ref="K730" ca="1">_xlfn.IFS(G730&lt;$B$11,"Fail",G730&lt;25,"Marginal",G730&lt;35,"Solid",TRUE,"Blowout")</f>
        <v>Blowout</v>
      </c>
      <c r="L730" s="193">
        <f t="shared" ca="1" si="121"/>
        <v>0</v>
      </c>
      <c r="M730" s="184" t="str" cm="1">
        <f t="array" aca="1" ref="M730" ca="1">_xlfn.IFS(C730&lt;$B$11,"Fail",C730&lt;25,"Marginal",C730&lt;35,"Solid",TRUE,"Blowout")</f>
        <v>Fail</v>
      </c>
    </row>
    <row r="731" spans="1:13" x14ac:dyDescent="0.25">
      <c r="A731" s="138">
        <f t="shared" ca="1" si="122"/>
        <v>-0.13662092411564744</v>
      </c>
      <c r="B731" s="137">
        <f t="shared" ca="1" si="123"/>
        <v>17.176604688936603</v>
      </c>
      <c r="C731" s="137">
        <f t="shared" ca="1" si="124"/>
        <v>-17.31322561305225</v>
      </c>
      <c r="D731" s="152">
        <f t="shared" ca="1" si="125"/>
        <v>-2.1880672226423044</v>
      </c>
      <c r="E731" s="197">
        <f t="shared" ca="1" si="126"/>
        <v>0.9851597549477028</v>
      </c>
      <c r="F731" s="137">
        <f t="shared" ca="1" si="127"/>
        <v>14.927746572473445</v>
      </c>
      <c r="G731" s="137">
        <f t="shared" ca="1" si="128"/>
        <v>-2.2488581164631576</v>
      </c>
      <c r="H731" s="152">
        <f t="shared" ca="1" si="129"/>
        <v>-0.28421351647474169</v>
      </c>
      <c r="I731" s="152">
        <f t="shared" ca="1" si="130"/>
        <v>0.61174764743774523</v>
      </c>
      <c r="J731" s="190">
        <f t="shared" ca="1" si="131"/>
        <v>0</v>
      </c>
      <c r="K731" s="187" t="str" cm="1">
        <f t="array" aca="1" ref="K731" ca="1">_xlfn.IFS(G731&lt;$B$11,"Fail",G731&lt;25,"Marginal",G731&lt;35,"Solid",TRUE,"Blowout")</f>
        <v>Fail</v>
      </c>
      <c r="L731" s="193">
        <f t="shared" ca="1" si="121"/>
        <v>0</v>
      </c>
      <c r="M731" s="184" t="str" cm="1">
        <f t="array" aca="1" ref="M731" ca="1">_xlfn.IFS(C731&lt;$B$11,"Fail",C731&lt;25,"Marginal",C731&lt;35,"Solid",TRUE,"Blowout")</f>
        <v>Fail</v>
      </c>
    </row>
    <row r="732" spans="1:13" x14ac:dyDescent="0.25">
      <c r="A732" s="138">
        <f t="shared" ca="1" si="122"/>
        <v>42.075052899262914</v>
      </c>
      <c r="B732" s="137">
        <f t="shared" ca="1" si="123"/>
        <v>5.0544339776909961</v>
      </c>
      <c r="C732" s="137">
        <f t="shared" ca="1" si="124"/>
        <v>37.020618921571916</v>
      </c>
      <c r="D732" s="152">
        <f t="shared" ca="1" si="125"/>
        <v>4.6787123690662984</v>
      </c>
      <c r="E732" s="197">
        <f t="shared" ca="1" si="126"/>
        <v>2.4746279729860592E-6</v>
      </c>
      <c r="F732" s="137">
        <f t="shared" ca="1" si="127"/>
        <v>38.827106995147645</v>
      </c>
      <c r="G732" s="137">
        <f t="shared" ca="1" si="128"/>
        <v>33.772673017456647</v>
      </c>
      <c r="H732" s="152">
        <f t="shared" ca="1" si="129"/>
        <v>4.2682328817342405</v>
      </c>
      <c r="I732" s="152">
        <f t="shared" ca="1" si="130"/>
        <v>1.4453112138982013E-5</v>
      </c>
      <c r="J732" s="190">
        <f t="shared" ca="1" si="131"/>
        <v>1</v>
      </c>
      <c r="K732" s="187" t="str" cm="1">
        <f t="array" aca="1" ref="K732" ca="1">_xlfn.IFS(G732&lt;$B$11,"Fail",G732&lt;25,"Marginal",G732&lt;35,"Solid",TRUE,"Blowout")</f>
        <v>Solid</v>
      </c>
      <c r="L732" s="193">
        <f t="shared" ca="1" si="121"/>
        <v>1</v>
      </c>
      <c r="M732" s="184" t="str" cm="1">
        <f t="array" aca="1" ref="M732" ca="1">_xlfn.IFS(C732&lt;$B$11,"Fail",C732&lt;25,"Marginal",C732&lt;35,"Solid",TRUE,"Blowout")</f>
        <v>Blowout</v>
      </c>
    </row>
    <row r="733" spans="1:13" x14ac:dyDescent="0.25">
      <c r="A733" s="138">
        <f t="shared" ca="1" si="122"/>
        <v>-1.2310550234948991</v>
      </c>
      <c r="B733" s="137">
        <f t="shared" ca="1" si="123"/>
        <v>-0.69521686495453494</v>
      </c>
      <c r="C733" s="137">
        <f t="shared" ca="1" si="124"/>
        <v>-0.53583815854036421</v>
      </c>
      <c r="D733" s="152">
        <f t="shared" ca="1" si="125"/>
        <v>-6.7719900239692168E-2</v>
      </c>
      <c r="E733" s="197">
        <f t="shared" ca="1" si="126"/>
        <v>0.52696602176672902</v>
      </c>
      <c r="F733" s="137">
        <f t="shared" ca="1" si="127"/>
        <v>79.093442343222875</v>
      </c>
      <c r="G733" s="137">
        <f t="shared" ca="1" si="128"/>
        <v>79.788659208177407</v>
      </c>
      <c r="H733" s="152">
        <f t="shared" ca="1" si="129"/>
        <v>10.083791077058102</v>
      </c>
      <c r="I733" s="152">
        <f t="shared" ca="1" si="130"/>
        <v>2.5962324379630575E-20</v>
      </c>
      <c r="J733" s="190">
        <f t="shared" ca="1" si="131"/>
        <v>1</v>
      </c>
      <c r="K733" s="187" t="str" cm="1">
        <f t="array" aca="1" ref="K733" ca="1">_xlfn.IFS(G733&lt;$B$11,"Fail",G733&lt;25,"Marginal",G733&lt;35,"Solid",TRUE,"Blowout")</f>
        <v>Blowout</v>
      </c>
      <c r="L733" s="193">
        <f t="shared" ca="1" si="121"/>
        <v>0</v>
      </c>
      <c r="M733" s="184" t="str" cm="1">
        <f t="array" aca="1" ref="M733" ca="1">_xlfn.IFS(C733&lt;$B$11,"Fail",C733&lt;25,"Marginal",C733&lt;35,"Solid",TRUE,"Blowout")</f>
        <v>Fail</v>
      </c>
    </row>
    <row r="734" spans="1:13" x14ac:dyDescent="0.25">
      <c r="A734" s="138">
        <f t="shared" ca="1" si="122"/>
        <v>15.82846867070649</v>
      </c>
      <c r="B734" s="137">
        <f t="shared" ca="1" si="123"/>
        <v>10.547484141958833</v>
      </c>
      <c r="C734" s="137">
        <f t="shared" ca="1" si="124"/>
        <v>5.2809845287476573</v>
      </c>
      <c r="D734" s="152">
        <f t="shared" ca="1" si="125"/>
        <v>0.66741746505761279</v>
      </c>
      <c r="E734" s="197">
        <f t="shared" ca="1" si="126"/>
        <v>0.25259022840484968</v>
      </c>
      <c r="F734" s="137">
        <f t="shared" ca="1" si="127"/>
        <v>77.540449346884159</v>
      </c>
      <c r="G734" s="137">
        <f t="shared" ca="1" si="128"/>
        <v>66.992965204925326</v>
      </c>
      <c r="H734" s="152">
        <f t="shared" ca="1" si="129"/>
        <v>8.4666551796104716</v>
      </c>
      <c r="I734" s="152">
        <f t="shared" ca="1" si="130"/>
        <v>1.5529571858264756E-15</v>
      </c>
      <c r="J734" s="190">
        <f t="shared" ca="1" si="131"/>
        <v>1</v>
      </c>
      <c r="K734" s="187" t="str" cm="1">
        <f t="array" aca="1" ref="K734" ca="1">_xlfn.IFS(G734&lt;$B$11,"Fail",G734&lt;25,"Marginal",G734&lt;35,"Solid",TRUE,"Blowout")</f>
        <v>Blowout</v>
      </c>
      <c r="L734" s="193">
        <f t="shared" ca="1" si="121"/>
        <v>0</v>
      </c>
      <c r="M734" s="184" t="str" cm="1">
        <f t="array" aca="1" ref="M734" ca="1">_xlfn.IFS(C734&lt;$B$11,"Fail",C734&lt;25,"Marginal",C734&lt;35,"Solid",TRUE,"Blowout")</f>
        <v>Fail</v>
      </c>
    </row>
    <row r="735" spans="1:13" x14ac:dyDescent="0.25">
      <c r="A735" s="138">
        <f t="shared" ca="1" si="122"/>
        <v>29.356892573232599</v>
      </c>
      <c r="B735" s="137">
        <f t="shared" ca="1" si="123"/>
        <v>14.677639534708479</v>
      </c>
      <c r="C735" s="137">
        <f t="shared" ca="1" si="124"/>
        <v>14.67925303852412</v>
      </c>
      <c r="D735" s="152">
        <f t="shared" ca="1" si="125"/>
        <v>1.8551824567140611</v>
      </c>
      <c r="E735" s="197">
        <f t="shared" ca="1" si="126"/>
        <v>3.2430488236593474E-2</v>
      </c>
      <c r="F735" s="137">
        <f t="shared" ca="1" si="127"/>
        <v>27.03976493364333</v>
      </c>
      <c r="G735" s="137">
        <f t="shared" ca="1" si="128"/>
        <v>12.36212539893485</v>
      </c>
      <c r="H735" s="152">
        <f t="shared" ca="1" si="129"/>
        <v>1.5623409520644844</v>
      </c>
      <c r="I735" s="152">
        <f t="shared" ca="1" si="130"/>
        <v>5.9797300730082187E-2</v>
      </c>
      <c r="J735" s="190">
        <f t="shared" ca="1" si="131"/>
        <v>0</v>
      </c>
      <c r="K735" s="187" t="str" cm="1">
        <f t="array" aca="1" ref="K735" ca="1">_xlfn.IFS(G735&lt;$B$11,"Fail",G735&lt;25,"Marginal",G735&lt;35,"Solid",TRUE,"Blowout")</f>
        <v>Fail</v>
      </c>
      <c r="L735" s="193">
        <f t="shared" ca="1" si="121"/>
        <v>0</v>
      </c>
      <c r="M735" s="184" t="str" cm="1">
        <f t="array" aca="1" ref="M735" ca="1">_xlfn.IFS(C735&lt;$B$11,"Fail",C735&lt;25,"Marginal",C735&lt;35,"Solid",TRUE,"Blowout")</f>
        <v>Fail</v>
      </c>
    </row>
    <row r="736" spans="1:13" x14ac:dyDescent="0.25">
      <c r="A736" s="138">
        <f t="shared" ca="1" si="122"/>
        <v>11.772648453166171</v>
      </c>
      <c r="B736" s="137">
        <f t="shared" ca="1" si="123"/>
        <v>-0.84226773840894076</v>
      </c>
      <c r="C736" s="137">
        <f t="shared" ca="1" si="124"/>
        <v>12.614916191575112</v>
      </c>
      <c r="D736" s="152">
        <f t="shared" ca="1" si="125"/>
        <v>1.5942889702977205</v>
      </c>
      <c r="E736" s="197">
        <f t="shared" ca="1" si="126"/>
        <v>5.6128293468739633E-2</v>
      </c>
      <c r="F736" s="137">
        <f t="shared" ca="1" si="127"/>
        <v>20.115569832876815</v>
      </c>
      <c r="G736" s="137">
        <f t="shared" ca="1" si="128"/>
        <v>20.957837571285758</v>
      </c>
      <c r="H736" s="152">
        <f t="shared" ca="1" si="129"/>
        <v>2.648677864662063</v>
      </c>
      <c r="I736" s="152">
        <f t="shared" ca="1" si="130"/>
        <v>4.3227570242111817E-3</v>
      </c>
      <c r="J736" s="190">
        <f t="shared" ca="1" si="131"/>
        <v>1</v>
      </c>
      <c r="K736" s="187" t="str" cm="1">
        <f t="array" aca="1" ref="K736" ca="1">_xlfn.IFS(G736&lt;$B$11,"Fail",G736&lt;25,"Marginal",G736&lt;35,"Solid",TRUE,"Blowout")</f>
        <v>Marginal</v>
      </c>
      <c r="L736" s="193">
        <f t="shared" ca="1" si="121"/>
        <v>0</v>
      </c>
      <c r="M736" s="184" t="str" cm="1">
        <f t="array" aca="1" ref="M736" ca="1">_xlfn.IFS(C736&lt;$B$11,"Fail",C736&lt;25,"Marginal",C736&lt;35,"Solid",TRUE,"Blowout")</f>
        <v>Fail</v>
      </c>
    </row>
    <row r="737" spans="1:13" x14ac:dyDescent="0.25">
      <c r="A737" s="138">
        <f t="shared" ca="1" si="122"/>
        <v>-8.9725839919573449</v>
      </c>
      <c r="B737" s="137">
        <f t="shared" ca="1" si="123"/>
        <v>2.6781027891233742</v>
      </c>
      <c r="C737" s="137">
        <f t="shared" ca="1" si="124"/>
        <v>-11.650686781080719</v>
      </c>
      <c r="D737" s="152">
        <f t="shared" ca="1" si="125"/>
        <v>-1.4724284449765499</v>
      </c>
      <c r="E737" s="197">
        <f t="shared" ca="1" si="126"/>
        <v>0.92885786805292514</v>
      </c>
      <c r="F737" s="137">
        <f t="shared" ca="1" si="127"/>
        <v>36.573312492638735</v>
      </c>
      <c r="G737" s="137">
        <f t="shared" ca="1" si="128"/>
        <v>33.895209703515363</v>
      </c>
      <c r="H737" s="152">
        <f t="shared" ca="1" si="129"/>
        <v>4.2837192221960754</v>
      </c>
      <c r="I737" s="152">
        <f t="shared" ca="1" si="130"/>
        <v>1.3552476975662775E-5</v>
      </c>
      <c r="J737" s="190">
        <f t="shared" ca="1" si="131"/>
        <v>1</v>
      </c>
      <c r="K737" s="187" t="str" cm="1">
        <f t="array" aca="1" ref="K737" ca="1">_xlfn.IFS(G737&lt;$B$11,"Fail",G737&lt;25,"Marginal",G737&lt;35,"Solid",TRUE,"Blowout")</f>
        <v>Solid</v>
      </c>
      <c r="L737" s="193">
        <f t="shared" ca="1" si="121"/>
        <v>0</v>
      </c>
      <c r="M737" s="184" t="str" cm="1">
        <f t="array" aca="1" ref="M737" ca="1">_xlfn.IFS(C737&lt;$B$11,"Fail",C737&lt;25,"Marginal",C737&lt;35,"Solid",TRUE,"Blowout")</f>
        <v>Fail</v>
      </c>
    </row>
    <row r="738" spans="1:13" x14ac:dyDescent="0.25">
      <c r="A738" s="138">
        <f t="shared" ca="1" si="122"/>
        <v>31.37133325721625</v>
      </c>
      <c r="B738" s="137">
        <f t="shared" ca="1" si="123"/>
        <v>3.0662972922824423</v>
      </c>
      <c r="C738" s="137">
        <f t="shared" ca="1" si="124"/>
        <v>28.305035964933808</v>
      </c>
      <c r="D738" s="152">
        <f t="shared" ca="1" si="125"/>
        <v>3.5772260360248764</v>
      </c>
      <c r="E738" s="197">
        <f t="shared" ca="1" si="126"/>
        <v>2.1201790169397066E-4</v>
      </c>
      <c r="F738" s="137">
        <f t="shared" ca="1" si="127"/>
        <v>33.534788519626645</v>
      </c>
      <c r="G738" s="137">
        <f t="shared" ca="1" si="128"/>
        <v>30.468491227344202</v>
      </c>
      <c r="H738" s="152">
        <f t="shared" ca="1" si="129"/>
        <v>3.8506462324188075</v>
      </c>
      <c r="I738" s="152">
        <f t="shared" ca="1" si="130"/>
        <v>7.6538704827146427E-5</v>
      </c>
      <c r="J738" s="190">
        <f t="shared" ca="1" si="131"/>
        <v>1</v>
      </c>
      <c r="K738" s="187" t="str" cm="1">
        <f t="array" aca="1" ref="K738" ca="1">_xlfn.IFS(G738&lt;$B$11,"Fail",G738&lt;25,"Marginal",G738&lt;35,"Solid",TRUE,"Blowout")</f>
        <v>Solid</v>
      </c>
      <c r="L738" s="193">
        <f t="shared" ca="1" si="121"/>
        <v>1</v>
      </c>
      <c r="M738" s="184" t="str" cm="1">
        <f t="array" aca="1" ref="M738" ca="1">_xlfn.IFS(C738&lt;$B$11,"Fail",C738&lt;25,"Marginal",C738&lt;35,"Solid",TRUE,"Blowout")</f>
        <v>Solid</v>
      </c>
    </row>
    <row r="739" spans="1:13" x14ac:dyDescent="0.25">
      <c r="A739" s="138">
        <f t="shared" ca="1" si="122"/>
        <v>11.679195486211276</v>
      </c>
      <c r="B739" s="137">
        <f t="shared" ca="1" si="123"/>
        <v>8.7566089078350782</v>
      </c>
      <c r="C739" s="137">
        <f t="shared" ca="1" si="124"/>
        <v>2.9225865783761975</v>
      </c>
      <c r="D739" s="152">
        <f t="shared" ca="1" si="125"/>
        <v>0.36936016663805854</v>
      </c>
      <c r="E739" s="197">
        <f t="shared" ca="1" si="126"/>
        <v>0.3561010439340232</v>
      </c>
      <c r="F739" s="137">
        <f t="shared" ca="1" si="127"/>
        <v>63.699002978226346</v>
      </c>
      <c r="G739" s="137">
        <f t="shared" ca="1" si="128"/>
        <v>54.942394070391266</v>
      </c>
      <c r="H739" s="152">
        <f t="shared" ca="1" si="129"/>
        <v>6.9436888472295584</v>
      </c>
      <c r="I739" s="152">
        <f t="shared" ca="1" si="130"/>
        <v>1.9697140894068586E-11</v>
      </c>
      <c r="J739" s="190">
        <f t="shared" ca="1" si="131"/>
        <v>1</v>
      </c>
      <c r="K739" s="187" t="str" cm="1">
        <f t="array" aca="1" ref="K739" ca="1">_xlfn.IFS(G739&lt;$B$11,"Fail",G739&lt;25,"Marginal",G739&lt;35,"Solid",TRUE,"Blowout")</f>
        <v>Blowout</v>
      </c>
      <c r="L739" s="193">
        <f t="shared" ca="1" si="121"/>
        <v>0</v>
      </c>
      <c r="M739" s="184" t="str" cm="1">
        <f t="array" aca="1" ref="M739" ca="1">_xlfn.IFS(C739&lt;$B$11,"Fail",C739&lt;25,"Marginal",C739&lt;35,"Solid",TRUE,"Blowout")</f>
        <v>Fail</v>
      </c>
    </row>
    <row r="740" spans="1:13" x14ac:dyDescent="0.25">
      <c r="A740" s="138">
        <f t="shared" ca="1" si="122"/>
        <v>32.743882044541294</v>
      </c>
      <c r="B740" s="137">
        <f t="shared" ca="1" si="123"/>
        <v>7.6851324730576351</v>
      </c>
      <c r="C740" s="137">
        <f t="shared" ca="1" si="124"/>
        <v>25.058749571483659</v>
      </c>
      <c r="D740" s="152">
        <f t="shared" ca="1" si="125"/>
        <v>3.1669562797373461</v>
      </c>
      <c r="E740" s="197">
        <f t="shared" ca="1" si="126"/>
        <v>8.754812293897947E-4</v>
      </c>
      <c r="F740" s="137">
        <f t="shared" ca="1" si="127"/>
        <v>56.380501488379686</v>
      </c>
      <c r="G740" s="137">
        <f t="shared" ca="1" si="128"/>
        <v>48.695369015322051</v>
      </c>
      <c r="H740" s="152">
        <f t="shared" ca="1" si="129"/>
        <v>6.1541819657552388</v>
      </c>
      <c r="I740" s="152">
        <f t="shared" ca="1" si="130"/>
        <v>1.6805649642975058E-9</v>
      </c>
      <c r="J740" s="190">
        <f t="shared" ca="1" si="131"/>
        <v>1</v>
      </c>
      <c r="K740" s="187" t="str" cm="1">
        <f t="array" aca="1" ref="K740" ca="1">_xlfn.IFS(G740&lt;$B$11,"Fail",G740&lt;25,"Marginal",G740&lt;35,"Solid",TRUE,"Blowout")</f>
        <v>Blowout</v>
      </c>
      <c r="L740" s="193">
        <f t="shared" ca="1" si="121"/>
        <v>1</v>
      </c>
      <c r="M740" s="184" t="str" cm="1">
        <f t="array" aca="1" ref="M740" ca="1">_xlfn.IFS(C740&lt;$B$11,"Fail",C740&lt;25,"Marginal",C740&lt;35,"Solid",TRUE,"Blowout")</f>
        <v>Solid</v>
      </c>
    </row>
    <row r="741" spans="1:13" x14ac:dyDescent="0.25">
      <c r="A741" s="138">
        <f t="shared" ca="1" si="122"/>
        <v>9.9552130046687157</v>
      </c>
      <c r="B741" s="137">
        <f t="shared" ca="1" si="123"/>
        <v>2.4616300047446922</v>
      </c>
      <c r="C741" s="137">
        <f t="shared" ca="1" si="124"/>
        <v>7.4935829999240235</v>
      </c>
      <c r="D741" s="152">
        <f t="shared" ca="1" si="125"/>
        <v>0.94704844196810056</v>
      </c>
      <c r="E741" s="197">
        <f t="shared" ca="1" si="126"/>
        <v>0.17230836595935706</v>
      </c>
      <c r="F741" s="137">
        <f t="shared" ca="1" si="127"/>
        <v>43.83918013639277</v>
      </c>
      <c r="G741" s="137">
        <f t="shared" ca="1" si="128"/>
        <v>41.377550131648078</v>
      </c>
      <c r="H741" s="152">
        <f t="shared" ca="1" si="129"/>
        <v>5.2293468138047707</v>
      </c>
      <c r="I741" s="152">
        <f t="shared" ca="1" si="130"/>
        <v>1.9226442656295519E-7</v>
      </c>
      <c r="J741" s="190">
        <f t="shared" ca="1" si="131"/>
        <v>1</v>
      </c>
      <c r="K741" s="187" t="str" cm="1">
        <f t="array" aca="1" ref="K741" ca="1">_xlfn.IFS(G741&lt;$B$11,"Fail",G741&lt;25,"Marginal",G741&lt;35,"Solid",TRUE,"Blowout")</f>
        <v>Blowout</v>
      </c>
      <c r="L741" s="193">
        <f t="shared" ca="1" si="121"/>
        <v>0</v>
      </c>
      <c r="M741" s="184" t="str" cm="1">
        <f t="array" aca="1" ref="M741" ca="1">_xlfn.IFS(C741&lt;$B$11,"Fail",C741&lt;25,"Marginal",C741&lt;35,"Solid",TRUE,"Blowout")</f>
        <v>Fail</v>
      </c>
    </row>
    <row r="742" spans="1:13" x14ac:dyDescent="0.25">
      <c r="A742" s="138">
        <f t="shared" ca="1" si="122"/>
        <v>26.560749035537839</v>
      </c>
      <c r="B742" s="137">
        <f t="shared" ca="1" si="123"/>
        <v>4.856489176110717</v>
      </c>
      <c r="C742" s="137">
        <f t="shared" ca="1" si="124"/>
        <v>21.704259859427122</v>
      </c>
      <c r="D742" s="152">
        <f t="shared" ca="1" si="125"/>
        <v>2.743011651989395</v>
      </c>
      <c r="E742" s="197">
        <f t="shared" ca="1" si="126"/>
        <v>3.2858413554395457E-3</v>
      </c>
      <c r="F742" s="137">
        <f t="shared" ca="1" si="127"/>
        <v>22.443354390617476</v>
      </c>
      <c r="G742" s="137">
        <f t="shared" ca="1" si="128"/>
        <v>17.586865214506759</v>
      </c>
      <c r="H742" s="152">
        <f t="shared" ca="1" si="129"/>
        <v>2.2226501395487954</v>
      </c>
      <c r="I742" s="152">
        <f t="shared" ca="1" si="130"/>
        <v>1.3610595496198065E-2</v>
      </c>
      <c r="J742" s="190">
        <f t="shared" ca="1" si="131"/>
        <v>0</v>
      </c>
      <c r="K742" s="187" t="str" cm="1">
        <f t="array" aca="1" ref="K742" ca="1">_xlfn.IFS(G742&lt;$B$11,"Fail",G742&lt;25,"Marginal",G742&lt;35,"Solid",TRUE,"Blowout")</f>
        <v>Fail</v>
      </c>
      <c r="L742" s="193">
        <f t="shared" ca="1" si="121"/>
        <v>1</v>
      </c>
      <c r="M742" s="184" t="str" cm="1">
        <f t="array" aca="1" ref="M742" ca="1">_xlfn.IFS(C742&lt;$B$11,"Fail",C742&lt;25,"Marginal",C742&lt;35,"Solid",TRUE,"Blowout")</f>
        <v>Marginal</v>
      </c>
    </row>
    <row r="743" spans="1:13" x14ac:dyDescent="0.25">
      <c r="A743" s="138">
        <f t="shared" ca="1" si="122"/>
        <v>-14.661971905897127</v>
      </c>
      <c r="B743" s="137">
        <f t="shared" ca="1" si="123"/>
        <v>2.2753649420363571</v>
      </c>
      <c r="C743" s="137">
        <f t="shared" ca="1" si="124"/>
        <v>-16.937336847933484</v>
      </c>
      <c r="D743" s="152">
        <f t="shared" ca="1" si="125"/>
        <v>-2.1405619278637387</v>
      </c>
      <c r="E743" s="197">
        <f t="shared" ca="1" si="126"/>
        <v>0.98331456599990497</v>
      </c>
      <c r="F743" s="137">
        <f t="shared" ca="1" si="127"/>
        <v>8.3785542872444427</v>
      </c>
      <c r="G743" s="137">
        <f t="shared" ca="1" si="128"/>
        <v>6.1031893452080856</v>
      </c>
      <c r="H743" s="152">
        <f t="shared" ca="1" si="129"/>
        <v>0.77132874360292436</v>
      </c>
      <c r="I743" s="152">
        <f t="shared" ca="1" si="130"/>
        <v>0.22065536854823092</v>
      </c>
      <c r="J743" s="190">
        <f t="shared" ca="1" si="131"/>
        <v>0</v>
      </c>
      <c r="K743" s="187" t="str" cm="1">
        <f t="array" aca="1" ref="K743" ca="1">_xlfn.IFS(G743&lt;$B$11,"Fail",G743&lt;25,"Marginal",G743&lt;35,"Solid",TRUE,"Blowout")</f>
        <v>Fail</v>
      </c>
      <c r="L743" s="193">
        <f t="shared" ca="1" si="121"/>
        <v>0</v>
      </c>
      <c r="M743" s="184" t="str" cm="1">
        <f t="array" aca="1" ref="M743" ca="1">_xlfn.IFS(C743&lt;$B$11,"Fail",C743&lt;25,"Marginal",C743&lt;35,"Solid",TRUE,"Blowout")</f>
        <v>Fail</v>
      </c>
    </row>
    <row r="744" spans="1:13" x14ac:dyDescent="0.25">
      <c r="A744" s="138">
        <f t="shared" ca="1" si="122"/>
        <v>43.053410691518316</v>
      </c>
      <c r="B744" s="137">
        <f t="shared" ca="1" si="123"/>
        <v>0.25322003992553999</v>
      </c>
      <c r="C744" s="137">
        <f t="shared" ca="1" si="124"/>
        <v>42.800190651592779</v>
      </c>
      <c r="D744" s="152">
        <f t="shared" ca="1" si="125"/>
        <v>5.4091419115447943</v>
      </c>
      <c r="E744" s="197">
        <f t="shared" ca="1" si="126"/>
        <v>7.9843465425897935E-8</v>
      </c>
      <c r="F744" s="137">
        <f t="shared" ca="1" si="127"/>
        <v>34.459516127763948</v>
      </c>
      <c r="G744" s="137">
        <f t="shared" ca="1" si="128"/>
        <v>34.20629608783841</v>
      </c>
      <c r="H744" s="152">
        <f t="shared" ca="1" si="129"/>
        <v>4.323034710607109</v>
      </c>
      <c r="I744" s="152">
        <f t="shared" ca="1" si="130"/>
        <v>1.1500931896921418E-5</v>
      </c>
      <c r="J744" s="190">
        <f t="shared" ca="1" si="131"/>
        <v>1</v>
      </c>
      <c r="K744" s="187" t="str" cm="1">
        <f t="array" aca="1" ref="K744" ca="1">_xlfn.IFS(G744&lt;$B$11,"Fail",G744&lt;25,"Marginal",G744&lt;35,"Solid",TRUE,"Blowout")</f>
        <v>Solid</v>
      </c>
      <c r="L744" s="193">
        <f t="shared" ca="1" si="121"/>
        <v>1</v>
      </c>
      <c r="M744" s="184" t="str" cm="1">
        <f t="array" aca="1" ref="M744" ca="1">_xlfn.IFS(C744&lt;$B$11,"Fail",C744&lt;25,"Marginal",C744&lt;35,"Solid",TRUE,"Blowout")</f>
        <v>Blowout</v>
      </c>
    </row>
    <row r="745" spans="1:13" x14ac:dyDescent="0.25">
      <c r="A745" s="138">
        <f t="shared" ca="1" si="122"/>
        <v>63.206568638256613</v>
      </c>
      <c r="B745" s="137">
        <f t="shared" ca="1" si="123"/>
        <v>3.6418609256577543</v>
      </c>
      <c r="C745" s="137">
        <f t="shared" ca="1" si="124"/>
        <v>59.56470771259886</v>
      </c>
      <c r="D745" s="152">
        <f t="shared" ca="1" si="125"/>
        <v>7.5278626574328991</v>
      </c>
      <c r="E745" s="197">
        <f t="shared" ca="1" si="126"/>
        <v>5.9499500004214333E-13</v>
      </c>
      <c r="F745" s="137">
        <f t="shared" ca="1" si="127"/>
        <v>26.095095359787098</v>
      </c>
      <c r="G745" s="137">
        <f t="shared" ca="1" si="128"/>
        <v>22.453234434129342</v>
      </c>
      <c r="H745" s="152">
        <f t="shared" ca="1" si="129"/>
        <v>2.8376680005015351</v>
      </c>
      <c r="I745" s="152">
        <f t="shared" ca="1" si="130"/>
        <v>2.4770167068872734E-3</v>
      </c>
      <c r="J745" s="190">
        <f t="shared" ca="1" si="131"/>
        <v>1</v>
      </c>
      <c r="K745" s="187" t="str" cm="1">
        <f t="array" aca="1" ref="K745" ca="1">_xlfn.IFS(G745&lt;$B$11,"Fail",G745&lt;25,"Marginal",G745&lt;35,"Solid",TRUE,"Blowout")</f>
        <v>Marginal</v>
      </c>
      <c r="L745" s="193">
        <f t="shared" ca="1" si="121"/>
        <v>1</v>
      </c>
      <c r="M745" s="184" t="str" cm="1">
        <f t="array" aca="1" ref="M745" ca="1">_xlfn.IFS(C745&lt;$B$11,"Fail",C745&lt;25,"Marginal",C745&lt;35,"Solid",TRUE,"Blowout")</f>
        <v>Blowout</v>
      </c>
    </row>
    <row r="746" spans="1:13" x14ac:dyDescent="0.25">
      <c r="A746" s="138">
        <f t="shared" ca="1" si="122"/>
        <v>25.151965985975451</v>
      </c>
      <c r="B746" s="137">
        <f t="shared" ca="1" si="123"/>
        <v>-9.1603417025573055</v>
      </c>
      <c r="C746" s="137">
        <f t="shared" ca="1" si="124"/>
        <v>34.312307688532755</v>
      </c>
      <c r="D746" s="152">
        <f t="shared" ca="1" si="125"/>
        <v>4.3364325900019383</v>
      </c>
      <c r="E746" s="197">
        <f t="shared" ca="1" si="126"/>
        <v>1.0872437603029268E-5</v>
      </c>
      <c r="F746" s="137">
        <f t="shared" ca="1" si="127"/>
        <v>24.392620897435965</v>
      </c>
      <c r="G746" s="137">
        <f t="shared" ca="1" si="128"/>
        <v>33.552962599993272</v>
      </c>
      <c r="H746" s="152">
        <f t="shared" ca="1" si="129"/>
        <v>4.2404656029111516</v>
      </c>
      <c r="I746" s="152">
        <f t="shared" ca="1" si="130"/>
        <v>1.6213216888249363E-5</v>
      </c>
      <c r="J746" s="190">
        <f t="shared" ca="1" si="131"/>
        <v>1</v>
      </c>
      <c r="K746" s="187" t="str" cm="1">
        <f t="array" aca="1" ref="K746" ca="1">_xlfn.IFS(G746&lt;$B$11,"Fail",G746&lt;25,"Marginal",G746&lt;35,"Solid",TRUE,"Blowout")</f>
        <v>Solid</v>
      </c>
      <c r="L746" s="193">
        <f t="shared" ca="1" si="121"/>
        <v>1</v>
      </c>
      <c r="M746" s="184" t="str" cm="1">
        <f t="array" aca="1" ref="M746" ca="1">_xlfn.IFS(C746&lt;$B$11,"Fail",C746&lt;25,"Marginal",C746&lt;35,"Solid",TRUE,"Blowout")</f>
        <v>Solid</v>
      </c>
    </row>
    <row r="747" spans="1:13" x14ac:dyDescent="0.25">
      <c r="A747" s="138">
        <f t="shared" ca="1" si="122"/>
        <v>23.037779643274799</v>
      </c>
      <c r="B747" s="137">
        <f t="shared" ca="1" si="123"/>
        <v>5.1070528363626879</v>
      </c>
      <c r="C747" s="137">
        <f t="shared" ca="1" si="124"/>
        <v>17.930726806912112</v>
      </c>
      <c r="D747" s="152">
        <f t="shared" ca="1" si="125"/>
        <v>2.2661077999688457</v>
      </c>
      <c r="E747" s="197">
        <f t="shared" ca="1" si="126"/>
        <v>1.2191620118538794E-2</v>
      </c>
      <c r="F747" s="137">
        <f t="shared" ca="1" si="127"/>
        <v>71.902412206860063</v>
      </c>
      <c r="G747" s="137">
        <f t="shared" ca="1" si="128"/>
        <v>66.79535937049738</v>
      </c>
      <c r="H747" s="152">
        <f t="shared" ca="1" si="129"/>
        <v>8.4416815057857217</v>
      </c>
      <c r="I747" s="152">
        <f t="shared" ca="1" si="130"/>
        <v>1.8277314166129401E-15</v>
      </c>
      <c r="J747" s="190">
        <f t="shared" ca="1" si="131"/>
        <v>1</v>
      </c>
      <c r="K747" s="187" t="str" cm="1">
        <f t="array" aca="1" ref="K747" ca="1">_xlfn.IFS(G747&lt;$B$11,"Fail",G747&lt;25,"Marginal",G747&lt;35,"Solid",TRUE,"Blowout")</f>
        <v>Blowout</v>
      </c>
      <c r="L747" s="193">
        <f t="shared" ca="1" si="121"/>
        <v>0</v>
      </c>
      <c r="M747" s="184" t="str" cm="1">
        <f t="array" aca="1" ref="M747" ca="1">_xlfn.IFS(C747&lt;$B$11,"Fail",C747&lt;25,"Marginal",C747&lt;35,"Solid",TRUE,"Blowout")</f>
        <v>Fail</v>
      </c>
    </row>
    <row r="748" spans="1:13" x14ac:dyDescent="0.25">
      <c r="A748" s="138">
        <f t="shared" ca="1" si="122"/>
        <v>14.214390343888059</v>
      </c>
      <c r="B748" s="137">
        <f t="shared" ca="1" si="123"/>
        <v>1.8301228908510203</v>
      </c>
      <c r="C748" s="137">
        <f t="shared" ca="1" si="124"/>
        <v>12.384267453037038</v>
      </c>
      <c r="D748" s="152">
        <f t="shared" ca="1" si="125"/>
        <v>1.5651392927033567</v>
      </c>
      <c r="E748" s="197">
        <f t="shared" ca="1" si="126"/>
        <v>5.9468555947989173E-2</v>
      </c>
      <c r="F748" s="137">
        <f t="shared" ca="1" si="127"/>
        <v>47.921802997246509</v>
      </c>
      <c r="G748" s="137">
        <f t="shared" ca="1" si="128"/>
        <v>46.091680106395486</v>
      </c>
      <c r="H748" s="152">
        <f t="shared" ca="1" si="129"/>
        <v>5.8251244875644286</v>
      </c>
      <c r="I748" s="152">
        <f t="shared" ca="1" si="130"/>
        <v>9.6480382998821503E-9</v>
      </c>
      <c r="J748" s="190">
        <f t="shared" ca="1" si="131"/>
        <v>1</v>
      </c>
      <c r="K748" s="187" t="str" cm="1">
        <f t="array" aca="1" ref="K748" ca="1">_xlfn.IFS(G748&lt;$B$11,"Fail",G748&lt;25,"Marginal",G748&lt;35,"Solid",TRUE,"Blowout")</f>
        <v>Blowout</v>
      </c>
      <c r="L748" s="193">
        <f t="shared" ca="1" si="121"/>
        <v>0</v>
      </c>
      <c r="M748" s="184" t="str" cm="1">
        <f t="array" aca="1" ref="M748" ca="1">_xlfn.IFS(C748&lt;$B$11,"Fail",C748&lt;25,"Marginal",C748&lt;35,"Solid",TRUE,"Blowout")</f>
        <v>Fail</v>
      </c>
    </row>
    <row r="749" spans="1:13" x14ac:dyDescent="0.25">
      <c r="A749" s="138">
        <f t="shared" ca="1" si="122"/>
        <v>52.064911715568385</v>
      </c>
      <c r="B749" s="137">
        <f t="shared" ca="1" si="123"/>
        <v>5.9680912384442415</v>
      </c>
      <c r="C749" s="137">
        <f t="shared" ca="1" si="124"/>
        <v>46.09682047712414</v>
      </c>
      <c r="D749" s="152">
        <f t="shared" ca="1" si="125"/>
        <v>5.8257741340806222</v>
      </c>
      <c r="E749" s="197">
        <f t="shared" ca="1" si="126"/>
        <v>9.6154299810866098E-9</v>
      </c>
      <c r="F749" s="137">
        <f t="shared" ca="1" si="127"/>
        <v>21.869805797286077</v>
      </c>
      <c r="G749" s="137">
        <f t="shared" ca="1" si="128"/>
        <v>15.901714558841835</v>
      </c>
      <c r="H749" s="152">
        <f t="shared" ca="1" si="129"/>
        <v>2.0096786807759801</v>
      </c>
      <c r="I749" s="152">
        <f t="shared" ca="1" si="130"/>
        <v>2.2821836961230659E-2</v>
      </c>
      <c r="J749" s="190">
        <f t="shared" ca="1" si="131"/>
        <v>0</v>
      </c>
      <c r="K749" s="187" t="str" cm="1">
        <f t="array" aca="1" ref="K749" ca="1">_xlfn.IFS(G749&lt;$B$11,"Fail",G749&lt;25,"Marginal",G749&lt;35,"Solid",TRUE,"Blowout")</f>
        <v>Fail</v>
      </c>
      <c r="L749" s="193">
        <f t="shared" ca="1" si="121"/>
        <v>1</v>
      </c>
      <c r="M749" s="184" t="str" cm="1">
        <f t="array" aca="1" ref="M749" ca="1">_xlfn.IFS(C749&lt;$B$11,"Fail",C749&lt;25,"Marginal",C749&lt;35,"Solid",TRUE,"Blowout")</f>
        <v>Blowout</v>
      </c>
    </row>
    <row r="750" spans="1:13" x14ac:dyDescent="0.25">
      <c r="A750" s="138">
        <f t="shared" ca="1" si="122"/>
        <v>35.53267654705656</v>
      </c>
      <c r="B750" s="137">
        <f t="shared" ca="1" si="123"/>
        <v>2.225592328517799</v>
      </c>
      <c r="C750" s="137">
        <f t="shared" ca="1" si="124"/>
        <v>33.307084218538762</v>
      </c>
      <c r="D750" s="152">
        <f t="shared" ca="1" si="125"/>
        <v>4.2093911838952422</v>
      </c>
      <c r="E750" s="197">
        <f t="shared" ca="1" si="126"/>
        <v>1.8425751886953415E-5</v>
      </c>
      <c r="F750" s="137">
        <f t="shared" ca="1" si="127"/>
        <v>6.8684467055630396</v>
      </c>
      <c r="G750" s="137">
        <f t="shared" ca="1" si="128"/>
        <v>4.6428543770452411</v>
      </c>
      <c r="H750" s="152">
        <f t="shared" ca="1" si="129"/>
        <v>0.58676977410006037</v>
      </c>
      <c r="I750" s="152">
        <f t="shared" ca="1" si="130"/>
        <v>0.2789694340222425</v>
      </c>
      <c r="J750" s="190">
        <f t="shared" ca="1" si="131"/>
        <v>0</v>
      </c>
      <c r="K750" s="187" t="str" cm="1">
        <f t="array" aca="1" ref="K750" ca="1">_xlfn.IFS(G750&lt;$B$11,"Fail",G750&lt;25,"Marginal",G750&lt;35,"Solid",TRUE,"Blowout")</f>
        <v>Fail</v>
      </c>
      <c r="L750" s="193">
        <f t="shared" ca="1" si="121"/>
        <v>1</v>
      </c>
      <c r="M750" s="184" t="str" cm="1">
        <f t="array" aca="1" ref="M750" ca="1">_xlfn.IFS(C750&lt;$B$11,"Fail",C750&lt;25,"Marginal",C750&lt;35,"Solid",TRUE,"Blowout")</f>
        <v>Solid</v>
      </c>
    </row>
    <row r="751" spans="1:13" x14ac:dyDescent="0.25">
      <c r="A751" s="138">
        <f t="shared" ca="1" si="122"/>
        <v>-1.2863789126998484</v>
      </c>
      <c r="B751" s="137">
        <f t="shared" ca="1" si="123"/>
        <v>3.812242789162803</v>
      </c>
      <c r="C751" s="137">
        <f t="shared" ca="1" si="124"/>
        <v>-5.0986217018626512</v>
      </c>
      <c r="D751" s="152">
        <f t="shared" ca="1" si="125"/>
        <v>-0.64437022169271041</v>
      </c>
      <c r="E751" s="197">
        <f t="shared" ca="1" si="126"/>
        <v>0.74000843657144499</v>
      </c>
      <c r="F751" s="137">
        <f t="shared" ca="1" si="127"/>
        <v>16.124203987669162</v>
      </c>
      <c r="G751" s="137">
        <f t="shared" ca="1" si="128"/>
        <v>12.31196119850636</v>
      </c>
      <c r="H751" s="152">
        <f t="shared" ca="1" si="129"/>
        <v>1.5560011373378231</v>
      </c>
      <c r="I751" s="152">
        <f t="shared" ca="1" si="130"/>
        <v>6.0547393169569433E-2</v>
      </c>
      <c r="J751" s="190">
        <f t="shared" ca="1" si="131"/>
        <v>0</v>
      </c>
      <c r="K751" s="187" t="str" cm="1">
        <f t="array" aca="1" ref="K751" ca="1">_xlfn.IFS(G751&lt;$B$11,"Fail",G751&lt;25,"Marginal",G751&lt;35,"Solid",TRUE,"Blowout")</f>
        <v>Fail</v>
      </c>
      <c r="L751" s="193">
        <f t="shared" ca="1" si="121"/>
        <v>0</v>
      </c>
      <c r="M751" s="184" t="str" cm="1">
        <f t="array" aca="1" ref="M751" ca="1">_xlfn.IFS(C751&lt;$B$11,"Fail",C751&lt;25,"Marginal",C751&lt;35,"Solid",TRUE,"Blowout")</f>
        <v>Fail</v>
      </c>
    </row>
    <row r="752" spans="1:13" x14ac:dyDescent="0.25">
      <c r="A752" s="138">
        <f t="shared" ca="1" si="122"/>
        <v>12.847235265954765</v>
      </c>
      <c r="B752" s="137">
        <f t="shared" ca="1" si="123"/>
        <v>-0.97820116980251015</v>
      </c>
      <c r="C752" s="137">
        <f t="shared" ca="1" si="124"/>
        <v>13.825436435757275</v>
      </c>
      <c r="D752" s="152">
        <f t="shared" ca="1" si="125"/>
        <v>1.7472760408666574</v>
      </c>
      <c r="E752" s="197">
        <f t="shared" ca="1" si="126"/>
        <v>4.0967921817021143E-2</v>
      </c>
      <c r="F752" s="137">
        <f t="shared" ca="1" si="127"/>
        <v>41.849893287595918</v>
      </c>
      <c r="G752" s="137">
        <f t="shared" ca="1" si="128"/>
        <v>42.828094457398429</v>
      </c>
      <c r="H752" s="152">
        <f t="shared" ca="1" si="129"/>
        <v>5.4126684296087815</v>
      </c>
      <c r="I752" s="152">
        <f t="shared" ca="1" si="130"/>
        <v>7.8462312314594163E-8</v>
      </c>
      <c r="J752" s="190">
        <f t="shared" ca="1" si="131"/>
        <v>1</v>
      </c>
      <c r="K752" s="187" t="str" cm="1">
        <f t="array" aca="1" ref="K752" ca="1">_xlfn.IFS(G752&lt;$B$11,"Fail",G752&lt;25,"Marginal",G752&lt;35,"Solid",TRUE,"Blowout")</f>
        <v>Blowout</v>
      </c>
      <c r="L752" s="193">
        <f t="shared" ca="1" si="121"/>
        <v>0</v>
      </c>
      <c r="M752" s="184" t="str" cm="1">
        <f t="array" aca="1" ref="M752" ca="1">_xlfn.IFS(C752&lt;$B$11,"Fail",C752&lt;25,"Marginal",C752&lt;35,"Solid",TRUE,"Blowout")</f>
        <v>Fail</v>
      </c>
    </row>
    <row r="753" spans="1:13" x14ac:dyDescent="0.25">
      <c r="A753" s="138">
        <f t="shared" ca="1" si="122"/>
        <v>18.093215243270169</v>
      </c>
      <c r="B753" s="137">
        <f t="shared" ca="1" si="123"/>
        <v>7.7521315075203701</v>
      </c>
      <c r="C753" s="137">
        <f t="shared" ca="1" si="124"/>
        <v>10.341083735749798</v>
      </c>
      <c r="D753" s="152">
        <f t="shared" ca="1" si="125"/>
        <v>1.3069191654116337</v>
      </c>
      <c r="E753" s="197">
        <f t="shared" ca="1" si="126"/>
        <v>9.6278382929089523E-2</v>
      </c>
      <c r="F753" s="137">
        <f t="shared" ca="1" si="127"/>
        <v>38.027481259059805</v>
      </c>
      <c r="G753" s="137">
        <f t="shared" ca="1" si="128"/>
        <v>30.275349751539434</v>
      </c>
      <c r="H753" s="152">
        <f t="shared" ca="1" si="129"/>
        <v>3.8262367698503432</v>
      </c>
      <c r="I753" s="152">
        <f t="shared" ca="1" si="130"/>
        <v>8.4025302702647042E-5</v>
      </c>
      <c r="J753" s="190">
        <f t="shared" ca="1" si="131"/>
        <v>1</v>
      </c>
      <c r="K753" s="187" t="str" cm="1">
        <f t="array" aca="1" ref="K753" ca="1">_xlfn.IFS(G753&lt;$B$11,"Fail",G753&lt;25,"Marginal",G753&lt;35,"Solid",TRUE,"Blowout")</f>
        <v>Solid</v>
      </c>
      <c r="L753" s="193">
        <f t="shared" ca="1" si="121"/>
        <v>0</v>
      </c>
      <c r="M753" s="184" t="str" cm="1">
        <f t="array" aca="1" ref="M753" ca="1">_xlfn.IFS(C753&lt;$B$11,"Fail",C753&lt;25,"Marginal",C753&lt;35,"Solid",TRUE,"Blowout")</f>
        <v>Fail</v>
      </c>
    </row>
    <row r="754" spans="1:13" x14ac:dyDescent="0.25">
      <c r="A754" s="138">
        <f t="shared" ca="1" si="122"/>
        <v>33.285278070290538</v>
      </c>
      <c r="B754" s="137">
        <f t="shared" ca="1" si="123"/>
        <v>9.3902325439484091</v>
      </c>
      <c r="C754" s="137">
        <f t="shared" ca="1" si="124"/>
        <v>23.89504552634213</v>
      </c>
      <c r="D754" s="152">
        <f t="shared" ca="1" si="125"/>
        <v>3.0198858992698936</v>
      </c>
      <c r="E754" s="197">
        <f t="shared" ca="1" si="126"/>
        <v>1.408377563151263E-3</v>
      </c>
      <c r="F754" s="137">
        <f t="shared" ca="1" si="127"/>
        <v>46.049714649151475</v>
      </c>
      <c r="G754" s="137">
        <f t="shared" ca="1" si="128"/>
        <v>36.659482105203068</v>
      </c>
      <c r="H754" s="152">
        <f t="shared" ca="1" si="129"/>
        <v>4.6330714441198602</v>
      </c>
      <c r="I754" s="152">
        <f t="shared" ca="1" si="130"/>
        <v>3.0293542006229343E-6</v>
      </c>
      <c r="J754" s="190">
        <f t="shared" ca="1" si="131"/>
        <v>1</v>
      </c>
      <c r="K754" s="187" t="str" cm="1">
        <f t="array" aca="1" ref="K754" ca="1">_xlfn.IFS(G754&lt;$B$11,"Fail",G754&lt;25,"Marginal",G754&lt;35,"Solid",TRUE,"Blowout")</f>
        <v>Blowout</v>
      </c>
      <c r="L754" s="193">
        <f t="shared" ca="1" si="121"/>
        <v>1</v>
      </c>
      <c r="M754" s="184" t="str" cm="1">
        <f t="array" aca="1" ref="M754" ca="1">_xlfn.IFS(C754&lt;$B$11,"Fail",C754&lt;25,"Marginal",C754&lt;35,"Solid",TRUE,"Blowout")</f>
        <v>Marginal</v>
      </c>
    </row>
    <row r="755" spans="1:13" x14ac:dyDescent="0.25">
      <c r="A755" s="138">
        <f t="shared" ca="1" si="122"/>
        <v>18.249722583273726</v>
      </c>
      <c r="B755" s="137">
        <f t="shared" ca="1" si="123"/>
        <v>10.352763252649337</v>
      </c>
      <c r="C755" s="137">
        <f t="shared" ca="1" si="124"/>
        <v>7.896959330624389</v>
      </c>
      <c r="D755" s="152">
        <f t="shared" ca="1" si="125"/>
        <v>0.9980276498477576</v>
      </c>
      <c r="E755" s="197">
        <f t="shared" ca="1" si="126"/>
        <v>0.15966198514853602</v>
      </c>
      <c r="F755" s="137">
        <f t="shared" ca="1" si="127"/>
        <v>3.9564745285796761</v>
      </c>
      <c r="G755" s="137">
        <f t="shared" ca="1" si="128"/>
        <v>-6.3962887240696613</v>
      </c>
      <c r="H755" s="152">
        <f t="shared" ca="1" si="129"/>
        <v>-0.80837101164686109</v>
      </c>
      <c r="I755" s="152">
        <f t="shared" ca="1" si="130"/>
        <v>0.79014015720677888</v>
      </c>
      <c r="J755" s="190">
        <f t="shared" ca="1" si="131"/>
        <v>0</v>
      </c>
      <c r="K755" s="187" t="str" cm="1">
        <f t="array" aca="1" ref="K755" ca="1">_xlfn.IFS(G755&lt;$B$11,"Fail",G755&lt;25,"Marginal",G755&lt;35,"Solid",TRUE,"Blowout")</f>
        <v>Fail</v>
      </c>
      <c r="L755" s="193">
        <f t="shared" ca="1" si="121"/>
        <v>0</v>
      </c>
      <c r="M755" s="184" t="str" cm="1">
        <f t="array" aca="1" ref="M755" ca="1">_xlfn.IFS(C755&lt;$B$11,"Fail",C755&lt;25,"Marginal",C755&lt;35,"Solid",TRUE,"Blowout")</f>
        <v>Fail</v>
      </c>
    </row>
    <row r="756" spans="1:13" x14ac:dyDescent="0.25">
      <c r="A756" s="138">
        <f t="shared" ca="1" si="122"/>
        <v>-0.61574684596041074</v>
      </c>
      <c r="B756" s="137">
        <f t="shared" ca="1" si="123"/>
        <v>8.137370985164754</v>
      </c>
      <c r="C756" s="137">
        <f t="shared" ca="1" si="124"/>
        <v>-8.7531178311251647</v>
      </c>
      <c r="D756" s="152">
        <f t="shared" ca="1" si="125"/>
        <v>-1.1062300376754797</v>
      </c>
      <c r="E756" s="197">
        <f t="shared" ca="1" si="126"/>
        <v>0.86510359768143297</v>
      </c>
      <c r="F756" s="137">
        <f t="shared" ca="1" si="127"/>
        <v>50.396202532618204</v>
      </c>
      <c r="G756" s="137">
        <f t="shared" ca="1" si="128"/>
        <v>42.258831547453454</v>
      </c>
      <c r="H756" s="152">
        <f t="shared" ca="1" si="129"/>
        <v>5.3407242672582633</v>
      </c>
      <c r="I756" s="152">
        <f t="shared" ca="1" si="130"/>
        <v>1.1183168664822573E-7</v>
      </c>
      <c r="J756" s="190">
        <f t="shared" ca="1" si="131"/>
        <v>1</v>
      </c>
      <c r="K756" s="187" t="str" cm="1">
        <f t="array" aca="1" ref="K756" ca="1">_xlfn.IFS(G756&lt;$B$11,"Fail",G756&lt;25,"Marginal",G756&lt;35,"Solid",TRUE,"Blowout")</f>
        <v>Blowout</v>
      </c>
      <c r="L756" s="193">
        <f t="shared" ca="1" si="121"/>
        <v>0</v>
      </c>
      <c r="M756" s="184" t="str" cm="1">
        <f t="array" aca="1" ref="M756" ca="1">_xlfn.IFS(C756&lt;$B$11,"Fail",C756&lt;25,"Marginal",C756&lt;35,"Solid",TRUE,"Blowout")</f>
        <v>Fail</v>
      </c>
    </row>
    <row r="757" spans="1:13" x14ac:dyDescent="0.25">
      <c r="A757" s="138">
        <f t="shared" ca="1" si="122"/>
        <v>17.850289360449608</v>
      </c>
      <c r="B757" s="137">
        <f t="shared" ca="1" si="123"/>
        <v>5.3487236206934821</v>
      </c>
      <c r="C757" s="137">
        <f t="shared" ca="1" si="124"/>
        <v>12.501565739756126</v>
      </c>
      <c r="D757" s="152">
        <f t="shared" ca="1" si="125"/>
        <v>1.5799635976698816</v>
      </c>
      <c r="E757" s="197">
        <f t="shared" ca="1" si="126"/>
        <v>5.7750744775976894E-2</v>
      </c>
      <c r="F757" s="137">
        <f t="shared" ca="1" si="127"/>
        <v>29.249378573006297</v>
      </c>
      <c r="G757" s="137">
        <f t="shared" ca="1" si="128"/>
        <v>23.900654952312813</v>
      </c>
      <c r="H757" s="152">
        <f t="shared" ca="1" si="129"/>
        <v>3.0205948255773656</v>
      </c>
      <c r="I757" s="152">
        <f t="shared" ca="1" si="130"/>
        <v>1.4052128866071656E-3</v>
      </c>
      <c r="J757" s="190">
        <f t="shared" ca="1" si="131"/>
        <v>1</v>
      </c>
      <c r="K757" s="187" t="str" cm="1">
        <f t="array" aca="1" ref="K757" ca="1">_xlfn.IFS(G757&lt;$B$11,"Fail",G757&lt;25,"Marginal",G757&lt;35,"Solid",TRUE,"Blowout")</f>
        <v>Marginal</v>
      </c>
      <c r="L757" s="193">
        <f t="shared" ca="1" si="121"/>
        <v>0</v>
      </c>
      <c r="M757" s="184" t="str" cm="1">
        <f t="array" aca="1" ref="M757" ca="1">_xlfn.IFS(C757&lt;$B$11,"Fail",C757&lt;25,"Marginal",C757&lt;35,"Solid",TRUE,"Blowout")</f>
        <v>Fail</v>
      </c>
    </row>
    <row r="758" spans="1:13" x14ac:dyDescent="0.25">
      <c r="A758" s="138">
        <f t="shared" ca="1" si="122"/>
        <v>3.1707045093274164</v>
      </c>
      <c r="B758" s="137">
        <f t="shared" ca="1" si="123"/>
        <v>3.3409440607408767</v>
      </c>
      <c r="C758" s="137">
        <f t="shared" ca="1" si="124"/>
        <v>-0.17023955141346025</v>
      </c>
      <c r="D758" s="152">
        <f t="shared" ca="1" si="125"/>
        <v>-2.1515088566991324E-2</v>
      </c>
      <c r="E758" s="197">
        <f t="shared" ca="1" si="126"/>
        <v>0.50857320786711446</v>
      </c>
      <c r="F758" s="137">
        <f t="shared" ca="1" si="127"/>
        <v>14.315158469628962</v>
      </c>
      <c r="G758" s="137">
        <f t="shared" ca="1" si="128"/>
        <v>10.974214408888084</v>
      </c>
      <c r="H758" s="152">
        <f t="shared" ca="1" si="129"/>
        <v>1.3869350159819027</v>
      </c>
      <c r="I758" s="152">
        <f t="shared" ca="1" si="130"/>
        <v>8.3407992323810798E-2</v>
      </c>
      <c r="J758" s="190">
        <f t="shared" ca="1" si="131"/>
        <v>0</v>
      </c>
      <c r="K758" s="187" t="str" cm="1">
        <f t="array" aca="1" ref="K758" ca="1">_xlfn.IFS(G758&lt;$B$11,"Fail",G758&lt;25,"Marginal",G758&lt;35,"Solid",TRUE,"Blowout")</f>
        <v>Fail</v>
      </c>
      <c r="L758" s="193">
        <f t="shared" ca="1" si="121"/>
        <v>0</v>
      </c>
      <c r="M758" s="184" t="str" cm="1">
        <f t="array" aca="1" ref="M758" ca="1">_xlfn.IFS(C758&lt;$B$11,"Fail",C758&lt;25,"Marginal",C758&lt;35,"Solid",TRUE,"Blowout")</f>
        <v>Fail</v>
      </c>
    </row>
    <row r="759" spans="1:13" x14ac:dyDescent="0.25">
      <c r="A759" s="138">
        <f t="shared" ca="1" si="122"/>
        <v>36.688269013833988</v>
      </c>
      <c r="B759" s="137">
        <f t="shared" ca="1" si="123"/>
        <v>-2.0725059840730671</v>
      </c>
      <c r="C759" s="137">
        <f t="shared" ca="1" si="124"/>
        <v>38.760774997907056</v>
      </c>
      <c r="D759" s="152">
        <f t="shared" ca="1" si="125"/>
        <v>4.8986354820672791</v>
      </c>
      <c r="E759" s="197">
        <f t="shared" ca="1" si="126"/>
        <v>9.1467368711604336E-7</v>
      </c>
      <c r="F759" s="137">
        <f t="shared" ca="1" si="127"/>
        <v>42.372759613975191</v>
      </c>
      <c r="G759" s="137">
        <f t="shared" ca="1" si="128"/>
        <v>44.445265598048259</v>
      </c>
      <c r="H759" s="152">
        <f t="shared" ca="1" si="129"/>
        <v>5.617048551796489</v>
      </c>
      <c r="I759" s="152">
        <f t="shared" ca="1" si="130"/>
        <v>2.8150835009140566E-8</v>
      </c>
      <c r="J759" s="190">
        <f t="shared" ca="1" si="131"/>
        <v>1</v>
      </c>
      <c r="K759" s="187" t="str" cm="1">
        <f t="array" aca="1" ref="K759" ca="1">_xlfn.IFS(G759&lt;$B$11,"Fail",G759&lt;25,"Marginal",G759&lt;35,"Solid",TRUE,"Blowout")</f>
        <v>Blowout</v>
      </c>
      <c r="L759" s="193">
        <f t="shared" ca="1" si="121"/>
        <v>1</v>
      </c>
      <c r="M759" s="184" t="str" cm="1">
        <f t="array" aca="1" ref="M759" ca="1">_xlfn.IFS(C759&lt;$B$11,"Fail",C759&lt;25,"Marginal",C759&lt;35,"Solid",TRUE,"Blowout")</f>
        <v>Blowout</v>
      </c>
    </row>
    <row r="760" spans="1:13" x14ac:dyDescent="0.25">
      <c r="A760" s="138">
        <f t="shared" ca="1" si="122"/>
        <v>7.4407375217486678</v>
      </c>
      <c r="B760" s="137">
        <f t="shared" ca="1" si="123"/>
        <v>16.078379710497771</v>
      </c>
      <c r="C760" s="137">
        <f t="shared" ca="1" si="124"/>
        <v>-8.6376421887491031</v>
      </c>
      <c r="D760" s="152">
        <f t="shared" ca="1" si="125"/>
        <v>-1.0916360807928212</v>
      </c>
      <c r="E760" s="197">
        <f t="shared" ca="1" si="126"/>
        <v>0.86192735276656829</v>
      </c>
      <c r="F760" s="137">
        <f t="shared" ca="1" si="127"/>
        <v>9.3796612859281989</v>
      </c>
      <c r="G760" s="137">
        <f t="shared" ca="1" si="128"/>
        <v>-6.6987184245695719</v>
      </c>
      <c r="H760" s="152">
        <f t="shared" ca="1" si="129"/>
        <v>-0.84659245747140499</v>
      </c>
      <c r="I760" s="152">
        <f t="shared" ca="1" si="130"/>
        <v>0.80094499157725774</v>
      </c>
      <c r="J760" s="190">
        <f t="shared" ca="1" si="131"/>
        <v>0</v>
      </c>
      <c r="K760" s="187" t="str" cm="1">
        <f t="array" aca="1" ref="K760" ca="1">_xlfn.IFS(G760&lt;$B$11,"Fail",G760&lt;25,"Marginal",G760&lt;35,"Solid",TRUE,"Blowout")</f>
        <v>Fail</v>
      </c>
      <c r="L760" s="193">
        <f t="shared" ca="1" si="121"/>
        <v>0</v>
      </c>
      <c r="M760" s="184" t="str" cm="1">
        <f t="array" aca="1" ref="M760" ca="1">_xlfn.IFS(C760&lt;$B$11,"Fail",C760&lt;25,"Marginal",C760&lt;35,"Solid",TRUE,"Blowout")</f>
        <v>Fail</v>
      </c>
    </row>
    <row r="761" spans="1:13" x14ac:dyDescent="0.25">
      <c r="A761" s="138">
        <f t="shared" ca="1" si="122"/>
        <v>62.66525733104109</v>
      </c>
      <c r="B761" s="137">
        <f t="shared" ca="1" si="123"/>
        <v>9.120963526944724</v>
      </c>
      <c r="C761" s="137">
        <f t="shared" ca="1" si="124"/>
        <v>53.54429380409637</v>
      </c>
      <c r="D761" s="152">
        <f t="shared" ca="1" si="125"/>
        <v>6.7669951776027331</v>
      </c>
      <c r="E761" s="197">
        <f t="shared" ca="1" si="126"/>
        <v>5.4878619923433953E-11</v>
      </c>
      <c r="F761" s="137">
        <f t="shared" ca="1" si="127"/>
        <v>20.69243044279289</v>
      </c>
      <c r="G761" s="137">
        <f t="shared" ca="1" si="128"/>
        <v>11.571466915848166</v>
      </c>
      <c r="H761" s="152">
        <f t="shared" ca="1" si="129"/>
        <v>1.4624165387973334</v>
      </c>
      <c r="I761" s="152">
        <f t="shared" ca="1" si="130"/>
        <v>7.2502061394178766E-2</v>
      </c>
      <c r="J761" s="190">
        <f t="shared" ca="1" si="131"/>
        <v>0</v>
      </c>
      <c r="K761" s="187" t="str" cm="1">
        <f t="array" aca="1" ref="K761" ca="1">_xlfn.IFS(G761&lt;$B$11,"Fail",G761&lt;25,"Marginal",G761&lt;35,"Solid",TRUE,"Blowout")</f>
        <v>Fail</v>
      </c>
      <c r="L761" s="193">
        <f t="shared" ca="1" si="121"/>
        <v>1</v>
      </c>
      <c r="M761" s="184" t="str" cm="1">
        <f t="array" aca="1" ref="M761" ca="1">_xlfn.IFS(C761&lt;$B$11,"Fail",C761&lt;25,"Marginal",C761&lt;35,"Solid",TRUE,"Blowout")</f>
        <v>Blowout</v>
      </c>
    </row>
    <row r="762" spans="1:13" x14ac:dyDescent="0.25">
      <c r="A762" s="138">
        <f t="shared" ca="1" si="122"/>
        <v>16.581275398299628</v>
      </c>
      <c r="B762" s="137">
        <f t="shared" ca="1" si="123"/>
        <v>10.413766160591797</v>
      </c>
      <c r="C762" s="137">
        <f t="shared" ca="1" si="124"/>
        <v>6.1675092377078311</v>
      </c>
      <c r="D762" s="152">
        <f t="shared" ca="1" si="125"/>
        <v>0.77945757249293024</v>
      </c>
      <c r="E762" s="197">
        <f t="shared" ca="1" si="126"/>
        <v>0.21825926860201189</v>
      </c>
      <c r="F762" s="137">
        <f t="shared" ca="1" si="127"/>
        <v>12.47432108756707</v>
      </c>
      <c r="G762" s="137">
        <f t="shared" ca="1" si="128"/>
        <v>2.0605549269752732</v>
      </c>
      <c r="H762" s="152">
        <f t="shared" ca="1" si="129"/>
        <v>0.2604155226146706</v>
      </c>
      <c r="I762" s="152">
        <f t="shared" ca="1" si="130"/>
        <v>0.39738915229740257</v>
      </c>
      <c r="J762" s="190">
        <f t="shared" ca="1" si="131"/>
        <v>0</v>
      </c>
      <c r="K762" s="187" t="str" cm="1">
        <f t="array" aca="1" ref="K762" ca="1">_xlfn.IFS(G762&lt;$B$11,"Fail",G762&lt;25,"Marginal",G762&lt;35,"Solid",TRUE,"Blowout")</f>
        <v>Fail</v>
      </c>
      <c r="L762" s="193">
        <f t="shared" ca="1" si="121"/>
        <v>0</v>
      </c>
      <c r="M762" s="184" t="str" cm="1">
        <f t="array" aca="1" ref="M762" ca="1">_xlfn.IFS(C762&lt;$B$11,"Fail",C762&lt;25,"Marginal",C762&lt;35,"Solid",TRUE,"Blowout")</f>
        <v>Fail</v>
      </c>
    </row>
    <row r="763" spans="1:13" x14ac:dyDescent="0.25">
      <c r="A763" s="138">
        <f t="shared" ca="1" si="122"/>
        <v>73.594707859134019</v>
      </c>
      <c r="B763" s="137">
        <f t="shared" ca="1" si="123"/>
        <v>2.7330392498113358</v>
      </c>
      <c r="C763" s="137">
        <f t="shared" ca="1" si="124"/>
        <v>70.861668609322678</v>
      </c>
      <c r="D763" s="152">
        <f t="shared" ca="1" si="125"/>
        <v>8.9555867803691935</v>
      </c>
      <c r="E763" s="197">
        <f t="shared" ca="1" si="126"/>
        <v>6.1069278816984934E-17</v>
      </c>
      <c r="F763" s="137">
        <f t="shared" ca="1" si="127"/>
        <v>22.110896064141386</v>
      </c>
      <c r="G763" s="137">
        <f t="shared" ca="1" si="128"/>
        <v>19.377856814330052</v>
      </c>
      <c r="H763" s="152">
        <f t="shared" ca="1" si="129"/>
        <v>2.4489979099288397</v>
      </c>
      <c r="I763" s="152">
        <f t="shared" ca="1" si="130"/>
        <v>7.5398892665838133E-3</v>
      </c>
      <c r="J763" s="190">
        <f t="shared" ca="1" si="131"/>
        <v>0</v>
      </c>
      <c r="K763" s="187" t="str" cm="1">
        <f t="array" aca="1" ref="K763" ca="1">_xlfn.IFS(G763&lt;$B$11,"Fail",G763&lt;25,"Marginal",G763&lt;35,"Solid",TRUE,"Blowout")</f>
        <v>Fail</v>
      </c>
      <c r="L763" s="193">
        <f t="shared" ca="1" si="121"/>
        <v>1</v>
      </c>
      <c r="M763" s="184" t="str" cm="1">
        <f t="array" aca="1" ref="M763" ca="1">_xlfn.IFS(C763&lt;$B$11,"Fail",C763&lt;25,"Marginal",C763&lt;35,"Solid",TRUE,"Blowout")</f>
        <v>Blowout</v>
      </c>
    </row>
    <row r="764" spans="1:13" x14ac:dyDescent="0.25">
      <c r="A764" s="138">
        <f t="shared" ca="1" si="122"/>
        <v>33.033923071141807</v>
      </c>
      <c r="B764" s="137">
        <f t="shared" ca="1" si="123"/>
        <v>4.9849132150793176</v>
      </c>
      <c r="C764" s="137">
        <f t="shared" ca="1" si="124"/>
        <v>28.04900985606249</v>
      </c>
      <c r="D764" s="152">
        <f t="shared" ca="1" si="125"/>
        <v>3.5448691344582697</v>
      </c>
      <c r="E764" s="197">
        <f t="shared" ca="1" si="126"/>
        <v>2.3826267395381717E-4</v>
      </c>
      <c r="F764" s="137">
        <f t="shared" ca="1" si="127"/>
        <v>33.672295581811234</v>
      </c>
      <c r="G764" s="137">
        <f t="shared" ca="1" si="128"/>
        <v>28.687382366731917</v>
      </c>
      <c r="H764" s="152">
        <f t="shared" ca="1" si="129"/>
        <v>3.6255474550468154</v>
      </c>
      <c r="I764" s="152">
        <f t="shared" ca="1" si="130"/>
        <v>1.778345754478446E-4</v>
      </c>
      <c r="J764" s="190">
        <f t="shared" ca="1" si="131"/>
        <v>1</v>
      </c>
      <c r="K764" s="187" t="str" cm="1">
        <f t="array" aca="1" ref="K764" ca="1">_xlfn.IFS(G764&lt;$B$11,"Fail",G764&lt;25,"Marginal",G764&lt;35,"Solid",TRUE,"Blowout")</f>
        <v>Solid</v>
      </c>
      <c r="L764" s="193">
        <f t="shared" ca="1" si="121"/>
        <v>1</v>
      </c>
      <c r="M764" s="184" t="str" cm="1">
        <f t="array" aca="1" ref="M764" ca="1">_xlfn.IFS(C764&lt;$B$11,"Fail",C764&lt;25,"Marginal",C764&lt;35,"Solid",TRUE,"Blowout")</f>
        <v>Solid</v>
      </c>
    </row>
    <row r="765" spans="1:13" x14ac:dyDescent="0.25">
      <c r="A765" s="138">
        <f t="shared" ca="1" si="122"/>
        <v>19.482566550819378</v>
      </c>
      <c r="B765" s="137">
        <f t="shared" ca="1" si="123"/>
        <v>3.5949542598180662</v>
      </c>
      <c r="C765" s="137">
        <f t="shared" ca="1" si="124"/>
        <v>15.887612291001311</v>
      </c>
      <c r="D765" s="152">
        <f t="shared" ca="1" si="125"/>
        <v>2.0078964184340906</v>
      </c>
      <c r="E765" s="197">
        <f t="shared" ca="1" si="126"/>
        <v>2.2917121258083643E-2</v>
      </c>
      <c r="F765" s="137">
        <f t="shared" ca="1" si="127"/>
        <v>44.743822402956511</v>
      </c>
      <c r="G765" s="137">
        <f t="shared" ca="1" si="128"/>
        <v>41.148868143138444</v>
      </c>
      <c r="H765" s="152">
        <f t="shared" ca="1" si="129"/>
        <v>5.2004456965519941</v>
      </c>
      <c r="I765" s="152">
        <f t="shared" ca="1" si="130"/>
        <v>2.2099329020621667E-7</v>
      </c>
      <c r="J765" s="190">
        <f t="shared" ca="1" si="131"/>
        <v>1</v>
      </c>
      <c r="K765" s="187" t="str" cm="1">
        <f t="array" aca="1" ref="K765" ca="1">_xlfn.IFS(G765&lt;$B$11,"Fail",G765&lt;25,"Marginal",G765&lt;35,"Solid",TRUE,"Blowout")</f>
        <v>Blowout</v>
      </c>
      <c r="L765" s="193">
        <f t="shared" ca="1" si="121"/>
        <v>0</v>
      </c>
      <c r="M765" s="184" t="str" cm="1">
        <f t="array" aca="1" ref="M765" ca="1">_xlfn.IFS(C765&lt;$B$11,"Fail",C765&lt;25,"Marginal",C765&lt;35,"Solid",TRUE,"Blowout")</f>
        <v>Fail</v>
      </c>
    </row>
    <row r="766" spans="1:13" x14ac:dyDescent="0.25">
      <c r="A766" s="138">
        <f t="shared" ca="1" si="122"/>
        <v>47.919626202449223</v>
      </c>
      <c r="B766" s="137">
        <f t="shared" ca="1" si="123"/>
        <v>11.620507231469116</v>
      </c>
      <c r="C766" s="137">
        <f t="shared" ca="1" si="124"/>
        <v>36.299118970980103</v>
      </c>
      <c r="D766" s="152">
        <f t="shared" ca="1" si="125"/>
        <v>4.5875282980958474</v>
      </c>
      <c r="E766" s="197">
        <f t="shared" ca="1" si="126"/>
        <v>3.7013154458260516E-6</v>
      </c>
      <c r="F766" s="137">
        <f t="shared" ca="1" si="127"/>
        <v>13.499092208082525</v>
      </c>
      <c r="G766" s="137">
        <f t="shared" ca="1" si="128"/>
        <v>1.8785849766134088</v>
      </c>
      <c r="H766" s="152">
        <f t="shared" ca="1" si="129"/>
        <v>0.23741793147876625</v>
      </c>
      <c r="I766" s="152">
        <f t="shared" ca="1" si="130"/>
        <v>0.40627288928043698</v>
      </c>
      <c r="J766" s="190">
        <f t="shared" ca="1" si="131"/>
        <v>0</v>
      </c>
      <c r="K766" s="187" t="str" cm="1">
        <f t="array" aca="1" ref="K766" ca="1">_xlfn.IFS(G766&lt;$B$11,"Fail",G766&lt;25,"Marginal",G766&lt;35,"Solid",TRUE,"Blowout")</f>
        <v>Fail</v>
      </c>
      <c r="L766" s="193">
        <f t="shared" ca="1" si="121"/>
        <v>1</v>
      </c>
      <c r="M766" s="184" t="str" cm="1">
        <f t="array" aca="1" ref="M766" ca="1">_xlfn.IFS(C766&lt;$B$11,"Fail",C766&lt;25,"Marginal",C766&lt;35,"Solid",TRUE,"Blowout")</f>
        <v>Blowout</v>
      </c>
    </row>
    <row r="767" spans="1:13" x14ac:dyDescent="0.25">
      <c r="A767" s="138">
        <f t="shared" ca="1" si="122"/>
        <v>9.2227793051018665</v>
      </c>
      <c r="B767" s="137">
        <f t="shared" ca="1" si="123"/>
        <v>4.0782248127370027</v>
      </c>
      <c r="C767" s="137">
        <f t="shared" ca="1" si="124"/>
        <v>5.1445544923648638</v>
      </c>
      <c r="D767" s="152">
        <f t="shared" ca="1" si="125"/>
        <v>0.65017526551231031</v>
      </c>
      <c r="E767" s="197">
        <f t="shared" ca="1" si="126"/>
        <v>0.25811679597535919</v>
      </c>
      <c r="F767" s="137">
        <f t="shared" ca="1" si="127"/>
        <v>18.860304731741738</v>
      </c>
      <c r="G767" s="137">
        <f t="shared" ca="1" si="128"/>
        <v>14.782079919004737</v>
      </c>
      <c r="H767" s="152">
        <f t="shared" ca="1" si="129"/>
        <v>1.8681778471638093</v>
      </c>
      <c r="I767" s="152">
        <f t="shared" ca="1" si="130"/>
        <v>3.1510002542872728E-2</v>
      </c>
      <c r="J767" s="190">
        <f t="shared" ca="1" si="131"/>
        <v>0</v>
      </c>
      <c r="K767" s="187" t="str" cm="1">
        <f t="array" aca="1" ref="K767" ca="1">_xlfn.IFS(G767&lt;$B$11,"Fail",G767&lt;25,"Marginal",G767&lt;35,"Solid",TRUE,"Blowout")</f>
        <v>Fail</v>
      </c>
      <c r="L767" s="193">
        <f t="shared" ca="1" si="121"/>
        <v>0</v>
      </c>
      <c r="M767" s="184" t="str" cm="1">
        <f t="array" aca="1" ref="M767" ca="1">_xlfn.IFS(C767&lt;$B$11,"Fail",C767&lt;25,"Marginal",C767&lt;35,"Solid",TRUE,"Blowout")</f>
        <v>Fail</v>
      </c>
    </row>
    <row r="768" spans="1:13" x14ac:dyDescent="0.25">
      <c r="A768" s="138">
        <f t="shared" ca="1" si="122"/>
        <v>32.076616156001279</v>
      </c>
      <c r="B768" s="137">
        <f t="shared" ca="1" si="123"/>
        <v>3.4380697465164278</v>
      </c>
      <c r="C768" s="137">
        <f t="shared" ca="1" si="124"/>
        <v>28.638546409484853</v>
      </c>
      <c r="D768" s="152">
        <f t="shared" ca="1" si="125"/>
        <v>3.619375505363557</v>
      </c>
      <c r="E768" s="197">
        <f t="shared" ca="1" si="126"/>
        <v>1.8189189378226006E-4</v>
      </c>
      <c r="F768" s="137">
        <f t="shared" ca="1" si="127"/>
        <v>63.995062682715961</v>
      </c>
      <c r="G768" s="137">
        <f t="shared" ca="1" si="128"/>
        <v>60.556992936199535</v>
      </c>
      <c r="H768" s="152">
        <f t="shared" ca="1" si="129"/>
        <v>7.6532689116918453</v>
      </c>
      <c r="I768" s="152">
        <f t="shared" ca="1" si="130"/>
        <v>2.747929258653527E-13</v>
      </c>
      <c r="J768" s="190">
        <f t="shared" ca="1" si="131"/>
        <v>1</v>
      </c>
      <c r="K768" s="187" t="str" cm="1">
        <f t="array" aca="1" ref="K768" ca="1">_xlfn.IFS(G768&lt;$B$11,"Fail",G768&lt;25,"Marginal",G768&lt;35,"Solid",TRUE,"Blowout")</f>
        <v>Blowout</v>
      </c>
      <c r="L768" s="193">
        <f t="shared" ca="1" si="121"/>
        <v>1</v>
      </c>
      <c r="M768" s="184" t="str" cm="1">
        <f t="array" aca="1" ref="M768" ca="1">_xlfn.IFS(C768&lt;$B$11,"Fail",C768&lt;25,"Marginal",C768&lt;35,"Solid",TRUE,"Blowout")</f>
        <v>Solid</v>
      </c>
    </row>
    <row r="769" spans="1:13" x14ac:dyDescent="0.25">
      <c r="A769" s="138">
        <f t="shared" ca="1" si="122"/>
        <v>-6.5760065350948658</v>
      </c>
      <c r="B769" s="137">
        <f t="shared" ca="1" si="123"/>
        <v>-2.4794051488492928</v>
      </c>
      <c r="C769" s="137">
        <f t="shared" ca="1" si="124"/>
        <v>-4.096601386245573</v>
      </c>
      <c r="D769" s="152">
        <f t="shared" ca="1" si="125"/>
        <v>-0.51773363426381835</v>
      </c>
      <c r="E769" s="197">
        <f t="shared" ca="1" si="126"/>
        <v>0.69742694931991234</v>
      </c>
      <c r="F769" s="137">
        <f t="shared" ca="1" si="127"/>
        <v>3.5740952883765043</v>
      </c>
      <c r="G769" s="137">
        <f t="shared" ca="1" si="128"/>
        <v>6.0535004372257966</v>
      </c>
      <c r="H769" s="152">
        <f t="shared" ca="1" si="129"/>
        <v>0.76504899693324702</v>
      </c>
      <c r="I769" s="152">
        <f t="shared" ca="1" si="130"/>
        <v>0.22251676246646407</v>
      </c>
      <c r="J769" s="190">
        <f t="shared" ca="1" si="131"/>
        <v>0</v>
      </c>
      <c r="K769" s="187" t="str" cm="1">
        <f t="array" aca="1" ref="K769" ca="1">_xlfn.IFS(G769&lt;$B$11,"Fail",G769&lt;25,"Marginal",G769&lt;35,"Solid",TRUE,"Blowout")</f>
        <v>Fail</v>
      </c>
      <c r="L769" s="193">
        <f t="shared" ca="1" si="121"/>
        <v>0</v>
      </c>
      <c r="M769" s="184" t="str" cm="1">
        <f t="array" aca="1" ref="M769" ca="1">_xlfn.IFS(C769&lt;$B$11,"Fail",C769&lt;25,"Marginal",C769&lt;35,"Solid",TRUE,"Blowout")</f>
        <v>Fail</v>
      </c>
    </row>
    <row r="770" spans="1:13" x14ac:dyDescent="0.25">
      <c r="A770" s="138">
        <f t="shared" ca="1" si="122"/>
        <v>29.255246195535666</v>
      </c>
      <c r="B770" s="137">
        <f t="shared" ca="1" si="123"/>
        <v>4.4666957002030463</v>
      </c>
      <c r="C770" s="137">
        <f t="shared" ca="1" si="124"/>
        <v>24.788550495332618</v>
      </c>
      <c r="D770" s="152">
        <f t="shared" ca="1" si="125"/>
        <v>3.1328081807448274</v>
      </c>
      <c r="E770" s="197">
        <f t="shared" ca="1" si="126"/>
        <v>9.7918733824935936E-4</v>
      </c>
      <c r="F770" s="137">
        <f t="shared" ca="1" si="127"/>
        <v>36.278704483499432</v>
      </c>
      <c r="G770" s="137">
        <f t="shared" ca="1" si="128"/>
        <v>31.812008783296385</v>
      </c>
      <c r="H770" s="152">
        <f t="shared" ca="1" si="129"/>
        <v>4.0204416704801735</v>
      </c>
      <c r="I770" s="152">
        <f t="shared" ca="1" si="130"/>
        <v>3.9487209598757428E-5</v>
      </c>
      <c r="J770" s="190">
        <f t="shared" ca="1" si="131"/>
        <v>1</v>
      </c>
      <c r="K770" s="187" t="str" cm="1">
        <f t="array" aca="1" ref="K770" ca="1">_xlfn.IFS(G770&lt;$B$11,"Fail",G770&lt;25,"Marginal",G770&lt;35,"Solid",TRUE,"Blowout")</f>
        <v>Solid</v>
      </c>
      <c r="L770" s="193">
        <f t="shared" ca="1" si="121"/>
        <v>1</v>
      </c>
      <c r="M770" s="184" t="str" cm="1">
        <f t="array" aca="1" ref="M770" ca="1">_xlfn.IFS(C770&lt;$B$11,"Fail",C770&lt;25,"Marginal",C770&lt;35,"Solid",TRUE,"Blowout")</f>
        <v>Marginal</v>
      </c>
    </row>
    <row r="771" spans="1:13" x14ac:dyDescent="0.25">
      <c r="A771" s="138">
        <f t="shared" ca="1" si="122"/>
        <v>31.367813513397618</v>
      </c>
      <c r="B771" s="137">
        <f t="shared" ca="1" si="123"/>
        <v>9.8261691851234154</v>
      </c>
      <c r="C771" s="137">
        <f t="shared" ca="1" si="124"/>
        <v>21.541644328274202</v>
      </c>
      <c r="D771" s="152">
        <f t="shared" ca="1" si="125"/>
        <v>2.7224600966893804</v>
      </c>
      <c r="E771" s="197">
        <f t="shared" ca="1" si="126"/>
        <v>3.4903427333167038E-3</v>
      </c>
      <c r="F771" s="137">
        <f t="shared" ca="1" si="127"/>
        <v>38.742995411189483</v>
      </c>
      <c r="G771" s="137">
        <f t="shared" ca="1" si="128"/>
        <v>28.916826226066068</v>
      </c>
      <c r="H771" s="152">
        <f t="shared" ca="1" si="129"/>
        <v>3.6545448584923714</v>
      </c>
      <c r="I771" s="152">
        <f t="shared" ca="1" si="130"/>
        <v>1.5988696839632616E-4</v>
      </c>
      <c r="J771" s="190">
        <f t="shared" ca="1" si="131"/>
        <v>1</v>
      </c>
      <c r="K771" s="187" t="str" cm="1">
        <f t="array" aca="1" ref="K771" ca="1">_xlfn.IFS(G771&lt;$B$11,"Fail",G771&lt;25,"Marginal",G771&lt;35,"Solid",TRUE,"Blowout")</f>
        <v>Solid</v>
      </c>
      <c r="L771" s="193">
        <f t="shared" ca="1" si="121"/>
        <v>1</v>
      </c>
      <c r="M771" s="184" t="str" cm="1">
        <f t="array" aca="1" ref="M771" ca="1">_xlfn.IFS(C771&lt;$B$11,"Fail",C771&lt;25,"Marginal",C771&lt;35,"Solid",TRUE,"Blowout")</f>
        <v>Marginal</v>
      </c>
    </row>
    <row r="772" spans="1:13" x14ac:dyDescent="0.25">
      <c r="A772" s="138">
        <f t="shared" ca="1" si="122"/>
        <v>10.728342090955433</v>
      </c>
      <c r="B772" s="137">
        <f t="shared" ca="1" si="123"/>
        <v>4.3894207640004872</v>
      </c>
      <c r="C772" s="137">
        <f t="shared" ca="1" si="124"/>
        <v>6.3389213269549458</v>
      </c>
      <c r="D772" s="152">
        <f t="shared" ca="1" si="125"/>
        <v>0.80112084786568893</v>
      </c>
      <c r="E772" s="197">
        <f t="shared" ca="1" si="126"/>
        <v>0.2119478728883849</v>
      </c>
      <c r="F772" s="137">
        <f t="shared" ca="1" si="127"/>
        <v>35.154838713488822</v>
      </c>
      <c r="G772" s="137">
        <f t="shared" ca="1" si="128"/>
        <v>30.765417949488334</v>
      </c>
      <c r="H772" s="152">
        <f t="shared" ca="1" si="129"/>
        <v>3.8881722049192988</v>
      </c>
      <c r="I772" s="152">
        <f t="shared" ca="1" si="130"/>
        <v>6.6249818847563467E-5</v>
      </c>
      <c r="J772" s="190">
        <f t="shared" ca="1" si="131"/>
        <v>1</v>
      </c>
      <c r="K772" s="187" t="str" cm="1">
        <f t="array" aca="1" ref="K772" ca="1">_xlfn.IFS(G772&lt;$B$11,"Fail",G772&lt;25,"Marginal",G772&lt;35,"Solid",TRUE,"Blowout")</f>
        <v>Solid</v>
      </c>
      <c r="L772" s="193">
        <f t="shared" ca="1" si="121"/>
        <v>0</v>
      </c>
      <c r="M772" s="184" t="str" cm="1">
        <f t="array" aca="1" ref="M772" ca="1">_xlfn.IFS(C772&lt;$B$11,"Fail",C772&lt;25,"Marginal",C772&lt;35,"Solid",TRUE,"Blowout")</f>
        <v>Fail</v>
      </c>
    </row>
    <row r="773" spans="1:13" x14ac:dyDescent="0.25">
      <c r="A773" s="138">
        <f t="shared" ca="1" si="122"/>
        <v>25.302759426730407</v>
      </c>
      <c r="B773" s="137">
        <f t="shared" ca="1" si="123"/>
        <v>0.31310223916691626</v>
      </c>
      <c r="C773" s="137">
        <f t="shared" ca="1" si="124"/>
        <v>24.989657187563491</v>
      </c>
      <c r="D773" s="152">
        <f t="shared" ca="1" si="125"/>
        <v>3.1582242973806927</v>
      </c>
      <c r="E773" s="197">
        <f t="shared" ca="1" si="126"/>
        <v>9.0098612446918886E-4</v>
      </c>
      <c r="F773" s="137">
        <f t="shared" ca="1" si="127"/>
        <v>35.016702071116946</v>
      </c>
      <c r="G773" s="137">
        <f t="shared" ca="1" si="128"/>
        <v>34.703599831950029</v>
      </c>
      <c r="H773" s="152">
        <f t="shared" ca="1" si="129"/>
        <v>4.3858845830980906</v>
      </c>
      <c r="I773" s="152">
        <f t="shared" ca="1" si="130"/>
        <v>8.8256248562327123E-6</v>
      </c>
      <c r="J773" s="190">
        <f t="shared" ca="1" si="131"/>
        <v>1</v>
      </c>
      <c r="K773" s="187" t="str" cm="1">
        <f t="array" aca="1" ref="K773" ca="1">_xlfn.IFS(G773&lt;$B$11,"Fail",G773&lt;25,"Marginal",G773&lt;35,"Solid",TRUE,"Blowout")</f>
        <v>Solid</v>
      </c>
      <c r="L773" s="193">
        <f t="shared" ca="1" si="121"/>
        <v>1</v>
      </c>
      <c r="M773" s="184" t="str" cm="1">
        <f t="array" aca="1" ref="M773" ca="1">_xlfn.IFS(C773&lt;$B$11,"Fail",C773&lt;25,"Marginal",C773&lt;35,"Solid",TRUE,"Blowout")</f>
        <v>Marginal</v>
      </c>
    </row>
    <row r="774" spans="1:13" x14ac:dyDescent="0.25">
      <c r="A774" s="138">
        <f t="shared" ca="1" si="122"/>
        <v>64.073637016932082</v>
      </c>
      <c r="B774" s="137">
        <f t="shared" ca="1" si="123"/>
        <v>2.7916966834848131</v>
      </c>
      <c r="C774" s="137">
        <f t="shared" ca="1" si="124"/>
        <v>61.281940333447267</v>
      </c>
      <c r="D774" s="152">
        <f t="shared" ca="1" si="125"/>
        <v>7.7448886753054937</v>
      </c>
      <c r="E774" s="197">
        <f t="shared" ca="1" si="126"/>
        <v>1.555714058630389E-13</v>
      </c>
      <c r="F774" s="137">
        <f t="shared" ca="1" si="127"/>
        <v>51.228228186454444</v>
      </c>
      <c r="G774" s="137">
        <f t="shared" ca="1" si="128"/>
        <v>48.436531502969629</v>
      </c>
      <c r="H774" s="152">
        <f t="shared" ca="1" si="129"/>
        <v>6.1214697554816295</v>
      </c>
      <c r="I774" s="152">
        <f t="shared" ca="1" si="130"/>
        <v>2.0052420175223756E-9</v>
      </c>
      <c r="J774" s="190">
        <f t="shared" ca="1" si="131"/>
        <v>1</v>
      </c>
      <c r="K774" s="187" t="str" cm="1">
        <f t="array" aca="1" ref="K774" ca="1">_xlfn.IFS(G774&lt;$B$11,"Fail",G774&lt;25,"Marginal",G774&lt;35,"Solid",TRUE,"Blowout")</f>
        <v>Blowout</v>
      </c>
      <c r="L774" s="193">
        <f t="shared" ca="1" si="121"/>
        <v>1</v>
      </c>
      <c r="M774" s="184" t="str" cm="1">
        <f t="array" aca="1" ref="M774" ca="1">_xlfn.IFS(C774&lt;$B$11,"Fail",C774&lt;25,"Marginal",C774&lt;35,"Solid",TRUE,"Blowout")</f>
        <v>Blowout</v>
      </c>
    </row>
    <row r="775" spans="1:13" x14ac:dyDescent="0.25">
      <c r="A775" s="138">
        <f t="shared" ca="1" si="122"/>
        <v>4.1240373646741997</v>
      </c>
      <c r="B775" s="137">
        <f t="shared" ca="1" si="123"/>
        <v>1.6352569814572533</v>
      </c>
      <c r="C775" s="137">
        <f t="shared" ca="1" si="124"/>
        <v>2.4887803832169464</v>
      </c>
      <c r="D775" s="152">
        <f t="shared" ca="1" si="125"/>
        <v>0.31453519422554987</v>
      </c>
      <c r="E775" s="197">
        <f t="shared" ca="1" si="126"/>
        <v>0.37670111362007819</v>
      </c>
      <c r="F775" s="137">
        <f t="shared" ca="1" si="127"/>
        <v>25.170347549907113</v>
      </c>
      <c r="G775" s="137">
        <f t="shared" ca="1" si="128"/>
        <v>23.53509056844986</v>
      </c>
      <c r="H775" s="152">
        <f t="shared" ca="1" si="129"/>
        <v>2.974394339083795</v>
      </c>
      <c r="I775" s="152">
        <f t="shared" ca="1" si="130"/>
        <v>1.625696913192441E-3</v>
      </c>
      <c r="J775" s="190">
        <f t="shared" ca="1" si="131"/>
        <v>1</v>
      </c>
      <c r="K775" s="187" t="str" cm="1">
        <f t="array" aca="1" ref="K775" ca="1">_xlfn.IFS(G775&lt;$B$11,"Fail",G775&lt;25,"Marginal",G775&lt;35,"Solid",TRUE,"Blowout")</f>
        <v>Marginal</v>
      </c>
      <c r="L775" s="193">
        <f t="shared" ca="1" si="121"/>
        <v>0</v>
      </c>
      <c r="M775" s="184" t="str" cm="1">
        <f t="array" aca="1" ref="M775" ca="1">_xlfn.IFS(C775&lt;$B$11,"Fail",C775&lt;25,"Marginal",C775&lt;35,"Solid",TRUE,"Blowout")</f>
        <v>Fail</v>
      </c>
    </row>
    <row r="776" spans="1:13" x14ac:dyDescent="0.25">
      <c r="A776" s="138">
        <f t="shared" ca="1" si="122"/>
        <v>67.556687133483507</v>
      </c>
      <c r="B776" s="137">
        <f t="shared" ca="1" si="123"/>
        <v>5.6624946930020021</v>
      </c>
      <c r="C776" s="137">
        <f t="shared" ca="1" si="124"/>
        <v>61.894192440481504</v>
      </c>
      <c r="D776" s="152">
        <f t="shared" ca="1" si="125"/>
        <v>7.8222658664388058</v>
      </c>
      <c r="E776" s="197">
        <f t="shared" ca="1" si="126"/>
        <v>9.593980836733639E-14</v>
      </c>
      <c r="F776" s="137">
        <f t="shared" ca="1" si="127"/>
        <v>11.235365307196563</v>
      </c>
      <c r="G776" s="137">
        <f t="shared" ca="1" si="128"/>
        <v>5.572870614194561</v>
      </c>
      <c r="H776" s="152">
        <f t="shared" ca="1" si="129"/>
        <v>0.70430639555420704</v>
      </c>
      <c r="I776" s="152">
        <f t="shared" ca="1" si="130"/>
        <v>0.24098036333640721</v>
      </c>
      <c r="J776" s="190">
        <f t="shared" ca="1" si="131"/>
        <v>0</v>
      </c>
      <c r="K776" s="187" t="str" cm="1">
        <f t="array" aca="1" ref="K776" ca="1">_xlfn.IFS(G776&lt;$B$11,"Fail",G776&lt;25,"Marginal",G776&lt;35,"Solid",TRUE,"Blowout")</f>
        <v>Fail</v>
      </c>
      <c r="L776" s="193">
        <f t="shared" ca="1" si="121"/>
        <v>1</v>
      </c>
      <c r="M776" s="184" t="str" cm="1">
        <f t="array" aca="1" ref="M776" ca="1">_xlfn.IFS(C776&lt;$B$11,"Fail",C776&lt;25,"Marginal",C776&lt;35,"Solid",TRUE,"Blowout")</f>
        <v>Blowout</v>
      </c>
    </row>
    <row r="777" spans="1:13" x14ac:dyDescent="0.25">
      <c r="A777" s="138">
        <f t="shared" ca="1" si="122"/>
        <v>43.552931967121211</v>
      </c>
      <c r="B777" s="137">
        <f t="shared" ca="1" si="123"/>
        <v>6.3291775939039177</v>
      </c>
      <c r="C777" s="137">
        <f t="shared" ca="1" si="124"/>
        <v>37.22375437321729</v>
      </c>
      <c r="D777" s="152">
        <f t="shared" ca="1" si="125"/>
        <v>4.7043848828679318</v>
      </c>
      <c r="E777" s="197">
        <f t="shared" ca="1" si="126"/>
        <v>2.2070758345125975E-6</v>
      </c>
      <c r="F777" s="137">
        <f t="shared" ca="1" si="127"/>
        <v>33.082981469228429</v>
      </c>
      <c r="G777" s="137">
        <f t="shared" ca="1" si="128"/>
        <v>26.753803875324511</v>
      </c>
      <c r="H777" s="152">
        <f t="shared" ca="1" si="129"/>
        <v>3.3811793740194909</v>
      </c>
      <c r="I777" s="152">
        <f t="shared" ca="1" si="130"/>
        <v>4.2456378234353038E-4</v>
      </c>
      <c r="J777" s="190">
        <f t="shared" ca="1" si="131"/>
        <v>1</v>
      </c>
      <c r="K777" s="187" t="str" cm="1">
        <f t="array" aca="1" ref="K777" ca="1">_xlfn.IFS(G777&lt;$B$11,"Fail",G777&lt;25,"Marginal",G777&lt;35,"Solid",TRUE,"Blowout")</f>
        <v>Solid</v>
      </c>
      <c r="L777" s="193">
        <f t="shared" ca="1" si="121"/>
        <v>1</v>
      </c>
      <c r="M777" s="184" t="str" cm="1">
        <f t="array" aca="1" ref="M777" ca="1">_xlfn.IFS(C777&lt;$B$11,"Fail",C777&lt;25,"Marginal",C777&lt;35,"Solid",TRUE,"Blowout")</f>
        <v>Blowout</v>
      </c>
    </row>
    <row r="778" spans="1:13" x14ac:dyDescent="0.25">
      <c r="A778" s="138">
        <f t="shared" ca="1" si="122"/>
        <v>41.280356975798092</v>
      </c>
      <c r="B778" s="137">
        <f t="shared" ca="1" si="123"/>
        <v>3.4296045865977032</v>
      </c>
      <c r="C778" s="137">
        <f t="shared" ca="1" si="124"/>
        <v>37.850752389200387</v>
      </c>
      <c r="D778" s="152">
        <f t="shared" ca="1" si="125"/>
        <v>4.78362568051572</v>
      </c>
      <c r="E778" s="197">
        <f t="shared" ca="1" si="126"/>
        <v>1.5458070685772497E-6</v>
      </c>
      <c r="F778" s="137">
        <f t="shared" ca="1" si="127"/>
        <v>40.49877707932135</v>
      </c>
      <c r="G778" s="137">
        <f t="shared" ca="1" si="128"/>
        <v>37.069172492723645</v>
      </c>
      <c r="H778" s="152">
        <f t="shared" ca="1" si="129"/>
        <v>4.6848486304397561</v>
      </c>
      <c r="I778" s="152">
        <f t="shared" ca="1" si="130"/>
        <v>2.4079689201063153E-6</v>
      </c>
      <c r="J778" s="190">
        <f t="shared" ca="1" si="131"/>
        <v>1</v>
      </c>
      <c r="K778" s="187" t="str" cm="1">
        <f t="array" aca="1" ref="K778" ca="1">_xlfn.IFS(G778&lt;$B$11,"Fail",G778&lt;25,"Marginal",G778&lt;35,"Solid",TRUE,"Blowout")</f>
        <v>Blowout</v>
      </c>
      <c r="L778" s="193">
        <f t="shared" ca="1" si="121"/>
        <v>1</v>
      </c>
      <c r="M778" s="184" t="str" cm="1">
        <f t="array" aca="1" ref="M778" ca="1">_xlfn.IFS(C778&lt;$B$11,"Fail",C778&lt;25,"Marginal",C778&lt;35,"Solid",TRUE,"Blowout")</f>
        <v>Blowout</v>
      </c>
    </row>
    <row r="779" spans="1:13" x14ac:dyDescent="0.25">
      <c r="A779" s="138">
        <f t="shared" ca="1" si="122"/>
        <v>36.63827480462723</v>
      </c>
      <c r="B779" s="137">
        <f t="shared" ca="1" si="123"/>
        <v>13.163161878600651</v>
      </c>
      <c r="C779" s="137">
        <f t="shared" ca="1" si="124"/>
        <v>23.475112926026579</v>
      </c>
      <c r="D779" s="152">
        <f t="shared" ca="1" si="125"/>
        <v>2.966814289218402</v>
      </c>
      <c r="E779" s="197">
        <f t="shared" ca="1" si="126"/>
        <v>1.6647636047095093E-3</v>
      </c>
      <c r="F779" s="137">
        <f t="shared" ca="1" si="127"/>
        <v>34.216938510800816</v>
      </c>
      <c r="G779" s="137">
        <f t="shared" ca="1" si="128"/>
        <v>21.053776632200165</v>
      </c>
      <c r="H779" s="152">
        <f t="shared" ca="1" si="129"/>
        <v>2.6608027638142833</v>
      </c>
      <c r="I779" s="152">
        <f t="shared" ca="1" si="130"/>
        <v>4.1747385008045774E-3</v>
      </c>
      <c r="J779" s="190">
        <f t="shared" ca="1" si="131"/>
        <v>1</v>
      </c>
      <c r="K779" s="187" t="str" cm="1">
        <f t="array" aca="1" ref="K779" ca="1">_xlfn.IFS(G779&lt;$B$11,"Fail",G779&lt;25,"Marginal",G779&lt;35,"Solid",TRUE,"Blowout")</f>
        <v>Marginal</v>
      </c>
      <c r="L779" s="193">
        <f t="shared" ca="1" si="121"/>
        <v>1</v>
      </c>
      <c r="M779" s="184" t="str" cm="1">
        <f t="array" aca="1" ref="M779" ca="1">_xlfn.IFS(C779&lt;$B$11,"Fail",C779&lt;25,"Marginal",C779&lt;35,"Solid",TRUE,"Blowout")</f>
        <v>Marginal</v>
      </c>
    </row>
    <row r="780" spans="1:13" x14ac:dyDescent="0.25">
      <c r="A780" s="138">
        <f t="shared" ca="1" si="122"/>
        <v>7.1242419515740814</v>
      </c>
      <c r="B780" s="137">
        <f t="shared" ca="1" si="123"/>
        <v>5.6351571624918435</v>
      </c>
      <c r="C780" s="137">
        <f t="shared" ca="1" si="124"/>
        <v>1.4890847890822378</v>
      </c>
      <c r="D780" s="152">
        <f t="shared" ca="1" si="125"/>
        <v>0.18819240802070641</v>
      </c>
      <c r="E780" s="197">
        <f t="shared" ca="1" si="126"/>
        <v>0.42544660621461278</v>
      </c>
      <c r="F780" s="137">
        <f t="shared" ca="1" si="127"/>
        <v>47.958100884156757</v>
      </c>
      <c r="G780" s="137">
        <f t="shared" ca="1" si="128"/>
        <v>42.322943721664913</v>
      </c>
      <c r="H780" s="152">
        <f t="shared" ca="1" si="129"/>
        <v>5.3488268444498104</v>
      </c>
      <c r="I780" s="152">
        <f t="shared" ca="1" si="130"/>
        <v>1.0747451545331625E-7</v>
      </c>
      <c r="J780" s="190">
        <f t="shared" ca="1" si="131"/>
        <v>1</v>
      </c>
      <c r="K780" s="187" t="str" cm="1">
        <f t="array" aca="1" ref="K780" ca="1">_xlfn.IFS(G780&lt;$B$11,"Fail",G780&lt;25,"Marginal",G780&lt;35,"Solid",TRUE,"Blowout")</f>
        <v>Blowout</v>
      </c>
      <c r="L780" s="193">
        <f t="shared" ca="1" si="121"/>
        <v>0</v>
      </c>
      <c r="M780" s="184" t="str" cm="1">
        <f t="array" aca="1" ref="M780" ca="1">_xlfn.IFS(C780&lt;$B$11,"Fail",C780&lt;25,"Marginal",C780&lt;35,"Solid",TRUE,"Blowout")</f>
        <v>Fail</v>
      </c>
    </row>
    <row r="781" spans="1:13" x14ac:dyDescent="0.25">
      <c r="A781" s="138">
        <f t="shared" ca="1" si="122"/>
        <v>36.239396667381754</v>
      </c>
      <c r="B781" s="137">
        <f t="shared" ca="1" si="123"/>
        <v>-2.8198614011978824</v>
      </c>
      <c r="C781" s="137">
        <f t="shared" ca="1" si="124"/>
        <v>39.059258068579638</v>
      </c>
      <c r="D781" s="152">
        <f t="shared" ca="1" si="125"/>
        <v>4.9363581478517489</v>
      </c>
      <c r="E781" s="197">
        <f t="shared" ca="1" si="126"/>
        <v>7.6850567730395436E-7</v>
      </c>
      <c r="F781" s="137">
        <f t="shared" ca="1" si="127"/>
        <v>5.153938236615045</v>
      </c>
      <c r="G781" s="137">
        <f t="shared" ca="1" si="128"/>
        <v>7.9737996378129274</v>
      </c>
      <c r="H781" s="152">
        <f t="shared" ca="1" si="129"/>
        <v>1.0077388244893133</v>
      </c>
      <c r="I781" s="152">
        <f t="shared" ca="1" si="130"/>
        <v>0.15732406891406428</v>
      </c>
      <c r="J781" s="190">
        <f t="shared" ca="1" si="131"/>
        <v>0</v>
      </c>
      <c r="K781" s="187" t="str" cm="1">
        <f t="array" aca="1" ref="K781" ca="1">_xlfn.IFS(G781&lt;$B$11,"Fail",G781&lt;25,"Marginal",G781&lt;35,"Solid",TRUE,"Blowout")</f>
        <v>Fail</v>
      </c>
      <c r="L781" s="193">
        <f t="shared" ca="1" si="121"/>
        <v>1</v>
      </c>
      <c r="M781" s="184" t="str" cm="1">
        <f t="array" aca="1" ref="M781" ca="1">_xlfn.IFS(C781&lt;$B$11,"Fail",C781&lt;25,"Marginal",C781&lt;35,"Solid",TRUE,"Blowout")</f>
        <v>Blowout</v>
      </c>
    </row>
    <row r="782" spans="1:13" x14ac:dyDescent="0.25">
      <c r="A782" s="138">
        <f t="shared" ca="1" si="122"/>
        <v>76.723825282551076</v>
      </c>
      <c r="B782" s="137">
        <f t="shared" ca="1" si="123"/>
        <v>2.7472449809867263</v>
      </c>
      <c r="C782" s="137">
        <f t="shared" ca="1" si="124"/>
        <v>73.976580301564354</v>
      </c>
      <c r="D782" s="152">
        <f t="shared" ca="1" si="125"/>
        <v>9.3492532367273338</v>
      </c>
      <c r="E782" s="197">
        <f t="shared" ca="1" si="126"/>
        <v>4.249444254812343E-18</v>
      </c>
      <c r="F782" s="137">
        <f t="shared" ca="1" si="127"/>
        <v>23.69456795174878</v>
      </c>
      <c r="G782" s="137">
        <f t="shared" ca="1" si="128"/>
        <v>20.947322970762055</v>
      </c>
      <c r="H782" s="152">
        <f t="shared" ca="1" si="129"/>
        <v>2.6473490162268098</v>
      </c>
      <c r="I782" s="152">
        <f t="shared" ca="1" si="130"/>
        <v>4.3392631568713244E-3</v>
      </c>
      <c r="J782" s="190">
        <f t="shared" ca="1" si="131"/>
        <v>1</v>
      </c>
      <c r="K782" s="187" t="str" cm="1">
        <f t="array" aca="1" ref="K782" ca="1">_xlfn.IFS(G782&lt;$B$11,"Fail",G782&lt;25,"Marginal",G782&lt;35,"Solid",TRUE,"Blowout")</f>
        <v>Marginal</v>
      </c>
      <c r="L782" s="193">
        <f t="shared" ca="1" si="121"/>
        <v>1</v>
      </c>
      <c r="M782" s="184" t="str" cm="1">
        <f t="array" aca="1" ref="M782" ca="1">_xlfn.IFS(C782&lt;$B$11,"Fail",C782&lt;25,"Marginal",C782&lt;35,"Solid",TRUE,"Blowout")</f>
        <v>Blowout</v>
      </c>
    </row>
    <row r="783" spans="1:13" x14ac:dyDescent="0.25">
      <c r="A783" s="138">
        <f t="shared" ca="1" si="122"/>
        <v>-1.8691317768876652</v>
      </c>
      <c r="B783" s="137">
        <f t="shared" ca="1" si="123"/>
        <v>1.1036263817745899</v>
      </c>
      <c r="C783" s="137">
        <f t="shared" ca="1" si="124"/>
        <v>-2.9727581586622551</v>
      </c>
      <c r="D783" s="152">
        <f t="shared" ca="1" si="125"/>
        <v>-0.37570091404039868</v>
      </c>
      <c r="E783" s="197">
        <f t="shared" ca="1" si="126"/>
        <v>0.64625571547225713</v>
      </c>
      <c r="F783" s="137">
        <f t="shared" ca="1" si="127"/>
        <v>19.590936229711325</v>
      </c>
      <c r="G783" s="137">
        <f t="shared" ca="1" si="128"/>
        <v>18.487309847936736</v>
      </c>
      <c r="H783" s="152">
        <f t="shared" ca="1" si="129"/>
        <v>2.3364494645415315</v>
      </c>
      <c r="I783" s="152">
        <f t="shared" ca="1" si="130"/>
        <v>1.016767299867195E-2</v>
      </c>
      <c r="J783" s="190">
        <f t="shared" ca="1" si="131"/>
        <v>0</v>
      </c>
      <c r="K783" s="187" t="str" cm="1">
        <f t="array" aca="1" ref="K783" ca="1">_xlfn.IFS(G783&lt;$B$11,"Fail",G783&lt;25,"Marginal",G783&lt;35,"Solid",TRUE,"Blowout")</f>
        <v>Fail</v>
      </c>
      <c r="L783" s="193">
        <f t="shared" ca="1" si="121"/>
        <v>0</v>
      </c>
      <c r="M783" s="184" t="str" cm="1">
        <f t="array" aca="1" ref="M783" ca="1">_xlfn.IFS(C783&lt;$B$11,"Fail",C783&lt;25,"Marginal",C783&lt;35,"Solid",TRUE,"Blowout")</f>
        <v>Fail</v>
      </c>
    </row>
    <row r="784" spans="1:13" x14ac:dyDescent="0.25">
      <c r="A784" s="138">
        <f t="shared" ca="1" si="122"/>
        <v>22.930144789278511</v>
      </c>
      <c r="B784" s="137">
        <f t="shared" ca="1" si="123"/>
        <v>5.9284305807001667</v>
      </c>
      <c r="C784" s="137">
        <f t="shared" ca="1" si="124"/>
        <v>17.001714208578345</v>
      </c>
      <c r="D784" s="152">
        <f t="shared" ca="1" si="125"/>
        <v>2.148698019650185</v>
      </c>
      <c r="E784" s="197">
        <f t="shared" ca="1" si="126"/>
        <v>1.6356050179384869E-2</v>
      </c>
      <c r="F784" s="137">
        <f t="shared" ca="1" si="127"/>
        <v>38.969070939919803</v>
      </c>
      <c r="G784" s="137">
        <f t="shared" ca="1" si="128"/>
        <v>33.040640359219637</v>
      </c>
      <c r="H784" s="152">
        <f t="shared" ca="1" si="129"/>
        <v>4.1757176739277533</v>
      </c>
      <c r="I784" s="152">
        <f t="shared" ca="1" si="130"/>
        <v>2.1148234622970169E-5</v>
      </c>
      <c r="J784" s="190">
        <f t="shared" ca="1" si="131"/>
        <v>1</v>
      </c>
      <c r="K784" s="187" t="str" cm="1">
        <f t="array" aca="1" ref="K784" ca="1">_xlfn.IFS(G784&lt;$B$11,"Fail",G784&lt;25,"Marginal",G784&lt;35,"Solid",TRUE,"Blowout")</f>
        <v>Solid</v>
      </c>
      <c r="L784" s="193">
        <f t="shared" ref="L784:L847" ca="1" si="132">IF(AND(E784&lt;$B$10,C784&gt;=$B$11),1,0)</f>
        <v>0</v>
      </c>
      <c r="M784" s="184" t="str" cm="1">
        <f t="array" aca="1" ref="M784" ca="1">_xlfn.IFS(C784&lt;$B$11,"Fail",C784&lt;25,"Marginal",C784&lt;35,"Solid",TRUE,"Blowout")</f>
        <v>Fail</v>
      </c>
    </row>
    <row r="785" spans="1:13" x14ac:dyDescent="0.25">
      <c r="A785" s="138">
        <f t="shared" ref="A785:A848" ca="1" si="133">NORMINV(RAND(), MAX(0, NORMINV(RAND(), $B$6, $B$12)), $B$7/SQRT($B$9))</f>
        <v>62.172069645050414</v>
      </c>
      <c r="B785" s="137">
        <f t="shared" ref="B785:B848" ca="1" si="134">NORMINV(RAND(), $B$8, $B$7/SQRT($B$9))</f>
        <v>3.2500606367062819</v>
      </c>
      <c r="C785" s="137">
        <f t="shared" ref="C785:C848" ca="1" si="135">A785-B785</f>
        <v>58.922009008344133</v>
      </c>
      <c r="D785" s="152">
        <f t="shared" ref="D785:D848" ca="1" si="136">C785/($B$7*SQRT(2/$B$9))</f>
        <v>7.4466375870592838</v>
      </c>
      <c r="E785" s="197">
        <f t="shared" ref="E785:E848" ca="1" si="137">_xlfn.T.DIST.RT(D785, 2*$B$9-2)</f>
        <v>9.775392913290462E-13</v>
      </c>
      <c r="F785" s="137">
        <f t="shared" ref="F785:F848" ca="1" si="138">NORMINV(RAND(), MAX(0, NORMINV(RAND(), $N$7, $N$8)), $B$7/SQRT($B$9))</f>
        <v>25.489399607087332</v>
      </c>
      <c r="G785" s="137">
        <f t="shared" ref="G785:G848" ca="1" si="139">F785-B785</f>
        <v>22.239338970381048</v>
      </c>
      <c r="H785" s="152">
        <f t="shared" ref="H785:H848" ca="1" si="140">G785/($B$7*SQRT(2/$B$9))</f>
        <v>2.8106356228406861</v>
      </c>
      <c r="I785" s="152">
        <f t="shared" ref="I785:I848" ca="1" si="141">_xlfn.T.DIST.RT(H785, 2*$B$9-2)</f>
        <v>2.6872073670704474E-3</v>
      </c>
      <c r="J785" s="190">
        <f t="shared" ref="J785:J848" ca="1" si="142">IF(AND(I785&lt;$B$10, G785&gt;=$B$11), 1, 0)</f>
        <v>1</v>
      </c>
      <c r="K785" s="187" t="str" cm="1">
        <f t="array" aca="1" ref="K785" ca="1">_xlfn.IFS(G785&lt;$B$11,"Fail",G785&lt;25,"Marginal",G785&lt;35,"Solid",TRUE,"Blowout")</f>
        <v>Marginal</v>
      </c>
      <c r="L785" s="193">
        <f t="shared" ca="1" si="132"/>
        <v>1</v>
      </c>
      <c r="M785" s="184" t="str" cm="1">
        <f t="array" aca="1" ref="M785" ca="1">_xlfn.IFS(C785&lt;$B$11,"Fail",C785&lt;25,"Marginal",C785&lt;35,"Solid",TRUE,"Blowout")</f>
        <v>Blowout</v>
      </c>
    </row>
    <row r="786" spans="1:13" x14ac:dyDescent="0.25">
      <c r="A786" s="138">
        <f t="shared" ca="1" si="133"/>
        <v>46.316979462120834</v>
      </c>
      <c r="B786" s="137">
        <f t="shared" ca="1" si="134"/>
        <v>-1.2260591724190615</v>
      </c>
      <c r="C786" s="137">
        <f t="shared" ca="1" si="135"/>
        <v>47.543038634539897</v>
      </c>
      <c r="D786" s="152">
        <f t="shared" ca="1" si="136"/>
        <v>6.0085490032907796</v>
      </c>
      <c r="E786" s="197">
        <f t="shared" ca="1" si="137"/>
        <v>3.6715838843055328E-9</v>
      </c>
      <c r="F786" s="137">
        <f t="shared" ca="1" si="138"/>
        <v>-7.4381749183169985</v>
      </c>
      <c r="G786" s="137">
        <f t="shared" ca="1" si="139"/>
        <v>-6.212115745897937</v>
      </c>
      <c r="H786" s="152">
        <f t="shared" ca="1" si="140"/>
        <v>-0.78509499908625757</v>
      </c>
      <c r="I786" s="152">
        <f t="shared" ca="1" si="141"/>
        <v>0.78339355275914258</v>
      </c>
      <c r="J786" s="190">
        <f t="shared" ca="1" si="142"/>
        <v>0</v>
      </c>
      <c r="K786" s="187" t="str" cm="1">
        <f t="array" aca="1" ref="K786" ca="1">_xlfn.IFS(G786&lt;$B$11,"Fail",G786&lt;25,"Marginal",G786&lt;35,"Solid",TRUE,"Blowout")</f>
        <v>Fail</v>
      </c>
      <c r="L786" s="193">
        <f t="shared" ca="1" si="132"/>
        <v>1</v>
      </c>
      <c r="M786" s="184" t="str" cm="1">
        <f t="array" aca="1" ref="M786" ca="1">_xlfn.IFS(C786&lt;$B$11,"Fail",C786&lt;25,"Marginal",C786&lt;35,"Solid",TRUE,"Blowout")</f>
        <v>Blowout</v>
      </c>
    </row>
    <row r="787" spans="1:13" x14ac:dyDescent="0.25">
      <c r="A787" s="138">
        <f t="shared" ca="1" si="133"/>
        <v>46.661711103574781</v>
      </c>
      <c r="B787" s="137">
        <f t="shared" ca="1" si="134"/>
        <v>1.5882626759489127</v>
      </c>
      <c r="C787" s="137">
        <f t="shared" ca="1" si="135"/>
        <v>45.07344842762587</v>
      </c>
      <c r="D787" s="152">
        <f t="shared" ca="1" si="136"/>
        <v>5.6964390876761373</v>
      </c>
      <c r="E787" s="197">
        <f t="shared" ca="1" si="137"/>
        <v>1.8769069346776102E-8</v>
      </c>
      <c r="F787" s="137">
        <f t="shared" ca="1" si="138"/>
        <v>39.58370726740258</v>
      </c>
      <c r="G787" s="137">
        <f t="shared" ca="1" si="139"/>
        <v>37.995444591453669</v>
      </c>
      <c r="H787" s="152">
        <f t="shared" ca="1" si="140"/>
        <v>4.8019120629725895</v>
      </c>
      <c r="I787" s="152">
        <f t="shared" ca="1" si="141"/>
        <v>1.4229528650314202E-6</v>
      </c>
      <c r="J787" s="190">
        <f t="shared" ca="1" si="142"/>
        <v>1</v>
      </c>
      <c r="K787" s="187" t="str" cm="1">
        <f t="array" aca="1" ref="K787" ca="1">_xlfn.IFS(G787&lt;$B$11,"Fail",G787&lt;25,"Marginal",G787&lt;35,"Solid",TRUE,"Blowout")</f>
        <v>Blowout</v>
      </c>
      <c r="L787" s="193">
        <f t="shared" ca="1" si="132"/>
        <v>1</v>
      </c>
      <c r="M787" s="184" t="str" cm="1">
        <f t="array" aca="1" ref="M787" ca="1">_xlfn.IFS(C787&lt;$B$11,"Fail",C787&lt;25,"Marginal",C787&lt;35,"Solid",TRUE,"Blowout")</f>
        <v>Blowout</v>
      </c>
    </row>
    <row r="788" spans="1:13" x14ac:dyDescent="0.25">
      <c r="A788" s="138">
        <f t="shared" ca="1" si="133"/>
        <v>14.226485871152521</v>
      </c>
      <c r="B788" s="137">
        <f t="shared" ca="1" si="134"/>
        <v>6.7125562024464838</v>
      </c>
      <c r="C788" s="137">
        <f t="shared" ca="1" si="135"/>
        <v>7.5139296687060373</v>
      </c>
      <c r="D788" s="152">
        <f t="shared" ca="1" si="136"/>
        <v>0.94961987955269034</v>
      </c>
      <c r="E788" s="197">
        <f t="shared" ca="1" si="137"/>
        <v>0.17165546027792172</v>
      </c>
      <c r="F788" s="137">
        <f t="shared" ca="1" si="138"/>
        <v>67.010549073540432</v>
      </c>
      <c r="G788" s="137">
        <f t="shared" ca="1" si="139"/>
        <v>60.297992871093946</v>
      </c>
      <c r="H788" s="152">
        <f t="shared" ca="1" si="140"/>
        <v>7.620536157796896</v>
      </c>
      <c r="I788" s="152">
        <f t="shared" ca="1" si="141"/>
        <v>3.364178311739364E-13</v>
      </c>
      <c r="J788" s="190">
        <f t="shared" ca="1" si="142"/>
        <v>1</v>
      </c>
      <c r="K788" s="187" t="str" cm="1">
        <f t="array" aca="1" ref="K788" ca="1">_xlfn.IFS(G788&lt;$B$11,"Fail",G788&lt;25,"Marginal",G788&lt;35,"Solid",TRUE,"Blowout")</f>
        <v>Blowout</v>
      </c>
      <c r="L788" s="193">
        <f t="shared" ca="1" si="132"/>
        <v>0</v>
      </c>
      <c r="M788" s="184" t="str" cm="1">
        <f t="array" aca="1" ref="M788" ca="1">_xlfn.IFS(C788&lt;$B$11,"Fail",C788&lt;25,"Marginal",C788&lt;35,"Solid",TRUE,"Blowout")</f>
        <v>Fail</v>
      </c>
    </row>
    <row r="789" spans="1:13" x14ac:dyDescent="0.25">
      <c r="A789" s="138">
        <f t="shared" ca="1" si="133"/>
        <v>13.867764583593175</v>
      </c>
      <c r="B789" s="137">
        <f t="shared" ca="1" si="134"/>
        <v>0.43251508355043988</v>
      </c>
      <c r="C789" s="137">
        <f t="shared" ca="1" si="135"/>
        <v>13.435249500042735</v>
      </c>
      <c r="D789" s="152">
        <f t="shared" ca="1" si="136"/>
        <v>1.6979637253096656</v>
      </c>
      <c r="E789" s="197">
        <f t="shared" ca="1" si="137"/>
        <v>4.5439465139240048E-2</v>
      </c>
      <c r="F789" s="137">
        <f t="shared" ca="1" si="138"/>
        <v>22.133514551732873</v>
      </c>
      <c r="G789" s="137">
        <f t="shared" ca="1" si="139"/>
        <v>21.700999468182431</v>
      </c>
      <c r="H789" s="152">
        <f t="shared" ca="1" si="140"/>
        <v>2.7425995996442722</v>
      </c>
      <c r="I789" s="152">
        <f t="shared" ca="1" si="141"/>
        <v>3.2898326542955742E-3</v>
      </c>
      <c r="J789" s="190">
        <f t="shared" ca="1" si="142"/>
        <v>1</v>
      </c>
      <c r="K789" s="187" t="str" cm="1">
        <f t="array" aca="1" ref="K789" ca="1">_xlfn.IFS(G789&lt;$B$11,"Fail",G789&lt;25,"Marginal",G789&lt;35,"Solid",TRUE,"Blowout")</f>
        <v>Marginal</v>
      </c>
      <c r="L789" s="193">
        <f t="shared" ca="1" si="132"/>
        <v>0</v>
      </c>
      <c r="M789" s="184" t="str" cm="1">
        <f t="array" aca="1" ref="M789" ca="1">_xlfn.IFS(C789&lt;$B$11,"Fail",C789&lt;25,"Marginal",C789&lt;35,"Solid",TRUE,"Blowout")</f>
        <v>Fail</v>
      </c>
    </row>
    <row r="790" spans="1:13" x14ac:dyDescent="0.25">
      <c r="A790" s="138">
        <f t="shared" ca="1" si="133"/>
        <v>11.081359495824085</v>
      </c>
      <c r="B790" s="137">
        <f t="shared" ca="1" si="134"/>
        <v>7.7788370634736808</v>
      </c>
      <c r="C790" s="137">
        <f t="shared" ca="1" si="135"/>
        <v>3.3025224323504041</v>
      </c>
      <c r="D790" s="152">
        <f t="shared" ca="1" si="136"/>
        <v>0.41737693759498801</v>
      </c>
      <c r="E790" s="197">
        <f t="shared" ca="1" si="137"/>
        <v>0.33839773408528845</v>
      </c>
      <c r="F790" s="137">
        <f t="shared" ca="1" si="138"/>
        <v>40.511729284949446</v>
      </c>
      <c r="G790" s="137">
        <f t="shared" ca="1" si="139"/>
        <v>32.732892221475765</v>
      </c>
      <c r="H790" s="152">
        <f t="shared" ca="1" si="140"/>
        <v>4.13682407731691</v>
      </c>
      <c r="I790" s="152">
        <f t="shared" ca="1" si="141"/>
        <v>2.477087018630976E-5</v>
      </c>
      <c r="J790" s="190">
        <f t="shared" ca="1" si="142"/>
        <v>1</v>
      </c>
      <c r="K790" s="187" t="str" cm="1">
        <f t="array" aca="1" ref="K790" ca="1">_xlfn.IFS(G790&lt;$B$11,"Fail",G790&lt;25,"Marginal",G790&lt;35,"Solid",TRUE,"Blowout")</f>
        <v>Solid</v>
      </c>
      <c r="L790" s="193">
        <f t="shared" ca="1" si="132"/>
        <v>0</v>
      </c>
      <c r="M790" s="184" t="str" cm="1">
        <f t="array" aca="1" ref="M790" ca="1">_xlfn.IFS(C790&lt;$B$11,"Fail",C790&lt;25,"Marginal",C790&lt;35,"Solid",TRUE,"Blowout")</f>
        <v>Fail</v>
      </c>
    </row>
    <row r="791" spans="1:13" x14ac:dyDescent="0.25">
      <c r="A791" s="138">
        <f t="shared" ca="1" si="133"/>
        <v>38.720273983703301</v>
      </c>
      <c r="B791" s="137">
        <f t="shared" ca="1" si="134"/>
        <v>2.8708956767439999</v>
      </c>
      <c r="C791" s="137">
        <f t="shared" ca="1" si="135"/>
        <v>35.849378306959302</v>
      </c>
      <c r="D791" s="152">
        <f t="shared" ca="1" si="136"/>
        <v>4.5306895074726015</v>
      </c>
      <c r="E791" s="197">
        <f t="shared" ca="1" si="137"/>
        <v>4.7427647028399888E-6</v>
      </c>
      <c r="F791" s="137">
        <f t="shared" ca="1" si="138"/>
        <v>33.039186768617625</v>
      </c>
      <c r="G791" s="137">
        <f t="shared" ca="1" si="139"/>
        <v>30.168291091873627</v>
      </c>
      <c r="H791" s="152">
        <f t="shared" ca="1" si="140"/>
        <v>3.8127065618261282</v>
      </c>
      <c r="I791" s="152">
        <f t="shared" ca="1" si="141"/>
        <v>8.8468622871176682E-5</v>
      </c>
      <c r="J791" s="190">
        <f t="shared" ca="1" si="142"/>
        <v>1</v>
      </c>
      <c r="K791" s="187" t="str" cm="1">
        <f t="array" aca="1" ref="K791" ca="1">_xlfn.IFS(G791&lt;$B$11,"Fail",G791&lt;25,"Marginal",G791&lt;35,"Solid",TRUE,"Blowout")</f>
        <v>Solid</v>
      </c>
      <c r="L791" s="193">
        <f t="shared" ca="1" si="132"/>
        <v>1</v>
      </c>
      <c r="M791" s="184" t="str" cm="1">
        <f t="array" aca="1" ref="M791" ca="1">_xlfn.IFS(C791&lt;$B$11,"Fail",C791&lt;25,"Marginal",C791&lt;35,"Solid",TRUE,"Blowout")</f>
        <v>Blowout</v>
      </c>
    </row>
    <row r="792" spans="1:13" x14ac:dyDescent="0.25">
      <c r="A792" s="138">
        <f t="shared" ca="1" si="133"/>
        <v>30.117085778934992</v>
      </c>
      <c r="B792" s="137">
        <f t="shared" ca="1" si="134"/>
        <v>5.1036621265325701</v>
      </c>
      <c r="C792" s="137">
        <f t="shared" ca="1" si="135"/>
        <v>25.013423652402423</v>
      </c>
      <c r="D792" s="152">
        <f t="shared" ca="1" si="136"/>
        <v>3.16122793309101</v>
      </c>
      <c r="E792" s="197">
        <f t="shared" ca="1" si="137"/>
        <v>8.9213636795831711E-4</v>
      </c>
      <c r="F792" s="137">
        <f t="shared" ca="1" si="138"/>
        <v>12.540020343739952</v>
      </c>
      <c r="G792" s="137">
        <f t="shared" ca="1" si="139"/>
        <v>7.4363582172073821</v>
      </c>
      <c r="H792" s="152">
        <f t="shared" ca="1" si="140"/>
        <v>0.93981630197388044</v>
      </c>
      <c r="I792" s="152">
        <f t="shared" ca="1" si="141"/>
        <v>0.17415319336155477</v>
      </c>
      <c r="J792" s="190">
        <f t="shared" ca="1" si="142"/>
        <v>0</v>
      </c>
      <c r="K792" s="187" t="str" cm="1">
        <f t="array" aca="1" ref="K792" ca="1">_xlfn.IFS(G792&lt;$B$11,"Fail",G792&lt;25,"Marginal",G792&lt;35,"Solid",TRUE,"Blowout")</f>
        <v>Fail</v>
      </c>
      <c r="L792" s="193">
        <f t="shared" ca="1" si="132"/>
        <v>1</v>
      </c>
      <c r="M792" s="184" t="str" cm="1">
        <f t="array" aca="1" ref="M792" ca="1">_xlfn.IFS(C792&lt;$B$11,"Fail",C792&lt;25,"Marginal",C792&lt;35,"Solid",TRUE,"Blowout")</f>
        <v>Solid</v>
      </c>
    </row>
    <row r="793" spans="1:13" x14ac:dyDescent="0.25">
      <c r="A793" s="138">
        <f t="shared" ca="1" si="133"/>
        <v>25.371597650505684</v>
      </c>
      <c r="B793" s="137">
        <f t="shared" ca="1" si="134"/>
        <v>8.1405681216786991</v>
      </c>
      <c r="C793" s="137">
        <f t="shared" ca="1" si="135"/>
        <v>17.231029528826987</v>
      </c>
      <c r="D793" s="152">
        <f t="shared" ca="1" si="136"/>
        <v>2.1776791781644889</v>
      </c>
      <c r="E793" s="197">
        <f t="shared" ca="1" si="137"/>
        <v>1.5227908202130033E-2</v>
      </c>
      <c r="F793" s="137">
        <f t="shared" ca="1" si="138"/>
        <v>10.820910331370477</v>
      </c>
      <c r="G793" s="137">
        <f t="shared" ca="1" si="139"/>
        <v>2.6803422096917782</v>
      </c>
      <c r="H793" s="152">
        <f t="shared" ca="1" si="140"/>
        <v>0.33874501872544432</v>
      </c>
      <c r="I793" s="152">
        <f t="shared" ca="1" si="141"/>
        <v>0.36755679007955588</v>
      </c>
      <c r="J793" s="190">
        <f t="shared" ca="1" si="142"/>
        <v>0</v>
      </c>
      <c r="K793" s="187" t="str" cm="1">
        <f t="array" aca="1" ref="K793" ca="1">_xlfn.IFS(G793&lt;$B$11,"Fail",G793&lt;25,"Marginal",G793&lt;35,"Solid",TRUE,"Blowout")</f>
        <v>Fail</v>
      </c>
      <c r="L793" s="193">
        <f t="shared" ca="1" si="132"/>
        <v>0</v>
      </c>
      <c r="M793" s="184" t="str" cm="1">
        <f t="array" aca="1" ref="M793" ca="1">_xlfn.IFS(C793&lt;$B$11,"Fail",C793&lt;25,"Marginal",C793&lt;35,"Solid",TRUE,"Blowout")</f>
        <v>Fail</v>
      </c>
    </row>
    <row r="794" spans="1:13" x14ac:dyDescent="0.25">
      <c r="A794" s="138">
        <f t="shared" ca="1" si="133"/>
        <v>4.2871923153887765</v>
      </c>
      <c r="B794" s="137">
        <f t="shared" ca="1" si="134"/>
        <v>-3.5036007436035774</v>
      </c>
      <c r="C794" s="137">
        <f t="shared" ca="1" si="135"/>
        <v>7.790793058992354</v>
      </c>
      <c r="D794" s="152">
        <f t="shared" ca="1" si="136"/>
        <v>0.98461022294533984</v>
      </c>
      <c r="E794" s="197">
        <f t="shared" ca="1" si="137"/>
        <v>0.16292962546672274</v>
      </c>
      <c r="F794" s="137">
        <f t="shared" ca="1" si="138"/>
        <v>9.5892997475005579</v>
      </c>
      <c r="G794" s="137">
        <f t="shared" ca="1" si="139"/>
        <v>13.092900491104135</v>
      </c>
      <c r="H794" s="152">
        <f t="shared" ca="1" si="140"/>
        <v>1.6546972270900675</v>
      </c>
      <c r="I794" s="152">
        <f t="shared" ca="1" si="141"/>
        <v>4.9680914904192665E-2</v>
      </c>
      <c r="J794" s="190">
        <f t="shared" ca="1" si="142"/>
        <v>0</v>
      </c>
      <c r="K794" s="187" t="str" cm="1">
        <f t="array" aca="1" ref="K794" ca="1">_xlfn.IFS(G794&lt;$B$11,"Fail",G794&lt;25,"Marginal",G794&lt;35,"Solid",TRUE,"Blowout")</f>
        <v>Fail</v>
      </c>
      <c r="L794" s="193">
        <f t="shared" ca="1" si="132"/>
        <v>0</v>
      </c>
      <c r="M794" s="184" t="str" cm="1">
        <f t="array" aca="1" ref="M794" ca="1">_xlfn.IFS(C794&lt;$B$11,"Fail",C794&lt;25,"Marginal",C794&lt;35,"Solid",TRUE,"Blowout")</f>
        <v>Fail</v>
      </c>
    </row>
    <row r="795" spans="1:13" x14ac:dyDescent="0.25">
      <c r="A795" s="138">
        <f t="shared" ca="1" si="133"/>
        <v>24.26024190482773</v>
      </c>
      <c r="B795" s="137">
        <f t="shared" ca="1" si="134"/>
        <v>-5.1696432129590164</v>
      </c>
      <c r="C795" s="137">
        <f t="shared" ca="1" si="135"/>
        <v>29.429885117786746</v>
      </c>
      <c r="D795" s="152">
        <f t="shared" ca="1" si="136"/>
        <v>3.7193858863487219</v>
      </c>
      <c r="E795" s="197">
        <f t="shared" ca="1" si="137"/>
        <v>1.2573750809284111E-4</v>
      </c>
      <c r="F795" s="137">
        <f t="shared" ca="1" si="138"/>
        <v>10.450900409199541</v>
      </c>
      <c r="G795" s="137">
        <f t="shared" ca="1" si="139"/>
        <v>15.620543622158557</v>
      </c>
      <c r="H795" s="152">
        <f t="shared" ca="1" si="140"/>
        <v>1.9741439442533699</v>
      </c>
      <c r="I795" s="152">
        <f t="shared" ca="1" si="141"/>
        <v>2.4786285219761658E-2</v>
      </c>
      <c r="J795" s="190">
        <f t="shared" ca="1" si="142"/>
        <v>0</v>
      </c>
      <c r="K795" s="187" t="str" cm="1">
        <f t="array" aca="1" ref="K795" ca="1">_xlfn.IFS(G795&lt;$B$11,"Fail",G795&lt;25,"Marginal",G795&lt;35,"Solid",TRUE,"Blowout")</f>
        <v>Fail</v>
      </c>
      <c r="L795" s="193">
        <f t="shared" ca="1" si="132"/>
        <v>1</v>
      </c>
      <c r="M795" s="184" t="str" cm="1">
        <f t="array" aca="1" ref="M795" ca="1">_xlfn.IFS(C795&lt;$B$11,"Fail",C795&lt;25,"Marginal",C795&lt;35,"Solid",TRUE,"Blowout")</f>
        <v>Solid</v>
      </c>
    </row>
    <row r="796" spans="1:13" x14ac:dyDescent="0.25">
      <c r="A796" s="138">
        <f t="shared" ca="1" si="133"/>
        <v>56.710700861232063</v>
      </c>
      <c r="B796" s="137">
        <f t="shared" ca="1" si="134"/>
        <v>10.208805282016538</v>
      </c>
      <c r="C796" s="137">
        <f t="shared" ca="1" si="135"/>
        <v>46.501895579215528</v>
      </c>
      <c r="D796" s="152">
        <f t="shared" ca="1" si="136"/>
        <v>5.8769680348247135</v>
      </c>
      <c r="E796" s="197">
        <f t="shared" ca="1" si="137"/>
        <v>7.3578304636532341E-9</v>
      </c>
      <c r="F796" s="137">
        <f t="shared" ca="1" si="138"/>
        <v>18.354517963179543</v>
      </c>
      <c r="G796" s="137">
        <f t="shared" ca="1" si="139"/>
        <v>8.1457126811630047</v>
      </c>
      <c r="H796" s="152">
        <f t="shared" ca="1" si="140"/>
        <v>1.0294654110715045</v>
      </c>
      <c r="I796" s="152">
        <f t="shared" ca="1" si="141"/>
        <v>0.15217593603528978</v>
      </c>
      <c r="J796" s="190">
        <f t="shared" ca="1" si="142"/>
        <v>0</v>
      </c>
      <c r="K796" s="187" t="str" cm="1">
        <f t="array" aca="1" ref="K796" ca="1">_xlfn.IFS(G796&lt;$B$11,"Fail",G796&lt;25,"Marginal",G796&lt;35,"Solid",TRUE,"Blowout")</f>
        <v>Fail</v>
      </c>
      <c r="L796" s="193">
        <f t="shared" ca="1" si="132"/>
        <v>1</v>
      </c>
      <c r="M796" s="184" t="str" cm="1">
        <f t="array" aca="1" ref="M796" ca="1">_xlfn.IFS(C796&lt;$B$11,"Fail",C796&lt;25,"Marginal",C796&lt;35,"Solid",TRUE,"Blowout")</f>
        <v>Blowout</v>
      </c>
    </row>
    <row r="797" spans="1:13" x14ac:dyDescent="0.25">
      <c r="A797" s="138">
        <f t="shared" ca="1" si="133"/>
        <v>51.495589893749212</v>
      </c>
      <c r="B797" s="137">
        <f t="shared" ca="1" si="134"/>
        <v>7.7185660008439871</v>
      </c>
      <c r="C797" s="137">
        <f t="shared" ca="1" si="135"/>
        <v>43.777023892905227</v>
      </c>
      <c r="D797" s="152">
        <f t="shared" ca="1" si="136"/>
        <v>5.5325953248528181</v>
      </c>
      <c r="E797" s="197">
        <f t="shared" ca="1" si="137"/>
        <v>4.313777866789168E-8</v>
      </c>
      <c r="F797" s="137">
        <f t="shared" ca="1" si="138"/>
        <v>-7.6039970209673466</v>
      </c>
      <c r="G797" s="137">
        <f t="shared" ca="1" si="139"/>
        <v>-15.322563021811334</v>
      </c>
      <c r="H797" s="152">
        <f t="shared" ca="1" si="140"/>
        <v>-1.9364847813004249</v>
      </c>
      <c r="I797" s="152">
        <f t="shared" ca="1" si="141"/>
        <v>0.97297788128420004</v>
      </c>
      <c r="J797" s="190">
        <f t="shared" ca="1" si="142"/>
        <v>0</v>
      </c>
      <c r="K797" s="187" t="str" cm="1">
        <f t="array" aca="1" ref="K797" ca="1">_xlfn.IFS(G797&lt;$B$11,"Fail",G797&lt;25,"Marginal",G797&lt;35,"Solid",TRUE,"Blowout")</f>
        <v>Fail</v>
      </c>
      <c r="L797" s="193">
        <f t="shared" ca="1" si="132"/>
        <v>1</v>
      </c>
      <c r="M797" s="184" t="str" cm="1">
        <f t="array" aca="1" ref="M797" ca="1">_xlfn.IFS(C797&lt;$B$11,"Fail",C797&lt;25,"Marginal",C797&lt;35,"Solid",TRUE,"Blowout")</f>
        <v>Blowout</v>
      </c>
    </row>
    <row r="798" spans="1:13" x14ac:dyDescent="0.25">
      <c r="A798" s="138">
        <f t="shared" ca="1" si="133"/>
        <v>4.9842293757147251</v>
      </c>
      <c r="B798" s="137">
        <f t="shared" ca="1" si="134"/>
        <v>2.6892941653818974</v>
      </c>
      <c r="C798" s="137">
        <f t="shared" ca="1" si="135"/>
        <v>2.2949352103328278</v>
      </c>
      <c r="D798" s="152">
        <f t="shared" ca="1" si="136"/>
        <v>0.29003679753536804</v>
      </c>
      <c r="E798" s="197">
        <f t="shared" ca="1" si="137"/>
        <v>0.38602584598054185</v>
      </c>
      <c r="F798" s="137">
        <f t="shared" ca="1" si="138"/>
        <v>1.1977675515313102</v>
      </c>
      <c r="G798" s="137">
        <f t="shared" ca="1" si="139"/>
        <v>-1.4915266138505872</v>
      </c>
      <c r="H798" s="152">
        <f t="shared" ca="1" si="140"/>
        <v>-0.18850100890528296</v>
      </c>
      <c r="I798" s="152">
        <f t="shared" ca="1" si="141"/>
        <v>0.57467420149818749</v>
      </c>
      <c r="J798" s="190">
        <f t="shared" ca="1" si="142"/>
        <v>0</v>
      </c>
      <c r="K798" s="187" t="str" cm="1">
        <f t="array" aca="1" ref="K798" ca="1">_xlfn.IFS(G798&lt;$B$11,"Fail",G798&lt;25,"Marginal",G798&lt;35,"Solid",TRUE,"Blowout")</f>
        <v>Fail</v>
      </c>
      <c r="L798" s="193">
        <f t="shared" ca="1" si="132"/>
        <v>0</v>
      </c>
      <c r="M798" s="184" t="str" cm="1">
        <f t="array" aca="1" ref="M798" ca="1">_xlfn.IFS(C798&lt;$B$11,"Fail",C798&lt;25,"Marginal",C798&lt;35,"Solid",TRUE,"Blowout")</f>
        <v>Fail</v>
      </c>
    </row>
    <row r="799" spans="1:13" x14ac:dyDescent="0.25">
      <c r="A799" s="138">
        <f t="shared" ca="1" si="133"/>
        <v>37.567941583196706</v>
      </c>
      <c r="B799" s="137">
        <f t="shared" ca="1" si="134"/>
        <v>2.4457954678643596</v>
      </c>
      <c r="C799" s="137">
        <f t="shared" ca="1" si="135"/>
        <v>35.122146115332349</v>
      </c>
      <c r="D799" s="152">
        <f t="shared" ca="1" si="136"/>
        <v>4.4387809886724039</v>
      </c>
      <c r="E799" s="197">
        <f t="shared" ca="1" si="137"/>
        <v>7.0467867400302058E-6</v>
      </c>
      <c r="F799" s="137">
        <f t="shared" ca="1" si="138"/>
        <v>20.845600712517662</v>
      </c>
      <c r="G799" s="137">
        <f t="shared" ca="1" si="139"/>
        <v>18.399805244653301</v>
      </c>
      <c r="H799" s="152">
        <f t="shared" ca="1" si="140"/>
        <v>2.3253905227502076</v>
      </c>
      <c r="I799" s="152">
        <f t="shared" ca="1" si="141"/>
        <v>1.0464893715335955E-2</v>
      </c>
      <c r="J799" s="190">
        <f t="shared" ca="1" si="142"/>
        <v>0</v>
      </c>
      <c r="K799" s="187" t="str" cm="1">
        <f t="array" aca="1" ref="K799" ca="1">_xlfn.IFS(G799&lt;$B$11,"Fail",G799&lt;25,"Marginal",G799&lt;35,"Solid",TRUE,"Blowout")</f>
        <v>Fail</v>
      </c>
      <c r="L799" s="193">
        <f t="shared" ca="1" si="132"/>
        <v>1</v>
      </c>
      <c r="M799" s="184" t="str" cm="1">
        <f t="array" aca="1" ref="M799" ca="1">_xlfn.IFS(C799&lt;$B$11,"Fail",C799&lt;25,"Marginal",C799&lt;35,"Solid",TRUE,"Blowout")</f>
        <v>Blowout</v>
      </c>
    </row>
    <row r="800" spans="1:13" x14ac:dyDescent="0.25">
      <c r="A800" s="138">
        <f t="shared" ca="1" si="133"/>
        <v>47.730557563714221</v>
      </c>
      <c r="B800" s="137">
        <f t="shared" ca="1" si="134"/>
        <v>13.220983922211186</v>
      </c>
      <c r="C800" s="137">
        <f t="shared" ca="1" si="135"/>
        <v>34.509573641503039</v>
      </c>
      <c r="D800" s="152">
        <f t="shared" ca="1" si="136"/>
        <v>4.3613633091807014</v>
      </c>
      <c r="E800" s="197">
        <f t="shared" ca="1" si="137"/>
        <v>9.7894655798851721E-6</v>
      </c>
      <c r="F800" s="137">
        <f t="shared" ca="1" si="138"/>
        <v>12.671442141692225</v>
      </c>
      <c r="G800" s="137">
        <f t="shared" ca="1" si="139"/>
        <v>-0.54954178051896108</v>
      </c>
      <c r="H800" s="152">
        <f t="shared" ca="1" si="140"/>
        <v>-6.9451781216293279E-2</v>
      </c>
      <c r="I800" s="152">
        <f t="shared" ca="1" si="141"/>
        <v>0.52765455660730221</v>
      </c>
      <c r="J800" s="190">
        <f t="shared" ca="1" si="142"/>
        <v>0</v>
      </c>
      <c r="K800" s="187" t="str" cm="1">
        <f t="array" aca="1" ref="K800" ca="1">_xlfn.IFS(G800&lt;$B$11,"Fail",G800&lt;25,"Marginal",G800&lt;35,"Solid",TRUE,"Blowout")</f>
        <v>Fail</v>
      </c>
      <c r="L800" s="193">
        <f t="shared" ca="1" si="132"/>
        <v>1</v>
      </c>
      <c r="M800" s="184" t="str" cm="1">
        <f t="array" aca="1" ref="M800" ca="1">_xlfn.IFS(C800&lt;$B$11,"Fail",C800&lt;25,"Marginal",C800&lt;35,"Solid",TRUE,"Blowout")</f>
        <v>Solid</v>
      </c>
    </row>
    <row r="801" spans="1:13" x14ac:dyDescent="0.25">
      <c r="A801" s="138">
        <f t="shared" ca="1" si="133"/>
        <v>1.5469416519415589</v>
      </c>
      <c r="B801" s="137">
        <f t="shared" ca="1" si="134"/>
        <v>6.2525059481911622</v>
      </c>
      <c r="C801" s="137">
        <f t="shared" ca="1" si="135"/>
        <v>-4.7055642962496034</v>
      </c>
      <c r="D801" s="152">
        <f t="shared" ca="1" si="136"/>
        <v>-0.5946951325406139</v>
      </c>
      <c r="E801" s="197">
        <f t="shared" ca="1" si="137"/>
        <v>0.72368151345626741</v>
      </c>
      <c r="F801" s="137">
        <f t="shared" ca="1" si="138"/>
        <v>53.992030583919892</v>
      </c>
      <c r="G801" s="137">
        <f t="shared" ca="1" si="139"/>
        <v>47.739524635728728</v>
      </c>
      <c r="H801" s="152">
        <f t="shared" ca="1" si="140"/>
        <v>6.0333811511826907</v>
      </c>
      <c r="I801" s="152">
        <f t="shared" ca="1" si="141"/>
        <v>3.2163992341826841E-9</v>
      </c>
      <c r="J801" s="190">
        <f t="shared" ca="1" si="142"/>
        <v>1</v>
      </c>
      <c r="K801" s="187" t="str" cm="1">
        <f t="array" aca="1" ref="K801" ca="1">_xlfn.IFS(G801&lt;$B$11,"Fail",G801&lt;25,"Marginal",G801&lt;35,"Solid",TRUE,"Blowout")</f>
        <v>Blowout</v>
      </c>
      <c r="L801" s="193">
        <f t="shared" ca="1" si="132"/>
        <v>0</v>
      </c>
      <c r="M801" s="184" t="str" cm="1">
        <f t="array" aca="1" ref="M801" ca="1">_xlfn.IFS(C801&lt;$B$11,"Fail",C801&lt;25,"Marginal",C801&lt;35,"Solid",TRUE,"Blowout")</f>
        <v>Fail</v>
      </c>
    </row>
    <row r="802" spans="1:13" x14ac:dyDescent="0.25">
      <c r="A802" s="138">
        <f t="shared" ca="1" si="133"/>
        <v>46.947079497746635</v>
      </c>
      <c r="B802" s="137">
        <f t="shared" ca="1" si="134"/>
        <v>0.48428422923636916</v>
      </c>
      <c r="C802" s="137">
        <f t="shared" ca="1" si="135"/>
        <v>46.462795268510263</v>
      </c>
      <c r="D802" s="152">
        <f t="shared" ca="1" si="136"/>
        <v>5.8720264883930176</v>
      </c>
      <c r="E802" s="197">
        <f t="shared" ca="1" si="137"/>
        <v>7.5508945090599806E-9</v>
      </c>
      <c r="F802" s="137">
        <f t="shared" ca="1" si="138"/>
        <v>65.749545862974017</v>
      </c>
      <c r="G802" s="137">
        <f t="shared" ca="1" si="139"/>
        <v>65.265261633737651</v>
      </c>
      <c r="H802" s="152">
        <f t="shared" ca="1" si="140"/>
        <v>8.2483058298678174</v>
      </c>
      <c r="I802" s="152">
        <f t="shared" ca="1" si="141"/>
        <v>6.4002586099927187E-15</v>
      </c>
      <c r="J802" s="190">
        <f t="shared" ca="1" si="142"/>
        <v>1</v>
      </c>
      <c r="K802" s="187" t="str" cm="1">
        <f t="array" aca="1" ref="K802" ca="1">_xlfn.IFS(G802&lt;$B$11,"Fail",G802&lt;25,"Marginal",G802&lt;35,"Solid",TRUE,"Blowout")</f>
        <v>Blowout</v>
      </c>
      <c r="L802" s="193">
        <f t="shared" ca="1" si="132"/>
        <v>1</v>
      </c>
      <c r="M802" s="184" t="str" cm="1">
        <f t="array" aca="1" ref="M802" ca="1">_xlfn.IFS(C802&lt;$B$11,"Fail",C802&lt;25,"Marginal",C802&lt;35,"Solid",TRUE,"Blowout")</f>
        <v>Blowout</v>
      </c>
    </row>
    <row r="803" spans="1:13" x14ac:dyDescent="0.25">
      <c r="A803" s="138">
        <f t="shared" ca="1" si="133"/>
        <v>6.5069588816951889</v>
      </c>
      <c r="B803" s="137">
        <f t="shared" ca="1" si="134"/>
        <v>4.5168014002120902</v>
      </c>
      <c r="C803" s="137">
        <f t="shared" ca="1" si="135"/>
        <v>1.9901574814830987</v>
      </c>
      <c r="D803" s="152">
        <f t="shared" ca="1" si="136"/>
        <v>0.25151860493556116</v>
      </c>
      <c r="E803" s="197">
        <f t="shared" ca="1" si="137"/>
        <v>0.40081986577769613</v>
      </c>
      <c r="F803" s="137">
        <f t="shared" ca="1" si="138"/>
        <v>61.221972314522652</v>
      </c>
      <c r="G803" s="137">
        <f t="shared" ca="1" si="139"/>
        <v>56.705170914310564</v>
      </c>
      <c r="H803" s="152">
        <f t="shared" ca="1" si="140"/>
        <v>7.1664708012811973</v>
      </c>
      <c r="I803" s="152">
        <f t="shared" ca="1" si="141"/>
        <v>5.2890582624251142E-12</v>
      </c>
      <c r="J803" s="190">
        <f t="shared" ca="1" si="142"/>
        <v>1</v>
      </c>
      <c r="K803" s="187" t="str" cm="1">
        <f t="array" aca="1" ref="K803" ca="1">_xlfn.IFS(G803&lt;$B$11,"Fail",G803&lt;25,"Marginal",G803&lt;35,"Solid",TRUE,"Blowout")</f>
        <v>Blowout</v>
      </c>
      <c r="L803" s="193">
        <f t="shared" ca="1" si="132"/>
        <v>0</v>
      </c>
      <c r="M803" s="184" t="str" cm="1">
        <f t="array" aca="1" ref="M803" ca="1">_xlfn.IFS(C803&lt;$B$11,"Fail",C803&lt;25,"Marginal",C803&lt;35,"Solid",TRUE,"Blowout")</f>
        <v>Fail</v>
      </c>
    </row>
    <row r="804" spans="1:13" x14ac:dyDescent="0.25">
      <c r="A804" s="138">
        <f t="shared" ca="1" si="133"/>
        <v>46.196338273374181</v>
      </c>
      <c r="B804" s="137">
        <f t="shared" ca="1" si="134"/>
        <v>9.7488314312630564</v>
      </c>
      <c r="C804" s="137">
        <f t="shared" ca="1" si="135"/>
        <v>36.447506842111125</v>
      </c>
      <c r="D804" s="152">
        <f t="shared" ca="1" si="136"/>
        <v>4.6062817438324224</v>
      </c>
      <c r="E804" s="197">
        <f t="shared" ca="1" si="137"/>
        <v>3.4088484004887864E-6</v>
      </c>
      <c r="F804" s="137">
        <f t="shared" ca="1" si="138"/>
        <v>42.093245056721585</v>
      </c>
      <c r="G804" s="137">
        <f t="shared" ca="1" si="139"/>
        <v>32.344413625458529</v>
      </c>
      <c r="H804" s="152">
        <f t="shared" ca="1" si="140"/>
        <v>4.0877276638789315</v>
      </c>
      <c r="I804" s="152">
        <f t="shared" ca="1" si="141"/>
        <v>3.0193647180382832E-5</v>
      </c>
      <c r="J804" s="190">
        <f t="shared" ca="1" si="142"/>
        <v>1</v>
      </c>
      <c r="K804" s="187" t="str" cm="1">
        <f t="array" aca="1" ref="K804" ca="1">_xlfn.IFS(G804&lt;$B$11,"Fail",G804&lt;25,"Marginal",G804&lt;35,"Solid",TRUE,"Blowout")</f>
        <v>Solid</v>
      </c>
      <c r="L804" s="193">
        <f t="shared" ca="1" si="132"/>
        <v>1</v>
      </c>
      <c r="M804" s="184" t="str" cm="1">
        <f t="array" aca="1" ref="M804" ca="1">_xlfn.IFS(C804&lt;$B$11,"Fail",C804&lt;25,"Marginal",C804&lt;35,"Solid",TRUE,"Blowout")</f>
        <v>Blowout</v>
      </c>
    </row>
    <row r="805" spans="1:13" x14ac:dyDescent="0.25">
      <c r="A805" s="138">
        <f t="shared" ca="1" si="133"/>
        <v>30.348692621379158</v>
      </c>
      <c r="B805" s="137">
        <f t="shared" ca="1" si="134"/>
        <v>16.088251004452609</v>
      </c>
      <c r="C805" s="137">
        <f t="shared" ca="1" si="135"/>
        <v>14.260441616926549</v>
      </c>
      <c r="D805" s="152">
        <f t="shared" ca="1" si="136"/>
        <v>1.8022525426387188</v>
      </c>
      <c r="E805" s="197">
        <f t="shared" ca="1" si="137"/>
        <v>3.6413203273441941E-2</v>
      </c>
      <c r="F805" s="137">
        <f t="shared" ca="1" si="138"/>
        <v>22.863072689930888</v>
      </c>
      <c r="G805" s="137">
        <f t="shared" ca="1" si="139"/>
        <v>6.7748216854782797</v>
      </c>
      <c r="H805" s="152">
        <f t="shared" ca="1" si="140"/>
        <v>0.85621048327735316</v>
      </c>
      <c r="I805" s="152">
        <f t="shared" ca="1" si="141"/>
        <v>0.19639015636437579</v>
      </c>
      <c r="J805" s="190">
        <f t="shared" ca="1" si="142"/>
        <v>0</v>
      </c>
      <c r="K805" s="187" t="str" cm="1">
        <f t="array" aca="1" ref="K805" ca="1">_xlfn.IFS(G805&lt;$B$11,"Fail",G805&lt;25,"Marginal",G805&lt;35,"Solid",TRUE,"Blowout")</f>
        <v>Fail</v>
      </c>
      <c r="L805" s="193">
        <f t="shared" ca="1" si="132"/>
        <v>0</v>
      </c>
      <c r="M805" s="184" t="str" cm="1">
        <f t="array" aca="1" ref="M805" ca="1">_xlfn.IFS(C805&lt;$B$11,"Fail",C805&lt;25,"Marginal",C805&lt;35,"Solid",TRUE,"Blowout")</f>
        <v>Fail</v>
      </c>
    </row>
    <row r="806" spans="1:13" x14ac:dyDescent="0.25">
      <c r="A806" s="138">
        <f t="shared" ca="1" si="133"/>
        <v>20.02290615973105</v>
      </c>
      <c r="B806" s="137">
        <f t="shared" ca="1" si="134"/>
        <v>1.3792983119968314</v>
      </c>
      <c r="C806" s="137">
        <f t="shared" ca="1" si="135"/>
        <v>18.64360784773422</v>
      </c>
      <c r="D806" s="152">
        <f t="shared" ca="1" si="136"/>
        <v>2.356202602285177</v>
      </c>
      <c r="E806" s="197">
        <f t="shared" ca="1" si="137"/>
        <v>9.6551949725061648E-3</v>
      </c>
      <c r="F806" s="137">
        <f t="shared" ca="1" si="138"/>
        <v>10.522120110758502</v>
      </c>
      <c r="G806" s="137">
        <f t="shared" ca="1" si="139"/>
        <v>9.1428217987616698</v>
      </c>
      <c r="H806" s="152">
        <f t="shared" ca="1" si="140"/>
        <v>1.1554813151194849</v>
      </c>
      <c r="I806" s="152">
        <f t="shared" ca="1" si="141"/>
        <v>0.12455141558646797</v>
      </c>
      <c r="J806" s="190">
        <f t="shared" ca="1" si="142"/>
        <v>0</v>
      </c>
      <c r="K806" s="187" t="str" cm="1">
        <f t="array" aca="1" ref="K806" ca="1">_xlfn.IFS(G806&lt;$B$11,"Fail",G806&lt;25,"Marginal",G806&lt;35,"Solid",TRUE,"Blowout")</f>
        <v>Fail</v>
      </c>
      <c r="L806" s="193">
        <f t="shared" ca="1" si="132"/>
        <v>0</v>
      </c>
      <c r="M806" s="184" t="str" cm="1">
        <f t="array" aca="1" ref="M806" ca="1">_xlfn.IFS(C806&lt;$B$11,"Fail",C806&lt;25,"Marginal",C806&lt;35,"Solid",TRUE,"Blowout")</f>
        <v>Fail</v>
      </c>
    </row>
    <row r="807" spans="1:13" x14ac:dyDescent="0.25">
      <c r="A807" s="138">
        <f t="shared" ca="1" si="133"/>
        <v>27.312502102896456</v>
      </c>
      <c r="B807" s="137">
        <f t="shared" ca="1" si="134"/>
        <v>1.9054215015993154</v>
      </c>
      <c r="C807" s="137">
        <f t="shared" ca="1" si="135"/>
        <v>25.407080601297139</v>
      </c>
      <c r="D807" s="152">
        <f t="shared" ca="1" si="136"/>
        <v>3.2109787932769098</v>
      </c>
      <c r="E807" s="197">
        <f t="shared" ca="1" si="137"/>
        <v>7.567729605407207E-4</v>
      </c>
      <c r="F807" s="137">
        <f t="shared" ca="1" si="138"/>
        <v>53.00209708804136</v>
      </c>
      <c r="G807" s="137">
        <f t="shared" ca="1" si="139"/>
        <v>51.096675586442046</v>
      </c>
      <c r="H807" s="152">
        <f t="shared" ca="1" si="140"/>
        <v>6.4576621096183295</v>
      </c>
      <c r="I807" s="152">
        <f t="shared" ca="1" si="141"/>
        <v>3.1691551115714361E-10</v>
      </c>
      <c r="J807" s="190">
        <f t="shared" ca="1" si="142"/>
        <v>1</v>
      </c>
      <c r="K807" s="187" t="str" cm="1">
        <f t="array" aca="1" ref="K807" ca="1">_xlfn.IFS(G807&lt;$B$11,"Fail",G807&lt;25,"Marginal",G807&lt;35,"Solid",TRUE,"Blowout")</f>
        <v>Blowout</v>
      </c>
      <c r="L807" s="193">
        <f t="shared" ca="1" si="132"/>
        <v>1</v>
      </c>
      <c r="M807" s="184" t="str" cm="1">
        <f t="array" aca="1" ref="M807" ca="1">_xlfn.IFS(C807&lt;$B$11,"Fail",C807&lt;25,"Marginal",C807&lt;35,"Solid",TRUE,"Blowout")</f>
        <v>Solid</v>
      </c>
    </row>
    <row r="808" spans="1:13" x14ac:dyDescent="0.25">
      <c r="A808" s="138">
        <f t="shared" ca="1" si="133"/>
        <v>54.485405823347548</v>
      </c>
      <c r="B808" s="137">
        <f t="shared" ca="1" si="134"/>
        <v>10.151670355047077</v>
      </c>
      <c r="C808" s="137">
        <f t="shared" ca="1" si="135"/>
        <v>44.333735468300475</v>
      </c>
      <c r="D808" s="152">
        <f t="shared" ca="1" si="136"/>
        <v>5.6029532337608829</v>
      </c>
      <c r="E808" s="197">
        <f t="shared" ca="1" si="137"/>
        <v>3.0238934523164681E-8</v>
      </c>
      <c r="F808" s="137">
        <f t="shared" ca="1" si="138"/>
        <v>39.071164296378939</v>
      </c>
      <c r="G808" s="137">
        <f t="shared" ca="1" si="139"/>
        <v>28.919493941331861</v>
      </c>
      <c r="H808" s="152">
        <f t="shared" ca="1" si="140"/>
        <v>3.6548820077020499</v>
      </c>
      <c r="I808" s="152">
        <f t="shared" ca="1" si="141"/>
        <v>1.59688700708323E-4</v>
      </c>
      <c r="J808" s="190">
        <f t="shared" ca="1" si="142"/>
        <v>1</v>
      </c>
      <c r="K808" s="187" t="str" cm="1">
        <f t="array" aca="1" ref="K808" ca="1">_xlfn.IFS(G808&lt;$B$11,"Fail",G808&lt;25,"Marginal",G808&lt;35,"Solid",TRUE,"Blowout")</f>
        <v>Solid</v>
      </c>
      <c r="L808" s="193">
        <f t="shared" ca="1" si="132"/>
        <v>1</v>
      </c>
      <c r="M808" s="184" t="str" cm="1">
        <f t="array" aca="1" ref="M808" ca="1">_xlfn.IFS(C808&lt;$B$11,"Fail",C808&lt;25,"Marginal",C808&lt;35,"Solid",TRUE,"Blowout")</f>
        <v>Blowout</v>
      </c>
    </row>
    <row r="809" spans="1:13" x14ac:dyDescent="0.25">
      <c r="A809" s="138">
        <f t="shared" ca="1" si="133"/>
        <v>7.0073197300166452</v>
      </c>
      <c r="B809" s="137">
        <f t="shared" ca="1" si="134"/>
        <v>8.607601388585568</v>
      </c>
      <c r="C809" s="137">
        <f t="shared" ca="1" si="135"/>
        <v>-1.6002816585689228</v>
      </c>
      <c r="D809" s="152">
        <f t="shared" ca="1" si="136"/>
        <v>-0.20224560820547288</v>
      </c>
      <c r="E809" s="197">
        <f t="shared" ca="1" si="137"/>
        <v>0.58004746730172618</v>
      </c>
      <c r="F809" s="137">
        <f t="shared" ca="1" si="138"/>
        <v>19.360675622550083</v>
      </c>
      <c r="G809" s="137">
        <f t="shared" ca="1" si="139"/>
        <v>10.753074233964515</v>
      </c>
      <c r="H809" s="152">
        <f t="shared" ca="1" si="140"/>
        <v>1.358987042613216</v>
      </c>
      <c r="I809" s="152">
        <f t="shared" ca="1" si="141"/>
        <v>8.774673961138478E-2</v>
      </c>
      <c r="J809" s="190">
        <f t="shared" ca="1" si="142"/>
        <v>0</v>
      </c>
      <c r="K809" s="187" t="str" cm="1">
        <f t="array" aca="1" ref="K809" ca="1">_xlfn.IFS(G809&lt;$B$11,"Fail",G809&lt;25,"Marginal",G809&lt;35,"Solid",TRUE,"Blowout")</f>
        <v>Fail</v>
      </c>
      <c r="L809" s="193">
        <f t="shared" ca="1" si="132"/>
        <v>0</v>
      </c>
      <c r="M809" s="184" t="str" cm="1">
        <f t="array" aca="1" ref="M809" ca="1">_xlfn.IFS(C809&lt;$B$11,"Fail",C809&lt;25,"Marginal",C809&lt;35,"Solid",TRUE,"Blowout")</f>
        <v>Fail</v>
      </c>
    </row>
    <row r="810" spans="1:13" x14ac:dyDescent="0.25">
      <c r="A810" s="138">
        <f t="shared" ca="1" si="133"/>
        <v>59.632239424234875</v>
      </c>
      <c r="B810" s="137">
        <f t="shared" ca="1" si="134"/>
        <v>11.695675016076018</v>
      </c>
      <c r="C810" s="137">
        <f t="shared" ca="1" si="135"/>
        <v>47.936564408158858</v>
      </c>
      <c r="D810" s="152">
        <f t="shared" ca="1" si="136"/>
        <v>6.0582832853803898</v>
      </c>
      <c r="E810" s="197">
        <f t="shared" ca="1" si="137"/>
        <v>2.8155517566954129E-9</v>
      </c>
      <c r="F810" s="137">
        <f t="shared" ca="1" si="138"/>
        <v>38.936940578201025</v>
      </c>
      <c r="G810" s="137">
        <f t="shared" ca="1" si="139"/>
        <v>27.241265562125008</v>
      </c>
      <c r="H810" s="152">
        <f t="shared" ca="1" si="140"/>
        <v>3.4427853949320819</v>
      </c>
      <c r="I810" s="152">
        <f t="shared" ca="1" si="141"/>
        <v>3.4245502483461773E-4</v>
      </c>
      <c r="J810" s="190">
        <f t="shared" ca="1" si="142"/>
        <v>1</v>
      </c>
      <c r="K810" s="187" t="str" cm="1">
        <f t="array" aca="1" ref="K810" ca="1">_xlfn.IFS(G810&lt;$B$11,"Fail",G810&lt;25,"Marginal",G810&lt;35,"Solid",TRUE,"Blowout")</f>
        <v>Solid</v>
      </c>
      <c r="L810" s="193">
        <f t="shared" ca="1" si="132"/>
        <v>1</v>
      </c>
      <c r="M810" s="184" t="str" cm="1">
        <f t="array" aca="1" ref="M810" ca="1">_xlfn.IFS(C810&lt;$B$11,"Fail",C810&lt;25,"Marginal",C810&lt;35,"Solid",TRUE,"Blowout")</f>
        <v>Blowout</v>
      </c>
    </row>
    <row r="811" spans="1:13" x14ac:dyDescent="0.25">
      <c r="A811" s="138">
        <f t="shared" ca="1" si="133"/>
        <v>51.73621959549267</v>
      </c>
      <c r="B811" s="137">
        <f t="shared" ca="1" si="134"/>
        <v>4.7616200634225194</v>
      </c>
      <c r="C811" s="137">
        <f t="shared" ca="1" si="135"/>
        <v>46.974599532070151</v>
      </c>
      <c r="D811" s="152">
        <f t="shared" ca="1" si="136"/>
        <v>5.9367089547648373</v>
      </c>
      <c r="E811" s="197">
        <f t="shared" ca="1" si="137"/>
        <v>5.3733720934788446E-9</v>
      </c>
      <c r="F811" s="137">
        <f t="shared" ca="1" si="138"/>
        <v>-3.9247771948607411</v>
      </c>
      <c r="G811" s="137">
        <f t="shared" ca="1" si="139"/>
        <v>-8.6863972582832609</v>
      </c>
      <c r="H811" s="152">
        <f t="shared" ca="1" si="140"/>
        <v>-1.0977978077852144</v>
      </c>
      <c r="I811" s="152">
        <f t="shared" ca="1" si="141"/>
        <v>0.8632746059835763</v>
      </c>
      <c r="J811" s="190">
        <f t="shared" ca="1" si="142"/>
        <v>0</v>
      </c>
      <c r="K811" s="187" t="str" cm="1">
        <f t="array" aca="1" ref="K811" ca="1">_xlfn.IFS(G811&lt;$B$11,"Fail",G811&lt;25,"Marginal",G811&lt;35,"Solid",TRUE,"Blowout")</f>
        <v>Fail</v>
      </c>
      <c r="L811" s="193">
        <f t="shared" ca="1" si="132"/>
        <v>1</v>
      </c>
      <c r="M811" s="184" t="str" cm="1">
        <f t="array" aca="1" ref="M811" ca="1">_xlfn.IFS(C811&lt;$B$11,"Fail",C811&lt;25,"Marginal",C811&lt;35,"Solid",TRUE,"Blowout")</f>
        <v>Blowout</v>
      </c>
    </row>
    <row r="812" spans="1:13" x14ac:dyDescent="0.25">
      <c r="A812" s="138">
        <f t="shared" ca="1" si="133"/>
        <v>16.333216145348516</v>
      </c>
      <c r="B812" s="137">
        <f t="shared" ca="1" si="134"/>
        <v>2.6255739453652089</v>
      </c>
      <c r="C812" s="137">
        <f t="shared" ca="1" si="135"/>
        <v>13.707642199983306</v>
      </c>
      <c r="D812" s="152">
        <f t="shared" ca="1" si="136"/>
        <v>1.7323890572349698</v>
      </c>
      <c r="E812" s="197">
        <f t="shared" ca="1" si="137"/>
        <v>4.2278314081512704E-2</v>
      </c>
      <c r="F812" s="137">
        <f t="shared" ca="1" si="138"/>
        <v>33.528199841086341</v>
      </c>
      <c r="G812" s="137">
        <f t="shared" ca="1" si="139"/>
        <v>30.902625895721133</v>
      </c>
      <c r="H812" s="152">
        <f t="shared" ca="1" si="140"/>
        <v>3.9055127176895894</v>
      </c>
      <c r="I812" s="152">
        <f t="shared" ca="1" si="141"/>
        <v>6.1951833687596473E-5</v>
      </c>
      <c r="J812" s="190">
        <f t="shared" ca="1" si="142"/>
        <v>1</v>
      </c>
      <c r="K812" s="187" t="str" cm="1">
        <f t="array" aca="1" ref="K812" ca="1">_xlfn.IFS(G812&lt;$B$11,"Fail",G812&lt;25,"Marginal",G812&lt;35,"Solid",TRUE,"Blowout")</f>
        <v>Solid</v>
      </c>
      <c r="L812" s="193">
        <f t="shared" ca="1" si="132"/>
        <v>0</v>
      </c>
      <c r="M812" s="184" t="str" cm="1">
        <f t="array" aca="1" ref="M812" ca="1">_xlfn.IFS(C812&lt;$B$11,"Fail",C812&lt;25,"Marginal",C812&lt;35,"Solid",TRUE,"Blowout")</f>
        <v>Fail</v>
      </c>
    </row>
    <row r="813" spans="1:13" x14ac:dyDescent="0.25">
      <c r="A813" s="138">
        <f t="shared" ca="1" si="133"/>
        <v>38.245406134586496</v>
      </c>
      <c r="B813" s="137">
        <f t="shared" ca="1" si="134"/>
        <v>5.2851977349614376</v>
      </c>
      <c r="C813" s="137">
        <f t="shared" ca="1" si="135"/>
        <v>32.96020839962506</v>
      </c>
      <c r="D813" s="152">
        <f t="shared" ca="1" si="136"/>
        <v>4.165552581738976</v>
      </c>
      <c r="E813" s="197">
        <f t="shared" ca="1" si="137"/>
        <v>2.2042879937965496E-5</v>
      </c>
      <c r="F813" s="137">
        <f t="shared" ca="1" si="138"/>
        <v>24.919908674304732</v>
      </c>
      <c r="G813" s="137">
        <f t="shared" ca="1" si="139"/>
        <v>19.634710939343293</v>
      </c>
      <c r="H813" s="152">
        <f t="shared" ca="1" si="140"/>
        <v>2.4814594572166104</v>
      </c>
      <c r="I813" s="152">
        <f t="shared" ca="1" si="141"/>
        <v>6.9034083909166721E-3</v>
      </c>
      <c r="J813" s="190">
        <f t="shared" ca="1" si="142"/>
        <v>0</v>
      </c>
      <c r="K813" s="187" t="str" cm="1">
        <f t="array" aca="1" ref="K813" ca="1">_xlfn.IFS(G813&lt;$B$11,"Fail",G813&lt;25,"Marginal",G813&lt;35,"Solid",TRUE,"Blowout")</f>
        <v>Fail</v>
      </c>
      <c r="L813" s="193">
        <f t="shared" ca="1" si="132"/>
        <v>1</v>
      </c>
      <c r="M813" s="184" t="str" cm="1">
        <f t="array" aca="1" ref="M813" ca="1">_xlfn.IFS(C813&lt;$B$11,"Fail",C813&lt;25,"Marginal",C813&lt;35,"Solid",TRUE,"Blowout")</f>
        <v>Solid</v>
      </c>
    </row>
    <row r="814" spans="1:13" x14ac:dyDescent="0.25">
      <c r="A814" s="138">
        <f t="shared" ca="1" si="133"/>
        <v>5.2951258919271034</v>
      </c>
      <c r="B814" s="137">
        <f t="shared" ca="1" si="134"/>
        <v>0.45061609741542075</v>
      </c>
      <c r="C814" s="137">
        <f t="shared" ca="1" si="135"/>
        <v>4.8445097945116826</v>
      </c>
      <c r="D814" s="152">
        <f t="shared" ca="1" si="136"/>
        <v>0.61225523932116444</v>
      </c>
      <c r="E814" s="197">
        <f t="shared" ca="1" si="137"/>
        <v>0.27048950307048991</v>
      </c>
      <c r="F814" s="137">
        <f t="shared" ca="1" si="138"/>
        <v>26.973716805308808</v>
      </c>
      <c r="G814" s="137">
        <f t="shared" ca="1" si="139"/>
        <v>26.523100707893388</v>
      </c>
      <c r="H814" s="152">
        <f t="shared" ca="1" si="140"/>
        <v>3.352022817633185</v>
      </c>
      <c r="I814" s="152">
        <f t="shared" ca="1" si="141"/>
        <v>4.6952644620917351E-4</v>
      </c>
      <c r="J814" s="190">
        <f t="shared" ca="1" si="142"/>
        <v>1</v>
      </c>
      <c r="K814" s="187" t="str" cm="1">
        <f t="array" aca="1" ref="K814" ca="1">_xlfn.IFS(G814&lt;$B$11,"Fail",G814&lt;25,"Marginal",G814&lt;35,"Solid",TRUE,"Blowout")</f>
        <v>Solid</v>
      </c>
      <c r="L814" s="193">
        <f t="shared" ca="1" si="132"/>
        <v>0</v>
      </c>
      <c r="M814" s="184" t="str" cm="1">
        <f t="array" aca="1" ref="M814" ca="1">_xlfn.IFS(C814&lt;$B$11,"Fail",C814&lt;25,"Marginal",C814&lt;35,"Solid",TRUE,"Blowout")</f>
        <v>Fail</v>
      </c>
    </row>
    <row r="815" spans="1:13" x14ac:dyDescent="0.25">
      <c r="A815" s="138">
        <f t="shared" ca="1" si="133"/>
        <v>8.0577485728266112</v>
      </c>
      <c r="B815" s="137">
        <f t="shared" ca="1" si="134"/>
        <v>11.457152341361542</v>
      </c>
      <c r="C815" s="137">
        <f t="shared" ca="1" si="135"/>
        <v>-3.3994037685349312</v>
      </c>
      <c r="D815" s="152">
        <f t="shared" ca="1" si="136"/>
        <v>-0.42962092268066387</v>
      </c>
      <c r="E815" s="197">
        <f t="shared" ca="1" si="137"/>
        <v>0.6660614288778175</v>
      </c>
      <c r="F815" s="137">
        <f t="shared" ca="1" si="138"/>
        <v>18.411719646261901</v>
      </c>
      <c r="G815" s="137">
        <f t="shared" ca="1" si="139"/>
        <v>6.9545673049003582</v>
      </c>
      <c r="H815" s="152">
        <f t="shared" ca="1" si="140"/>
        <v>0.87892696067221177</v>
      </c>
      <c r="I815" s="152">
        <f t="shared" ca="1" si="141"/>
        <v>0.19018311380756225</v>
      </c>
      <c r="J815" s="190">
        <f t="shared" ca="1" si="142"/>
        <v>0</v>
      </c>
      <c r="K815" s="187" t="str" cm="1">
        <f t="array" aca="1" ref="K815" ca="1">_xlfn.IFS(G815&lt;$B$11,"Fail",G815&lt;25,"Marginal",G815&lt;35,"Solid",TRUE,"Blowout")</f>
        <v>Fail</v>
      </c>
      <c r="L815" s="193">
        <f t="shared" ca="1" si="132"/>
        <v>0</v>
      </c>
      <c r="M815" s="184" t="str" cm="1">
        <f t="array" aca="1" ref="M815" ca="1">_xlfn.IFS(C815&lt;$B$11,"Fail",C815&lt;25,"Marginal",C815&lt;35,"Solid",TRUE,"Blowout")</f>
        <v>Fail</v>
      </c>
    </row>
    <row r="816" spans="1:13" x14ac:dyDescent="0.25">
      <c r="A816" s="138">
        <f t="shared" ca="1" si="133"/>
        <v>1.2445374209782718</v>
      </c>
      <c r="B816" s="137">
        <f t="shared" ca="1" si="134"/>
        <v>8.5410978368237913</v>
      </c>
      <c r="C816" s="137">
        <f t="shared" ca="1" si="135"/>
        <v>-7.2965604158455193</v>
      </c>
      <c r="D816" s="152">
        <f t="shared" ca="1" si="136"/>
        <v>-0.92214848005589267</v>
      </c>
      <c r="E816" s="197">
        <f t="shared" ca="1" si="137"/>
        <v>0.8212870522317941</v>
      </c>
      <c r="F816" s="137">
        <f t="shared" ca="1" si="138"/>
        <v>30.78951176595946</v>
      </c>
      <c r="G816" s="137">
        <f t="shared" ca="1" si="139"/>
        <v>22.248413929135669</v>
      </c>
      <c r="H816" s="152">
        <f t="shared" ca="1" si="140"/>
        <v>2.8117825275389561</v>
      </c>
      <c r="I816" s="152">
        <f t="shared" ca="1" si="141"/>
        <v>2.6779701415599617E-3</v>
      </c>
      <c r="J816" s="190">
        <f t="shared" ca="1" si="142"/>
        <v>1</v>
      </c>
      <c r="K816" s="187" t="str" cm="1">
        <f t="array" aca="1" ref="K816" ca="1">_xlfn.IFS(G816&lt;$B$11,"Fail",G816&lt;25,"Marginal",G816&lt;35,"Solid",TRUE,"Blowout")</f>
        <v>Marginal</v>
      </c>
      <c r="L816" s="193">
        <f t="shared" ca="1" si="132"/>
        <v>0</v>
      </c>
      <c r="M816" s="184" t="str" cm="1">
        <f t="array" aca="1" ref="M816" ca="1">_xlfn.IFS(C816&lt;$B$11,"Fail",C816&lt;25,"Marginal",C816&lt;35,"Solid",TRUE,"Blowout")</f>
        <v>Fail</v>
      </c>
    </row>
    <row r="817" spans="1:13" x14ac:dyDescent="0.25">
      <c r="A817" s="138">
        <f t="shared" ca="1" si="133"/>
        <v>56.716963609005646</v>
      </c>
      <c r="B817" s="137">
        <f t="shared" ca="1" si="134"/>
        <v>1.2914027575862654</v>
      </c>
      <c r="C817" s="137">
        <f t="shared" ca="1" si="135"/>
        <v>55.425560851419377</v>
      </c>
      <c r="D817" s="152">
        <f t="shared" ca="1" si="136"/>
        <v>7.0047520725502164</v>
      </c>
      <c r="E817" s="197">
        <f t="shared" ca="1" si="137"/>
        <v>1.3771384649054971E-11</v>
      </c>
      <c r="F817" s="137">
        <f t="shared" ca="1" si="138"/>
        <v>10.209542359966646</v>
      </c>
      <c r="G817" s="137">
        <f t="shared" ca="1" si="139"/>
        <v>8.9181396023803803</v>
      </c>
      <c r="H817" s="152">
        <f t="shared" ca="1" si="140"/>
        <v>1.1270856966252309</v>
      </c>
      <c r="I817" s="152">
        <f t="shared" ca="1" si="141"/>
        <v>0.13044551188727702</v>
      </c>
      <c r="J817" s="190">
        <f t="shared" ca="1" si="142"/>
        <v>0</v>
      </c>
      <c r="K817" s="187" t="str" cm="1">
        <f t="array" aca="1" ref="K817" ca="1">_xlfn.IFS(G817&lt;$B$11,"Fail",G817&lt;25,"Marginal",G817&lt;35,"Solid",TRUE,"Blowout")</f>
        <v>Fail</v>
      </c>
      <c r="L817" s="193">
        <f t="shared" ca="1" si="132"/>
        <v>1</v>
      </c>
      <c r="M817" s="184" t="str" cm="1">
        <f t="array" aca="1" ref="M817" ca="1">_xlfn.IFS(C817&lt;$B$11,"Fail",C817&lt;25,"Marginal",C817&lt;35,"Solid",TRUE,"Blowout")</f>
        <v>Blowout</v>
      </c>
    </row>
    <row r="818" spans="1:13" x14ac:dyDescent="0.25">
      <c r="A818" s="138">
        <f t="shared" ca="1" si="133"/>
        <v>28.121536384347287</v>
      </c>
      <c r="B818" s="137">
        <f t="shared" ca="1" si="134"/>
        <v>8.2583448349497957</v>
      </c>
      <c r="C818" s="137">
        <f t="shared" ca="1" si="135"/>
        <v>19.863191549397492</v>
      </c>
      <c r="D818" s="152">
        <f t="shared" ca="1" si="136"/>
        <v>2.5103351240069753</v>
      </c>
      <c r="E818" s="197">
        <f t="shared" ca="1" si="137"/>
        <v>6.3778525898300076E-3</v>
      </c>
      <c r="F818" s="137">
        <f t="shared" ca="1" si="138"/>
        <v>13.09147010293664</v>
      </c>
      <c r="G818" s="137">
        <f t="shared" ca="1" si="139"/>
        <v>4.8331252679868442</v>
      </c>
      <c r="H818" s="152">
        <f t="shared" ca="1" si="140"/>
        <v>0.61081644854404193</v>
      </c>
      <c r="I818" s="152">
        <f t="shared" ca="1" si="141"/>
        <v>0.27096476634725608</v>
      </c>
      <c r="J818" s="190">
        <f t="shared" ca="1" si="142"/>
        <v>0</v>
      </c>
      <c r="K818" s="187" t="str" cm="1">
        <f t="array" aca="1" ref="K818" ca="1">_xlfn.IFS(G818&lt;$B$11,"Fail",G818&lt;25,"Marginal",G818&lt;35,"Solid",TRUE,"Blowout")</f>
        <v>Fail</v>
      </c>
      <c r="L818" s="193">
        <f t="shared" ca="1" si="132"/>
        <v>0</v>
      </c>
      <c r="M818" s="184" t="str" cm="1">
        <f t="array" aca="1" ref="M818" ca="1">_xlfn.IFS(C818&lt;$B$11,"Fail",C818&lt;25,"Marginal",C818&lt;35,"Solid",TRUE,"Blowout")</f>
        <v>Fail</v>
      </c>
    </row>
    <row r="819" spans="1:13" x14ac:dyDescent="0.25">
      <c r="A819" s="138">
        <f t="shared" ca="1" si="133"/>
        <v>24.673904228984053</v>
      </c>
      <c r="B819" s="137">
        <f t="shared" ca="1" si="134"/>
        <v>8.5538200635391846</v>
      </c>
      <c r="C819" s="137">
        <f t="shared" ca="1" si="135"/>
        <v>16.120084165444869</v>
      </c>
      <c r="D819" s="152">
        <f t="shared" ca="1" si="136"/>
        <v>2.0372765062366023</v>
      </c>
      <c r="E819" s="197">
        <f t="shared" ca="1" si="137"/>
        <v>2.1388746679209241E-2</v>
      </c>
      <c r="F819" s="137">
        <f t="shared" ca="1" si="138"/>
        <v>53.450681489489845</v>
      </c>
      <c r="G819" s="137">
        <f t="shared" ca="1" si="139"/>
        <v>44.896861425950661</v>
      </c>
      <c r="H819" s="152">
        <f t="shared" ca="1" si="140"/>
        <v>5.6741218003637766</v>
      </c>
      <c r="I819" s="152">
        <f t="shared" ca="1" si="141"/>
        <v>2.1042914041443702E-8</v>
      </c>
      <c r="J819" s="190">
        <f t="shared" ca="1" si="142"/>
        <v>1</v>
      </c>
      <c r="K819" s="187" t="str" cm="1">
        <f t="array" aca="1" ref="K819" ca="1">_xlfn.IFS(G819&lt;$B$11,"Fail",G819&lt;25,"Marginal",G819&lt;35,"Solid",TRUE,"Blowout")</f>
        <v>Blowout</v>
      </c>
      <c r="L819" s="193">
        <f t="shared" ca="1" si="132"/>
        <v>0</v>
      </c>
      <c r="M819" s="184" t="str" cm="1">
        <f t="array" aca="1" ref="M819" ca="1">_xlfn.IFS(C819&lt;$B$11,"Fail",C819&lt;25,"Marginal",C819&lt;35,"Solid",TRUE,"Blowout")</f>
        <v>Fail</v>
      </c>
    </row>
    <row r="820" spans="1:13" x14ac:dyDescent="0.25">
      <c r="A820" s="138">
        <f t="shared" ca="1" si="133"/>
        <v>49.626179257296343</v>
      </c>
      <c r="B820" s="137">
        <f t="shared" ca="1" si="134"/>
        <v>1.9407244084052069</v>
      </c>
      <c r="C820" s="137">
        <f t="shared" ca="1" si="135"/>
        <v>47.685454848891133</v>
      </c>
      <c r="D820" s="152">
        <f t="shared" ca="1" si="136"/>
        <v>6.026547743534759</v>
      </c>
      <c r="E820" s="197">
        <f t="shared" ca="1" si="137"/>
        <v>3.3358344682513029E-9</v>
      </c>
      <c r="F820" s="137">
        <f t="shared" ca="1" si="138"/>
        <v>55.39744899759463</v>
      </c>
      <c r="G820" s="137">
        <f t="shared" ca="1" si="139"/>
        <v>53.45672458918942</v>
      </c>
      <c r="H820" s="152">
        <f t="shared" ca="1" si="140"/>
        <v>6.7559280701131863</v>
      </c>
      <c r="I820" s="152">
        <f t="shared" ca="1" si="141"/>
        <v>5.8484064629251499E-11</v>
      </c>
      <c r="J820" s="190">
        <f t="shared" ca="1" si="142"/>
        <v>1</v>
      </c>
      <c r="K820" s="187" t="str" cm="1">
        <f t="array" aca="1" ref="K820" ca="1">_xlfn.IFS(G820&lt;$B$11,"Fail",G820&lt;25,"Marginal",G820&lt;35,"Solid",TRUE,"Blowout")</f>
        <v>Blowout</v>
      </c>
      <c r="L820" s="193">
        <f t="shared" ca="1" si="132"/>
        <v>1</v>
      </c>
      <c r="M820" s="184" t="str" cm="1">
        <f t="array" aca="1" ref="M820" ca="1">_xlfn.IFS(C820&lt;$B$11,"Fail",C820&lt;25,"Marginal",C820&lt;35,"Solid",TRUE,"Blowout")</f>
        <v>Blowout</v>
      </c>
    </row>
    <row r="821" spans="1:13" x14ac:dyDescent="0.25">
      <c r="A821" s="138">
        <f t="shared" ca="1" si="133"/>
        <v>25.040720095415029</v>
      </c>
      <c r="B821" s="137">
        <f t="shared" ca="1" si="134"/>
        <v>5.9490114093616864</v>
      </c>
      <c r="C821" s="137">
        <f t="shared" ca="1" si="135"/>
        <v>19.091708686053344</v>
      </c>
      <c r="D821" s="152">
        <f t="shared" ca="1" si="136"/>
        <v>2.4128341496743269</v>
      </c>
      <c r="E821" s="197">
        <f t="shared" ca="1" si="137"/>
        <v>8.309747440073895E-3</v>
      </c>
      <c r="F821" s="137">
        <f t="shared" ca="1" si="138"/>
        <v>3.4633620703574177</v>
      </c>
      <c r="G821" s="137">
        <f t="shared" ca="1" si="139"/>
        <v>-2.4856493390042687</v>
      </c>
      <c r="H821" s="152">
        <f t="shared" ca="1" si="140"/>
        <v>-0.31413948892097399</v>
      </c>
      <c r="I821" s="152">
        <f t="shared" ca="1" si="141"/>
        <v>0.62314882794120674</v>
      </c>
      <c r="J821" s="190">
        <f t="shared" ca="1" si="142"/>
        <v>0</v>
      </c>
      <c r="K821" s="187" t="str" cm="1">
        <f t="array" aca="1" ref="K821" ca="1">_xlfn.IFS(G821&lt;$B$11,"Fail",G821&lt;25,"Marginal",G821&lt;35,"Solid",TRUE,"Blowout")</f>
        <v>Fail</v>
      </c>
      <c r="L821" s="193">
        <f t="shared" ca="1" si="132"/>
        <v>0</v>
      </c>
      <c r="M821" s="184" t="str" cm="1">
        <f t="array" aca="1" ref="M821" ca="1">_xlfn.IFS(C821&lt;$B$11,"Fail",C821&lt;25,"Marginal",C821&lt;35,"Solid",TRUE,"Blowout")</f>
        <v>Fail</v>
      </c>
    </row>
    <row r="822" spans="1:13" x14ac:dyDescent="0.25">
      <c r="A822" s="138">
        <f t="shared" ca="1" si="133"/>
        <v>30.649133413984984</v>
      </c>
      <c r="B822" s="137">
        <f t="shared" ca="1" si="134"/>
        <v>10.985732363930721</v>
      </c>
      <c r="C822" s="137">
        <f t="shared" ca="1" si="135"/>
        <v>19.663401050054262</v>
      </c>
      <c r="D822" s="152">
        <f t="shared" ca="1" si="136"/>
        <v>2.4850853494832323</v>
      </c>
      <c r="E822" s="197">
        <f t="shared" ca="1" si="137"/>
        <v>6.8353668335723958E-3</v>
      </c>
      <c r="F822" s="137">
        <f t="shared" ca="1" si="138"/>
        <v>25.478219981760702</v>
      </c>
      <c r="G822" s="137">
        <f t="shared" ca="1" si="139"/>
        <v>14.492487617829982</v>
      </c>
      <c r="H822" s="152">
        <f t="shared" ca="1" si="140"/>
        <v>1.8315788080077355</v>
      </c>
      <c r="I822" s="152">
        <f t="shared" ca="1" si="141"/>
        <v>3.4159473684284132E-2</v>
      </c>
      <c r="J822" s="190">
        <f t="shared" ca="1" si="142"/>
        <v>0</v>
      </c>
      <c r="K822" s="187" t="str" cm="1">
        <f t="array" aca="1" ref="K822" ca="1">_xlfn.IFS(G822&lt;$B$11,"Fail",G822&lt;25,"Marginal",G822&lt;35,"Solid",TRUE,"Blowout")</f>
        <v>Fail</v>
      </c>
      <c r="L822" s="193">
        <f t="shared" ca="1" si="132"/>
        <v>0</v>
      </c>
      <c r="M822" s="184" t="str" cm="1">
        <f t="array" aca="1" ref="M822" ca="1">_xlfn.IFS(C822&lt;$B$11,"Fail",C822&lt;25,"Marginal",C822&lt;35,"Solid",TRUE,"Blowout")</f>
        <v>Fail</v>
      </c>
    </row>
    <row r="823" spans="1:13" x14ac:dyDescent="0.25">
      <c r="A823" s="138">
        <f t="shared" ca="1" si="133"/>
        <v>49.440195588284801</v>
      </c>
      <c r="B823" s="137">
        <f t="shared" ca="1" si="134"/>
        <v>-2.6564987319872539</v>
      </c>
      <c r="C823" s="137">
        <f t="shared" ca="1" si="135"/>
        <v>52.096694320272057</v>
      </c>
      <c r="D823" s="152">
        <f t="shared" ca="1" si="136"/>
        <v>6.5840457346241816</v>
      </c>
      <c r="E823" s="197">
        <f t="shared" ca="1" si="137"/>
        <v>1.5579362521740284E-10</v>
      </c>
      <c r="F823" s="137">
        <f t="shared" ca="1" si="138"/>
        <v>55.748194895934425</v>
      </c>
      <c r="G823" s="137">
        <f t="shared" ca="1" si="139"/>
        <v>58.404693627921681</v>
      </c>
      <c r="H823" s="152">
        <f t="shared" ca="1" si="140"/>
        <v>7.3812586188086904</v>
      </c>
      <c r="I823" s="152">
        <f t="shared" ca="1" si="141"/>
        <v>1.4544883678281778E-12</v>
      </c>
      <c r="J823" s="190">
        <f t="shared" ca="1" si="142"/>
        <v>1</v>
      </c>
      <c r="K823" s="187" t="str" cm="1">
        <f t="array" aca="1" ref="K823" ca="1">_xlfn.IFS(G823&lt;$B$11,"Fail",G823&lt;25,"Marginal",G823&lt;35,"Solid",TRUE,"Blowout")</f>
        <v>Blowout</v>
      </c>
      <c r="L823" s="193">
        <f t="shared" ca="1" si="132"/>
        <v>1</v>
      </c>
      <c r="M823" s="184" t="str" cm="1">
        <f t="array" aca="1" ref="M823" ca="1">_xlfn.IFS(C823&lt;$B$11,"Fail",C823&lt;25,"Marginal",C823&lt;35,"Solid",TRUE,"Blowout")</f>
        <v>Blowout</v>
      </c>
    </row>
    <row r="824" spans="1:13" x14ac:dyDescent="0.25">
      <c r="A824" s="138">
        <f t="shared" ca="1" si="133"/>
        <v>32.994083590664495</v>
      </c>
      <c r="B824" s="137">
        <f t="shared" ca="1" si="134"/>
        <v>9.3070829540474413</v>
      </c>
      <c r="C824" s="137">
        <f t="shared" ca="1" si="135"/>
        <v>23.687000636617054</v>
      </c>
      <c r="D824" s="152">
        <f t="shared" ca="1" si="136"/>
        <v>2.9935929245106152</v>
      </c>
      <c r="E824" s="197">
        <f t="shared" ca="1" si="137"/>
        <v>1.5304813851917027E-3</v>
      </c>
      <c r="F824" s="137">
        <f t="shared" ca="1" si="138"/>
        <v>41.040694201549741</v>
      </c>
      <c r="G824" s="137">
        <f t="shared" ca="1" si="139"/>
        <v>31.733611247502299</v>
      </c>
      <c r="H824" s="152">
        <f t="shared" ca="1" si="140"/>
        <v>4.0105336913293881</v>
      </c>
      <c r="I824" s="152">
        <f t="shared" ca="1" si="141"/>
        <v>4.106683552541592E-5</v>
      </c>
      <c r="J824" s="190">
        <f t="shared" ca="1" si="142"/>
        <v>1</v>
      </c>
      <c r="K824" s="187" t="str" cm="1">
        <f t="array" aca="1" ref="K824" ca="1">_xlfn.IFS(G824&lt;$B$11,"Fail",G824&lt;25,"Marginal",G824&lt;35,"Solid",TRUE,"Blowout")</f>
        <v>Solid</v>
      </c>
      <c r="L824" s="193">
        <f t="shared" ca="1" si="132"/>
        <v>1</v>
      </c>
      <c r="M824" s="184" t="str" cm="1">
        <f t="array" aca="1" ref="M824" ca="1">_xlfn.IFS(C824&lt;$B$11,"Fail",C824&lt;25,"Marginal",C824&lt;35,"Solid",TRUE,"Blowout")</f>
        <v>Marginal</v>
      </c>
    </row>
    <row r="825" spans="1:13" x14ac:dyDescent="0.25">
      <c r="A825" s="138">
        <f t="shared" ca="1" si="133"/>
        <v>7.0006556338634223</v>
      </c>
      <c r="B825" s="137">
        <f t="shared" ca="1" si="134"/>
        <v>11.646061885318858</v>
      </c>
      <c r="C825" s="137">
        <f t="shared" ca="1" si="135"/>
        <v>-4.6454062514554355</v>
      </c>
      <c r="D825" s="152">
        <f t="shared" ca="1" si="136"/>
        <v>-0.58709228319674978</v>
      </c>
      <c r="E825" s="197">
        <f t="shared" ca="1" si="137"/>
        <v>0.72113868443025719</v>
      </c>
      <c r="F825" s="137">
        <f t="shared" ca="1" si="138"/>
        <v>25.237976794616106</v>
      </c>
      <c r="G825" s="137">
        <f t="shared" ca="1" si="139"/>
        <v>13.591914909297248</v>
      </c>
      <c r="H825" s="152">
        <f t="shared" ca="1" si="140"/>
        <v>1.7177632967224712</v>
      </c>
      <c r="I825" s="152">
        <f t="shared" ca="1" si="141"/>
        <v>4.3598755157258764E-2</v>
      </c>
      <c r="J825" s="190">
        <f t="shared" ca="1" si="142"/>
        <v>0</v>
      </c>
      <c r="K825" s="187" t="str" cm="1">
        <f t="array" aca="1" ref="K825" ca="1">_xlfn.IFS(G825&lt;$B$11,"Fail",G825&lt;25,"Marginal",G825&lt;35,"Solid",TRUE,"Blowout")</f>
        <v>Fail</v>
      </c>
      <c r="L825" s="193">
        <f t="shared" ca="1" si="132"/>
        <v>0</v>
      </c>
      <c r="M825" s="184" t="str" cm="1">
        <f t="array" aca="1" ref="M825" ca="1">_xlfn.IFS(C825&lt;$B$11,"Fail",C825&lt;25,"Marginal",C825&lt;35,"Solid",TRUE,"Blowout")</f>
        <v>Fail</v>
      </c>
    </row>
    <row r="826" spans="1:13" x14ac:dyDescent="0.25">
      <c r="A826" s="138">
        <f t="shared" ca="1" si="133"/>
        <v>20.950193514311113</v>
      </c>
      <c r="B826" s="137">
        <f t="shared" ca="1" si="134"/>
        <v>6.104812450776242</v>
      </c>
      <c r="C826" s="137">
        <f t="shared" ca="1" si="135"/>
        <v>14.845381063534871</v>
      </c>
      <c r="D826" s="152">
        <f t="shared" ca="1" si="136"/>
        <v>1.8761779254044413</v>
      </c>
      <c r="E826" s="197">
        <f t="shared" ca="1" si="137"/>
        <v>3.0954229819152659E-2</v>
      </c>
      <c r="F826" s="137">
        <f t="shared" ca="1" si="138"/>
        <v>-3.523081576014214</v>
      </c>
      <c r="G826" s="137">
        <f t="shared" ca="1" si="139"/>
        <v>-9.6278940267904556</v>
      </c>
      <c r="H826" s="152">
        <f t="shared" ca="1" si="140"/>
        <v>-1.2167853532279993</v>
      </c>
      <c r="I826" s="152">
        <f t="shared" ca="1" si="141"/>
        <v>0.88752803019117588</v>
      </c>
      <c r="J826" s="190">
        <f t="shared" ca="1" si="142"/>
        <v>0</v>
      </c>
      <c r="K826" s="187" t="str" cm="1">
        <f t="array" aca="1" ref="K826" ca="1">_xlfn.IFS(G826&lt;$B$11,"Fail",G826&lt;25,"Marginal",G826&lt;35,"Solid",TRUE,"Blowout")</f>
        <v>Fail</v>
      </c>
      <c r="L826" s="193">
        <f t="shared" ca="1" si="132"/>
        <v>0</v>
      </c>
      <c r="M826" s="184" t="str" cm="1">
        <f t="array" aca="1" ref="M826" ca="1">_xlfn.IFS(C826&lt;$B$11,"Fail",C826&lt;25,"Marginal",C826&lt;35,"Solid",TRUE,"Blowout")</f>
        <v>Fail</v>
      </c>
    </row>
    <row r="827" spans="1:13" x14ac:dyDescent="0.25">
      <c r="A827" s="138">
        <f t="shared" ca="1" si="133"/>
        <v>9.729255664168587</v>
      </c>
      <c r="B827" s="137">
        <f t="shared" ca="1" si="134"/>
        <v>3.775765182651273</v>
      </c>
      <c r="C827" s="137">
        <f t="shared" ca="1" si="135"/>
        <v>5.9534904815173135</v>
      </c>
      <c r="D827" s="152">
        <f t="shared" ca="1" si="136"/>
        <v>0.75240961297820474</v>
      </c>
      <c r="E827" s="197">
        <f t="shared" ca="1" si="137"/>
        <v>0.22629042747373712</v>
      </c>
      <c r="F827" s="137">
        <f t="shared" ca="1" si="138"/>
        <v>54.232653062215768</v>
      </c>
      <c r="G827" s="137">
        <f t="shared" ca="1" si="139"/>
        <v>50.456887879564498</v>
      </c>
      <c r="H827" s="152">
        <f t="shared" ca="1" si="140"/>
        <v>6.3768049347535332</v>
      </c>
      <c r="I827" s="152">
        <f t="shared" ca="1" si="141"/>
        <v>4.9683550558737821E-10</v>
      </c>
      <c r="J827" s="190">
        <f t="shared" ca="1" si="142"/>
        <v>1</v>
      </c>
      <c r="K827" s="187" t="str" cm="1">
        <f t="array" aca="1" ref="K827" ca="1">_xlfn.IFS(G827&lt;$B$11,"Fail",G827&lt;25,"Marginal",G827&lt;35,"Solid",TRUE,"Blowout")</f>
        <v>Blowout</v>
      </c>
      <c r="L827" s="193">
        <f t="shared" ca="1" si="132"/>
        <v>0</v>
      </c>
      <c r="M827" s="184" t="str" cm="1">
        <f t="array" aca="1" ref="M827" ca="1">_xlfn.IFS(C827&lt;$B$11,"Fail",C827&lt;25,"Marginal",C827&lt;35,"Solid",TRUE,"Blowout")</f>
        <v>Fail</v>
      </c>
    </row>
    <row r="828" spans="1:13" x14ac:dyDescent="0.25">
      <c r="A828" s="138">
        <f t="shared" ca="1" si="133"/>
        <v>41.113115167008374</v>
      </c>
      <c r="B828" s="137">
        <f t="shared" ca="1" si="134"/>
        <v>-3.1965785270986551</v>
      </c>
      <c r="C828" s="137">
        <f t="shared" ca="1" si="135"/>
        <v>44.309693694107025</v>
      </c>
      <c r="D828" s="152">
        <f t="shared" ca="1" si="136"/>
        <v>5.5999148041081668</v>
      </c>
      <c r="E828" s="197">
        <f t="shared" ca="1" si="137"/>
        <v>3.0708454571060665E-8</v>
      </c>
      <c r="F828" s="137">
        <f t="shared" ca="1" si="138"/>
        <v>23.779098678383466</v>
      </c>
      <c r="G828" s="137">
        <f t="shared" ca="1" si="139"/>
        <v>26.975677205482121</v>
      </c>
      <c r="H828" s="152">
        <f t="shared" ca="1" si="140"/>
        <v>3.4092200044685259</v>
      </c>
      <c r="I828" s="152">
        <f t="shared" ca="1" si="141"/>
        <v>3.851423186927201E-4</v>
      </c>
      <c r="J828" s="190">
        <f t="shared" ca="1" si="142"/>
        <v>1</v>
      </c>
      <c r="K828" s="187" t="str" cm="1">
        <f t="array" aca="1" ref="K828" ca="1">_xlfn.IFS(G828&lt;$B$11,"Fail",G828&lt;25,"Marginal",G828&lt;35,"Solid",TRUE,"Blowout")</f>
        <v>Solid</v>
      </c>
      <c r="L828" s="193">
        <f t="shared" ca="1" si="132"/>
        <v>1</v>
      </c>
      <c r="M828" s="184" t="str" cm="1">
        <f t="array" aca="1" ref="M828" ca="1">_xlfn.IFS(C828&lt;$B$11,"Fail",C828&lt;25,"Marginal",C828&lt;35,"Solid",TRUE,"Blowout")</f>
        <v>Blowout</v>
      </c>
    </row>
    <row r="829" spans="1:13" x14ac:dyDescent="0.25">
      <c r="A829" s="138">
        <f t="shared" ca="1" si="133"/>
        <v>24.724918142558288</v>
      </c>
      <c r="B829" s="137">
        <f t="shared" ca="1" si="134"/>
        <v>0.7570097709575796</v>
      </c>
      <c r="C829" s="137">
        <f t="shared" ca="1" si="135"/>
        <v>23.967908371600707</v>
      </c>
      <c r="D829" s="152">
        <f t="shared" ca="1" si="136"/>
        <v>3.0290943972714768</v>
      </c>
      <c r="E829" s="197">
        <f t="shared" ca="1" si="137"/>
        <v>1.3677760903221298E-3</v>
      </c>
      <c r="F829" s="137">
        <f t="shared" ca="1" si="138"/>
        <v>60.612911754159022</v>
      </c>
      <c r="G829" s="137">
        <f t="shared" ca="1" si="139"/>
        <v>59.855901983201441</v>
      </c>
      <c r="H829" s="152">
        <f t="shared" ca="1" si="140"/>
        <v>7.564664155499579</v>
      </c>
      <c r="I829" s="152">
        <f t="shared" ca="1" si="141"/>
        <v>4.7465807877678017E-13</v>
      </c>
      <c r="J829" s="190">
        <f t="shared" ca="1" si="142"/>
        <v>1</v>
      </c>
      <c r="K829" s="187" t="str" cm="1">
        <f t="array" aca="1" ref="K829" ca="1">_xlfn.IFS(G829&lt;$B$11,"Fail",G829&lt;25,"Marginal",G829&lt;35,"Solid",TRUE,"Blowout")</f>
        <v>Blowout</v>
      </c>
      <c r="L829" s="193">
        <f t="shared" ca="1" si="132"/>
        <v>1</v>
      </c>
      <c r="M829" s="184" t="str" cm="1">
        <f t="array" aca="1" ref="M829" ca="1">_xlfn.IFS(C829&lt;$B$11,"Fail",C829&lt;25,"Marginal",C829&lt;35,"Solid",TRUE,"Blowout")</f>
        <v>Marginal</v>
      </c>
    </row>
    <row r="830" spans="1:13" x14ac:dyDescent="0.25">
      <c r="A830" s="138">
        <f t="shared" ca="1" si="133"/>
        <v>26.916117257363517</v>
      </c>
      <c r="B830" s="137">
        <f t="shared" ca="1" si="134"/>
        <v>-4.0935593469152884</v>
      </c>
      <c r="C830" s="137">
        <f t="shared" ca="1" si="135"/>
        <v>31.009676604278805</v>
      </c>
      <c r="D830" s="152">
        <f t="shared" ca="1" si="136"/>
        <v>3.9190419208427607</v>
      </c>
      <c r="E830" s="197">
        <f t="shared" ca="1" si="137"/>
        <v>5.8783666442155411E-5</v>
      </c>
      <c r="F830" s="137">
        <f t="shared" ca="1" si="138"/>
        <v>22.118326575587435</v>
      </c>
      <c r="G830" s="137">
        <f t="shared" ca="1" si="139"/>
        <v>26.211885922502724</v>
      </c>
      <c r="H830" s="152">
        <f t="shared" ca="1" si="140"/>
        <v>3.3126911017337739</v>
      </c>
      <c r="I830" s="152">
        <f t="shared" ca="1" si="141"/>
        <v>5.3723737444998673E-4</v>
      </c>
      <c r="J830" s="190">
        <f t="shared" ca="1" si="142"/>
        <v>1</v>
      </c>
      <c r="K830" s="187" t="str" cm="1">
        <f t="array" aca="1" ref="K830" ca="1">_xlfn.IFS(G830&lt;$B$11,"Fail",G830&lt;25,"Marginal",G830&lt;35,"Solid",TRUE,"Blowout")</f>
        <v>Solid</v>
      </c>
      <c r="L830" s="193">
        <f t="shared" ca="1" si="132"/>
        <v>1</v>
      </c>
      <c r="M830" s="184" t="str" cm="1">
        <f t="array" aca="1" ref="M830" ca="1">_xlfn.IFS(C830&lt;$B$11,"Fail",C830&lt;25,"Marginal",C830&lt;35,"Solid",TRUE,"Blowout")</f>
        <v>Solid</v>
      </c>
    </row>
    <row r="831" spans="1:13" x14ac:dyDescent="0.25">
      <c r="A831" s="138">
        <f t="shared" ca="1" si="133"/>
        <v>11.700021229536041</v>
      </c>
      <c r="B831" s="137">
        <f t="shared" ca="1" si="134"/>
        <v>3.0234400419690752</v>
      </c>
      <c r="C831" s="137">
        <f t="shared" ca="1" si="135"/>
        <v>8.6765811875669669</v>
      </c>
      <c r="D831" s="152">
        <f t="shared" ca="1" si="136"/>
        <v>1.0965572404253534</v>
      </c>
      <c r="E831" s="197">
        <f t="shared" ca="1" si="137"/>
        <v>0.13699591245461423</v>
      </c>
      <c r="F831" s="137">
        <f t="shared" ca="1" si="138"/>
        <v>25.35024292627007</v>
      </c>
      <c r="G831" s="137">
        <f t="shared" ca="1" si="139"/>
        <v>22.326802884300996</v>
      </c>
      <c r="H831" s="152">
        <f t="shared" ca="1" si="140"/>
        <v>2.8216894222590896</v>
      </c>
      <c r="I831" s="152">
        <f t="shared" ca="1" si="141"/>
        <v>2.599372961282076E-3</v>
      </c>
      <c r="J831" s="190">
        <f t="shared" ca="1" si="142"/>
        <v>1</v>
      </c>
      <c r="K831" s="187" t="str" cm="1">
        <f t="array" aca="1" ref="K831" ca="1">_xlfn.IFS(G831&lt;$B$11,"Fail",G831&lt;25,"Marginal",G831&lt;35,"Solid",TRUE,"Blowout")</f>
        <v>Marginal</v>
      </c>
      <c r="L831" s="193">
        <f t="shared" ca="1" si="132"/>
        <v>0</v>
      </c>
      <c r="M831" s="184" t="str" cm="1">
        <f t="array" aca="1" ref="M831" ca="1">_xlfn.IFS(C831&lt;$B$11,"Fail",C831&lt;25,"Marginal",C831&lt;35,"Solid",TRUE,"Blowout")</f>
        <v>Fail</v>
      </c>
    </row>
    <row r="832" spans="1:13" x14ac:dyDescent="0.25">
      <c r="A832" s="138">
        <f t="shared" ca="1" si="133"/>
        <v>35.735638214914218</v>
      </c>
      <c r="B832" s="137">
        <f t="shared" ca="1" si="134"/>
        <v>-0.79609081671680393</v>
      </c>
      <c r="C832" s="137">
        <f t="shared" ca="1" si="135"/>
        <v>36.531729031631023</v>
      </c>
      <c r="D832" s="152">
        <f t="shared" ca="1" si="136"/>
        <v>4.6169258500450008</v>
      </c>
      <c r="E832" s="197">
        <f t="shared" ca="1" si="137"/>
        <v>3.2528851719013429E-6</v>
      </c>
      <c r="F832" s="137">
        <f t="shared" ca="1" si="138"/>
        <v>41.088235875106321</v>
      </c>
      <c r="G832" s="137">
        <f t="shared" ca="1" si="139"/>
        <v>41.884326691823127</v>
      </c>
      <c r="H832" s="152">
        <f t="shared" ca="1" si="140"/>
        <v>5.2933938727009755</v>
      </c>
      <c r="I832" s="152">
        <f t="shared" ca="1" si="141"/>
        <v>1.409314257958097E-7</v>
      </c>
      <c r="J832" s="190">
        <f t="shared" ca="1" si="142"/>
        <v>1</v>
      </c>
      <c r="K832" s="187" t="str" cm="1">
        <f t="array" aca="1" ref="K832" ca="1">_xlfn.IFS(G832&lt;$B$11,"Fail",G832&lt;25,"Marginal",G832&lt;35,"Solid",TRUE,"Blowout")</f>
        <v>Blowout</v>
      </c>
      <c r="L832" s="193">
        <f t="shared" ca="1" si="132"/>
        <v>1</v>
      </c>
      <c r="M832" s="184" t="str" cm="1">
        <f t="array" aca="1" ref="M832" ca="1">_xlfn.IFS(C832&lt;$B$11,"Fail",C832&lt;25,"Marginal",C832&lt;35,"Solid",TRUE,"Blowout")</f>
        <v>Blowout</v>
      </c>
    </row>
    <row r="833" spans="1:13" x14ac:dyDescent="0.25">
      <c r="A833" s="138">
        <f t="shared" ca="1" si="133"/>
        <v>65.32578739442107</v>
      </c>
      <c r="B833" s="137">
        <f t="shared" ca="1" si="134"/>
        <v>10.880999449766183</v>
      </c>
      <c r="C833" s="137">
        <f t="shared" ca="1" si="135"/>
        <v>54.444787944654891</v>
      </c>
      <c r="D833" s="152">
        <f t="shared" ca="1" si="136"/>
        <v>6.8808007593686247</v>
      </c>
      <c r="E833" s="197">
        <f t="shared" ca="1" si="137"/>
        <v>2.841839133407027E-11</v>
      </c>
      <c r="F833" s="137">
        <f t="shared" ca="1" si="138"/>
        <v>18.450692495954492</v>
      </c>
      <c r="G833" s="137">
        <f t="shared" ca="1" si="139"/>
        <v>7.5696930461883092</v>
      </c>
      <c r="H833" s="152">
        <f t="shared" ca="1" si="140"/>
        <v>0.95666732531581855</v>
      </c>
      <c r="I833" s="152">
        <f t="shared" ca="1" si="141"/>
        <v>0.16987423239978583</v>
      </c>
      <c r="J833" s="190">
        <f t="shared" ca="1" si="142"/>
        <v>0</v>
      </c>
      <c r="K833" s="187" t="str" cm="1">
        <f t="array" aca="1" ref="K833" ca="1">_xlfn.IFS(G833&lt;$B$11,"Fail",G833&lt;25,"Marginal",G833&lt;35,"Solid",TRUE,"Blowout")</f>
        <v>Fail</v>
      </c>
      <c r="L833" s="193">
        <f t="shared" ca="1" si="132"/>
        <v>1</v>
      </c>
      <c r="M833" s="184" t="str" cm="1">
        <f t="array" aca="1" ref="M833" ca="1">_xlfn.IFS(C833&lt;$B$11,"Fail",C833&lt;25,"Marginal",C833&lt;35,"Solid",TRUE,"Blowout")</f>
        <v>Blowout</v>
      </c>
    </row>
    <row r="834" spans="1:13" x14ac:dyDescent="0.25">
      <c r="A834" s="138">
        <f t="shared" ca="1" si="133"/>
        <v>3.7133059113157154</v>
      </c>
      <c r="B834" s="137">
        <f t="shared" ca="1" si="134"/>
        <v>-5.8389956214081753</v>
      </c>
      <c r="C834" s="137">
        <f t="shared" ca="1" si="135"/>
        <v>9.5523015327238916</v>
      </c>
      <c r="D834" s="152">
        <f t="shared" ca="1" si="136"/>
        <v>1.2072318787777998</v>
      </c>
      <c r="E834" s="197">
        <f t="shared" ca="1" si="137"/>
        <v>0.11429688613200353</v>
      </c>
      <c r="F834" s="137">
        <f t="shared" ca="1" si="138"/>
        <v>60.937242583198149</v>
      </c>
      <c r="G834" s="137">
        <f t="shared" ca="1" si="139"/>
        <v>66.776238204606329</v>
      </c>
      <c r="H834" s="152">
        <f t="shared" ca="1" si="140"/>
        <v>8.4392649487974403</v>
      </c>
      <c r="I834" s="152">
        <f t="shared" ca="1" si="141"/>
        <v>1.8567490402534214E-15</v>
      </c>
      <c r="J834" s="190">
        <f t="shared" ca="1" si="142"/>
        <v>1</v>
      </c>
      <c r="K834" s="187" t="str" cm="1">
        <f t="array" aca="1" ref="K834" ca="1">_xlfn.IFS(G834&lt;$B$11,"Fail",G834&lt;25,"Marginal",G834&lt;35,"Solid",TRUE,"Blowout")</f>
        <v>Blowout</v>
      </c>
      <c r="L834" s="193">
        <f t="shared" ca="1" si="132"/>
        <v>0</v>
      </c>
      <c r="M834" s="184" t="str" cm="1">
        <f t="array" aca="1" ref="M834" ca="1">_xlfn.IFS(C834&lt;$B$11,"Fail",C834&lt;25,"Marginal",C834&lt;35,"Solid",TRUE,"Blowout")</f>
        <v>Fail</v>
      </c>
    </row>
    <row r="835" spans="1:13" x14ac:dyDescent="0.25">
      <c r="A835" s="138">
        <f t="shared" ca="1" si="133"/>
        <v>36.449252600030817</v>
      </c>
      <c r="B835" s="137">
        <f t="shared" ca="1" si="134"/>
        <v>3.4132940591488223</v>
      </c>
      <c r="C835" s="137">
        <f t="shared" ca="1" si="135"/>
        <v>33.035958540881992</v>
      </c>
      <c r="D835" s="152">
        <f t="shared" ca="1" si="136"/>
        <v>4.1751259798393194</v>
      </c>
      <c r="E835" s="197">
        <f t="shared" ca="1" si="137"/>
        <v>2.1199345724217038E-5</v>
      </c>
      <c r="F835" s="137">
        <f t="shared" ca="1" si="138"/>
        <v>9.9515419726829002</v>
      </c>
      <c r="G835" s="137">
        <f t="shared" ca="1" si="139"/>
        <v>6.5382479135340779</v>
      </c>
      <c r="H835" s="152">
        <f t="shared" ca="1" si="140"/>
        <v>0.82631199251098086</v>
      </c>
      <c r="I835" s="152">
        <f t="shared" ca="1" si="141"/>
        <v>0.20474549389437058</v>
      </c>
      <c r="J835" s="190">
        <f t="shared" ca="1" si="142"/>
        <v>0</v>
      </c>
      <c r="K835" s="187" t="str" cm="1">
        <f t="array" aca="1" ref="K835" ca="1">_xlfn.IFS(G835&lt;$B$11,"Fail",G835&lt;25,"Marginal",G835&lt;35,"Solid",TRUE,"Blowout")</f>
        <v>Fail</v>
      </c>
      <c r="L835" s="193">
        <f t="shared" ca="1" si="132"/>
        <v>1</v>
      </c>
      <c r="M835" s="184" t="str" cm="1">
        <f t="array" aca="1" ref="M835" ca="1">_xlfn.IFS(C835&lt;$B$11,"Fail",C835&lt;25,"Marginal",C835&lt;35,"Solid",TRUE,"Blowout")</f>
        <v>Solid</v>
      </c>
    </row>
    <row r="836" spans="1:13" x14ac:dyDescent="0.25">
      <c r="A836" s="138">
        <f t="shared" ca="1" si="133"/>
        <v>71.139862009792537</v>
      </c>
      <c r="B836" s="137">
        <f t="shared" ca="1" si="134"/>
        <v>-4.2758135404314288</v>
      </c>
      <c r="C836" s="137">
        <f t="shared" ca="1" si="135"/>
        <v>75.415675550223966</v>
      </c>
      <c r="D836" s="152">
        <f t="shared" ca="1" si="136"/>
        <v>9.5311279037725374</v>
      </c>
      <c r="E836" s="197">
        <f t="shared" ca="1" si="137"/>
        <v>1.2200944139303791E-18</v>
      </c>
      <c r="F836" s="137">
        <f t="shared" ca="1" si="138"/>
        <v>41.974248152752764</v>
      </c>
      <c r="G836" s="137">
        <f t="shared" ca="1" si="139"/>
        <v>46.250061693184193</v>
      </c>
      <c r="H836" s="152">
        <f t="shared" ca="1" si="140"/>
        <v>5.8451409516519286</v>
      </c>
      <c r="I836" s="152">
        <f t="shared" ca="1" si="141"/>
        <v>8.6913049468316521E-9</v>
      </c>
      <c r="J836" s="190">
        <f t="shared" ca="1" si="142"/>
        <v>1</v>
      </c>
      <c r="K836" s="187" t="str" cm="1">
        <f t="array" aca="1" ref="K836" ca="1">_xlfn.IFS(G836&lt;$B$11,"Fail",G836&lt;25,"Marginal",G836&lt;35,"Solid",TRUE,"Blowout")</f>
        <v>Blowout</v>
      </c>
      <c r="L836" s="193">
        <f t="shared" ca="1" si="132"/>
        <v>1</v>
      </c>
      <c r="M836" s="184" t="str" cm="1">
        <f t="array" aca="1" ref="M836" ca="1">_xlfn.IFS(C836&lt;$B$11,"Fail",C836&lt;25,"Marginal",C836&lt;35,"Solid",TRUE,"Blowout")</f>
        <v>Blowout</v>
      </c>
    </row>
    <row r="837" spans="1:13" x14ac:dyDescent="0.25">
      <c r="A837" s="138">
        <f t="shared" ca="1" si="133"/>
        <v>37.272364224402047</v>
      </c>
      <c r="B837" s="137">
        <f t="shared" ca="1" si="134"/>
        <v>9.0856825667201537</v>
      </c>
      <c r="C837" s="137">
        <f t="shared" ca="1" si="135"/>
        <v>28.186681657681895</v>
      </c>
      <c r="D837" s="152">
        <f t="shared" ca="1" si="136"/>
        <v>3.5622682698555721</v>
      </c>
      <c r="E837" s="197">
        <f t="shared" ca="1" si="137"/>
        <v>2.2379312776307355E-4</v>
      </c>
      <c r="F837" s="137">
        <f t="shared" ca="1" si="138"/>
        <v>11.239867137674036</v>
      </c>
      <c r="G837" s="137">
        <f t="shared" ca="1" si="139"/>
        <v>2.1541845709538823</v>
      </c>
      <c r="H837" s="152">
        <f t="shared" ca="1" si="140"/>
        <v>0.27224855475068199</v>
      </c>
      <c r="I837" s="152">
        <f t="shared" ca="1" si="141"/>
        <v>0.39283864780402966</v>
      </c>
      <c r="J837" s="190">
        <f t="shared" ca="1" si="142"/>
        <v>0</v>
      </c>
      <c r="K837" s="187" t="str" cm="1">
        <f t="array" aca="1" ref="K837" ca="1">_xlfn.IFS(G837&lt;$B$11,"Fail",G837&lt;25,"Marginal",G837&lt;35,"Solid",TRUE,"Blowout")</f>
        <v>Fail</v>
      </c>
      <c r="L837" s="193">
        <f t="shared" ca="1" si="132"/>
        <v>1</v>
      </c>
      <c r="M837" s="184" t="str" cm="1">
        <f t="array" aca="1" ref="M837" ca="1">_xlfn.IFS(C837&lt;$B$11,"Fail",C837&lt;25,"Marginal",C837&lt;35,"Solid",TRUE,"Blowout")</f>
        <v>Solid</v>
      </c>
    </row>
    <row r="838" spans="1:13" x14ac:dyDescent="0.25">
      <c r="A838" s="138">
        <f t="shared" ca="1" si="133"/>
        <v>14.085062927729851</v>
      </c>
      <c r="B838" s="137">
        <f t="shared" ca="1" si="134"/>
        <v>6.3467956360883093</v>
      </c>
      <c r="C838" s="137">
        <f t="shared" ca="1" si="135"/>
        <v>7.7382672916415416</v>
      </c>
      <c r="D838" s="152">
        <f t="shared" ca="1" si="136"/>
        <v>0.97797195042159912</v>
      </c>
      <c r="E838" s="197">
        <f t="shared" ca="1" si="137"/>
        <v>0.16456236157959175</v>
      </c>
      <c r="F838" s="137">
        <f t="shared" ca="1" si="138"/>
        <v>34.277523278688037</v>
      </c>
      <c r="G838" s="137">
        <f t="shared" ca="1" si="139"/>
        <v>27.930727642599727</v>
      </c>
      <c r="H838" s="152">
        <f t="shared" ca="1" si="140"/>
        <v>3.5299204795926893</v>
      </c>
      <c r="I838" s="152">
        <f t="shared" ca="1" si="141"/>
        <v>2.5139133048117021E-4</v>
      </c>
      <c r="J838" s="190">
        <f t="shared" ca="1" si="142"/>
        <v>1</v>
      </c>
      <c r="K838" s="187" t="str" cm="1">
        <f t="array" aca="1" ref="K838" ca="1">_xlfn.IFS(G838&lt;$B$11,"Fail",G838&lt;25,"Marginal",G838&lt;35,"Solid",TRUE,"Blowout")</f>
        <v>Solid</v>
      </c>
      <c r="L838" s="193">
        <f t="shared" ca="1" si="132"/>
        <v>0</v>
      </c>
      <c r="M838" s="184" t="str" cm="1">
        <f t="array" aca="1" ref="M838" ca="1">_xlfn.IFS(C838&lt;$B$11,"Fail",C838&lt;25,"Marginal",C838&lt;35,"Solid",TRUE,"Blowout")</f>
        <v>Fail</v>
      </c>
    </row>
    <row r="839" spans="1:13" x14ac:dyDescent="0.25">
      <c r="A839" s="138">
        <f t="shared" ca="1" si="133"/>
        <v>26.429142893992417</v>
      </c>
      <c r="B839" s="137">
        <f t="shared" ca="1" si="134"/>
        <v>9.6787487464745716</v>
      </c>
      <c r="C839" s="137">
        <f t="shared" ca="1" si="135"/>
        <v>16.750394147517845</v>
      </c>
      <c r="D839" s="152">
        <f t="shared" ca="1" si="136"/>
        <v>2.116935874323298</v>
      </c>
      <c r="E839" s="197">
        <f t="shared" ca="1" si="137"/>
        <v>1.7674486118248768E-2</v>
      </c>
      <c r="F839" s="137">
        <f t="shared" ca="1" si="138"/>
        <v>41.060942918918251</v>
      </c>
      <c r="G839" s="137">
        <f t="shared" ca="1" si="139"/>
        <v>31.382194172443679</v>
      </c>
      <c r="H839" s="152">
        <f t="shared" ca="1" si="140"/>
        <v>3.9661211595113479</v>
      </c>
      <c r="I839" s="152">
        <f t="shared" ca="1" si="141"/>
        <v>4.8915976152712978E-5</v>
      </c>
      <c r="J839" s="190">
        <f t="shared" ca="1" si="142"/>
        <v>1</v>
      </c>
      <c r="K839" s="187" t="str" cm="1">
        <f t="array" aca="1" ref="K839" ca="1">_xlfn.IFS(G839&lt;$B$11,"Fail",G839&lt;25,"Marginal",G839&lt;35,"Solid",TRUE,"Blowout")</f>
        <v>Solid</v>
      </c>
      <c r="L839" s="193">
        <f t="shared" ca="1" si="132"/>
        <v>0</v>
      </c>
      <c r="M839" s="184" t="str" cm="1">
        <f t="array" aca="1" ref="M839" ca="1">_xlfn.IFS(C839&lt;$B$11,"Fail",C839&lt;25,"Marginal",C839&lt;35,"Solid",TRUE,"Blowout")</f>
        <v>Fail</v>
      </c>
    </row>
    <row r="840" spans="1:13" x14ac:dyDescent="0.25">
      <c r="A840" s="138">
        <f t="shared" ca="1" si="133"/>
        <v>67.490076072253672</v>
      </c>
      <c r="B840" s="137">
        <f t="shared" ca="1" si="134"/>
        <v>9.3995964503187892</v>
      </c>
      <c r="C840" s="137">
        <f t="shared" ca="1" si="135"/>
        <v>58.090479621934882</v>
      </c>
      <c r="D840" s="152">
        <f t="shared" ca="1" si="136"/>
        <v>7.3415478576391173</v>
      </c>
      <c r="E840" s="197">
        <f t="shared" ca="1" si="137"/>
        <v>1.8496955293278355E-12</v>
      </c>
      <c r="F840" s="137">
        <f t="shared" ca="1" si="138"/>
        <v>30.157348331046688</v>
      </c>
      <c r="G840" s="137">
        <f t="shared" ca="1" si="139"/>
        <v>20.757751880727898</v>
      </c>
      <c r="H840" s="152">
        <f t="shared" ca="1" si="140"/>
        <v>2.6233907835014416</v>
      </c>
      <c r="I840" s="152">
        <f t="shared" ca="1" si="141"/>
        <v>4.6467453696011742E-3</v>
      </c>
      <c r="J840" s="190">
        <f t="shared" ca="1" si="142"/>
        <v>1</v>
      </c>
      <c r="K840" s="187" t="str" cm="1">
        <f t="array" aca="1" ref="K840" ca="1">_xlfn.IFS(G840&lt;$B$11,"Fail",G840&lt;25,"Marginal",G840&lt;35,"Solid",TRUE,"Blowout")</f>
        <v>Marginal</v>
      </c>
      <c r="L840" s="193">
        <f t="shared" ca="1" si="132"/>
        <v>1</v>
      </c>
      <c r="M840" s="184" t="str" cm="1">
        <f t="array" aca="1" ref="M840" ca="1">_xlfn.IFS(C840&lt;$B$11,"Fail",C840&lt;25,"Marginal",C840&lt;35,"Solid",TRUE,"Blowout")</f>
        <v>Blowout</v>
      </c>
    </row>
    <row r="841" spans="1:13" x14ac:dyDescent="0.25">
      <c r="A841" s="138">
        <f t="shared" ca="1" si="133"/>
        <v>18.099691204043985</v>
      </c>
      <c r="B841" s="137">
        <f t="shared" ca="1" si="134"/>
        <v>-5.3224384825211271</v>
      </c>
      <c r="C841" s="137">
        <f t="shared" ca="1" si="135"/>
        <v>23.422129686565114</v>
      </c>
      <c r="D841" s="152">
        <f t="shared" ca="1" si="136"/>
        <v>2.9601182007940912</v>
      </c>
      <c r="E841" s="197">
        <f t="shared" ca="1" si="137"/>
        <v>1.6999884282568173E-3</v>
      </c>
      <c r="F841" s="137">
        <f t="shared" ca="1" si="138"/>
        <v>35.05540811083786</v>
      </c>
      <c r="G841" s="137">
        <f t="shared" ca="1" si="139"/>
        <v>40.377846593358989</v>
      </c>
      <c r="H841" s="152">
        <f t="shared" ca="1" si="140"/>
        <v>5.103003023607708</v>
      </c>
      <c r="I841" s="152">
        <f t="shared" ca="1" si="141"/>
        <v>3.5196165503340238E-7</v>
      </c>
      <c r="J841" s="190">
        <f t="shared" ca="1" si="142"/>
        <v>1</v>
      </c>
      <c r="K841" s="187" t="str" cm="1">
        <f t="array" aca="1" ref="K841" ca="1">_xlfn.IFS(G841&lt;$B$11,"Fail",G841&lt;25,"Marginal",G841&lt;35,"Solid",TRUE,"Blowout")</f>
        <v>Blowout</v>
      </c>
      <c r="L841" s="193">
        <f t="shared" ca="1" si="132"/>
        <v>1</v>
      </c>
      <c r="M841" s="184" t="str" cm="1">
        <f t="array" aca="1" ref="M841" ca="1">_xlfn.IFS(C841&lt;$B$11,"Fail",C841&lt;25,"Marginal",C841&lt;35,"Solid",TRUE,"Blowout")</f>
        <v>Marginal</v>
      </c>
    </row>
    <row r="842" spans="1:13" x14ac:dyDescent="0.25">
      <c r="A842" s="138">
        <f t="shared" ca="1" si="133"/>
        <v>62.801420162747576</v>
      </c>
      <c r="B842" s="137">
        <f t="shared" ca="1" si="134"/>
        <v>6.2052619353878811</v>
      </c>
      <c r="C842" s="137">
        <f t="shared" ca="1" si="135"/>
        <v>56.596158227359695</v>
      </c>
      <c r="D842" s="152">
        <f t="shared" ca="1" si="136"/>
        <v>7.1526936408316999</v>
      </c>
      <c r="E842" s="197">
        <f t="shared" ca="1" si="137"/>
        <v>5.7412454543418971E-12</v>
      </c>
      <c r="F842" s="137">
        <f t="shared" ca="1" si="138"/>
        <v>22.553137323562829</v>
      </c>
      <c r="G842" s="137">
        <f t="shared" ca="1" si="139"/>
        <v>16.347875388174948</v>
      </c>
      <c r="H842" s="152">
        <f t="shared" ca="1" si="140"/>
        <v>2.0660650473901088</v>
      </c>
      <c r="I842" s="152">
        <f t="shared" ca="1" si="141"/>
        <v>1.9976163473949322E-2</v>
      </c>
      <c r="J842" s="190">
        <f t="shared" ca="1" si="142"/>
        <v>0</v>
      </c>
      <c r="K842" s="187" t="str" cm="1">
        <f t="array" aca="1" ref="K842" ca="1">_xlfn.IFS(G842&lt;$B$11,"Fail",G842&lt;25,"Marginal",G842&lt;35,"Solid",TRUE,"Blowout")</f>
        <v>Fail</v>
      </c>
      <c r="L842" s="193">
        <f t="shared" ca="1" si="132"/>
        <v>1</v>
      </c>
      <c r="M842" s="184" t="str" cm="1">
        <f t="array" aca="1" ref="M842" ca="1">_xlfn.IFS(C842&lt;$B$11,"Fail",C842&lt;25,"Marginal",C842&lt;35,"Solid",TRUE,"Blowout")</f>
        <v>Blowout</v>
      </c>
    </row>
    <row r="843" spans="1:13" x14ac:dyDescent="0.25">
      <c r="A843" s="138">
        <f t="shared" ca="1" si="133"/>
        <v>31.889164415535607</v>
      </c>
      <c r="B843" s="137">
        <f t="shared" ca="1" si="134"/>
        <v>6.1321332206613901</v>
      </c>
      <c r="C843" s="137">
        <f t="shared" ca="1" si="135"/>
        <v>25.757031194874216</v>
      </c>
      <c r="D843" s="152">
        <f t="shared" ca="1" si="136"/>
        <v>3.2552059893213579</v>
      </c>
      <c r="E843" s="197">
        <f t="shared" ca="1" si="137"/>
        <v>6.526904983902267E-4</v>
      </c>
      <c r="F843" s="137">
        <f t="shared" ca="1" si="138"/>
        <v>-2.5069859950500248</v>
      </c>
      <c r="G843" s="137">
        <f t="shared" ca="1" si="139"/>
        <v>-8.6391192157114141</v>
      </c>
      <c r="H843" s="152">
        <f t="shared" ca="1" si="140"/>
        <v>-1.091822749317533</v>
      </c>
      <c r="I843" s="152">
        <f t="shared" ca="1" si="141"/>
        <v>0.86196830097861998</v>
      </c>
      <c r="J843" s="190">
        <f t="shared" ca="1" si="142"/>
        <v>0</v>
      </c>
      <c r="K843" s="187" t="str" cm="1">
        <f t="array" aca="1" ref="K843" ca="1">_xlfn.IFS(G843&lt;$B$11,"Fail",G843&lt;25,"Marginal",G843&lt;35,"Solid",TRUE,"Blowout")</f>
        <v>Fail</v>
      </c>
      <c r="L843" s="193">
        <f t="shared" ca="1" si="132"/>
        <v>1</v>
      </c>
      <c r="M843" s="184" t="str" cm="1">
        <f t="array" aca="1" ref="M843" ca="1">_xlfn.IFS(C843&lt;$B$11,"Fail",C843&lt;25,"Marginal",C843&lt;35,"Solid",TRUE,"Blowout")</f>
        <v>Solid</v>
      </c>
    </row>
    <row r="844" spans="1:13" x14ac:dyDescent="0.25">
      <c r="A844" s="138">
        <f t="shared" ca="1" si="133"/>
        <v>29.785951404920382</v>
      </c>
      <c r="B844" s="137">
        <f t="shared" ca="1" si="134"/>
        <v>4.0443942232414809</v>
      </c>
      <c r="C844" s="137">
        <f t="shared" ca="1" si="135"/>
        <v>25.7415571816789</v>
      </c>
      <c r="D844" s="152">
        <f t="shared" ca="1" si="136"/>
        <v>3.2532503640766963</v>
      </c>
      <c r="E844" s="197">
        <f t="shared" ca="1" si="137"/>
        <v>6.5699654501736292E-4</v>
      </c>
      <c r="F844" s="137">
        <f t="shared" ca="1" si="138"/>
        <v>-1.2355853186703323</v>
      </c>
      <c r="G844" s="137">
        <f t="shared" ca="1" si="139"/>
        <v>-5.2799795419118132</v>
      </c>
      <c r="H844" s="152">
        <f t="shared" ca="1" si="140"/>
        <v>-0.66729045355762739</v>
      </c>
      <c r="I844" s="152">
        <f t="shared" ca="1" si="141"/>
        <v>0.74736929178057354</v>
      </c>
      <c r="J844" s="190">
        <f t="shared" ca="1" si="142"/>
        <v>0</v>
      </c>
      <c r="K844" s="187" t="str" cm="1">
        <f t="array" aca="1" ref="K844" ca="1">_xlfn.IFS(G844&lt;$B$11,"Fail",G844&lt;25,"Marginal",G844&lt;35,"Solid",TRUE,"Blowout")</f>
        <v>Fail</v>
      </c>
      <c r="L844" s="193">
        <f t="shared" ca="1" si="132"/>
        <v>1</v>
      </c>
      <c r="M844" s="184" t="str" cm="1">
        <f t="array" aca="1" ref="M844" ca="1">_xlfn.IFS(C844&lt;$B$11,"Fail",C844&lt;25,"Marginal",C844&lt;35,"Solid",TRUE,"Blowout")</f>
        <v>Solid</v>
      </c>
    </row>
    <row r="845" spans="1:13" x14ac:dyDescent="0.25">
      <c r="A845" s="138">
        <f t="shared" ca="1" si="133"/>
        <v>38.260051528192491</v>
      </c>
      <c r="B845" s="137">
        <f t="shared" ca="1" si="134"/>
        <v>6.3292955067510093</v>
      </c>
      <c r="C845" s="137">
        <f t="shared" ca="1" si="135"/>
        <v>31.930756021441482</v>
      </c>
      <c r="D845" s="152">
        <f t="shared" ca="1" si="136"/>
        <v>4.0354490957498301</v>
      </c>
      <c r="E845" s="197">
        <f t="shared" ca="1" si="137"/>
        <v>3.7204241290403583E-5</v>
      </c>
      <c r="F845" s="137">
        <f t="shared" ca="1" si="138"/>
        <v>47.137822515778765</v>
      </c>
      <c r="G845" s="137">
        <f t="shared" ca="1" si="139"/>
        <v>40.808527009027756</v>
      </c>
      <c r="H845" s="152">
        <f t="shared" ca="1" si="140"/>
        <v>5.1574329560778516</v>
      </c>
      <c r="I845" s="152">
        <f t="shared" ca="1" si="141"/>
        <v>2.7160597983176201E-7</v>
      </c>
      <c r="J845" s="190">
        <f t="shared" ca="1" si="142"/>
        <v>1</v>
      </c>
      <c r="K845" s="187" t="str" cm="1">
        <f t="array" aca="1" ref="K845" ca="1">_xlfn.IFS(G845&lt;$B$11,"Fail",G845&lt;25,"Marginal",G845&lt;35,"Solid",TRUE,"Blowout")</f>
        <v>Blowout</v>
      </c>
      <c r="L845" s="193">
        <f t="shared" ca="1" si="132"/>
        <v>1</v>
      </c>
      <c r="M845" s="184" t="str" cm="1">
        <f t="array" aca="1" ref="M845" ca="1">_xlfn.IFS(C845&lt;$B$11,"Fail",C845&lt;25,"Marginal",C845&lt;35,"Solid",TRUE,"Blowout")</f>
        <v>Solid</v>
      </c>
    </row>
    <row r="846" spans="1:13" x14ac:dyDescent="0.25">
      <c r="A846" s="138">
        <f t="shared" ca="1" si="133"/>
        <v>24.798616457499733</v>
      </c>
      <c r="B846" s="137">
        <f t="shared" ca="1" si="134"/>
        <v>2.0850305657681871</v>
      </c>
      <c r="C846" s="137">
        <f t="shared" ca="1" si="135"/>
        <v>22.713585891731547</v>
      </c>
      <c r="D846" s="152">
        <f t="shared" ca="1" si="136"/>
        <v>2.8705715450794487</v>
      </c>
      <c r="E846" s="197">
        <f t="shared" ca="1" si="137"/>
        <v>2.2414190274686009E-3</v>
      </c>
      <c r="F846" s="137">
        <f t="shared" ca="1" si="138"/>
        <v>-5.3323361487912875</v>
      </c>
      <c r="G846" s="137">
        <f t="shared" ca="1" si="139"/>
        <v>-7.4173667145594742</v>
      </c>
      <c r="H846" s="152">
        <f t="shared" ca="1" si="140"/>
        <v>-0.93741613198930618</v>
      </c>
      <c r="I846" s="152">
        <f t="shared" ca="1" si="141"/>
        <v>0.82523177103064704</v>
      </c>
      <c r="J846" s="190">
        <f t="shared" ca="1" si="142"/>
        <v>0</v>
      </c>
      <c r="K846" s="187" t="str" cm="1">
        <f t="array" aca="1" ref="K846" ca="1">_xlfn.IFS(G846&lt;$B$11,"Fail",G846&lt;25,"Marginal",G846&lt;35,"Solid",TRUE,"Blowout")</f>
        <v>Fail</v>
      </c>
      <c r="L846" s="193">
        <f t="shared" ca="1" si="132"/>
        <v>1</v>
      </c>
      <c r="M846" s="184" t="str" cm="1">
        <f t="array" aca="1" ref="M846" ca="1">_xlfn.IFS(C846&lt;$B$11,"Fail",C846&lt;25,"Marginal",C846&lt;35,"Solid",TRUE,"Blowout")</f>
        <v>Marginal</v>
      </c>
    </row>
    <row r="847" spans="1:13" x14ac:dyDescent="0.25">
      <c r="A847" s="138">
        <f t="shared" ca="1" si="133"/>
        <v>41.368652865946238</v>
      </c>
      <c r="B847" s="137">
        <f t="shared" ca="1" si="134"/>
        <v>13.191506523239608</v>
      </c>
      <c r="C847" s="137">
        <f t="shared" ca="1" si="135"/>
        <v>28.177146342706628</v>
      </c>
      <c r="D847" s="152">
        <f t="shared" ca="1" si="136"/>
        <v>3.5610631847592846</v>
      </c>
      <c r="E847" s="197">
        <f t="shared" ca="1" si="137"/>
        <v>2.247680789631386E-4</v>
      </c>
      <c r="F847" s="137">
        <f t="shared" ca="1" si="138"/>
        <v>35.289921256251837</v>
      </c>
      <c r="G847" s="137">
        <f t="shared" ca="1" si="139"/>
        <v>22.098414733012227</v>
      </c>
      <c r="H847" s="152">
        <f t="shared" ca="1" si="140"/>
        <v>2.7928254405237571</v>
      </c>
      <c r="I847" s="152">
        <f t="shared" ca="1" si="141"/>
        <v>2.8344168152978212E-3</v>
      </c>
      <c r="J847" s="190">
        <f t="shared" ca="1" si="142"/>
        <v>1</v>
      </c>
      <c r="K847" s="187" t="str" cm="1">
        <f t="array" aca="1" ref="K847" ca="1">_xlfn.IFS(G847&lt;$B$11,"Fail",G847&lt;25,"Marginal",G847&lt;35,"Solid",TRUE,"Blowout")</f>
        <v>Marginal</v>
      </c>
      <c r="L847" s="193">
        <f t="shared" ca="1" si="132"/>
        <v>1</v>
      </c>
      <c r="M847" s="184" t="str" cm="1">
        <f t="array" aca="1" ref="M847" ca="1">_xlfn.IFS(C847&lt;$B$11,"Fail",C847&lt;25,"Marginal",C847&lt;35,"Solid",TRUE,"Blowout")</f>
        <v>Solid</v>
      </c>
    </row>
    <row r="848" spans="1:13" x14ac:dyDescent="0.25">
      <c r="A848" s="138">
        <f t="shared" ca="1" si="133"/>
        <v>10.088827809834665</v>
      </c>
      <c r="B848" s="137">
        <f t="shared" ca="1" si="134"/>
        <v>5.640542020537552</v>
      </c>
      <c r="C848" s="137">
        <f t="shared" ca="1" si="135"/>
        <v>4.4482857892971133</v>
      </c>
      <c r="D848" s="152">
        <f t="shared" ca="1" si="136"/>
        <v>0.56217995132974252</v>
      </c>
      <c r="E848" s="197">
        <f t="shared" ca="1" si="137"/>
        <v>0.28727284351672783</v>
      </c>
      <c r="F848" s="137">
        <f t="shared" ca="1" si="138"/>
        <v>43.477443157649759</v>
      </c>
      <c r="G848" s="137">
        <f t="shared" ca="1" si="139"/>
        <v>37.836901137112207</v>
      </c>
      <c r="H848" s="152">
        <f t="shared" ca="1" si="140"/>
        <v>4.7818751418602394</v>
      </c>
      <c r="I848" s="152">
        <f t="shared" ca="1" si="141"/>
        <v>1.5580909353592832E-6</v>
      </c>
      <c r="J848" s="190">
        <f t="shared" ca="1" si="142"/>
        <v>1</v>
      </c>
      <c r="K848" s="187" t="str" cm="1">
        <f t="array" aca="1" ref="K848" ca="1">_xlfn.IFS(G848&lt;$B$11,"Fail",G848&lt;25,"Marginal",G848&lt;35,"Solid",TRUE,"Blowout")</f>
        <v>Blowout</v>
      </c>
      <c r="L848" s="193">
        <f t="shared" ref="L848:L911" ca="1" si="143">IF(AND(E848&lt;$B$10,C848&gt;=$B$11),1,0)</f>
        <v>0</v>
      </c>
      <c r="M848" s="184" t="str" cm="1">
        <f t="array" aca="1" ref="M848" ca="1">_xlfn.IFS(C848&lt;$B$11,"Fail",C848&lt;25,"Marginal",C848&lt;35,"Solid",TRUE,"Blowout")</f>
        <v>Fail</v>
      </c>
    </row>
    <row r="849" spans="1:13" x14ac:dyDescent="0.25">
      <c r="A849" s="138">
        <f t="shared" ref="A849:A912" ca="1" si="144">NORMINV(RAND(), MAX(0, NORMINV(RAND(), $B$6, $B$12)), $B$7/SQRT($B$9))</f>
        <v>38.34024967451986</v>
      </c>
      <c r="B849" s="137">
        <f t="shared" ref="B849:B912" ca="1" si="145">NORMINV(RAND(), $B$8, $B$7/SQRT($B$9))</f>
        <v>7.771553379802798</v>
      </c>
      <c r="C849" s="137">
        <f t="shared" ref="C849:C912" ca="1" si="146">A849-B849</f>
        <v>30.568696294717064</v>
      </c>
      <c r="D849" s="152">
        <f t="shared" ref="D849:D912" ca="1" si="147">C849/($B$7*SQRT(2/$B$9))</f>
        <v>3.8633102748313277</v>
      </c>
      <c r="E849" s="197">
        <f t="shared" ref="E849:E912" ca="1" si="148">_xlfn.T.DIST.RT(D849, 2*$B$9-2)</f>
        <v>7.290802710013667E-5</v>
      </c>
      <c r="F849" s="137">
        <f t="shared" ref="F849:F912" ca="1" si="149">NORMINV(RAND(), MAX(0, NORMINV(RAND(), $N$7, $N$8)), $B$7/SQRT($B$9))</f>
        <v>17.937744800112188</v>
      </c>
      <c r="G849" s="137">
        <f t="shared" ref="G849:G912" ca="1" si="150">F849-B849</f>
        <v>10.16619142030939</v>
      </c>
      <c r="H849" s="152">
        <f t="shared" ref="H849:H912" ca="1" si="151">G849/($B$7*SQRT(2/$B$9))</f>
        <v>1.2848160546765273</v>
      </c>
      <c r="I849" s="152">
        <f t="shared" ref="I849:I912" ca="1" si="152">_xlfn.T.DIST.RT(H849, 2*$B$9-2)</f>
        <v>0.10008016044342666</v>
      </c>
      <c r="J849" s="190">
        <f t="shared" ref="J849:J912" ca="1" si="153">IF(AND(I849&lt;$B$10, G849&gt;=$B$11), 1, 0)</f>
        <v>0</v>
      </c>
      <c r="K849" s="187" t="str" cm="1">
        <f t="array" aca="1" ref="K849" ca="1">_xlfn.IFS(G849&lt;$B$11,"Fail",G849&lt;25,"Marginal",G849&lt;35,"Solid",TRUE,"Blowout")</f>
        <v>Fail</v>
      </c>
      <c r="L849" s="193">
        <f t="shared" ca="1" si="143"/>
        <v>1</v>
      </c>
      <c r="M849" s="184" t="str" cm="1">
        <f t="array" aca="1" ref="M849" ca="1">_xlfn.IFS(C849&lt;$B$11,"Fail",C849&lt;25,"Marginal",C849&lt;35,"Solid",TRUE,"Blowout")</f>
        <v>Solid</v>
      </c>
    </row>
    <row r="850" spans="1:13" x14ac:dyDescent="0.25">
      <c r="A850" s="138">
        <f t="shared" ca="1" si="144"/>
        <v>32.745048373837648</v>
      </c>
      <c r="B850" s="137">
        <f t="shared" ca="1" si="145"/>
        <v>-3.1497026473213374</v>
      </c>
      <c r="C850" s="137">
        <f t="shared" ca="1" si="146"/>
        <v>35.894751021158982</v>
      </c>
      <c r="D850" s="152">
        <f t="shared" ca="1" si="147"/>
        <v>4.5364237681448465</v>
      </c>
      <c r="E850" s="197">
        <f t="shared" ca="1" si="148"/>
        <v>4.6260951688361112E-6</v>
      </c>
      <c r="F850" s="137">
        <f t="shared" ca="1" si="149"/>
        <v>56.692806393605125</v>
      </c>
      <c r="G850" s="137">
        <f t="shared" ca="1" si="150"/>
        <v>59.842509040926458</v>
      </c>
      <c r="H850" s="152">
        <f t="shared" ca="1" si="151"/>
        <v>7.5629715386145699</v>
      </c>
      <c r="I850" s="152">
        <f t="shared" ca="1" si="152"/>
        <v>4.7962328147680996E-13</v>
      </c>
      <c r="J850" s="190">
        <f t="shared" ca="1" si="153"/>
        <v>1</v>
      </c>
      <c r="K850" s="187" t="str" cm="1">
        <f t="array" aca="1" ref="K850" ca="1">_xlfn.IFS(G850&lt;$B$11,"Fail",G850&lt;25,"Marginal",G850&lt;35,"Solid",TRUE,"Blowout")</f>
        <v>Blowout</v>
      </c>
      <c r="L850" s="193">
        <f t="shared" ca="1" si="143"/>
        <v>1</v>
      </c>
      <c r="M850" s="184" t="str" cm="1">
        <f t="array" aca="1" ref="M850" ca="1">_xlfn.IFS(C850&lt;$B$11,"Fail",C850&lt;25,"Marginal",C850&lt;35,"Solid",TRUE,"Blowout")</f>
        <v>Blowout</v>
      </c>
    </row>
    <row r="851" spans="1:13" x14ac:dyDescent="0.25">
      <c r="A851" s="138">
        <f t="shared" ca="1" si="144"/>
        <v>5.6766114633114402</v>
      </c>
      <c r="B851" s="137">
        <f t="shared" ca="1" si="145"/>
        <v>4.1821542844571322</v>
      </c>
      <c r="C851" s="137">
        <f t="shared" ca="1" si="146"/>
        <v>1.494457178854308</v>
      </c>
      <c r="D851" s="152">
        <f t="shared" ca="1" si="147"/>
        <v>0.18887137739534815</v>
      </c>
      <c r="E851" s="197">
        <f t="shared" ca="1" si="148"/>
        <v>0.42518081999781721</v>
      </c>
      <c r="F851" s="137">
        <f t="shared" ca="1" si="149"/>
        <v>15.898890235130237</v>
      </c>
      <c r="G851" s="137">
        <f t="shared" ca="1" si="150"/>
        <v>11.716735950673105</v>
      </c>
      <c r="H851" s="152">
        <f t="shared" ca="1" si="151"/>
        <v>1.4807758220799183</v>
      </c>
      <c r="I851" s="152">
        <f t="shared" ca="1" si="152"/>
        <v>7.0023440387857211E-2</v>
      </c>
      <c r="J851" s="190">
        <f t="shared" ca="1" si="153"/>
        <v>0</v>
      </c>
      <c r="K851" s="187" t="str" cm="1">
        <f t="array" aca="1" ref="K851" ca="1">_xlfn.IFS(G851&lt;$B$11,"Fail",G851&lt;25,"Marginal",G851&lt;35,"Solid",TRUE,"Blowout")</f>
        <v>Fail</v>
      </c>
      <c r="L851" s="193">
        <f t="shared" ca="1" si="143"/>
        <v>0</v>
      </c>
      <c r="M851" s="184" t="str" cm="1">
        <f t="array" aca="1" ref="M851" ca="1">_xlfn.IFS(C851&lt;$B$11,"Fail",C851&lt;25,"Marginal",C851&lt;35,"Solid",TRUE,"Blowout")</f>
        <v>Fail</v>
      </c>
    </row>
    <row r="852" spans="1:13" x14ac:dyDescent="0.25">
      <c r="A852" s="138">
        <f t="shared" ca="1" si="144"/>
        <v>29.744555731000823</v>
      </c>
      <c r="B852" s="137">
        <f t="shared" ca="1" si="145"/>
        <v>4.0003784957688824</v>
      </c>
      <c r="C852" s="137">
        <f t="shared" ca="1" si="146"/>
        <v>25.744177235231941</v>
      </c>
      <c r="D852" s="152">
        <f t="shared" ca="1" si="147"/>
        <v>3.2535814897391875</v>
      </c>
      <c r="E852" s="197">
        <f t="shared" ca="1" si="148"/>
        <v>6.5626559611659929E-4</v>
      </c>
      <c r="F852" s="137">
        <f t="shared" ca="1" si="149"/>
        <v>11.484370094235889</v>
      </c>
      <c r="G852" s="137">
        <f t="shared" ca="1" si="150"/>
        <v>7.4839915984670062</v>
      </c>
      <c r="H852" s="152">
        <f t="shared" ca="1" si="151"/>
        <v>0.94583626859172631</v>
      </c>
      <c r="I852" s="152">
        <f t="shared" ca="1" si="152"/>
        <v>0.17261669748603031</v>
      </c>
      <c r="J852" s="190">
        <f t="shared" ca="1" si="153"/>
        <v>0</v>
      </c>
      <c r="K852" s="187" t="str" cm="1">
        <f t="array" aca="1" ref="K852" ca="1">_xlfn.IFS(G852&lt;$B$11,"Fail",G852&lt;25,"Marginal",G852&lt;35,"Solid",TRUE,"Blowout")</f>
        <v>Fail</v>
      </c>
      <c r="L852" s="193">
        <f t="shared" ca="1" si="143"/>
        <v>1</v>
      </c>
      <c r="M852" s="184" t="str" cm="1">
        <f t="array" aca="1" ref="M852" ca="1">_xlfn.IFS(C852&lt;$B$11,"Fail",C852&lt;25,"Marginal",C852&lt;35,"Solid",TRUE,"Blowout")</f>
        <v>Solid</v>
      </c>
    </row>
    <row r="853" spans="1:13" x14ac:dyDescent="0.25">
      <c r="A853" s="138">
        <f t="shared" ca="1" si="144"/>
        <v>9.2629974224317326</v>
      </c>
      <c r="B853" s="137">
        <f t="shared" ca="1" si="145"/>
        <v>-1.2581821010159526</v>
      </c>
      <c r="C853" s="137">
        <f t="shared" ca="1" si="146"/>
        <v>10.521179523447685</v>
      </c>
      <c r="D853" s="152">
        <f t="shared" ca="1" si="147"/>
        <v>1.3296798975134909</v>
      </c>
      <c r="E853" s="197">
        <f t="shared" ca="1" si="148"/>
        <v>9.247626107649469E-2</v>
      </c>
      <c r="F853" s="137">
        <f t="shared" ca="1" si="149"/>
        <v>12.781116897059567</v>
      </c>
      <c r="G853" s="137">
        <f t="shared" ca="1" si="150"/>
        <v>14.03929899807552</v>
      </c>
      <c r="H853" s="152">
        <f t="shared" ca="1" si="151"/>
        <v>1.7743042604034067</v>
      </c>
      <c r="I853" s="152">
        <f t="shared" ca="1" si="152"/>
        <v>3.8673660743158346E-2</v>
      </c>
      <c r="J853" s="190">
        <f t="shared" ca="1" si="153"/>
        <v>0</v>
      </c>
      <c r="K853" s="187" t="str" cm="1">
        <f t="array" aca="1" ref="K853" ca="1">_xlfn.IFS(G853&lt;$B$11,"Fail",G853&lt;25,"Marginal",G853&lt;35,"Solid",TRUE,"Blowout")</f>
        <v>Fail</v>
      </c>
      <c r="L853" s="193">
        <f t="shared" ca="1" si="143"/>
        <v>0</v>
      </c>
      <c r="M853" s="184" t="str" cm="1">
        <f t="array" aca="1" ref="M853" ca="1">_xlfn.IFS(C853&lt;$B$11,"Fail",C853&lt;25,"Marginal",C853&lt;35,"Solid",TRUE,"Blowout")</f>
        <v>Fail</v>
      </c>
    </row>
    <row r="854" spans="1:13" x14ac:dyDescent="0.25">
      <c r="A854" s="138">
        <f t="shared" ca="1" si="144"/>
        <v>67.41234273802057</v>
      </c>
      <c r="B854" s="137">
        <f t="shared" ca="1" si="145"/>
        <v>-0.88977413636304625</v>
      </c>
      <c r="C854" s="137">
        <f t="shared" ca="1" si="146"/>
        <v>68.302116874383614</v>
      </c>
      <c r="D854" s="152">
        <f t="shared" ca="1" si="147"/>
        <v>8.6321074137250431</v>
      </c>
      <c r="E854" s="197">
        <f t="shared" ca="1" si="148"/>
        <v>5.2460109268519001E-16</v>
      </c>
      <c r="F854" s="137">
        <f t="shared" ca="1" si="149"/>
        <v>10.403653788369018</v>
      </c>
      <c r="G854" s="137">
        <f t="shared" ca="1" si="150"/>
        <v>11.293427924732065</v>
      </c>
      <c r="H854" s="152">
        <f t="shared" ca="1" si="151"/>
        <v>1.427277621493614</v>
      </c>
      <c r="I854" s="152">
        <f t="shared" ca="1" si="152"/>
        <v>7.7433995162765445E-2</v>
      </c>
      <c r="J854" s="190">
        <f t="shared" ca="1" si="153"/>
        <v>0</v>
      </c>
      <c r="K854" s="187" t="str" cm="1">
        <f t="array" aca="1" ref="K854" ca="1">_xlfn.IFS(G854&lt;$B$11,"Fail",G854&lt;25,"Marginal",G854&lt;35,"Solid",TRUE,"Blowout")</f>
        <v>Fail</v>
      </c>
      <c r="L854" s="193">
        <f t="shared" ca="1" si="143"/>
        <v>1</v>
      </c>
      <c r="M854" s="184" t="str" cm="1">
        <f t="array" aca="1" ref="M854" ca="1">_xlfn.IFS(C854&lt;$B$11,"Fail",C854&lt;25,"Marginal",C854&lt;35,"Solid",TRUE,"Blowout")</f>
        <v>Blowout</v>
      </c>
    </row>
    <row r="855" spans="1:13" x14ac:dyDescent="0.25">
      <c r="A855" s="138">
        <f t="shared" ca="1" si="144"/>
        <v>2.0576275616056843</v>
      </c>
      <c r="B855" s="137">
        <f t="shared" ca="1" si="145"/>
        <v>-6.2824300781563931</v>
      </c>
      <c r="C855" s="137">
        <f t="shared" ca="1" si="146"/>
        <v>8.3400576397620778</v>
      </c>
      <c r="D855" s="152">
        <f t="shared" ca="1" si="147"/>
        <v>1.0540269713087733</v>
      </c>
      <c r="E855" s="197">
        <f t="shared" ca="1" si="148"/>
        <v>0.14649312818031104</v>
      </c>
      <c r="F855" s="137">
        <f t="shared" ca="1" si="149"/>
        <v>23.55362108658646</v>
      </c>
      <c r="G855" s="137">
        <f t="shared" ca="1" si="150"/>
        <v>29.836051164742855</v>
      </c>
      <c r="H855" s="152">
        <f t="shared" ca="1" si="151"/>
        <v>3.7707176620765712</v>
      </c>
      <c r="I855" s="152">
        <f t="shared" ca="1" si="152"/>
        <v>1.0371647277445731E-4</v>
      </c>
      <c r="J855" s="190">
        <f t="shared" ca="1" si="153"/>
        <v>1</v>
      </c>
      <c r="K855" s="187" t="str" cm="1">
        <f t="array" aca="1" ref="K855" ca="1">_xlfn.IFS(G855&lt;$B$11,"Fail",G855&lt;25,"Marginal",G855&lt;35,"Solid",TRUE,"Blowout")</f>
        <v>Solid</v>
      </c>
      <c r="L855" s="193">
        <f t="shared" ca="1" si="143"/>
        <v>0</v>
      </c>
      <c r="M855" s="184" t="str" cm="1">
        <f t="array" aca="1" ref="M855" ca="1">_xlfn.IFS(C855&lt;$B$11,"Fail",C855&lt;25,"Marginal",C855&lt;35,"Solid",TRUE,"Blowout")</f>
        <v>Fail</v>
      </c>
    </row>
    <row r="856" spans="1:13" x14ac:dyDescent="0.25">
      <c r="A856" s="138">
        <f t="shared" ca="1" si="144"/>
        <v>54.059152429997908</v>
      </c>
      <c r="B856" s="137">
        <f t="shared" ca="1" si="145"/>
        <v>11.431390899772303</v>
      </c>
      <c r="C856" s="137">
        <f t="shared" ca="1" si="146"/>
        <v>42.627761530225605</v>
      </c>
      <c r="D856" s="152">
        <f t="shared" ca="1" si="147"/>
        <v>5.387350102373885</v>
      </c>
      <c r="E856" s="197">
        <f t="shared" ca="1" si="148"/>
        <v>8.8918140756266201E-8</v>
      </c>
      <c r="F856" s="137">
        <f t="shared" ca="1" si="149"/>
        <v>25.741737314080829</v>
      </c>
      <c r="G856" s="137">
        <f t="shared" ca="1" si="150"/>
        <v>14.310346414308526</v>
      </c>
      <c r="H856" s="152">
        <f t="shared" ca="1" si="151"/>
        <v>1.8085595736821882</v>
      </c>
      <c r="I856" s="152">
        <f t="shared" ca="1" si="152"/>
        <v>3.5918436899100729E-2</v>
      </c>
      <c r="J856" s="190">
        <f t="shared" ca="1" si="153"/>
        <v>0</v>
      </c>
      <c r="K856" s="187" t="str" cm="1">
        <f t="array" aca="1" ref="K856" ca="1">_xlfn.IFS(G856&lt;$B$11,"Fail",G856&lt;25,"Marginal",G856&lt;35,"Solid",TRUE,"Blowout")</f>
        <v>Fail</v>
      </c>
      <c r="L856" s="193">
        <f t="shared" ca="1" si="143"/>
        <v>1</v>
      </c>
      <c r="M856" s="184" t="str" cm="1">
        <f t="array" aca="1" ref="M856" ca="1">_xlfn.IFS(C856&lt;$B$11,"Fail",C856&lt;25,"Marginal",C856&lt;35,"Solid",TRUE,"Blowout")</f>
        <v>Blowout</v>
      </c>
    </row>
    <row r="857" spans="1:13" x14ac:dyDescent="0.25">
      <c r="A857" s="138">
        <f t="shared" ca="1" si="144"/>
        <v>26.593188918894199</v>
      </c>
      <c r="B857" s="137">
        <f t="shared" ca="1" si="145"/>
        <v>8.7099028694330283</v>
      </c>
      <c r="C857" s="137">
        <f t="shared" ca="1" si="146"/>
        <v>17.883286049461169</v>
      </c>
      <c r="D857" s="152">
        <f t="shared" ca="1" si="147"/>
        <v>2.2601121773901465</v>
      </c>
      <c r="E857" s="197">
        <f t="shared" ca="1" si="148"/>
        <v>1.2379378139882444E-2</v>
      </c>
      <c r="F857" s="137">
        <f t="shared" ca="1" si="149"/>
        <v>11.086761755607876</v>
      </c>
      <c r="G857" s="137">
        <f t="shared" ca="1" si="150"/>
        <v>2.3768588861748476</v>
      </c>
      <c r="H857" s="152">
        <f t="shared" ca="1" si="151"/>
        <v>0.30039041469918287</v>
      </c>
      <c r="I857" s="152">
        <f t="shared" ca="1" si="152"/>
        <v>0.38207654522730328</v>
      </c>
      <c r="J857" s="190">
        <f t="shared" ca="1" si="153"/>
        <v>0</v>
      </c>
      <c r="K857" s="187" t="str" cm="1">
        <f t="array" aca="1" ref="K857" ca="1">_xlfn.IFS(G857&lt;$B$11,"Fail",G857&lt;25,"Marginal",G857&lt;35,"Solid",TRUE,"Blowout")</f>
        <v>Fail</v>
      </c>
      <c r="L857" s="193">
        <f t="shared" ca="1" si="143"/>
        <v>0</v>
      </c>
      <c r="M857" s="184" t="str" cm="1">
        <f t="array" aca="1" ref="M857" ca="1">_xlfn.IFS(C857&lt;$B$11,"Fail",C857&lt;25,"Marginal",C857&lt;35,"Solid",TRUE,"Blowout")</f>
        <v>Fail</v>
      </c>
    </row>
    <row r="858" spans="1:13" x14ac:dyDescent="0.25">
      <c r="A858" s="138">
        <f t="shared" ca="1" si="144"/>
        <v>32.701554622909271</v>
      </c>
      <c r="B858" s="137">
        <f t="shared" ca="1" si="145"/>
        <v>7.9508560119228004</v>
      </c>
      <c r="C858" s="137">
        <f t="shared" ca="1" si="146"/>
        <v>24.750698610986468</v>
      </c>
      <c r="D858" s="152">
        <f t="shared" ca="1" si="147"/>
        <v>3.1280244120061687</v>
      </c>
      <c r="E858" s="197">
        <f t="shared" ca="1" si="148"/>
        <v>9.9458993079749869E-4</v>
      </c>
      <c r="F858" s="137">
        <f t="shared" ca="1" si="149"/>
        <v>5.0342009271193486</v>
      </c>
      <c r="G858" s="137">
        <f t="shared" ca="1" si="150"/>
        <v>-2.9166550848034518</v>
      </c>
      <c r="H858" s="152">
        <f t="shared" ca="1" si="151"/>
        <v>-0.36861053702206981</v>
      </c>
      <c r="I858" s="152">
        <f t="shared" ca="1" si="152"/>
        <v>0.6436199618822761</v>
      </c>
      <c r="J858" s="190">
        <f t="shared" ca="1" si="153"/>
        <v>0</v>
      </c>
      <c r="K858" s="187" t="str" cm="1">
        <f t="array" aca="1" ref="K858" ca="1">_xlfn.IFS(G858&lt;$B$11,"Fail",G858&lt;25,"Marginal",G858&lt;35,"Solid",TRUE,"Blowout")</f>
        <v>Fail</v>
      </c>
      <c r="L858" s="193">
        <f t="shared" ca="1" si="143"/>
        <v>1</v>
      </c>
      <c r="M858" s="184" t="str" cm="1">
        <f t="array" aca="1" ref="M858" ca="1">_xlfn.IFS(C858&lt;$B$11,"Fail",C858&lt;25,"Marginal",C858&lt;35,"Solid",TRUE,"Blowout")</f>
        <v>Marginal</v>
      </c>
    </row>
    <row r="859" spans="1:13" x14ac:dyDescent="0.25">
      <c r="A859" s="138">
        <f t="shared" ca="1" si="144"/>
        <v>33.36868916375478</v>
      </c>
      <c r="B859" s="137">
        <f t="shared" ca="1" si="145"/>
        <v>4.0604772228573625</v>
      </c>
      <c r="C859" s="137">
        <f t="shared" ca="1" si="146"/>
        <v>29.308211940897419</v>
      </c>
      <c r="D859" s="152">
        <f t="shared" ca="1" si="147"/>
        <v>3.7040086772614913</v>
      </c>
      <c r="E859" s="197">
        <f t="shared" ca="1" si="148"/>
        <v>1.3314971120818099E-4</v>
      </c>
      <c r="F859" s="137">
        <f t="shared" ca="1" si="149"/>
        <v>35.253527259597817</v>
      </c>
      <c r="G859" s="137">
        <f t="shared" ca="1" si="150"/>
        <v>31.193050036740456</v>
      </c>
      <c r="H859" s="152">
        <f t="shared" ca="1" si="151"/>
        <v>3.9422168858111757</v>
      </c>
      <c r="I859" s="152">
        <f t="shared" ca="1" si="152"/>
        <v>5.3711082208520496E-5</v>
      </c>
      <c r="J859" s="190">
        <f t="shared" ca="1" si="153"/>
        <v>1</v>
      </c>
      <c r="K859" s="187" t="str" cm="1">
        <f t="array" aca="1" ref="K859" ca="1">_xlfn.IFS(G859&lt;$B$11,"Fail",G859&lt;25,"Marginal",G859&lt;35,"Solid",TRUE,"Blowout")</f>
        <v>Solid</v>
      </c>
      <c r="L859" s="193">
        <f t="shared" ca="1" si="143"/>
        <v>1</v>
      </c>
      <c r="M859" s="184" t="str" cm="1">
        <f t="array" aca="1" ref="M859" ca="1">_xlfn.IFS(C859&lt;$B$11,"Fail",C859&lt;25,"Marginal",C859&lt;35,"Solid",TRUE,"Blowout")</f>
        <v>Solid</v>
      </c>
    </row>
    <row r="860" spans="1:13" x14ac:dyDescent="0.25">
      <c r="A860" s="138">
        <f t="shared" ca="1" si="144"/>
        <v>32.043847262270532</v>
      </c>
      <c r="B860" s="137">
        <f t="shared" ca="1" si="145"/>
        <v>5.309531770451243</v>
      </c>
      <c r="C860" s="137">
        <f t="shared" ca="1" si="146"/>
        <v>26.734315491819288</v>
      </c>
      <c r="D860" s="152">
        <f t="shared" ca="1" si="147"/>
        <v>3.3787164076073908</v>
      </c>
      <c r="E860" s="197">
        <f t="shared" ca="1" si="148"/>
        <v>4.2820061957408924E-4</v>
      </c>
      <c r="F860" s="137">
        <f t="shared" ca="1" si="149"/>
        <v>15.593184653080574</v>
      </c>
      <c r="G860" s="137">
        <f t="shared" ca="1" si="150"/>
        <v>10.28365288262933</v>
      </c>
      <c r="H860" s="152">
        <f t="shared" ca="1" si="151"/>
        <v>1.2996609819806648</v>
      </c>
      <c r="I860" s="152">
        <f t="shared" ca="1" si="152"/>
        <v>9.7514840351068915E-2</v>
      </c>
      <c r="J860" s="190">
        <f t="shared" ca="1" si="153"/>
        <v>0</v>
      </c>
      <c r="K860" s="187" t="str" cm="1">
        <f t="array" aca="1" ref="K860" ca="1">_xlfn.IFS(G860&lt;$B$11,"Fail",G860&lt;25,"Marginal",G860&lt;35,"Solid",TRUE,"Blowout")</f>
        <v>Fail</v>
      </c>
      <c r="L860" s="193">
        <f t="shared" ca="1" si="143"/>
        <v>1</v>
      </c>
      <c r="M860" s="184" t="str" cm="1">
        <f t="array" aca="1" ref="M860" ca="1">_xlfn.IFS(C860&lt;$B$11,"Fail",C860&lt;25,"Marginal",C860&lt;35,"Solid",TRUE,"Blowout")</f>
        <v>Solid</v>
      </c>
    </row>
    <row r="861" spans="1:13" x14ac:dyDescent="0.25">
      <c r="A861" s="138">
        <f t="shared" ca="1" si="144"/>
        <v>18.91848410032312</v>
      </c>
      <c r="B861" s="137">
        <f t="shared" ca="1" si="145"/>
        <v>0.17643424015706177</v>
      </c>
      <c r="C861" s="137">
        <f t="shared" ca="1" si="146"/>
        <v>18.742049860166059</v>
      </c>
      <c r="D861" s="152">
        <f t="shared" ca="1" si="147"/>
        <v>2.3686438275973836</v>
      </c>
      <c r="E861" s="197">
        <f t="shared" ca="1" si="148"/>
        <v>9.3442060775849409E-3</v>
      </c>
      <c r="F861" s="137">
        <f t="shared" ca="1" si="149"/>
        <v>13.977505799941277</v>
      </c>
      <c r="G861" s="137">
        <f t="shared" ca="1" si="150"/>
        <v>13.801071559784216</v>
      </c>
      <c r="H861" s="152">
        <f t="shared" ca="1" si="151"/>
        <v>1.7441967772047662</v>
      </c>
      <c r="I861" s="152">
        <f t="shared" ca="1" si="152"/>
        <v>4.1236211924203951E-2</v>
      </c>
      <c r="J861" s="190">
        <f t="shared" ca="1" si="153"/>
        <v>0</v>
      </c>
      <c r="K861" s="187" t="str" cm="1">
        <f t="array" aca="1" ref="K861" ca="1">_xlfn.IFS(G861&lt;$B$11,"Fail",G861&lt;25,"Marginal",G861&lt;35,"Solid",TRUE,"Blowout")</f>
        <v>Fail</v>
      </c>
      <c r="L861" s="193">
        <f t="shared" ca="1" si="143"/>
        <v>0</v>
      </c>
      <c r="M861" s="184" t="str" cm="1">
        <f t="array" aca="1" ref="M861" ca="1">_xlfn.IFS(C861&lt;$B$11,"Fail",C861&lt;25,"Marginal",C861&lt;35,"Solid",TRUE,"Blowout")</f>
        <v>Fail</v>
      </c>
    </row>
    <row r="862" spans="1:13" x14ac:dyDescent="0.25">
      <c r="A862" s="138">
        <f t="shared" ca="1" si="144"/>
        <v>51.585765816316773</v>
      </c>
      <c r="B862" s="137">
        <f t="shared" ca="1" si="145"/>
        <v>12.518200045286457</v>
      </c>
      <c r="C862" s="137">
        <f t="shared" ca="1" si="146"/>
        <v>39.067565771030317</v>
      </c>
      <c r="D862" s="152">
        <f t="shared" ca="1" si="147"/>
        <v>4.937408085733578</v>
      </c>
      <c r="E862" s="197">
        <f t="shared" ca="1" si="148"/>
        <v>7.6477950123061916E-7</v>
      </c>
      <c r="F862" s="137">
        <f t="shared" ca="1" si="149"/>
        <v>23.500027631537577</v>
      </c>
      <c r="G862" s="137">
        <f t="shared" ca="1" si="150"/>
        <v>10.98182758625112</v>
      </c>
      <c r="H862" s="152">
        <f t="shared" ca="1" si="151"/>
        <v>1.3878971789098589</v>
      </c>
      <c r="I862" s="152">
        <f t="shared" ca="1" si="152"/>
        <v>8.3261565817922309E-2</v>
      </c>
      <c r="J862" s="190">
        <f t="shared" ca="1" si="153"/>
        <v>0</v>
      </c>
      <c r="K862" s="187" t="str" cm="1">
        <f t="array" aca="1" ref="K862" ca="1">_xlfn.IFS(G862&lt;$B$11,"Fail",G862&lt;25,"Marginal",G862&lt;35,"Solid",TRUE,"Blowout")</f>
        <v>Fail</v>
      </c>
      <c r="L862" s="193">
        <f t="shared" ca="1" si="143"/>
        <v>1</v>
      </c>
      <c r="M862" s="184" t="str" cm="1">
        <f t="array" aca="1" ref="M862" ca="1">_xlfn.IFS(C862&lt;$B$11,"Fail",C862&lt;25,"Marginal",C862&lt;35,"Solid",TRUE,"Blowout")</f>
        <v>Blowout</v>
      </c>
    </row>
    <row r="863" spans="1:13" x14ac:dyDescent="0.25">
      <c r="A863" s="138">
        <f t="shared" ca="1" si="144"/>
        <v>40.405266677122185</v>
      </c>
      <c r="B863" s="137">
        <f t="shared" ca="1" si="145"/>
        <v>9.2086638109951497</v>
      </c>
      <c r="C863" s="137">
        <f t="shared" ca="1" si="146"/>
        <v>31.196602866127037</v>
      </c>
      <c r="D863" s="152">
        <f t="shared" ca="1" si="147"/>
        <v>3.9426658968563824</v>
      </c>
      <c r="E863" s="197">
        <f t="shared" ca="1" si="148"/>
        <v>5.3617033971860723E-5</v>
      </c>
      <c r="F863" s="137">
        <f t="shared" ca="1" si="149"/>
        <v>29.543041766750484</v>
      </c>
      <c r="G863" s="137">
        <f t="shared" ca="1" si="150"/>
        <v>20.334377955755336</v>
      </c>
      <c r="H863" s="152">
        <f t="shared" ca="1" si="151"/>
        <v>2.5698842545126719</v>
      </c>
      <c r="I863" s="152">
        <f t="shared" ca="1" si="152"/>
        <v>5.4051608294258596E-3</v>
      </c>
      <c r="J863" s="190">
        <f t="shared" ca="1" si="153"/>
        <v>1</v>
      </c>
      <c r="K863" s="187" t="str" cm="1">
        <f t="array" aca="1" ref="K863" ca="1">_xlfn.IFS(G863&lt;$B$11,"Fail",G863&lt;25,"Marginal",G863&lt;35,"Solid",TRUE,"Blowout")</f>
        <v>Marginal</v>
      </c>
      <c r="L863" s="193">
        <f t="shared" ca="1" si="143"/>
        <v>1</v>
      </c>
      <c r="M863" s="184" t="str" cm="1">
        <f t="array" aca="1" ref="M863" ca="1">_xlfn.IFS(C863&lt;$B$11,"Fail",C863&lt;25,"Marginal",C863&lt;35,"Solid",TRUE,"Blowout")</f>
        <v>Solid</v>
      </c>
    </row>
    <row r="864" spans="1:13" x14ac:dyDescent="0.25">
      <c r="A864" s="138">
        <f t="shared" ca="1" si="144"/>
        <v>48.495920942329185</v>
      </c>
      <c r="B864" s="137">
        <f t="shared" ca="1" si="145"/>
        <v>-4.2238392669877989</v>
      </c>
      <c r="C864" s="137">
        <f t="shared" ca="1" si="146"/>
        <v>52.719760209316988</v>
      </c>
      <c r="D864" s="152">
        <f t="shared" ca="1" si="147"/>
        <v>6.6627895851252639</v>
      </c>
      <c r="E864" s="197">
        <f t="shared" ca="1" si="148"/>
        <v>9.964910678852508E-11</v>
      </c>
      <c r="F864" s="137">
        <f t="shared" ca="1" si="149"/>
        <v>38.812125234375131</v>
      </c>
      <c r="G864" s="137">
        <f t="shared" ca="1" si="150"/>
        <v>43.035964501362926</v>
      </c>
      <c r="H864" s="152">
        <f t="shared" ca="1" si="151"/>
        <v>5.4389393071409868</v>
      </c>
      <c r="I864" s="152">
        <f t="shared" ca="1" si="152"/>
        <v>6.8880411191442602E-8</v>
      </c>
      <c r="J864" s="190">
        <f t="shared" ca="1" si="153"/>
        <v>1</v>
      </c>
      <c r="K864" s="187" t="str" cm="1">
        <f t="array" aca="1" ref="K864" ca="1">_xlfn.IFS(G864&lt;$B$11,"Fail",G864&lt;25,"Marginal",G864&lt;35,"Solid",TRUE,"Blowout")</f>
        <v>Blowout</v>
      </c>
      <c r="L864" s="193">
        <f t="shared" ca="1" si="143"/>
        <v>1</v>
      </c>
      <c r="M864" s="184" t="str" cm="1">
        <f t="array" aca="1" ref="M864" ca="1">_xlfn.IFS(C864&lt;$B$11,"Fail",C864&lt;25,"Marginal",C864&lt;35,"Solid",TRUE,"Blowout")</f>
        <v>Blowout</v>
      </c>
    </row>
    <row r="865" spans="1:13" x14ac:dyDescent="0.25">
      <c r="A865" s="138">
        <f t="shared" ca="1" si="144"/>
        <v>22.87563922892339</v>
      </c>
      <c r="B865" s="137">
        <f t="shared" ca="1" si="145"/>
        <v>7.616981473512257</v>
      </c>
      <c r="C865" s="137">
        <f t="shared" ca="1" si="146"/>
        <v>15.258657755411132</v>
      </c>
      <c r="D865" s="152">
        <f t="shared" ca="1" si="147"/>
        <v>1.9284083533782306</v>
      </c>
      <c r="E865" s="197">
        <f t="shared" ca="1" si="148"/>
        <v>2.7523068267462765E-2</v>
      </c>
      <c r="F865" s="137">
        <f t="shared" ca="1" si="149"/>
        <v>16.460546154912549</v>
      </c>
      <c r="G865" s="137">
        <f t="shared" ca="1" si="150"/>
        <v>8.8435646814002915</v>
      </c>
      <c r="H865" s="152">
        <f t="shared" ca="1" si="151"/>
        <v>1.1176608243411976</v>
      </c>
      <c r="I865" s="152">
        <f t="shared" ca="1" si="152"/>
        <v>0.13244408999803026</v>
      </c>
      <c r="J865" s="190">
        <f t="shared" ca="1" si="153"/>
        <v>0</v>
      </c>
      <c r="K865" s="187" t="str" cm="1">
        <f t="array" aca="1" ref="K865" ca="1">_xlfn.IFS(G865&lt;$B$11,"Fail",G865&lt;25,"Marginal",G865&lt;35,"Solid",TRUE,"Blowout")</f>
        <v>Fail</v>
      </c>
      <c r="L865" s="193">
        <f t="shared" ca="1" si="143"/>
        <v>0</v>
      </c>
      <c r="M865" s="184" t="str" cm="1">
        <f t="array" aca="1" ref="M865" ca="1">_xlfn.IFS(C865&lt;$B$11,"Fail",C865&lt;25,"Marginal",C865&lt;35,"Solid",TRUE,"Blowout")</f>
        <v>Fail</v>
      </c>
    </row>
    <row r="866" spans="1:13" x14ac:dyDescent="0.25">
      <c r="A866" s="138">
        <f t="shared" ca="1" si="144"/>
        <v>11.153844864919769</v>
      </c>
      <c r="B866" s="137">
        <f t="shared" ca="1" si="145"/>
        <v>10.212363596890372</v>
      </c>
      <c r="C866" s="137">
        <f t="shared" ca="1" si="146"/>
        <v>0.94148126802939736</v>
      </c>
      <c r="D866" s="152">
        <f t="shared" ca="1" si="147"/>
        <v>0.11898558647291056</v>
      </c>
      <c r="E866" s="197">
        <f t="shared" ca="1" si="148"/>
        <v>0.45269577152753937</v>
      </c>
      <c r="F866" s="137">
        <f t="shared" ca="1" si="149"/>
        <v>19.811860215977866</v>
      </c>
      <c r="G866" s="137">
        <f t="shared" ca="1" si="150"/>
        <v>9.5994966190874944</v>
      </c>
      <c r="H866" s="152">
        <f t="shared" ca="1" si="151"/>
        <v>1.2131964531355741</v>
      </c>
      <c r="I866" s="152">
        <f t="shared" ca="1" si="152"/>
        <v>0.1131550533559432</v>
      </c>
      <c r="J866" s="190">
        <f t="shared" ca="1" si="153"/>
        <v>0</v>
      </c>
      <c r="K866" s="187" t="str" cm="1">
        <f t="array" aca="1" ref="K866" ca="1">_xlfn.IFS(G866&lt;$B$11,"Fail",G866&lt;25,"Marginal",G866&lt;35,"Solid",TRUE,"Blowout")</f>
        <v>Fail</v>
      </c>
      <c r="L866" s="193">
        <f t="shared" ca="1" si="143"/>
        <v>0</v>
      </c>
      <c r="M866" s="184" t="str" cm="1">
        <f t="array" aca="1" ref="M866" ca="1">_xlfn.IFS(C866&lt;$B$11,"Fail",C866&lt;25,"Marginal",C866&lt;35,"Solid",TRUE,"Blowout")</f>
        <v>Fail</v>
      </c>
    </row>
    <row r="867" spans="1:13" x14ac:dyDescent="0.25">
      <c r="A867" s="138">
        <f t="shared" ca="1" si="144"/>
        <v>36.086400751974878</v>
      </c>
      <c r="B867" s="137">
        <f t="shared" ca="1" si="145"/>
        <v>7.7718454789956155</v>
      </c>
      <c r="C867" s="137">
        <f t="shared" ca="1" si="146"/>
        <v>28.314555272979263</v>
      </c>
      <c r="D867" s="152">
        <f t="shared" ca="1" si="147"/>
        <v>3.5784290981452469</v>
      </c>
      <c r="E867" s="197">
        <f t="shared" ca="1" si="148"/>
        <v>2.1109656286213494E-4</v>
      </c>
      <c r="F867" s="137">
        <f t="shared" ca="1" si="149"/>
        <v>30.415551406393622</v>
      </c>
      <c r="G867" s="137">
        <f t="shared" ca="1" si="150"/>
        <v>22.643705927398006</v>
      </c>
      <c r="H867" s="152">
        <f t="shared" ca="1" si="151"/>
        <v>2.8617400273198483</v>
      </c>
      <c r="I867" s="152">
        <f t="shared" ca="1" si="152"/>
        <v>2.3025617831654234E-3</v>
      </c>
      <c r="J867" s="190">
        <f t="shared" ca="1" si="153"/>
        <v>1</v>
      </c>
      <c r="K867" s="187" t="str" cm="1">
        <f t="array" aca="1" ref="K867" ca="1">_xlfn.IFS(G867&lt;$B$11,"Fail",G867&lt;25,"Marginal",G867&lt;35,"Solid",TRUE,"Blowout")</f>
        <v>Marginal</v>
      </c>
      <c r="L867" s="193">
        <f t="shared" ca="1" si="143"/>
        <v>1</v>
      </c>
      <c r="M867" s="184" t="str" cm="1">
        <f t="array" aca="1" ref="M867" ca="1">_xlfn.IFS(C867&lt;$B$11,"Fail",C867&lt;25,"Marginal",C867&lt;35,"Solid",TRUE,"Blowout")</f>
        <v>Solid</v>
      </c>
    </row>
    <row r="868" spans="1:13" x14ac:dyDescent="0.25">
      <c r="A868" s="138">
        <f t="shared" ca="1" si="144"/>
        <v>36.896454149905885</v>
      </c>
      <c r="B868" s="137">
        <f t="shared" ca="1" si="145"/>
        <v>3.2456174652816125</v>
      </c>
      <c r="C868" s="137">
        <f t="shared" ca="1" si="146"/>
        <v>33.650836684624274</v>
      </c>
      <c r="D868" s="152">
        <f t="shared" ca="1" si="147"/>
        <v>4.2528350527937757</v>
      </c>
      <c r="E868" s="197">
        <f t="shared" ca="1" si="148"/>
        <v>1.540520952353072E-5</v>
      </c>
      <c r="F868" s="137">
        <f t="shared" ca="1" si="149"/>
        <v>-0.83484558266283848</v>
      </c>
      <c r="G868" s="137">
        <f t="shared" ca="1" si="150"/>
        <v>-4.080463047944451</v>
      </c>
      <c r="H868" s="152">
        <f t="shared" ca="1" si="151"/>
        <v>-0.51569405077696207</v>
      </c>
      <c r="I868" s="152">
        <f t="shared" ca="1" si="152"/>
        <v>0.69671609886182029</v>
      </c>
      <c r="J868" s="190">
        <f t="shared" ca="1" si="153"/>
        <v>0</v>
      </c>
      <c r="K868" s="187" t="str" cm="1">
        <f t="array" aca="1" ref="K868" ca="1">_xlfn.IFS(G868&lt;$B$11,"Fail",G868&lt;25,"Marginal",G868&lt;35,"Solid",TRUE,"Blowout")</f>
        <v>Fail</v>
      </c>
      <c r="L868" s="193">
        <f t="shared" ca="1" si="143"/>
        <v>1</v>
      </c>
      <c r="M868" s="184" t="str" cm="1">
        <f t="array" aca="1" ref="M868" ca="1">_xlfn.IFS(C868&lt;$B$11,"Fail",C868&lt;25,"Marginal",C868&lt;35,"Solid",TRUE,"Blowout")</f>
        <v>Solid</v>
      </c>
    </row>
    <row r="869" spans="1:13" x14ac:dyDescent="0.25">
      <c r="A869" s="138">
        <f t="shared" ca="1" si="144"/>
        <v>52.026044112622301</v>
      </c>
      <c r="B869" s="137">
        <f t="shared" ca="1" si="145"/>
        <v>10.746922740543319</v>
      </c>
      <c r="C869" s="137">
        <f t="shared" ca="1" si="146"/>
        <v>41.279121372078983</v>
      </c>
      <c r="D869" s="152">
        <f t="shared" ca="1" si="147"/>
        <v>5.2169072634060214</v>
      </c>
      <c r="E869" s="197">
        <f t="shared" ca="1" si="148"/>
        <v>2.0415518959633583E-7</v>
      </c>
      <c r="F869" s="137">
        <f t="shared" ca="1" si="149"/>
        <v>18.426626290345375</v>
      </c>
      <c r="G869" s="137">
        <f t="shared" ca="1" si="150"/>
        <v>7.6797035498020563</v>
      </c>
      <c r="H869" s="152">
        <f t="shared" ca="1" si="151"/>
        <v>0.97057059108982568</v>
      </c>
      <c r="I869" s="152">
        <f t="shared" ca="1" si="152"/>
        <v>0.16639532539930058</v>
      </c>
      <c r="J869" s="190">
        <f t="shared" ca="1" si="153"/>
        <v>0</v>
      </c>
      <c r="K869" s="187" t="str" cm="1">
        <f t="array" aca="1" ref="K869" ca="1">_xlfn.IFS(G869&lt;$B$11,"Fail",G869&lt;25,"Marginal",G869&lt;35,"Solid",TRUE,"Blowout")</f>
        <v>Fail</v>
      </c>
      <c r="L869" s="193">
        <f t="shared" ca="1" si="143"/>
        <v>1</v>
      </c>
      <c r="M869" s="184" t="str" cm="1">
        <f t="array" aca="1" ref="M869" ca="1">_xlfn.IFS(C869&lt;$B$11,"Fail",C869&lt;25,"Marginal",C869&lt;35,"Solid",TRUE,"Blowout")</f>
        <v>Blowout</v>
      </c>
    </row>
    <row r="870" spans="1:13" x14ac:dyDescent="0.25">
      <c r="A870" s="138">
        <f t="shared" ca="1" si="144"/>
        <v>9.3792456926820957</v>
      </c>
      <c r="B870" s="137">
        <f t="shared" ca="1" si="145"/>
        <v>12.842029481718713</v>
      </c>
      <c r="C870" s="137">
        <f t="shared" ca="1" si="146"/>
        <v>-3.4627837890366173</v>
      </c>
      <c r="D870" s="152">
        <f t="shared" ca="1" si="147"/>
        <v>-0.43763096936575924</v>
      </c>
      <c r="E870" s="197">
        <f t="shared" ca="1" si="148"/>
        <v>0.66896595494180788</v>
      </c>
      <c r="F870" s="137">
        <f t="shared" ca="1" si="149"/>
        <v>1.0959255668600625</v>
      </c>
      <c r="G870" s="137">
        <f t="shared" ca="1" si="150"/>
        <v>-11.746103914858651</v>
      </c>
      <c r="H870" s="152">
        <f t="shared" ca="1" si="151"/>
        <v>-1.484487382320991</v>
      </c>
      <c r="I870" s="152">
        <f t="shared" ca="1" si="152"/>
        <v>0.93046957581735623</v>
      </c>
      <c r="J870" s="190">
        <f t="shared" ca="1" si="153"/>
        <v>0</v>
      </c>
      <c r="K870" s="187" t="str" cm="1">
        <f t="array" aca="1" ref="K870" ca="1">_xlfn.IFS(G870&lt;$B$11,"Fail",G870&lt;25,"Marginal",G870&lt;35,"Solid",TRUE,"Blowout")</f>
        <v>Fail</v>
      </c>
      <c r="L870" s="193">
        <f t="shared" ca="1" si="143"/>
        <v>0</v>
      </c>
      <c r="M870" s="184" t="str" cm="1">
        <f t="array" aca="1" ref="M870" ca="1">_xlfn.IFS(C870&lt;$B$11,"Fail",C870&lt;25,"Marginal",C870&lt;35,"Solid",TRUE,"Blowout")</f>
        <v>Fail</v>
      </c>
    </row>
    <row r="871" spans="1:13" x14ac:dyDescent="0.25">
      <c r="A871" s="138">
        <f t="shared" ca="1" si="144"/>
        <v>9.5159082260623613</v>
      </c>
      <c r="B871" s="137">
        <f t="shared" ca="1" si="145"/>
        <v>9.2316472511741026</v>
      </c>
      <c r="C871" s="137">
        <f t="shared" ca="1" si="146"/>
        <v>0.28426097488825874</v>
      </c>
      <c r="D871" s="152">
        <f t="shared" ca="1" si="147"/>
        <v>3.5925259436372196E-2</v>
      </c>
      <c r="E871" s="197">
        <f t="shared" ca="1" si="148"/>
        <v>0.48568669385619673</v>
      </c>
      <c r="F871" s="137">
        <f t="shared" ca="1" si="149"/>
        <v>35.145954963751009</v>
      </c>
      <c r="G871" s="137">
        <f t="shared" ca="1" si="150"/>
        <v>25.914307712576907</v>
      </c>
      <c r="H871" s="152">
        <f t="shared" ca="1" si="151"/>
        <v>3.2750827933882527</v>
      </c>
      <c r="I871" s="152">
        <f t="shared" ca="1" si="152"/>
        <v>6.1038735544295718E-4</v>
      </c>
      <c r="J871" s="190">
        <f t="shared" ca="1" si="153"/>
        <v>1</v>
      </c>
      <c r="K871" s="187" t="str" cm="1">
        <f t="array" aca="1" ref="K871" ca="1">_xlfn.IFS(G871&lt;$B$11,"Fail",G871&lt;25,"Marginal",G871&lt;35,"Solid",TRUE,"Blowout")</f>
        <v>Solid</v>
      </c>
      <c r="L871" s="193">
        <f t="shared" ca="1" si="143"/>
        <v>0</v>
      </c>
      <c r="M871" s="184" t="str" cm="1">
        <f t="array" aca="1" ref="M871" ca="1">_xlfn.IFS(C871&lt;$B$11,"Fail",C871&lt;25,"Marginal",C871&lt;35,"Solid",TRUE,"Blowout")</f>
        <v>Fail</v>
      </c>
    </row>
    <row r="872" spans="1:13" x14ac:dyDescent="0.25">
      <c r="A872" s="138">
        <f t="shared" ca="1" si="144"/>
        <v>17.515371038410223</v>
      </c>
      <c r="B872" s="137">
        <f t="shared" ca="1" si="145"/>
        <v>-6.9839166426962169</v>
      </c>
      <c r="C872" s="137">
        <f t="shared" ca="1" si="146"/>
        <v>24.499287681106438</v>
      </c>
      <c r="D872" s="152">
        <f t="shared" ca="1" si="147"/>
        <v>3.0962507825636112</v>
      </c>
      <c r="E872" s="197">
        <f t="shared" ca="1" si="148"/>
        <v>1.102708862313422E-3</v>
      </c>
      <c r="F872" s="137">
        <f t="shared" ca="1" si="149"/>
        <v>49.025844116769264</v>
      </c>
      <c r="G872" s="137">
        <f t="shared" ca="1" si="150"/>
        <v>56.009760759465479</v>
      </c>
      <c r="H872" s="152">
        <f t="shared" ca="1" si="151"/>
        <v>7.0785839915025495</v>
      </c>
      <c r="I872" s="152">
        <f t="shared" ca="1" si="152"/>
        <v>8.9114337269307812E-12</v>
      </c>
      <c r="J872" s="190">
        <f t="shared" ca="1" si="153"/>
        <v>1</v>
      </c>
      <c r="K872" s="187" t="str" cm="1">
        <f t="array" aca="1" ref="K872" ca="1">_xlfn.IFS(G872&lt;$B$11,"Fail",G872&lt;25,"Marginal",G872&lt;35,"Solid",TRUE,"Blowout")</f>
        <v>Blowout</v>
      </c>
      <c r="L872" s="193">
        <f t="shared" ca="1" si="143"/>
        <v>1</v>
      </c>
      <c r="M872" s="184" t="str" cm="1">
        <f t="array" aca="1" ref="M872" ca="1">_xlfn.IFS(C872&lt;$B$11,"Fail",C872&lt;25,"Marginal",C872&lt;35,"Solid",TRUE,"Blowout")</f>
        <v>Marginal</v>
      </c>
    </row>
    <row r="873" spans="1:13" x14ac:dyDescent="0.25">
      <c r="A873" s="138">
        <f t="shared" ca="1" si="144"/>
        <v>22.910545677320997</v>
      </c>
      <c r="B873" s="137">
        <f t="shared" ca="1" si="145"/>
        <v>-1.0112357374972145</v>
      </c>
      <c r="C873" s="137">
        <f t="shared" ca="1" si="146"/>
        <v>23.921781414818213</v>
      </c>
      <c r="D873" s="152">
        <f t="shared" ca="1" si="147"/>
        <v>3.0232648144732299</v>
      </c>
      <c r="E873" s="197">
        <f t="shared" ca="1" si="148"/>
        <v>1.3933525247938766E-3</v>
      </c>
      <c r="F873" s="137">
        <f t="shared" ca="1" si="149"/>
        <v>24.596664437712374</v>
      </c>
      <c r="G873" s="137">
        <f t="shared" ca="1" si="150"/>
        <v>25.607900175209586</v>
      </c>
      <c r="H873" s="152">
        <f t="shared" ca="1" si="151"/>
        <v>3.2363586235386697</v>
      </c>
      <c r="I873" s="152">
        <f t="shared" ca="1" si="152"/>
        <v>6.9530359393514367E-4</v>
      </c>
      <c r="J873" s="190">
        <f t="shared" ca="1" si="153"/>
        <v>1</v>
      </c>
      <c r="K873" s="187" t="str" cm="1">
        <f t="array" aca="1" ref="K873" ca="1">_xlfn.IFS(G873&lt;$B$11,"Fail",G873&lt;25,"Marginal",G873&lt;35,"Solid",TRUE,"Blowout")</f>
        <v>Solid</v>
      </c>
      <c r="L873" s="193">
        <f t="shared" ca="1" si="143"/>
        <v>1</v>
      </c>
      <c r="M873" s="184" t="str" cm="1">
        <f t="array" aca="1" ref="M873" ca="1">_xlfn.IFS(C873&lt;$B$11,"Fail",C873&lt;25,"Marginal",C873&lt;35,"Solid",TRUE,"Blowout")</f>
        <v>Marginal</v>
      </c>
    </row>
    <row r="874" spans="1:13" x14ac:dyDescent="0.25">
      <c r="A874" s="138">
        <f t="shared" ca="1" si="144"/>
        <v>9.8323465439781241</v>
      </c>
      <c r="B874" s="137">
        <f t="shared" ca="1" si="145"/>
        <v>1.3724825336751398</v>
      </c>
      <c r="C874" s="137">
        <f t="shared" ca="1" si="146"/>
        <v>8.4598640103029847</v>
      </c>
      <c r="D874" s="152">
        <f t="shared" ca="1" si="147"/>
        <v>1.0691682510623663</v>
      </c>
      <c r="E874" s="197">
        <f t="shared" ca="1" si="148"/>
        <v>0.14306224054085806</v>
      </c>
      <c r="F874" s="137">
        <f t="shared" ca="1" si="149"/>
        <v>12.637739641446101</v>
      </c>
      <c r="G874" s="137">
        <f t="shared" ca="1" si="150"/>
        <v>11.265257107770962</v>
      </c>
      <c r="H874" s="152">
        <f t="shared" ca="1" si="151"/>
        <v>1.4237173582240605</v>
      </c>
      <c r="I874" s="152">
        <f t="shared" ca="1" si="152"/>
        <v>7.794767396215066E-2</v>
      </c>
      <c r="J874" s="190">
        <f t="shared" ca="1" si="153"/>
        <v>0</v>
      </c>
      <c r="K874" s="187" t="str" cm="1">
        <f t="array" aca="1" ref="K874" ca="1">_xlfn.IFS(G874&lt;$B$11,"Fail",G874&lt;25,"Marginal",G874&lt;35,"Solid",TRUE,"Blowout")</f>
        <v>Fail</v>
      </c>
      <c r="L874" s="193">
        <f t="shared" ca="1" si="143"/>
        <v>0</v>
      </c>
      <c r="M874" s="184" t="str" cm="1">
        <f t="array" aca="1" ref="M874" ca="1">_xlfn.IFS(C874&lt;$B$11,"Fail",C874&lt;25,"Marginal",C874&lt;35,"Solid",TRUE,"Blowout")</f>
        <v>Fail</v>
      </c>
    </row>
    <row r="875" spans="1:13" x14ac:dyDescent="0.25">
      <c r="A875" s="138">
        <f t="shared" ca="1" si="144"/>
        <v>-3.3774285833811071</v>
      </c>
      <c r="B875" s="137">
        <f t="shared" ca="1" si="145"/>
        <v>11.593309882044133</v>
      </c>
      <c r="C875" s="137">
        <f t="shared" ca="1" si="146"/>
        <v>-14.97073846542524</v>
      </c>
      <c r="D875" s="152">
        <f t="shared" ca="1" si="147"/>
        <v>-1.892020751479851</v>
      </c>
      <c r="E875" s="197">
        <f t="shared" ca="1" si="148"/>
        <v>0.97012230092934193</v>
      </c>
      <c r="F875" s="137">
        <f t="shared" ca="1" si="149"/>
        <v>25.927778877480769</v>
      </c>
      <c r="G875" s="137">
        <f t="shared" ca="1" si="150"/>
        <v>14.334468995436636</v>
      </c>
      <c r="H875" s="152">
        <f t="shared" ca="1" si="151"/>
        <v>1.8116082158169129</v>
      </c>
      <c r="I875" s="152">
        <f t="shared" ca="1" si="152"/>
        <v>3.5681275556193486E-2</v>
      </c>
      <c r="J875" s="190">
        <f t="shared" ca="1" si="153"/>
        <v>0</v>
      </c>
      <c r="K875" s="187" t="str" cm="1">
        <f t="array" aca="1" ref="K875" ca="1">_xlfn.IFS(G875&lt;$B$11,"Fail",G875&lt;25,"Marginal",G875&lt;35,"Solid",TRUE,"Blowout")</f>
        <v>Fail</v>
      </c>
      <c r="L875" s="193">
        <f t="shared" ca="1" si="143"/>
        <v>0</v>
      </c>
      <c r="M875" s="184" t="str" cm="1">
        <f t="array" aca="1" ref="M875" ca="1">_xlfn.IFS(C875&lt;$B$11,"Fail",C875&lt;25,"Marginal",C875&lt;35,"Solid",TRUE,"Blowout")</f>
        <v>Fail</v>
      </c>
    </row>
    <row r="876" spans="1:13" x14ac:dyDescent="0.25">
      <c r="A876" s="138">
        <f t="shared" ca="1" si="144"/>
        <v>5.7507515636703399</v>
      </c>
      <c r="B876" s="137">
        <f t="shared" ca="1" si="145"/>
        <v>15.375929246719867</v>
      </c>
      <c r="C876" s="137">
        <f t="shared" ca="1" si="146"/>
        <v>-9.625177683049527</v>
      </c>
      <c r="D876" s="152">
        <f t="shared" ca="1" si="147"/>
        <v>-1.2164420582904878</v>
      </c>
      <c r="E876" s="197">
        <f t="shared" ca="1" si="148"/>
        <v>0.88746281862018883</v>
      </c>
      <c r="F876" s="137">
        <f t="shared" ca="1" si="149"/>
        <v>-2.6822848965809793</v>
      </c>
      <c r="G876" s="137">
        <f t="shared" ca="1" si="150"/>
        <v>-18.058214143300845</v>
      </c>
      <c r="H876" s="152">
        <f t="shared" ca="1" si="151"/>
        <v>-2.28221980984434</v>
      </c>
      <c r="I876" s="152">
        <f t="shared" ca="1" si="152"/>
        <v>0.988300683710017</v>
      </c>
      <c r="J876" s="190">
        <f t="shared" ca="1" si="153"/>
        <v>0</v>
      </c>
      <c r="K876" s="187" t="str" cm="1">
        <f t="array" aca="1" ref="K876" ca="1">_xlfn.IFS(G876&lt;$B$11,"Fail",G876&lt;25,"Marginal",G876&lt;35,"Solid",TRUE,"Blowout")</f>
        <v>Fail</v>
      </c>
      <c r="L876" s="193">
        <f t="shared" ca="1" si="143"/>
        <v>0</v>
      </c>
      <c r="M876" s="184" t="str" cm="1">
        <f t="array" aca="1" ref="M876" ca="1">_xlfn.IFS(C876&lt;$B$11,"Fail",C876&lt;25,"Marginal",C876&lt;35,"Solid",TRUE,"Blowout")</f>
        <v>Fail</v>
      </c>
    </row>
    <row r="877" spans="1:13" x14ac:dyDescent="0.25">
      <c r="A877" s="138">
        <f t="shared" ca="1" si="144"/>
        <v>60.285392857248127</v>
      </c>
      <c r="B877" s="137">
        <f t="shared" ca="1" si="145"/>
        <v>1.4261337210336329</v>
      </c>
      <c r="C877" s="137">
        <f t="shared" ca="1" si="146"/>
        <v>58.85925913621449</v>
      </c>
      <c r="D877" s="152">
        <f t="shared" ca="1" si="147"/>
        <v>7.4387071793177961</v>
      </c>
      <c r="E877" s="197">
        <f t="shared" ca="1" si="148"/>
        <v>1.0259220436508529E-12</v>
      </c>
      <c r="F877" s="137">
        <f t="shared" ca="1" si="149"/>
        <v>13.250223450718288</v>
      </c>
      <c r="G877" s="137">
        <f t="shared" ca="1" si="150"/>
        <v>11.824089729684655</v>
      </c>
      <c r="H877" s="152">
        <f t="shared" ca="1" si="151"/>
        <v>1.4943433276581319</v>
      </c>
      <c r="I877" s="152">
        <f t="shared" ca="1" si="152"/>
        <v>6.8234290647701548E-2</v>
      </c>
      <c r="J877" s="190">
        <f t="shared" ca="1" si="153"/>
        <v>0</v>
      </c>
      <c r="K877" s="187" t="str" cm="1">
        <f t="array" aca="1" ref="K877" ca="1">_xlfn.IFS(G877&lt;$B$11,"Fail",G877&lt;25,"Marginal",G877&lt;35,"Solid",TRUE,"Blowout")</f>
        <v>Fail</v>
      </c>
      <c r="L877" s="193">
        <f t="shared" ca="1" si="143"/>
        <v>1</v>
      </c>
      <c r="M877" s="184" t="str" cm="1">
        <f t="array" aca="1" ref="M877" ca="1">_xlfn.IFS(C877&lt;$B$11,"Fail",C877&lt;25,"Marginal",C877&lt;35,"Solid",TRUE,"Blowout")</f>
        <v>Blowout</v>
      </c>
    </row>
    <row r="878" spans="1:13" x14ac:dyDescent="0.25">
      <c r="A878" s="138">
        <f t="shared" ca="1" si="144"/>
        <v>25.185718117707641</v>
      </c>
      <c r="B878" s="137">
        <f t="shared" ca="1" si="145"/>
        <v>0.90594106868355162</v>
      </c>
      <c r="C878" s="137">
        <f t="shared" ca="1" si="146"/>
        <v>24.279777049024091</v>
      </c>
      <c r="D878" s="152">
        <f t="shared" ca="1" si="147"/>
        <v>3.0685087528681869</v>
      </c>
      <c r="E878" s="197">
        <f t="shared" ca="1" si="148"/>
        <v>1.2058699573863822E-3</v>
      </c>
      <c r="F878" s="137">
        <f t="shared" ca="1" si="149"/>
        <v>8.6951158913492961</v>
      </c>
      <c r="G878" s="137">
        <f t="shared" ca="1" si="150"/>
        <v>7.7891748226657445</v>
      </c>
      <c r="H878" s="152">
        <f t="shared" ca="1" si="151"/>
        <v>0.98440570820361117</v>
      </c>
      <c r="I878" s="152">
        <f t="shared" ca="1" si="152"/>
        <v>0.16297976868175462</v>
      </c>
      <c r="J878" s="190">
        <f t="shared" ca="1" si="153"/>
        <v>0</v>
      </c>
      <c r="K878" s="187" t="str" cm="1">
        <f t="array" aca="1" ref="K878" ca="1">_xlfn.IFS(G878&lt;$B$11,"Fail",G878&lt;25,"Marginal",G878&lt;35,"Solid",TRUE,"Blowout")</f>
        <v>Fail</v>
      </c>
      <c r="L878" s="193">
        <f t="shared" ca="1" si="143"/>
        <v>1</v>
      </c>
      <c r="M878" s="184" t="str" cm="1">
        <f t="array" aca="1" ref="M878" ca="1">_xlfn.IFS(C878&lt;$B$11,"Fail",C878&lt;25,"Marginal",C878&lt;35,"Solid",TRUE,"Blowout")</f>
        <v>Marginal</v>
      </c>
    </row>
    <row r="879" spans="1:13" x14ac:dyDescent="0.25">
      <c r="A879" s="138">
        <f t="shared" ca="1" si="144"/>
        <v>-5.8829715101275548</v>
      </c>
      <c r="B879" s="137">
        <f t="shared" ca="1" si="145"/>
        <v>7.9737720562883325</v>
      </c>
      <c r="C879" s="137">
        <f t="shared" ca="1" si="146"/>
        <v>-13.856743566415886</v>
      </c>
      <c r="D879" s="152">
        <f t="shared" ca="1" si="147"/>
        <v>-1.7512326754049057</v>
      </c>
      <c r="E879" s="197">
        <f t="shared" ca="1" si="148"/>
        <v>0.9593747179865787</v>
      </c>
      <c r="F879" s="137">
        <f t="shared" ca="1" si="149"/>
        <v>43.44991981242287</v>
      </c>
      <c r="G879" s="137">
        <f t="shared" ca="1" si="150"/>
        <v>35.476147756134537</v>
      </c>
      <c r="H879" s="152">
        <f t="shared" ca="1" si="151"/>
        <v>4.4835201611589524</v>
      </c>
      <c r="I879" s="152">
        <f t="shared" ca="1" si="152"/>
        <v>5.8159163978262084E-6</v>
      </c>
      <c r="J879" s="190">
        <f t="shared" ca="1" si="153"/>
        <v>1</v>
      </c>
      <c r="K879" s="187" t="str" cm="1">
        <f t="array" aca="1" ref="K879" ca="1">_xlfn.IFS(G879&lt;$B$11,"Fail",G879&lt;25,"Marginal",G879&lt;35,"Solid",TRUE,"Blowout")</f>
        <v>Blowout</v>
      </c>
      <c r="L879" s="193">
        <f t="shared" ca="1" si="143"/>
        <v>0</v>
      </c>
      <c r="M879" s="184" t="str" cm="1">
        <f t="array" aca="1" ref="M879" ca="1">_xlfn.IFS(C879&lt;$B$11,"Fail",C879&lt;25,"Marginal",C879&lt;35,"Solid",TRUE,"Blowout")</f>
        <v>Fail</v>
      </c>
    </row>
    <row r="880" spans="1:13" x14ac:dyDescent="0.25">
      <c r="A880" s="138">
        <f t="shared" ca="1" si="144"/>
        <v>48.51227734187114</v>
      </c>
      <c r="B880" s="137">
        <f t="shared" ca="1" si="145"/>
        <v>5.9777756014413344</v>
      </c>
      <c r="C880" s="137">
        <f t="shared" ca="1" si="146"/>
        <v>42.534501740429803</v>
      </c>
      <c r="D880" s="152">
        <f t="shared" ca="1" si="147"/>
        <v>5.3755638128745522</v>
      </c>
      <c r="E880" s="197">
        <f t="shared" ca="1" si="148"/>
        <v>9.423664238983987E-8</v>
      </c>
      <c r="F880" s="137">
        <f t="shared" ca="1" si="149"/>
        <v>6.0054018001712599</v>
      </c>
      <c r="G880" s="137">
        <f t="shared" ca="1" si="150"/>
        <v>2.7626198729925555E-2</v>
      </c>
      <c r="H880" s="152">
        <f t="shared" ca="1" si="151"/>
        <v>3.4914337326940109E-3</v>
      </c>
      <c r="I880" s="152">
        <f t="shared" ca="1" si="152"/>
        <v>0.49860864874337274</v>
      </c>
      <c r="J880" s="190">
        <f t="shared" ca="1" si="153"/>
        <v>0</v>
      </c>
      <c r="K880" s="187" t="str" cm="1">
        <f t="array" aca="1" ref="K880" ca="1">_xlfn.IFS(G880&lt;$B$11,"Fail",G880&lt;25,"Marginal",G880&lt;35,"Solid",TRUE,"Blowout")</f>
        <v>Fail</v>
      </c>
      <c r="L880" s="193">
        <f t="shared" ca="1" si="143"/>
        <v>1</v>
      </c>
      <c r="M880" s="184" t="str" cm="1">
        <f t="array" aca="1" ref="M880" ca="1">_xlfn.IFS(C880&lt;$B$11,"Fail",C880&lt;25,"Marginal",C880&lt;35,"Solid",TRUE,"Blowout")</f>
        <v>Blowout</v>
      </c>
    </row>
    <row r="881" spans="1:13" x14ac:dyDescent="0.25">
      <c r="A881" s="138">
        <f t="shared" ca="1" si="144"/>
        <v>11.968075841495036</v>
      </c>
      <c r="B881" s="137">
        <f t="shared" ca="1" si="145"/>
        <v>-0.4103672007860224</v>
      </c>
      <c r="C881" s="137">
        <f t="shared" ca="1" si="146"/>
        <v>12.378443042281059</v>
      </c>
      <c r="D881" s="152">
        <f t="shared" ca="1" si="147"/>
        <v>1.5644031963483971</v>
      </c>
      <c r="E881" s="197">
        <f t="shared" ca="1" si="148"/>
        <v>5.9554892892255476E-2</v>
      </c>
      <c r="F881" s="137">
        <f t="shared" ca="1" si="149"/>
        <v>27.527724177217831</v>
      </c>
      <c r="G881" s="137">
        <f t="shared" ca="1" si="150"/>
        <v>27.938091378003854</v>
      </c>
      <c r="H881" s="152">
        <f t="shared" ca="1" si="151"/>
        <v>3.5308511177322299</v>
      </c>
      <c r="I881" s="152">
        <f t="shared" ca="1" si="152"/>
        <v>2.5055457232554042E-4</v>
      </c>
      <c r="J881" s="190">
        <f t="shared" ca="1" si="153"/>
        <v>1</v>
      </c>
      <c r="K881" s="187" t="str" cm="1">
        <f t="array" aca="1" ref="K881" ca="1">_xlfn.IFS(G881&lt;$B$11,"Fail",G881&lt;25,"Marginal",G881&lt;35,"Solid",TRUE,"Blowout")</f>
        <v>Solid</v>
      </c>
      <c r="L881" s="193">
        <f t="shared" ca="1" si="143"/>
        <v>0</v>
      </c>
      <c r="M881" s="184" t="str" cm="1">
        <f t="array" aca="1" ref="M881" ca="1">_xlfn.IFS(C881&lt;$B$11,"Fail",C881&lt;25,"Marginal",C881&lt;35,"Solid",TRUE,"Blowout")</f>
        <v>Fail</v>
      </c>
    </row>
    <row r="882" spans="1:13" x14ac:dyDescent="0.25">
      <c r="A882" s="138">
        <f t="shared" ca="1" si="144"/>
        <v>39.760555850284753</v>
      </c>
      <c r="B882" s="137">
        <f t="shared" ca="1" si="145"/>
        <v>-4.9809839129485862</v>
      </c>
      <c r="C882" s="137">
        <f t="shared" ca="1" si="146"/>
        <v>44.741539763233341</v>
      </c>
      <c r="D882" s="152">
        <f t="shared" ca="1" si="147"/>
        <v>5.654492053327969</v>
      </c>
      <c r="E882" s="197">
        <f t="shared" ca="1" si="148"/>
        <v>2.3263536542375247E-8</v>
      </c>
      <c r="F882" s="137">
        <f t="shared" ca="1" si="149"/>
        <v>32.840635205230001</v>
      </c>
      <c r="G882" s="137">
        <f t="shared" ca="1" si="150"/>
        <v>37.821619118178589</v>
      </c>
      <c r="H882" s="152">
        <f t="shared" ca="1" si="151"/>
        <v>4.7799437810917853</v>
      </c>
      <c r="I882" s="152">
        <f t="shared" ca="1" si="152"/>
        <v>1.5717530186183315E-6</v>
      </c>
      <c r="J882" s="190">
        <f t="shared" ca="1" si="153"/>
        <v>1</v>
      </c>
      <c r="K882" s="187" t="str" cm="1">
        <f t="array" aca="1" ref="K882" ca="1">_xlfn.IFS(G882&lt;$B$11,"Fail",G882&lt;25,"Marginal",G882&lt;35,"Solid",TRUE,"Blowout")</f>
        <v>Blowout</v>
      </c>
      <c r="L882" s="193">
        <f t="shared" ca="1" si="143"/>
        <v>1</v>
      </c>
      <c r="M882" s="184" t="str" cm="1">
        <f t="array" aca="1" ref="M882" ca="1">_xlfn.IFS(C882&lt;$B$11,"Fail",C882&lt;25,"Marginal",C882&lt;35,"Solid",TRUE,"Blowout")</f>
        <v>Blowout</v>
      </c>
    </row>
    <row r="883" spans="1:13" x14ac:dyDescent="0.25">
      <c r="A883" s="138">
        <f t="shared" ca="1" si="144"/>
        <v>17.761984711400913</v>
      </c>
      <c r="B883" s="137">
        <f t="shared" ca="1" si="145"/>
        <v>6.7689203222421224</v>
      </c>
      <c r="C883" s="137">
        <f t="shared" ca="1" si="146"/>
        <v>10.993064389158791</v>
      </c>
      <c r="D883" s="152">
        <f t="shared" ca="1" si="147"/>
        <v>1.3893173001904959</v>
      </c>
      <c r="E883" s="197">
        <f t="shared" ca="1" si="148"/>
        <v>8.3045800618194901E-2</v>
      </c>
      <c r="F883" s="137">
        <f t="shared" ca="1" si="149"/>
        <v>30.446144061429759</v>
      </c>
      <c r="G883" s="137">
        <f t="shared" ca="1" si="150"/>
        <v>23.677223739187639</v>
      </c>
      <c r="H883" s="152">
        <f t="shared" ca="1" si="151"/>
        <v>2.9923573079200065</v>
      </c>
      <c r="I883" s="152">
        <f t="shared" ca="1" si="152"/>
        <v>1.5364518240407478E-3</v>
      </c>
      <c r="J883" s="190">
        <f t="shared" ca="1" si="153"/>
        <v>1</v>
      </c>
      <c r="K883" s="187" t="str" cm="1">
        <f t="array" aca="1" ref="K883" ca="1">_xlfn.IFS(G883&lt;$B$11,"Fail",G883&lt;25,"Marginal",G883&lt;35,"Solid",TRUE,"Blowout")</f>
        <v>Marginal</v>
      </c>
      <c r="L883" s="193">
        <f t="shared" ca="1" si="143"/>
        <v>0</v>
      </c>
      <c r="M883" s="184" t="str" cm="1">
        <f t="array" aca="1" ref="M883" ca="1">_xlfn.IFS(C883&lt;$B$11,"Fail",C883&lt;25,"Marginal",C883&lt;35,"Solid",TRUE,"Blowout")</f>
        <v>Fail</v>
      </c>
    </row>
    <row r="884" spans="1:13" x14ac:dyDescent="0.25">
      <c r="A884" s="138">
        <f t="shared" ca="1" si="144"/>
        <v>3.0019925721814132E-2</v>
      </c>
      <c r="B884" s="137">
        <f t="shared" ca="1" si="145"/>
        <v>-3.1253055210231064</v>
      </c>
      <c r="C884" s="137">
        <f t="shared" ca="1" si="146"/>
        <v>3.1553254467449205</v>
      </c>
      <c r="D884" s="152">
        <f t="shared" ca="1" si="147"/>
        <v>0.3987739974685508</v>
      </c>
      <c r="E884" s="197">
        <f t="shared" ca="1" si="148"/>
        <v>0.34521647699057911</v>
      </c>
      <c r="F884" s="137">
        <f t="shared" ca="1" si="149"/>
        <v>34.073581540022474</v>
      </c>
      <c r="G884" s="137">
        <f t="shared" ca="1" si="150"/>
        <v>37.198887061045582</v>
      </c>
      <c r="H884" s="152">
        <f t="shared" ca="1" si="151"/>
        <v>4.7012421206874917</v>
      </c>
      <c r="I884" s="152">
        <f t="shared" ca="1" si="152"/>
        <v>2.2382646786342678E-6</v>
      </c>
      <c r="J884" s="190">
        <f t="shared" ca="1" si="153"/>
        <v>1</v>
      </c>
      <c r="K884" s="187" t="str" cm="1">
        <f t="array" aca="1" ref="K884" ca="1">_xlfn.IFS(G884&lt;$B$11,"Fail",G884&lt;25,"Marginal",G884&lt;35,"Solid",TRUE,"Blowout")</f>
        <v>Blowout</v>
      </c>
      <c r="L884" s="193">
        <f t="shared" ca="1" si="143"/>
        <v>0</v>
      </c>
      <c r="M884" s="184" t="str" cm="1">
        <f t="array" aca="1" ref="M884" ca="1">_xlfn.IFS(C884&lt;$B$11,"Fail",C884&lt;25,"Marginal",C884&lt;35,"Solid",TRUE,"Blowout")</f>
        <v>Fail</v>
      </c>
    </row>
    <row r="885" spans="1:13" x14ac:dyDescent="0.25">
      <c r="A885" s="138">
        <f t="shared" ca="1" si="144"/>
        <v>32.765890022398978</v>
      </c>
      <c r="B885" s="137">
        <f t="shared" ca="1" si="145"/>
        <v>5.0046550247962553</v>
      </c>
      <c r="C885" s="137">
        <f t="shared" ca="1" si="146"/>
        <v>27.76123499760272</v>
      </c>
      <c r="D885" s="152">
        <f t="shared" ca="1" si="147"/>
        <v>3.50849978599777</v>
      </c>
      <c r="E885" s="197">
        <f t="shared" ca="1" si="148"/>
        <v>2.7139149191675381E-4</v>
      </c>
      <c r="F885" s="137">
        <f t="shared" ca="1" si="149"/>
        <v>40.330101045561904</v>
      </c>
      <c r="G885" s="137">
        <f t="shared" ca="1" si="150"/>
        <v>35.325446020765646</v>
      </c>
      <c r="H885" s="152">
        <f t="shared" ca="1" si="151"/>
        <v>4.4644742863505398</v>
      </c>
      <c r="I885" s="152">
        <f t="shared" ca="1" si="152"/>
        <v>6.3123093622034433E-6</v>
      </c>
      <c r="J885" s="190">
        <f t="shared" ca="1" si="153"/>
        <v>1</v>
      </c>
      <c r="K885" s="187" t="str" cm="1">
        <f t="array" aca="1" ref="K885" ca="1">_xlfn.IFS(G885&lt;$B$11,"Fail",G885&lt;25,"Marginal",G885&lt;35,"Solid",TRUE,"Blowout")</f>
        <v>Blowout</v>
      </c>
      <c r="L885" s="193">
        <f t="shared" ca="1" si="143"/>
        <v>1</v>
      </c>
      <c r="M885" s="184" t="str" cm="1">
        <f t="array" aca="1" ref="M885" ca="1">_xlfn.IFS(C885&lt;$B$11,"Fail",C885&lt;25,"Marginal",C885&lt;35,"Solid",TRUE,"Blowout")</f>
        <v>Solid</v>
      </c>
    </row>
    <row r="886" spans="1:13" x14ac:dyDescent="0.25">
      <c r="A886" s="138">
        <f t="shared" ca="1" si="144"/>
        <v>32.173612363023629</v>
      </c>
      <c r="B886" s="137">
        <f t="shared" ca="1" si="145"/>
        <v>3.973710127147164</v>
      </c>
      <c r="C886" s="137">
        <f t="shared" ca="1" si="146"/>
        <v>28.199902235876465</v>
      </c>
      <c r="D886" s="152">
        <f t="shared" ca="1" si="147"/>
        <v>3.5639391031513679</v>
      </c>
      <c r="E886" s="197">
        <f t="shared" ca="1" si="148"/>
        <v>2.2244794313185757E-4</v>
      </c>
      <c r="F886" s="137">
        <f t="shared" ca="1" si="149"/>
        <v>35.025221443726601</v>
      </c>
      <c r="G886" s="137">
        <f t="shared" ca="1" si="150"/>
        <v>31.051511316579436</v>
      </c>
      <c r="H886" s="152">
        <f t="shared" ca="1" si="151"/>
        <v>3.9243290443863175</v>
      </c>
      <c r="I886" s="152">
        <f t="shared" ca="1" si="152"/>
        <v>5.7587866597410906E-5</v>
      </c>
      <c r="J886" s="190">
        <f t="shared" ca="1" si="153"/>
        <v>1</v>
      </c>
      <c r="K886" s="187" t="str" cm="1">
        <f t="array" aca="1" ref="K886" ca="1">_xlfn.IFS(G886&lt;$B$11,"Fail",G886&lt;25,"Marginal",G886&lt;35,"Solid",TRUE,"Blowout")</f>
        <v>Solid</v>
      </c>
      <c r="L886" s="193">
        <f t="shared" ca="1" si="143"/>
        <v>1</v>
      </c>
      <c r="M886" s="184" t="str" cm="1">
        <f t="array" aca="1" ref="M886" ca="1">_xlfn.IFS(C886&lt;$B$11,"Fail",C886&lt;25,"Marginal",C886&lt;35,"Solid",TRUE,"Blowout")</f>
        <v>Solid</v>
      </c>
    </row>
    <row r="887" spans="1:13" x14ac:dyDescent="0.25">
      <c r="A887" s="138">
        <f t="shared" ca="1" si="144"/>
        <v>79.912942467537832</v>
      </c>
      <c r="B887" s="137">
        <f t="shared" ca="1" si="145"/>
        <v>2.0357656137928437</v>
      </c>
      <c r="C887" s="137">
        <f t="shared" ca="1" si="146"/>
        <v>77.877176853744984</v>
      </c>
      <c r="D887" s="152">
        <f t="shared" ca="1" si="147"/>
        <v>9.842215533605378</v>
      </c>
      <c r="E887" s="197">
        <f t="shared" ca="1" si="148"/>
        <v>1.4115262131858904E-19</v>
      </c>
      <c r="F887" s="137">
        <f t="shared" ca="1" si="149"/>
        <v>39.288478460789477</v>
      </c>
      <c r="G887" s="137">
        <f t="shared" ca="1" si="150"/>
        <v>37.25271284699663</v>
      </c>
      <c r="H887" s="152">
        <f t="shared" ca="1" si="151"/>
        <v>4.7080446911965748</v>
      </c>
      <c r="I887" s="152">
        <f t="shared" ca="1" si="152"/>
        <v>2.1712839111975358E-6</v>
      </c>
      <c r="J887" s="190">
        <f t="shared" ca="1" si="153"/>
        <v>1</v>
      </c>
      <c r="K887" s="187" t="str" cm="1">
        <f t="array" aca="1" ref="K887" ca="1">_xlfn.IFS(G887&lt;$B$11,"Fail",G887&lt;25,"Marginal",G887&lt;35,"Solid",TRUE,"Blowout")</f>
        <v>Blowout</v>
      </c>
      <c r="L887" s="193">
        <f t="shared" ca="1" si="143"/>
        <v>1</v>
      </c>
      <c r="M887" s="184" t="str" cm="1">
        <f t="array" aca="1" ref="M887" ca="1">_xlfn.IFS(C887&lt;$B$11,"Fail",C887&lt;25,"Marginal",C887&lt;35,"Solid",TRUE,"Blowout")</f>
        <v>Blowout</v>
      </c>
    </row>
    <row r="888" spans="1:13" x14ac:dyDescent="0.25">
      <c r="A888" s="138">
        <f t="shared" ca="1" si="144"/>
        <v>19.861371080949684</v>
      </c>
      <c r="B888" s="137">
        <f t="shared" ca="1" si="145"/>
        <v>2.3099594251327433</v>
      </c>
      <c r="C888" s="137">
        <f t="shared" ca="1" si="146"/>
        <v>17.551411655816942</v>
      </c>
      <c r="D888" s="152">
        <f t="shared" ca="1" si="147"/>
        <v>2.2181694742222411</v>
      </c>
      <c r="E888" s="197">
        <f t="shared" ca="1" si="148"/>
        <v>1.3764751159516931E-2</v>
      </c>
      <c r="F888" s="137">
        <f t="shared" ca="1" si="149"/>
        <v>30.623565416472271</v>
      </c>
      <c r="G888" s="137">
        <f t="shared" ca="1" si="150"/>
        <v>28.313605991339529</v>
      </c>
      <c r="H888" s="152">
        <f t="shared" ca="1" si="151"/>
        <v>3.5783091267379898</v>
      </c>
      <c r="I888" s="152">
        <f t="shared" ca="1" si="152"/>
        <v>2.1118827113440639E-4</v>
      </c>
      <c r="J888" s="190">
        <f t="shared" ca="1" si="153"/>
        <v>1</v>
      </c>
      <c r="K888" s="187" t="str" cm="1">
        <f t="array" aca="1" ref="K888" ca="1">_xlfn.IFS(G888&lt;$B$11,"Fail",G888&lt;25,"Marginal",G888&lt;35,"Solid",TRUE,"Blowout")</f>
        <v>Solid</v>
      </c>
      <c r="L888" s="193">
        <f t="shared" ca="1" si="143"/>
        <v>0</v>
      </c>
      <c r="M888" s="184" t="str" cm="1">
        <f t="array" aca="1" ref="M888" ca="1">_xlfn.IFS(C888&lt;$B$11,"Fail",C888&lt;25,"Marginal",C888&lt;35,"Solid",TRUE,"Blowout")</f>
        <v>Fail</v>
      </c>
    </row>
    <row r="889" spans="1:13" x14ac:dyDescent="0.25">
      <c r="A889" s="138">
        <f t="shared" ca="1" si="144"/>
        <v>7.5914564769978838</v>
      </c>
      <c r="B889" s="137">
        <f t="shared" ca="1" si="145"/>
        <v>-0.52392511322201063</v>
      </c>
      <c r="C889" s="137">
        <f t="shared" ca="1" si="146"/>
        <v>8.1153815902198936</v>
      </c>
      <c r="D889" s="152">
        <f t="shared" ca="1" si="147"/>
        <v>1.0256321296597743</v>
      </c>
      <c r="E889" s="197">
        <f t="shared" ca="1" si="148"/>
        <v>0.15307596034672649</v>
      </c>
      <c r="F889" s="137">
        <f t="shared" ca="1" si="149"/>
        <v>35.101714565393124</v>
      </c>
      <c r="G889" s="137">
        <f t="shared" ca="1" si="150"/>
        <v>35.625639678615137</v>
      </c>
      <c r="H889" s="152">
        <f t="shared" ca="1" si="151"/>
        <v>4.5024131382933223</v>
      </c>
      <c r="I889" s="152">
        <f t="shared" ca="1" si="152"/>
        <v>5.3606856260276501E-6</v>
      </c>
      <c r="J889" s="190">
        <f t="shared" ca="1" si="153"/>
        <v>1</v>
      </c>
      <c r="K889" s="187" t="str" cm="1">
        <f t="array" aca="1" ref="K889" ca="1">_xlfn.IFS(G889&lt;$B$11,"Fail",G889&lt;25,"Marginal",G889&lt;35,"Solid",TRUE,"Blowout")</f>
        <v>Blowout</v>
      </c>
      <c r="L889" s="193">
        <f t="shared" ca="1" si="143"/>
        <v>0</v>
      </c>
      <c r="M889" s="184" t="str" cm="1">
        <f t="array" aca="1" ref="M889" ca="1">_xlfn.IFS(C889&lt;$B$11,"Fail",C889&lt;25,"Marginal",C889&lt;35,"Solid",TRUE,"Blowout")</f>
        <v>Fail</v>
      </c>
    </row>
    <row r="890" spans="1:13" x14ac:dyDescent="0.25">
      <c r="A890" s="138">
        <f t="shared" ca="1" si="144"/>
        <v>24.789677468059519</v>
      </c>
      <c r="B890" s="137">
        <f t="shared" ca="1" si="145"/>
        <v>0.38550886926259853</v>
      </c>
      <c r="C890" s="137">
        <f t="shared" ca="1" si="146"/>
        <v>24.404168598796922</v>
      </c>
      <c r="D890" s="152">
        <f t="shared" ca="1" si="147"/>
        <v>3.0842295133385189</v>
      </c>
      <c r="E890" s="197">
        <f t="shared" ca="1" si="148"/>
        <v>1.1463685502768196E-3</v>
      </c>
      <c r="F890" s="137">
        <f t="shared" ca="1" si="149"/>
        <v>12.890833590735511</v>
      </c>
      <c r="G890" s="137">
        <f t="shared" ca="1" si="150"/>
        <v>12.505324721472913</v>
      </c>
      <c r="H890" s="152">
        <f t="shared" ca="1" si="151"/>
        <v>1.580438662505796</v>
      </c>
      <c r="I890" s="152">
        <f t="shared" ca="1" si="152"/>
        <v>5.7696351550796332E-2</v>
      </c>
      <c r="J890" s="190">
        <f t="shared" ca="1" si="153"/>
        <v>0</v>
      </c>
      <c r="K890" s="187" t="str" cm="1">
        <f t="array" aca="1" ref="K890" ca="1">_xlfn.IFS(G890&lt;$B$11,"Fail",G890&lt;25,"Marginal",G890&lt;35,"Solid",TRUE,"Blowout")</f>
        <v>Fail</v>
      </c>
      <c r="L890" s="193">
        <f t="shared" ca="1" si="143"/>
        <v>1</v>
      </c>
      <c r="M890" s="184" t="str" cm="1">
        <f t="array" aca="1" ref="M890" ca="1">_xlfn.IFS(C890&lt;$B$11,"Fail",C890&lt;25,"Marginal",C890&lt;35,"Solid",TRUE,"Blowout")</f>
        <v>Marginal</v>
      </c>
    </row>
    <row r="891" spans="1:13" x14ac:dyDescent="0.25">
      <c r="A891" s="138">
        <f t="shared" ca="1" si="144"/>
        <v>28.749824981292036</v>
      </c>
      <c r="B891" s="137">
        <f t="shared" ca="1" si="145"/>
        <v>10.579394495856707</v>
      </c>
      <c r="C891" s="137">
        <f t="shared" ca="1" si="146"/>
        <v>18.170430485435329</v>
      </c>
      <c r="D891" s="152">
        <f t="shared" ca="1" si="147"/>
        <v>2.2964018522642209</v>
      </c>
      <c r="E891" s="197">
        <f t="shared" ca="1" si="148"/>
        <v>1.1280446464331455E-2</v>
      </c>
      <c r="F891" s="137">
        <f t="shared" ca="1" si="149"/>
        <v>2.2954276983818622</v>
      </c>
      <c r="G891" s="137">
        <f t="shared" ca="1" si="150"/>
        <v>-8.2839667974748448</v>
      </c>
      <c r="H891" s="152">
        <f t="shared" ca="1" si="151"/>
        <v>-1.0469381401318396</v>
      </c>
      <c r="I891" s="152">
        <f t="shared" ca="1" si="152"/>
        <v>0.85188164775999342</v>
      </c>
      <c r="J891" s="190">
        <f t="shared" ca="1" si="153"/>
        <v>0</v>
      </c>
      <c r="K891" s="187" t="str" cm="1">
        <f t="array" aca="1" ref="K891" ca="1">_xlfn.IFS(G891&lt;$B$11,"Fail",G891&lt;25,"Marginal",G891&lt;35,"Solid",TRUE,"Blowout")</f>
        <v>Fail</v>
      </c>
      <c r="L891" s="193">
        <f t="shared" ca="1" si="143"/>
        <v>0</v>
      </c>
      <c r="M891" s="184" t="str" cm="1">
        <f t="array" aca="1" ref="M891" ca="1">_xlfn.IFS(C891&lt;$B$11,"Fail",C891&lt;25,"Marginal",C891&lt;35,"Solid",TRUE,"Blowout")</f>
        <v>Fail</v>
      </c>
    </row>
    <row r="892" spans="1:13" x14ac:dyDescent="0.25">
      <c r="A892" s="138">
        <f t="shared" ca="1" si="144"/>
        <v>5.1283621033890618</v>
      </c>
      <c r="B892" s="137">
        <f t="shared" ca="1" si="145"/>
        <v>4.2271538124227988</v>
      </c>
      <c r="C892" s="137">
        <f t="shared" ca="1" si="146"/>
        <v>0.90120829096626309</v>
      </c>
      <c r="D892" s="152">
        <f t="shared" ca="1" si="147"/>
        <v>0.11389583699239569</v>
      </c>
      <c r="E892" s="197">
        <f t="shared" ca="1" si="148"/>
        <v>0.45471029720247746</v>
      </c>
      <c r="F892" s="137">
        <f t="shared" ca="1" si="149"/>
        <v>7.0427332352507888</v>
      </c>
      <c r="G892" s="137">
        <f t="shared" ca="1" si="150"/>
        <v>2.81557942282799</v>
      </c>
      <c r="H892" s="152">
        <f t="shared" ca="1" si="151"/>
        <v>0.35583646776898675</v>
      </c>
      <c r="I892" s="152">
        <f t="shared" ca="1" si="152"/>
        <v>0.36114602498905557</v>
      </c>
      <c r="J892" s="190">
        <f t="shared" ca="1" si="153"/>
        <v>0</v>
      </c>
      <c r="K892" s="187" t="str" cm="1">
        <f t="array" aca="1" ref="K892" ca="1">_xlfn.IFS(G892&lt;$B$11,"Fail",G892&lt;25,"Marginal",G892&lt;35,"Solid",TRUE,"Blowout")</f>
        <v>Fail</v>
      </c>
      <c r="L892" s="193">
        <f t="shared" ca="1" si="143"/>
        <v>0</v>
      </c>
      <c r="M892" s="184" t="str" cm="1">
        <f t="array" aca="1" ref="M892" ca="1">_xlfn.IFS(C892&lt;$B$11,"Fail",C892&lt;25,"Marginal",C892&lt;35,"Solid",TRUE,"Blowout")</f>
        <v>Fail</v>
      </c>
    </row>
    <row r="893" spans="1:13" x14ac:dyDescent="0.25">
      <c r="A893" s="138">
        <f t="shared" ca="1" si="144"/>
        <v>34.347974985539437</v>
      </c>
      <c r="B893" s="137">
        <f t="shared" ca="1" si="145"/>
        <v>-2.1528907754285243</v>
      </c>
      <c r="C893" s="137">
        <f t="shared" ca="1" si="146"/>
        <v>36.500865760967962</v>
      </c>
      <c r="D893" s="152">
        <f t="shared" ca="1" si="147"/>
        <v>4.6130253110910999</v>
      </c>
      <c r="E893" s="197">
        <f t="shared" ca="1" si="148"/>
        <v>3.3092231592319052E-6</v>
      </c>
      <c r="F893" s="137">
        <f t="shared" ca="1" si="149"/>
        <v>12.402266633847074</v>
      </c>
      <c r="G893" s="137">
        <f t="shared" ca="1" si="150"/>
        <v>14.555157409275598</v>
      </c>
      <c r="H893" s="152">
        <f t="shared" ca="1" si="151"/>
        <v>1.8394990950516821</v>
      </c>
      <c r="I893" s="152">
        <f t="shared" ca="1" si="152"/>
        <v>3.3570993512718306E-2</v>
      </c>
      <c r="J893" s="190">
        <f t="shared" ca="1" si="153"/>
        <v>0</v>
      </c>
      <c r="K893" s="187" t="str" cm="1">
        <f t="array" aca="1" ref="K893" ca="1">_xlfn.IFS(G893&lt;$B$11,"Fail",G893&lt;25,"Marginal",G893&lt;35,"Solid",TRUE,"Blowout")</f>
        <v>Fail</v>
      </c>
      <c r="L893" s="193">
        <f t="shared" ca="1" si="143"/>
        <v>1</v>
      </c>
      <c r="M893" s="184" t="str" cm="1">
        <f t="array" aca="1" ref="M893" ca="1">_xlfn.IFS(C893&lt;$B$11,"Fail",C893&lt;25,"Marginal",C893&lt;35,"Solid",TRUE,"Blowout")</f>
        <v>Blowout</v>
      </c>
    </row>
    <row r="894" spans="1:13" x14ac:dyDescent="0.25">
      <c r="A894" s="138">
        <f t="shared" ca="1" si="144"/>
        <v>35.453787565880688</v>
      </c>
      <c r="B894" s="137">
        <f t="shared" ca="1" si="145"/>
        <v>7.0858159736148441</v>
      </c>
      <c r="C894" s="137">
        <f t="shared" ca="1" si="146"/>
        <v>28.367971592265846</v>
      </c>
      <c r="D894" s="152">
        <f t="shared" ca="1" si="147"/>
        <v>3.5851799197424112</v>
      </c>
      <c r="E894" s="197">
        <f t="shared" ca="1" si="148"/>
        <v>2.0599601341518702E-4</v>
      </c>
      <c r="F894" s="137">
        <f t="shared" ca="1" si="149"/>
        <v>16.781084578142035</v>
      </c>
      <c r="G894" s="137">
        <f t="shared" ca="1" si="150"/>
        <v>9.6952686045271914</v>
      </c>
      <c r="H894" s="152">
        <f t="shared" ca="1" si="151"/>
        <v>1.2253002370792199</v>
      </c>
      <c r="I894" s="152">
        <f t="shared" ca="1" si="152"/>
        <v>0.11086318796863461</v>
      </c>
      <c r="J894" s="190">
        <f t="shared" ca="1" si="153"/>
        <v>0</v>
      </c>
      <c r="K894" s="187" t="str" cm="1">
        <f t="array" aca="1" ref="K894" ca="1">_xlfn.IFS(G894&lt;$B$11,"Fail",G894&lt;25,"Marginal",G894&lt;35,"Solid",TRUE,"Blowout")</f>
        <v>Fail</v>
      </c>
      <c r="L894" s="193">
        <f t="shared" ca="1" si="143"/>
        <v>1</v>
      </c>
      <c r="M894" s="184" t="str" cm="1">
        <f t="array" aca="1" ref="M894" ca="1">_xlfn.IFS(C894&lt;$B$11,"Fail",C894&lt;25,"Marginal",C894&lt;35,"Solid",TRUE,"Blowout")</f>
        <v>Solid</v>
      </c>
    </row>
    <row r="895" spans="1:13" x14ac:dyDescent="0.25">
      <c r="A895" s="138">
        <f t="shared" ca="1" si="144"/>
        <v>76.070282553312921</v>
      </c>
      <c r="B895" s="137">
        <f t="shared" ca="1" si="145"/>
        <v>7.3298035577695249</v>
      </c>
      <c r="C895" s="137">
        <f t="shared" ca="1" si="146"/>
        <v>68.740478995543398</v>
      </c>
      <c r="D895" s="152">
        <f t="shared" ca="1" si="147"/>
        <v>8.6875081697941248</v>
      </c>
      <c r="E895" s="197">
        <f t="shared" ca="1" si="148"/>
        <v>3.6393200467317321E-16</v>
      </c>
      <c r="F895" s="137">
        <f t="shared" ca="1" si="149"/>
        <v>-2.725541174083725</v>
      </c>
      <c r="G895" s="137">
        <f t="shared" ca="1" si="150"/>
        <v>-10.05534473185325</v>
      </c>
      <c r="H895" s="152">
        <f t="shared" ca="1" si="151"/>
        <v>-1.2708071108107191</v>
      </c>
      <c r="I895" s="152">
        <f t="shared" ca="1" si="152"/>
        <v>0.89745381728480522</v>
      </c>
      <c r="J895" s="190">
        <f t="shared" ca="1" si="153"/>
        <v>0</v>
      </c>
      <c r="K895" s="187" t="str" cm="1">
        <f t="array" aca="1" ref="K895" ca="1">_xlfn.IFS(G895&lt;$B$11,"Fail",G895&lt;25,"Marginal",G895&lt;35,"Solid",TRUE,"Blowout")</f>
        <v>Fail</v>
      </c>
      <c r="L895" s="193">
        <f t="shared" ca="1" si="143"/>
        <v>1</v>
      </c>
      <c r="M895" s="184" t="str" cm="1">
        <f t="array" aca="1" ref="M895" ca="1">_xlfn.IFS(C895&lt;$B$11,"Fail",C895&lt;25,"Marginal",C895&lt;35,"Solid",TRUE,"Blowout")</f>
        <v>Blowout</v>
      </c>
    </row>
    <row r="896" spans="1:13" x14ac:dyDescent="0.25">
      <c r="A896" s="138">
        <f t="shared" ca="1" si="144"/>
        <v>22.711896829860237</v>
      </c>
      <c r="B896" s="137">
        <f t="shared" ca="1" si="145"/>
        <v>-9.1181474328844647</v>
      </c>
      <c r="C896" s="137">
        <f t="shared" ca="1" si="146"/>
        <v>31.8300442627447</v>
      </c>
      <c r="D896" s="152">
        <f t="shared" ca="1" si="147"/>
        <v>4.0227210170506789</v>
      </c>
      <c r="E896" s="197">
        <f t="shared" ca="1" si="148"/>
        <v>3.9132083928923284E-5</v>
      </c>
      <c r="F896" s="137">
        <f t="shared" ca="1" si="149"/>
        <v>8.1002072401607634</v>
      </c>
      <c r="G896" s="137">
        <f t="shared" ca="1" si="150"/>
        <v>17.218354673045226</v>
      </c>
      <c r="H896" s="152">
        <f t="shared" ca="1" si="151"/>
        <v>2.1760773139534155</v>
      </c>
      <c r="I896" s="152">
        <f t="shared" ca="1" si="152"/>
        <v>1.5288459493369018E-2</v>
      </c>
      <c r="J896" s="190">
        <f t="shared" ca="1" si="153"/>
        <v>0</v>
      </c>
      <c r="K896" s="187" t="str" cm="1">
        <f t="array" aca="1" ref="K896" ca="1">_xlfn.IFS(G896&lt;$B$11,"Fail",G896&lt;25,"Marginal",G896&lt;35,"Solid",TRUE,"Blowout")</f>
        <v>Fail</v>
      </c>
      <c r="L896" s="193">
        <f t="shared" ca="1" si="143"/>
        <v>1</v>
      </c>
      <c r="M896" s="184" t="str" cm="1">
        <f t="array" aca="1" ref="M896" ca="1">_xlfn.IFS(C896&lt;$B$11,"Fail",C896&lt;25,"Marginal",C896&lt;35,"Solid",TRUE,"Blowout")</f>
        <v>Solid</v>
      </c>
    </row>
    <row r="897" spans="1:13" x14ac:dyDescent="0.25">
      <c r="A897" s="138">
        <f t="shared" ca="1" si="144"/>
        <v>15.11227845738467</v>
      </c>
      <c r="B897" s="137">
        <f t="shared" ca="1" si="145"/>
        <v>4.5773974735072098</v>
      </c>
      <c r="C897" s="137">
        <f t="shared" ca="1" si="146"/>
        <v>10.534880983877461</v>
      </c>
      <c r="D897" s="152">
        <f t="shared" ca="1" si="147"/>
        <v>1.331411505310834</v>
      </c>
      <c r="E897" s="197">
        <f t="shared" ca="1" si="148"/>
        <v>9.2191643544945093E-2</v>
      </c>
      <c r="F897" s="137">
        <f t="shared" ca="1" si="149"/>
        <v>-3.5332922541289808</v>
      </c>
      <c r="G897" s="137">
        <f t="shared" ca="1" si="150"/>
        <v>-8.1106897276361902</v>
      </c>
      <c r="H897" s="152">
        <f t="shared" ca="1" si="151"/>
        <v>-1.0250391661668938</v>
      </c>
      <c r="I897" s="152">
        <f t="shared" ca="1" si="152"/>
        <v>0.84678449994601812</v>
      </c>
      <c r="J897" s="190">
        <f t="shared" ca="1" si="153"/>
        <v>0</v>
      </c>
      <c r="K897" s="187" t="str" cm="1">
        <f t="array" aca="1" ref="K897" ca="1">_xlfn.IFS(G897&lt;$B$11,"Fail",G897&lt;25,"Marginal",G897&lt;35,"Solid",TRUE,"Blowout")</f>
        <v>Fail</v>
      </c>
      <c r="L897" s="193">
        <f t="shared" ca="1" si="143"/>
        <v>0</v>
      </c>
      <c r="M897" s="184" t="str" cm="1">
        <f t="array" aca="1" ref="M897" ca="1">_xlfn.IFS(C897&lt;$B$11,"Fail",C897&lt;25,"Marginal",C897&lt;35,"Solid",TRUE,"Blowout")</f>
        <v>Fail</v>
      </c>
    </row>
    <row r="898" spans="1:13" x14ac:dyDescent="0.25">
      <c r="A898" s="138">
        <f t="shared" ca="1" si="144"/>
        <v>66.562250683531545</v>
      </c>
      <c r="B898" s="137">
        <f t="shared" ca="1" si="145"/>
        <v>4.1474352314454288</v>
      </c>
      <c r="C898" s="137">
        <f t="shared" ca="1" si="146"/>
        <v>62.414815452086117</v>
      </c>
      <c r="D898" s="152">
        <f t="shared" ca="1" si="147"/>
        <v>7.8880628572772187</v>
      </c>
      <c r="E898" s="197">
        <f t="shared" ca="1" si="148"/>
        <v>6.3473086627699405E-14</v>
      </c>
      <c r="F898" s="137">
        <f t="shared" ca="1" si="149"/>
        <v>41.511600037109147</v>
      </c>
      <c r="G898" s="137">
        <f t="shared" ca="1" si="150"/>
        <v>37.364164805663719</v>
      </c>
      <c r="H898" s="152">
        <f t="shared" ca="1" si="151"/>
        <v>4.7221301298727107</v>
      </c>
      <c r="I898" s="152">
        <f t="shared" ca="1" si="152"/>
        <v>2.0386841979867153E-6</v>
      </c>
      <c r="J898" s="190">
        <f t="shared" ca="1" si="153"/>
        <v>1</v>
      </c>
      <c r="K898" s="187" t="str" cm="1">
        <f t="array" aca="1" ref="K898" ca="1">_xlfn.IFS(G898&lt;$B$11,"Fail",G898&lt;25,"Marginal",G898&lt;35,"Solid",TRUE,"Blowout")</f>
        <v>Blowout</v>
      </c>
      <c r="L898" s="193">
        <f t="shared" ca="1" si="143"/>
        <v>1</v>
      </c>
      <c r="M898" s="184" t="str" cm="1">
        <f t="array" aca="1" ref="M898" ca="1">_xlfn.IFS(C898&lt;$B$11,"Fail",C898&lt;25,"Marginal",C898&lt;35,"Solid",TRUE,"Blowout")</f>
        <v>Blowout</v>
      </c>
    </row>
    <row r="899" spans="1:13" x14ac:dyDescent="0.25">
      <c r="A899" s="138">
        <f t="shared" ca="1" si="144"/>
        <v>3.6273112888785128</v>
      </c>
      <c r="B899" s="137">
        <f t="shared" ca="1" si="145"/>
        <v>-6.4390953023459705</v>
      </c>
      <c r="C899" s="137">
        <f t="shared" ca="1" si="146"/>
        <v>10.066406591224483</v>
      </c>
      <c r="D899" s="152">
        <f t="shared" ca="1" si="147"/>
        <v>1.272205122507247</v>
      </c>
      <c r="E899" s="197">
        <f t="shared" ca="1" si="148"/>
        <v>0.10229810873373237</v>
      </c>
      <c r="F899" s="137">
        <f t="shared" ca="1" si="149"/>
        <v>27.176641001310848</v>
      </c>
      <c r="G899" s="137">
        <f t="shared" ca="1" si="150"/>
        <v>33.615736303656817</v>
      </c>
      <c r="H899" s="152">
        <f t="shared" ca="1" si="151"/>
        <v>4.2483990225118591</v>
      </c>
      <c r="I899" s="152">
        <f t="shared" ca="1" si="152"/>
        <v>1.5690450339952768E-5</v>
      </c>
      <c r="J899" s="190">
        <f t="shared" ca="1" si="153"/>
        <v>1</v>
      </c>
      <c r="K899" s="187" t="str" cm="1">
        <f t="array" aca="1" ref="K899" ca="1">_xlfn.IFS(G899&lt;$B$11,"Fail",G899&lt;25,"Marginal",G899&lt;35,"Solid",TRUE,"Blowout")</f>
        <v>Solid</v>
      </c>
      <c r="L899" s="193">
        <f t="shared" ca="1" si="143"/>
        <v>0</v>
      </c>
      <c r="M899" s="184" t="str" cm="1">
        <f t="array" aca="1" ref="M899" ca="1">_xlfn.IFS(C899&lt;$B$11,"Fail",C899&lt;25,"Marginal",C899&lt;35,"Solid",TRUE,"Blowout")</f>
        <v>Fail</v>
      </c>
    </row>
    <row r="900" spans="1:13" x14ac:dyDescent="0.25">
      <c r="A900" s="138">
        <f t="shared" ca="1" si="144"/>
        <v>26.036950966928877</v>
      </c>
      <c r="B900" s="137">
        <f t="shared" ca="1" si="145"/>
        <v>12.054611832288796</v>
      </c>
      <c r="C900" s="137">
        <f t="shared" ca="1" si="146"/>
        <v>13.982339134640082</v>
      </c>
      <c r="D900" s="152">
        <f t="shared" ca="1" si="147"/>
        <v>1.7671056012410549</v>
      </c>
      <c r="E900" s="197">
        <f t="shared" ca="1" si="148"/>
        <v>3.9274167610868396E-2</v>
      </c>
      <c r="F900" s="137">
        <f t="shared" ca="1" si="149"/>
        <v>23.755540526820177</v>
      </c>
      <c r="G900" s="137">
        <f t="shared" ca="1" si="150"/>
        <v>11.700928694531381</v>
      </c>
      <c r="H900" s="152">
        <f t="shared" ca="1" si="151"/>
        <v>1.4787780811726698</v>
      </c>
      <c r="I900" s="152">
        <f t="shared" ca="1" si="152"/>
        <v>7.0289923960420775E-2</v>
      </c>
      <c r="J900" s="190">
        <f t="shared" ca="1" si="153"/>
        <v>0</v>
      </c>
      <c r="K900" s="187" t="str" cm="1">
        <f t="array" aca="1" ref="K900" ca="1">_xlfn.IFS(G900&lt;$B$11,"Fail",G900&lt;25,"Marginal",G900&lt;35,"Solid",TRUE,"Blowout")</f>
        <v>Fail</v>
      </c>
      <c r="L900" s="193">
        <f t="shared" ca="1" si="143"/>
        <v>0</v>
      </c>
      <c r="M900" s="184" t="str" cm="1">
        <f t="array" aca="1" ref="M900" ca="1">_xlfn.IFS(C900&lt;$B$11,"Fail",C900&lt;25,"Marginal",C900&lt;35,"Solid",TRUE,"Blowout")</f>
        <v>Fail</v>
      </c>
    </row>
    <row r="901" spans="1:13" x14ac:dyDescent="0.25">
      <c r="A901" s="138">
        <f t="shared" ca="1" si="144"/>
        <v>29.938747102600274</v>
      </c>
      <c r="B901" s="137">
        <f t="shared" ca="1" si="145"/>
        <v>3.2822586299967318</v>
      </c>
      <c r="C901" s="137">
        <f t="shared" ca="1" si="146"/>
        <v>26.656488472603542</v>
      </c>
      <c r="D901" s="152">
        <f t="shared" ca="1" si="147"/>
        <v>3.3688805310591441</v>
      </c>
      <c r="E901" s="197">
        <f t="shared" ca="1" si="148"/>
        <v>4.4301626900180229E-4</v>
      </c>
      <c r="F901" s="137">
        <f t="shared" ca="1" si="149"/>
        <v>14.075633522287928</v>
      </c>
      <c r="G901" s="137">
        <f t="shared" ca="1" si="150"/>
        <v>10.793374892291197</v>
      </c>
      <c r="H901" s="152">
        <f t="shared" ca="1" si="151"/>
        <v>1.3640802904866247</v>
      </c>
      <c r="I901" s="152">
        <f t="shared" ca="1" si="152"/>
        <v>8.6943664015020239E-2</v>
      </c>
      <c r="J901" s="190">
        <f t="shared" ca="1" si="153"/>
        <v>0</v>
      </c>
      <c r="K901" s="187" t="str" cm="1">
        <f t="array" aca="1" ref="K901" ca="1">_xlfn.IFS(G901&lt;$B$11,"Fail",G901&lt;25,"Marginal",G901&lt;35,"Solid",TRUE,"Blowout")</f>
        <v>Fail</v>
      </c>
      <c r="L901" s="193">
        <f t="shared" ca="1" si="143"/>
        <v>1</v>
      </c>
      <c r="M901" s="184" t="str" cm="1">
        <f t="array" aca="1" ref="M901" ca="1">_xlfn.IFS(C901&lt;$B$11,"Fail",C901&lt;25,"Marginal",C901&lt;35,"Solid",TRUE,"Blowout")</f>
        <v>Solid</v>
      </c>
    </row>
    <row r="902" spans="1:13" x14ac:dyDescent="0.25">
      <c r="A902" s="138">
        <f t="shared" ca="1" si="144"/>
        <v>34.045345752173631</v>
      </c>
      <c r="B902" s="137">
        <f t="shared" ca="1" si="145"/>
        <v>4.7280421091185492</v>
      </c>
      <c r="C902" s="137">
        <f t="shared" ca="1" si="146"/>
        <v>29.317303643055084</v>
      </c>
      <c r="D902" s="152">
        <f t="shared" ca="1" si="147"/>
        <v>3.7051576980120915</v>
      </c>
      <c r="E902" s="197">
        <f t="shared" ca="1" si="148"/>
        <v>1.3258190372018644E-4</v>
      </c>
      <c r="F902" s="137">
        <f t="shared" ca="1" si="149"/>
        <v>-5.3185932677101224</v>
      </c>
      <c r="G902" s="137">
        <f t="shared" ca="1" si="150"/>
        <v>-10.046635376828672</v>
      </c>
      <c r="H902" s="152">
        <f t="shared" ca="1" si="151"/>
        <v>-1.2697064115715624</v>
      </c>
      <c r="I902" s="152">
        <f t="shared" ca="1" si="152"/>
        <v>0.8972581911889792</v>
      </c>
      <c r="J902" s="190">
        <f t="shared" ca="1" si="153"/>
        <v>0</v>
      </c>
      <c r="K902" s="187" t="str" cm="1">
        <f t="array" aca="1" ref="K902" ca="1">_xlfn.IFS(G902&lt;$B$11,"Fail",G902&lt;25,"Marginal",G902&lt;35,"Solid",TRUE,"Blowout")</f>
        <v>Fail</v>
      </c>
      <c r="L902" s="193">
        <f t="shared" ca="1" si="143"/>
        <v>1</v>
      </c>
      <c r="M902" s="184" t="str" cm="1">
        <f t="array" aca="1" ref="M902" ca="1">_xlfn.IFS(C902&lt;$B$11,"Fail",C902&lt;25,"Marginal",C902&lt;35,"Solid",TRUE,"Blowout")</f>
        <v>Solid</v>
      </c>
    </row>
    <row r="903" spans="1:13" x14ac:dyDescent="0.25">
      <c r="A903" s="138">
        <f t="shared" ca="1" si="144"/>
        <v>46.59068833440719</v>
      </c>
      <c r="B903" s="137">
        <f t="shared" ca="1" si="145"/>
        <v>1.4246242783380367</v>
      </c>
      <c r="C903" s="137">
        <f t="shared" ca="1" si="146"/>
        <v>45.166064056069153</v>
      </c>
      <c r="D903" s="152">
        <f t="shared" ca="1" si="147"/>
        <v>5.7081439672537702</v>
      </c>
      <c r="E903" s="197">
        <f t="shared" ca="1" si="148"/>
        <v>1.7674261407487411E-8</v>
      </c>
      <c r="F903" s="137">
        <f t="shared" ca="1" si="149"/>
        <v>42.457216569296946</v>
      </c>
      <c r="G903" s="137">
        <f t="shared" ca="1" si="150"/>
        <v>41.03259229095891</v>
      </c>
      <c r="H903" s="152">
        <f t="shared" ca="1" si="151"/>
        <v>5.1857506081481883</v>
      </c>
      <c r="I903" s="152">
        <f t="shared" ca="1" si="152"/>
        <v>2.3715792466182562E-7</v>
      </c>
      <c r="J903" s="190">
        <f t="shared" ca="1" si="153"/>
        <v>1</v>
      </c>
      <c r="K903" s="187" t="str" cm="1">
        <f t="array" aca="1" ref="K903" ca="1">_xlfn.IFS(G903&lt;$B$11,"Fail",G903&lt;25,"Marginal",G903&lt;35,"Solid",TRUE,"Blowout")</f>
        <v>Blowout</v>
      </c>
      <c r="L903" s="193">
        <f t="shared" ca="1" si="143"/>
        <v>1</v>
      </c>
      <c r="M903" s="184" t="str" cm="1">
        <f t="array" aca="1" ref="M903" ca="1">_xlfn.IFS(C903&lt;$B$11,"Fail",C903&lt;25,"Marginal",C903&lt;35,"Solid",TRUE,"Blowout")</f>
        <v>Blowout</v>
      </c>
    </row>
    <row r="904" spans="1:13" x14ac:dyDescent="0.25">
      <c r="A904" s="138">
        <f t="shared" ca="1" si="144"/>
        <v>53.806434159115838</v>
      </c>
      <c r="B904" s="137">
        <f t="shared" ca="1" si="145"/>
        <v>7.1916047806891417</v>
      </c>
      <c r="C904" s="137">
        <f t="shared" ca="1" si="146"/>
        <v>46.614829378426698</v>
      </c>
      <c r="D904" s="152">
        <f t="shared" ca="1" si="147"/>
        <v>5.8912407503720772</v>
      </c>
      <c r="E904" s="197">
        <f t="shared" ca="1" si="148"/>
        <v>6.8269043728301781E-9</v>
      </c>
      <c r="F904" s="137">
        <f t="shared" ca="1" si="149"/>
        <v>52.449229849306221</v>
      </c>
      <c r="G904" s="137">
        <f t="shared" ca="1" si="150"/>
        <v>45.257625068617081</v>
      </c>
      <c r="H904" s="152">
        <f t="shared" ca="1" si="151"/>
        <v>5.7197155631484726</v>
      </c>
      <c r="I904" s="152">
        <f t="shared" ca="1" si="152"/>
        <v>1.6653301658673897E-8</v>
      </c>
      <c r="J904" s="190">
        <f t="shared" ca="1" si="153"/>
        <v>1</v>
      </c>
      <c r="K904" s="187" t="str" cm="1">
        <f t="array" aca="1" ref="K904" ca="1">_xlfn.IFS(G904&lt;$B$11,"Fail",G904&lt;25,"Marginal",G904&lt;35,"Solid",TRUE,"Blowout")</f>
        <v>Blowout</v>
      </c>
      <c r="L904" s="193">
        <f t="shared" ca="1" si="143"/>
        <v>1</v>
      </c>
      <c r="M904" s="184" t="str" cm="1">
        <f t="array" aca="1" ref="M904" ca="1">_xlfn.IFS(C904&lt;$B$11,"Fail",C904&lt;25,"Marginal",C904&lt;35,"Solid",TRUE,"Blowout")</f>
        <v>Blowout</v>
      </c>
    </row>
    <row r="905" spans="1:13" x14ac:dyDescent="0.25">
      <c r="A905" s="138">
        <f t="shared" ca="1" si="144"/>
        <v>11.533386193220037</v>
      </c>
      <c r="B905" s="137">
        <f t="shared" ca="1" si="145"/>
        <v>-1.6557174368192689</v>
      </c>
      <c r="C905" s="137">
        <f t="shared" ca="1" si="146"/>
        <v>13.189103630039305</v>
      </c>
      <c r="D905" s="152">
        <f t="shared" ca="1" si="147"/>
        <v>1.6668555007546038</v>
      </c>
      <c r="E905" s="197">
        <f t="shared" ca="1" si="148"/>
        <v>4.8458095509164668E-2</v>
      </c>
      <c r="F905" s="137">
        <f t="shared" ca="1" si="149"/>
        <v>30.048478122588904</v>
      </c>
      <c r="G905" s="137">
        <f t="shared" ca="1" si="150"/>
        <v>31.704195559408173</v>
      </c>
      <c r="H905" s="152">
        <f t="shared" ca="1" si="151"/>
        <v>4.0068160996807416</v>
      </c>
      <c r="I905" s="152">
        <f t="shared" ca="1" si="152"/>
        <v>4.1674896340274608E-5</v>
      </c>
      <c r="J905" s="190">
        <f t="shared" ca="1" si="153"/>
        <v>1</v>
      </c>
      <c r="K905" s="187" t="str" cm="1">
        <f t="array" aca="1" ref="K905" ca="1">_xlfn.IFS(G905&lt;$B$11,"Fail",G905&lt;25,"Marginal",G905&lt;35,"Solid",TRUE,"Blowout")</f>
        <v>Solid</v>
      </c>
      <c r="L905" s="193">
        <f t="shared" ca="1" si="143"/>
        <v>0</v>
      </c>
      <c r="M905" s="184" t="str" cm="1">
        <f t="array" aca="1" ref="M905" ca="1">_xlfn.IFS(C905&lt;$B$11,"Fail",C905&lt;25,"Marginal",C905&lt;35,"Solid",TRUE,"Blowout")</f>
        <v>Fail</v>
      </c>
    </row>
    <row r="906" spans="1:13" x14ac:dyDescent="0.25">
      <c r="A906" s="138">
        <f t="shared" ca="1" si="144"/>
        <v>17.66938126415738</v>
      </c>
      <c r="B906" s="137">
        <f t="shared" ca="1" si="145"/>
        <v>1.5906084890977863</v>
      </c>
      <c r="C906" s="137">
        <f t="shared" ca="1" si="146"/>
        <v>16.078772775059594</v>
      </c>
      <c r="D906" s="152">
        <f t="shared" ca="1" si="147"/>
        <v>2.0320555207747337</v>
      </c>
      <c r="E906" s="197">
        <f t="shared" ca="1" si="148"/>
        <v>2.16538309009194E-2</v>
      </c>
      <c r="F906" s="137">
        <f t="shared" ca="1" si="149"/>
        <v>44.240029971851371</v>
      </c>
      <c r="G906" s="137">
        <f t="shared" ca="1" si="150"/>
        <v>42.649421482753581</v>
      </c>
      <c r="H906" s="152">
        <f t="shared" ca="1" si="151"/>
        <v>5.3900875144096139</v>
      </c>
      <c r="I906" s="152">
        <f t="shared" ca="1" si="152"/>
        <v>8.7725344667587102E-8</v>
      </c>
      <c r="J906" s="190">
        <f t="shared" ca="1" si="153"/>
        <v>1</v>
      </c>
      <c r="K906" s="187" t="str" cm="1">
        <f t="array" aca="1" ref="K906" ca="1">_xlfn.IFS(G906&lt;$B$11,"Fail",G906&lt;25,"Marginal",G906&lt;35,"Solid",TRUE,"Blowout")</f>
        <v>Blowout</v>
      </c>
      <c r="L906" s="193">
        <f t="shared" ca="1" si="143"/>
        <v>0</v>
      </c>
      <c r="M906" s="184" t="str" cm="1">
        <f t="array" aca="1" ref="M906" ca="1">_xlfn.IFS(C906&lt;$B$11,"Fail",C906&lt;25,"Marginal",C906&lt;35,"Solid",TRUE,"Blowout")</f>
        <v>Fail</v>
      </c>
    </row>
    <row r="907" spans="1:13" x14ac:dyDescent="0.25">
      <c r="A907" s="138">
        <f t="shared" ca="1" si="144"/>
        <v>43.543554187609175</v>
      </c>
      <c r="B907" s="137">
        <f t="shared" ca="1" si="145"/>
        <v>6.7767713755667858</v>
      </c>
      <c r="C907" s="137">
        <f t="shared" ca="1" si="146"/>
        <v>36.766782812042386</v>
      </c>
      <c r="D907" s="152">
        <f t="shared" ca="1" si="147"/>
        <v>4.646632242370214</v>
      </c>
      <c r="E907" s="197">
        <f t="shared" ca="1" si="148"/>
        <v>2.8531104051849592E-6</v>
      </c>
      <c r="F907" s="137">
        <f t="shared" ca="1" si="149"/>
        <v>28.962917841887229</v>
      </c>
      <c r="G907" s="137">
        <f t="shared" ca="1" si="150"/>
        <v>22.186146466320444</v>
      </c>
      <c r="H907" s="152">
        <f t="shared" ca="1" si="151"/>
        <v>2.8039130872932065</v>
      </c>
      <c r="I907" s="152">
        <f t="shared" ca="1" si="152"/>
        <v>2.7419357676304705E-3</v>
      </c>
      <c r="J907" s="190">
        <f t="shared" ca="1" si="153"/>
        <v>1</v>
      </c>
      <c r="K907" s="187" t="str" cm="1">
        <f t="array" aca="1" ref="K907" ca="1">_xlfn.IFS(G907&lt;$B$11,"Fail",G907&lt;25,"Marginal",G907&lt;35,"Solid",TRUE,"Blowout")</f>
        <v>Marginal</v>
      </c>
      <c r="L907" s="193">
        <f t="shared" ca="1" si="143"/>
        <v>1</v>
      </c>
      <c r="M907" s="184" t="str" cm="1">
        <f t="array" aca="1" ref="M907" ca="1">_xlfn.IFS(C907&lt;$B$11,"Fail",C907&lt;25,"Marginal",C907&lt;35,"Solid",TRUE,"Blowout")</f>
        <v>Blowout</v>
      </c>
    </row>
    <row r="908" spans="1:13" x14ac:dyDescent="0.25">
      <c r="A908" s="138">
        <f t="shared" ca="1" si="144"/>
        <v>25.964365292304024</v>
      </c>
      <c r="B908" s="137">
        <f t="shared" ca="1" si="145"/>
        <v>13.147004746129845</v>
      </c>
      <c r="C908" s="137">
        <f t="shared" ca="1" si="146"/>
        <v>12.817360546174179</v>
      </c>
      <c r="D908" s="152">
        <f t="shared" ca="1" si="147"/>
        <v>1.619874142385656</v>
      </c>
      <c r="E908" s="197">
        <f t="shared" ca="1" si="148"/>
        <v>5.332079842871125E-2</v>
      </c>
      <c r="F908" s="137">
        <f t="shared" ca="1" si="149"/>
        <v>33.44441187491045</v>
      </c>
      <c r="G908" s="137">
        <f t="shared" ca="1" si="150"/>
        <v>20.297407128780605</v>
      </c>
      <c r="H908" s="152">
        <f t="shared" ca="1" si="151"/>
        <v>2.5652118349124557</v>
      </c>
      <c r="I908" s="152">
        <f t="shared" ca="1" si="152"/>
        <v>5.4763792656357035E-3</v>
      </c>
      <c r="J908" s="190">
        <f t="shared" ca="1" si="153"/>
        <v>1</v>
      </c>
      <c r="K908" s="187" t="str" cm="1">
        <f t="array" aca="1" ref="K908" ca="1">_xlfn.IFS(G908&lt;$B$11,"Fail",G908&lt;25,"Marginal",G908&lt;35,"Solid",TRUE,"Blowout")</f>
        <v>Marginal</v>
      </c>
      <c r="L908" s="193">
        <f t="shared" ca="1" si="143"/>
        <v>0</v>
      </c>
      <c r="M908" s="184" t="str" cm="1">
        <f t="array" aca="1" ref="M908" ca="1">_xlfn.IFS(C908&lt;$B$11,"Fail",C908&lt;25,"Marginal",C908&lt;35,"Solid",TRUE,"Blowout")</f>
        <v>Fail</v>
      </c>
    </row>
    <row r="909" spans="1:13" x14ac:dyDescent="0.25">
      <c r="A909" s="138">
        <f t="shared" ca="1" si="144"/>
        <v>61.083157484350444</v>
      </c>
      <c r="B909" s="137">
        <f t="shared" ca="1" si="145"/>
        <v>15.730019307698699</v>
      </c>
      <c r="C909" s="137">
        <f t="shared" ca="1" si="146"/>
        <v>45.353138176651747</v>
      </c>
      <c r="D909" s="152">
        <f t="shared" ca="1" si="147"/>
        <v>5.7317866298401583</v>
      </c>
      <c r="E909" s="197">
        <f t="shared" ca="1" si="148"/>
        <v>1.5649671989925568E-8</v>
      </c>
      <c r="F909" s="137">
        <f t="shared" ca="1" si="149"/>
        <v>6.2663173079547825</v>
      </c>
      <c r="G909" s="137">
        <f t="shared" ca="1" si="150"/>
        <v>-9.4637019997439165</v>
      </c>
      <c r="H909" s="152">
        <f t="shared" ca="1" si="151"/>
        <v>-1.1960345583946617</v>
      </c>
      <c r="I909" s="152">
        <f t="shared" ca="1" si="152"/>
        <v>0.88353729045960816</v>
      </c>
      <c r="J909" s="190">
        <f t="shared" ca="1" si="153"/>
        <v>0</v>
      </c>
      <c r="K909" s="187" t="str" cm="1">
        <f t="array" aca="1" ref="K909" ca="1">_xlfn.IFS(G909&lt;$B$11,"Fail",G909&lt;25,"Marginal",G909&lt;35,"Solid",TRUE,"Blowout")</f>
        <v>Fail</v>
      </c>
      <c r="L909" s="193">
        <f t="shared" ca="1" si="143"/>
        <v>1</v>
      </c>
      <c r="M909" s="184" t="str" cm="1">
        <f t="array" aca="1" ref="M909" ca="1">_xlfn.IFS(C909&lt;$B$11,"Fail",C909&lt;25,"Marginal",C909&lt;35,"Solid",TRUE,"Blowout")</f>
        <v>Blowout</v>
      </c>
    </row>
    <row r="910" spans="1:13" x14ac:dyDescent="0.25">
      <c r="A910" s="138">
        <f t="shared" ca="1" si="144"/>
        <v>3.4190122951277715</v>
      </c>
      <c r="B910" s="137">
        <f t="shared" ca="1" si="145"/>
        <v>8.0361278160633081</v>
      </c>
      <c r="C910" s="137">
        <f t="shared" ca="1" si="146"/>
        <v>-4.6171155209355366</v>
      </c>
      <c r="D910" s="152">
        <f t="shared" ca="1" si="147"/>
        <v>-0.5835168651008561</v>
      </c>
      <c r="E910" s="197">
        <f t="shared" ca="1" si="148"/>
        <v>0.71993890962916707</v>
      </c>
      <c r="F910" s="137">
        <f t="shared" ca="1" si="149"/>
        <v>24.381034232777104</v>
      </c>
      <c r="G910" s="137">
        <f t="shared" ca="1" si="150"/>
        <v>16.344906416713798</v>
      </c>
      <c r="H910" s="152">
        <f t="shared" ca="1" si="151"/>
        <v>2.0656898250436613</v>
      </c>
      <c r="I910" s="152">
        <f t="shared" ca="1" si="152"/>
        <v>1.9994049370107573E-2</v>
      </c>
      <c r="J910" s="190">
        <f t="shared" ca="1" si="153"/>
        <v>0</v>
      </c>
      <c r="K910" s="187" t="str" cm="1">
        <f t="array" aca="1" ref="K910" ca="1">_xlfn.IFS(G910&lt;$B$11,"Fail",G910&lt;25,"Marginal",G910&lt;35,"Solid",TRUE,"Blowout")</f>
        <v>Fail</v>
      </c>
      <c r="L910" s="193">
        <f t="shared" ca="1" si="143"/>
        <v>0</v>
      </c>
      <c r="M910" s="184" t="str" cm="1">
        <f t="array" aca="1" ref="M910" ca="1">_xlfn.IFS(C910&lt;$B$11,"Fail",C910&lt;25,"Marginal",C910&lt;35,"Solid",TRUE,"Blowout")</f>
        <v>Fail</v>
      </c>
    </row>
    <row r="911" spans="1:13" x14ac:dyDescent="0.25">
      <c r="A911" s="138">
        <f t="shared" ca="1" si="144"/>
        <v>45.842938722362746</v>
      </c>
      <c r="B911" s="137">
        <f t="shared" ca="1" si="145"/>
        <v>-1.5103864869854675</v>
      </c>
      <c r="C911" s="137">
        <f t="shared" ca="1" si="146"/>
        <v>47.353325209348213</v>
      </c>
      <c r="D911" s="152">
        <f t="shared" ca="1" si="147"/>
        <v>5.9845727820692307</v>
      </c>
      <c r="E911" s="197">
        <f t="shared" ca="1" si="148"/>
        <v>4.1706426684710845E-9</v>
      </c>
      <c r="F911" s="137">
        <f t="shared" ca="1" si="149"/>
        <v>-4.4310092097357199</v>
      </c>
      <c r="G911" s="137">
        <f t="shared" ca="1" si="150"/>
        <v>-2.9206227227502524</v>
      </c>
      <c r="H911" s="152">
        <f t="shared" ca="1" si="151"/>
        <v>-0.36911197209469782</v>
      </c>
      <c r="I911" s="152">
        <f t="shared" ca="1" si="152"/>
        <v>0.64380659258174266</v>
      </c>
      <c r="J911" s="190">
        <f t="shared" ca="1" si="153"/>
        <v>0</v>
      </c>
      <c r="K911" s="187" t="str" cm="1">
        <f t="array" aca="1" ref="K911" ca="1">_xlfn.IFS(G911&lt;$B$11,"Fail",G911&lt;25,"Marginal",G911&lt;35,"Solid",TRUE,"Blowout")</f>
        <v>Fail</v>
      </c>
      <c r="L911" s="193">
        <f t="shared" ca="1" si="143"/>
        <v>1</v>
      </c>
      <c r="M911" s="184" t="str" cm="1">
        <f t="array" aca="1" ref="M911" ca="1">_xlfn.IFS(C911&lt;$B$11,"Fail",C911&lt;25,"Marginal",C911&lt;35,"Solid",TRUE,"Blowout")</f>
        <v>Blowout</v>
      </c>
    </row>
    <row r="912" spans="1:13" x14ac:dyDescent="0.25">
      <c r="A912" s="138">
        <f t="shared" ca="1" si="144"/>
        <v>14.010200517934774</v>
      </c>
      <c r="B912" s="137">
        <f t="shared" ca="1" si="145"/>
        <v>6.5780425982888806</v>
      </c>
      <c r="C912" s="137">
        <f t="shared" ca="1" si="146"/>
        <v>7.4321579196458929</v>
      </c>
      <c r="D912" s="152">
        <f t="shared" ca="1" si="147"/>
        <v>0.93928546308660177</v>
      </c>
      <c r="E912" s="197">
        <f t="shared" ca="1" si="148"/>
        <v>0.17428909966852535</v>
      </c>
      <c r="F912" s="137">
        <f t="shared" ca="1" si="149"/>
        <v>11.542262962220454</v>
      </c>
      <c r="G912" s="137">
        <f t="shared" ca="1" si="150"/>
        <v>4.964220363931573</v>
      </c>
      <c r="H912" s="152">
        <f t="shared" ca="1" si="151"/>
        <v>0.62738441160862302</v>
      </c>
      <c r="I912" s="152">
        <f t="shared" ca="1" si="152"/>
        <v>0.26551753619444673</v>
      </c>
      <c r="J912" s="190">
        <f t="shared" ca="1" si="153"/>
        <v>0</v>
      </c>
      <c r="K912" s="187" t="str" cm="1">
        <f t="array" aca="1" ref="K912" ca="1">_xlfn.IFS(G912&lt;$B$11,"Fail",G912&lt;25,"Marginal",G912&lt;35,"Solid",TRUE,"Blowout")</f>
        <v>Fail</v>
      </c>
      <c r="L912" s="193">
        <f t="shared" ref="L912:L975" ca="1" si="154">IF(AND(E912&lt;$B$10,C912&gt;=$B$11),1,0)</f>
        <v>0</v>
      </c>
      <c r="M912" s="184" t="str" cm="1">
        <f t="array" aca="1" ref="M912" ca="1">_xlfn.IFS(C912&lt;$B$11,"Fail",C912&lt;25,"Marginal",C912&lt;35,"Solid",TRUE,"Blowout")</f>
        <v>Fail</v>
      </c>
    </row>
    <row r="913" spans="1:13" x14ac:dyDescent="0.25">
      <c r="A913" s="138">
        <f t="shared" ref="A913:A976" ca="1" si="155">NORMINV(RAND(), MAX(0, NORMINV(RAND(), $B$6, $B$12)), $B$7/SQRT($B$9))</f>
        <v>0.90473779787776543</v>
      </c>
      <c r="B913" s="137">
        <f t="shared" ref="B913:B976" ca="1" si="156">NORMINV(RAND(), $B$8, $B$7/SQRT($B$9))</f>
        <v>11.605769590484122</v>
      </c>
      <c r="C913" s="137">
        <f t="shared" ref="C913:C976" ca="1" si="157">A913-B913</f>
        <v>-10.701031792606358</v>
      </c>
      <c r="D913" s="152">
        <f t="shared" ref="D913:D976" ca="1" si="158">C913/($B$7*SQRT(2/$B$9))</f>
        <v>-1.3524098534361617</v>
      </c>
      <c r="E913" s="197">
        <f t="shared" ref="E913:E976" ca="1" si="159">_xlfn.T.DIST.RT(D913, 2*$B$9-2)</f>
        <v>0.91120798061761288</v>
      </c>
      <c r="F913" s="137">
        <f t="shared" ref="F913:F976" ca="1" si="160">NORMINV(RAND(), MAX(0, NORMINV(RAND(), $N$7, $N$8)), $B$7/SQRT($B$9))</f>
        <v>59.277141533796197</v>
      </c>
      <c r="G913" s="137">
        <f t="shared" ref="G913:G976" ca="1" si="161">F913-B913</f>
        <v>47.671371943312074</v>
      </c>
      <c r="H913" s="152">
        <f t="shared" ref="H913:H976" ca="1" si="162">G913/($B$7*SQRT(2/$B$9))</f>
        <v>6.0247679282198199</v>
      </c>
      <c r="I913" s="152">
        <f t="shared" ref="I913:I976" ca="1" si="163">_xlfn.T.DIST.RT(H913, 2*$B$9-2)</f>
        <v>3.3676483072862361E-9</v>
      </c>
      <c r="J913" s="190">
        <f t="shared" ref="J913:J976" ca="1" si="164">IF(AND(I913&lt;$B$10, G913&gt;=$B$11), 1, 0)</f>
        <v>1</v>
      </c>
      <c r="K913" s="187" t="str" cm="1">
        <f t="array" aca="1" ref="K913" ca="1">_xlfn.IFS(G913&lt;$B$11,"Fail",G913&lt;25,"Marginal",G913&lt;35,"Solid",TRUE,"Blowout")</f>
        <v>Blowout</v>
      </c>
      <c r="L913" s="193">
        <f t="shared" ca="1" si="154"/>
        <v>0</v>
      </c>
      <c r="M913" s="184" t="str" cm="1">
        <f t="array" aca="1" ref="M913" ca="1">_xlfn.IFS(C913&lt;$B$11,"Fail",C913&lt;25,"Marginal",C913&lt;35,"Solid",TRUE,"Blowout")</f>
        <v>Fail</v>
      </c>
    </row>
    <row r="914" spans="1:13" x14ac:dyDescent="0.25">
      <c r="A914" s="138">
        <f t="shared" ca="1" si="155"/>
        <v>35.543278118931759</v>
      </c>
      <c r="B914" s="137">
        <f t="shared" ca="1" si="156"/>
        <v>6.3780353099961093</v>
      </c>
      <c r="C914" s="137">
        <f t="shared" ca="1" si="157"/>
        <v>29.165242808935652</v>
      </c>
      <c r="D914" s="152">
        <f t="shared" ca="1" si="158"/>
        <v>3.685940058594654</v>
      </c>
      <c r="E914" s="197">
        <f t="shared" ca="1" si="159"/>
        <v>1.4238593022733269E-4</v>
      </c>
      <c r="F914" s="137">
        <f t="shared" ca="1" si="160"/>
        <v>47.505673898853878</v>
      </c>
      <c r="G914" s="137">
        <f t="shared" ca="1" si="161"/>
        <v>41.127638588857771</v>
      </c>
      <c r="H914" s="152">
        <f t="shared" ca="1" si="162"/>
        <v>5.1977626787879432</v>
      </c>
      <c r="I914" s="152">
        <f t="shared" ca="1" si="163"/>
        <v>2.238625256575418E-7</v>
      </c>
      <c r="J914" s="190">
        <f t="shared" ca="1" si="164"/>
        <v>1</v>
      </c>
      <c r="K914" s="187" t="str" cm="1">
        <f t="array" aca="1" ref="K914" ca="1">_xlfn.IFS(G914&lt;$B$11,"Fail",G914&lt;25,"Marginal",G914&lt;35,"Solid",TRUE,"Blowout")</f>
        <v>Blowout</v>
      </c>
      <c r="L914" s="193">
        <f t="shared" ca="1" si="154"/>
        <v>1</v>
      </c>
      <c r="M914" s="184" t="str" cm="1">
        <f t="array" aca="1" ref="M914" ca="1">_xlfn.IFS(C914&lt;$B$11,"Fail",C914&lt;25,"Marginal",C914&lt;35,"Solid",TRUE,"Blowout")</f>
        <v>Solid</v>
      </c>
    </row>
    <row r="915" spans="1:13" x14ac:dyDescent="0.25">
      <c r="A915" s="138">
        <f t="shared" ca="1" si="155"/>
        <v>44.784568778185644</v>
      </c>
      <c r="B915" s="137">
        <f t="shared" ca="1" si="156"/>
        <v>4.6572701065730024</v>
      </c>
      <c r="C915" s="137">
        <f t="shared" ca="1" si="157"/>
        <v>40.127298671612643</v>
      </c>
      <c r="D915" s="152">
        <f t="shared" ca="1" si="158"/>
        <v>5.0713384622182325</v>
      </c>
      <c r="E915" s="197">
        <f t="shared" ca="1" si="159"/>
        <v>4.0885874798321989E-7</v>
      </c>
      <c r="F915" s="137">
        <f t="shared" ca="1" si="160"/>
        <v>28.749728572442503</v>
      </c>
      <c r="G915" s="137">
        <f t="shared" ca="1" si="161"/>
        <v>24.092458465869502</v>
      </c>
      <c r="H915" s="152">
        <f t="shared" ca="1" si="162"/>
        <v>3.0448351947945627</v>
      </c>
      <c r="I915" s="152">
        <f t="shared" ca="1" si="163"/>
        <v>1.3008570501797183E-3</v>
      </c>
      <c r="J915" s="190">
        <f t="shared" ca="1" si="164"/>
        <v>1</v>
      </c>
      <c r="K915" s="187" t="str" cm="1">
        <f t="array" aca="1" ref="K915" ca="1">_xlfn.IFS(G915&lt;$B$11,"Fail",G915&lt;25,"Marginal",G915&lt;35,"Solid",TRUE,"Blowout")</f>
        <v>Marginal</v>
      </c>
      <c r="L915" s="193">
        <f t="shared" ca="1" si="154"/>
        <v>1</v>
      </c>
      <c r="M915" s="184" t="str" cm="1">
        <f t="array" aca="1" ref="M915" ca="1">_xlfn.IFS(C915&lt;$B$11,"Fail",C915&lt;25,"Marginal",C915&lt;35,"Solid",TRUE,"Blowout")</f>
        <v>Blowout</v>
      </c>
    </row>
    <row r="916" spans="1:13" x14ac:dyDescent="0.25">
      <c r="A916" s="138">
        <f t="shared" ca="1" si="155"/>
        <v>31.986040016030973</v>
      </c>
      <c r="B916" s="137">
        <f t="shared" ca="1" si="156"/>
        <v>1.1956153445595574</v>
      </c>
      <c r="C916" s="137">
        <f t="shared" ca="1" si="157"/>
        <v>30.790424671471417</v>
      </c>
      <c r="D916" s="152">
        <f t="shared" ca="1" si="158"/>
        <v>3.8913325858869943</v>
      </c>
      <c r="E916" s="197">
        <f t="shared" ca="1" si="159"/>
        <v>6.5445985437486163E-5</v>
      </c>
      <c r="F916" s="137">
        <f t="shared" ca="1" si="160"/>
        <v>3.4214848632122807</v>
      </c>
      <c r="G916" s="137">
        <f t="shared" ca="1" si="161"/>
        <v>2.2258695186527233</v>
      </c>
      <c r="H916" s="152">
        <f t="shared" ca="1" si="162"/>
        <v>0.28130818857757639</v>
      </c>
      <c r="I916" s="152">
        <f t="shared" ca="1" si="163"/>
        <v>0.38936458117696493</v>
      </c>
      <c r="J916" s="190">
        <f t="shared" ca="1" si="164"/>
        <v>0</v>
      </c>
      <c r="K916" s="187" t="str" cm="1">
        <f t="array" aca="1" ref="K916" ca="1">_xlfn.IFS(G916&lt;$B$11,"Fail",G916&lt;25,"Marginal",G916&lt;35,"Solid",TRUE,"Blowout")</f>
        <v>Fail</v>
      </c>
      <c r="L916" s="193">
        <f t="shared" ca="1" si="154"/>
        <v>1</v>
      </c>
      <c r="M916" s="184" t="str" cm="1">
        <f t="array" aca="1" ref="M916" ca="1">_xlfn.IFS(C916&lt;$B$11,"Fail",C916&lt;25,"Marginal",C916&lt;35,"Solid",TRUE,"Blowout")</f>
        <v>Solid</v>
      </c>
    </row>
    <row r="917" spans="1:13" x14ac:dyDescent="0.25">
      <c r="A917" s="138">
        <f t="shared" ca="1" si="155"/>
        <v>11.079340647961605</v>
      </c>
      <c r="B917" s="137">
        <f t="shared" ca="1" si="156"/>
        <v>6.3891968614718415</v>
      </c>
      <c r="C917" s="137">
        <f t="shared" ca="1" si="157"/>
        <v>4.690143786489763</v>
      </c>
      <c r="D917" s="152">
        <f t="shared" ca="1" si="158"/>
        <v>0.59274626912740314</v>
      </c>
      <c r="E917" s="197">
        <f t="shared" ca="1" si="159"/>
        <v>0.27696920562382737</v>
      </c>
      <c r="F917" s="137">
        <f t="shared" ca="1" si="160"/>
        <v>17.8618246802966</v>
      </c>
      <c r="G917" s="137">
        <f t="shared" ca="1" si="161"/>
        <v>11.472627818824758</v>
      </c>
      <c r="H917" s="152">
        <f t="shared" ca="1" si="162"/>
        <v>1.4499251294351494</v>
      </c>
      <c r="I917" s="152">
        <f t="shared" ca="1" si="163"/>
        <v>7.4226786769934217E-2</v>
      </c>
      <c r="J917" s="190">
        <f t="shared" ca="1" si="164"/>
        <v>0</v>
      </c>
      <c r="K917" s="187" t="str" cm="1">
        <f t="array" aca="1" ref="K917" ca="1">_xlfn.IFS(G917&lt;$B$11,"Fail",G917&lt;25,"Marginal",G917&lt;35,"Solid",TRUE,"Blowout")</f>
        <v>Fail</v>
      </c>
      <c r="L917" s="193">
        <f t="shared" ca="1" si="154"/>
        <v>0</v>
      </c>
      <c r="M917" s="184" t="str" cm="1">
        <f t="array" aca="1" ref="M917" ca="1">_xlfn.IFS(C917&lt;$B$11,"Fail",C917&lt;25,"Marginal",C917&lt;35,"Solid",TRUE,"Blowout")</f>
        <v>Fail</v>
      </c>
    </row>
    <row r="918" spans="1:13" x14ac:dyDescent="0.25">
      <c r="A918" s="138">
        <f t="shared" ca="1" si="155"/>
        <v>26.827117559909571</v>
      </c>
      <c r="B918" s="137">
        <f t="shared" ca="1" si="156"/>
        <v>12.9732698442002</v>
      </c>
      <c r="C918" s="137">
        <f t="shared" ca="1" si="157"/>
        <v>13.853847715709371</v>
      </c>
      <c r="D918" s="152">
        <f t="shared" ca="1" si="158"/>
        <v>1.7508666941513711</v>
      </c>
      <c r="E918" s="197">
        <f t="shared" ca="1" si="159"/>
        <v>4.0656876967703828E-2</v>
      </c>
      <c r="F918" s="137">
        <f t="shared" ca="1" si="160"/>
        <v>19.137585152284842</v>
      </c>
      <c r="G918" s="137">
        <f t="shared" ca="1" si="161"/>
        <v>6.1643153080846425</v>
      </c>
      <c r="H918" s="152">
        <f t="shared" ca="1" si="162"/>
        <v>0.77905391965110182</v>
      </c>
      <c r="I918" s="152">
        <f t="shared" ca="1" si="163"/>
        <v>0.21837789441754829</v>
      </c>
      <c r="J918" s="190">
        <f t="shared" ca="1" si="164"/>
        <v>0</v>
      </c>
      <c r="K918" s="187" t="str" cm="1">
        <f t="array" aca="1" ref="K918" ca="1">_xlfn.IFS(G918&lt;$B$11,"Fail",G918&lt;25,"Marginal",G918&lt;35,"Solid",TRUE,"Blowout")</f>
        <v>Fail</v>
      </c>
      <c r="L918" s="193">
        <f t="shared" ca="1" si="154"/>
        <v>0</v>
      </c>
      <c r="M918" s="184" t="str" cm="1">
        <f t="array" aca="1" ref="M918" ca="1">_xlfn.IFS(C918&lt;$B$11,"Fail",C918&lt;25,"Marginal",C918&lt;35,"Solid",TRUE,"Blowout")</f>
        <v>Fail</v>
      </c>
    </row>
    <row r="919" spans="1:13" x14ac:dyDescent="0.25">
      <c r="A919" s="138">
        <f t="shared" ca="1" si="155"/>
        <v>24.493012802694107</v>
      </c>
      <c r="B919" s="137">
        <f t="shared" ca="1" si="156"/>
        <v>6.3642713688928652</v>
      </c>
      <c r="C919" s="137">
        <f t="shared" ca="1" si="157"/>
        <v>18.128741433801242</v>
      </c>
      <c r="D919" s="152">
        <f t="shared" ca="1" si="158"/>
        <v>2.2911331374988557</v>
      </c>
      <c r="E919" s="197">
        <f t="shared" ca="1" si="159"/>
        <v>1.143450211659505E-2</v>
      </c>
      <c r="F919" s="137">
        <f t="shared" ca="1" si="160"/>
        <v>20.149355326942366</v>
      </c>
      <c r="G919" s="137">
        <f t="shared" ca="1" si="161"/>
        <v>13.785083958049501</v>
      </c>
      <c r="H919" s="152">
        <f t="shared" ca="1" si="162"/>
        <v>1.7421762439947088</v>
      </c>
      <c r="I919" s="152">
        <f t="shared" ca="1" si="163"/>
        <v>4.1413034747778063E-2</v>
      </c>
      <c r="J919" s="190">
        <f t="shared" ca="1" si="164"/>
        <v>0</v>
      </c>
      <c r="K919" s="187" t="str" cm="1">
        <f t="array" aca="1" ref="K919" ca="1">_xlfn.IFS(G919&lt;$B$11,"Fail",G919&lt;25,"Marginal",G919&lt;35,"Solid",TRUE,"Blowout")</f>
        <v>Fail</v>
      </c>
      <c r="L919" s="193">
        <f t="shared" ca="1" si="154"/>
        <v>0</v>
      </c>
      <c r="M919" s="184" t="str" cm="1">
        <f t="array" aca="1" ref="M919" ca="1">_xlfn.IFS(C919&lt;$B$11,"Fail",C919&lt;25,"Marginal",C919&lt;35,"Solid",TRUE,"Blowout")</f>
        <v>Fail</v>
      </c>
    </row>
    <row r="920" spans="1:13" x14ac:dyDescent="0.25">
      <c r="A920" s="138">
        <f t="shared" ca="1" si="155"/>
        <v>21.512935546502192</v>
      </c>
      <c r="B920" s="137">
        <f t="shared" ca="1" si="156"/>
        <v>10.189827009308788</v>
      </c>
      <c r="C920" s="137">
        <f t="shared" ca="1" si="157"/>
        <v>11.323108537193404</v>
      </c>
      <c r="D920" s="152">
        <f t="shared" ca="1" si="158"/>
        <v>1.4310286946169057</v>
      </c>
      <c r="E920" s="197">
        <f t="shared" ca="1" si="159"/>
        <v>7.6895589980620349E-2</v>
      </c>
      <c r="F920" s="137">
        <f t="shared" ca="1" si="160"/>
        <v>50.3770616288434</v>
      </c>
      <c r="G920" s="137">
        <f t="shared" ca="1" si="161"/>
        <v>40.187234619534614</v>
      </c>
      <c r="H920" s="152">
        <f t="shared" ca="1" si="162"/>
        <v>5.0789132426801231</v>
      </c>
      <c r="I920" s="152">
        <f t="shared" ca="1" si="163"/>
        <v>3.9448667312760174E-7</v>
      </c>
      <c r="J920" s="190">
        <f t="shared" ca="1" si="164"/>
        <v>1</v>
      </c>
      <c r="K920" s="187" t="str" cm="1">
        <f t="array" aca="1" ref="K920" ca="1">_xlfn.IFS(G920&lt;$B$11,"Fail",G920&lt;25,"Marginal",G920&lt;35,"Solid",TRUE,"Blowout")</f>
        <v>Blowout</v>
      </c>
      <c r="L920" s="193">
        <f t="shared" ca="1" si="154"/>
        <v>0</v>
      </c>
      <c r="M920" s="184" t="str" cm="1">
        <f t="array" aca="1" ref="M920" ca="1">_xlfn.IFS(C920&lt;$B$11,"Fail",C920&lt;25,"Marginal",C920&lt;35,"Solid",TRUE,"Blowout")</f>
        <v>Fail</v>
      </c>
    </row>
    <row r="921" spans="1:13" x14ac:dyDescent="0.25">
      <c r="A921" s="138">
        <f t="shared" ca="1" si="155"/>
        <v>11.161063337201771</v>
      </c>
      <c r="B921" s="137">
        <f t="shared" ca="1" si="156"/>
        <v>7.824981139109962</v>
      </c>
      <c r="C921" s="137">
        <f t="shared" ca="1" si="157"/>
        <v>3.3360821980918089</v>
      </c>
      <c r="D921" s="152">
        <f t="shared" ca="1" si="158"/>
        <v>0.42161826298746502</v>
      </c>
      <c r="E921" s="197">
        <f t="shared" ca="1" si="159"/>
        <v>0.33685045304005912</v>
      </c>
      <c r="F921" s="137">
        <f t="shared" ca="1" si="160"/>
        <v>28.012476167442234</v>
      </c>
      <c r="G921" s="137">
        <f t="shared" ca="1" si="161"/>
        <v>20.187495028332272</v>
      </c>
      <c r="H921" s="152">
        <f t="shared" ca="1" si="162"/>
        <v>2.5513210054542261</v>
      </c>
      <c r="I921" s="152">
        <f t="shared" ca="1" si="163"/>
        <v>5.6930902596517173E-3</v>
      </c>
      <c r="J921" s="190">
        <f t="shared" ca="1" si="164"/>
        <v>1</v>
      </c>
      <c r="K921" s="187" t="str" cm="1">
        <f t="array" aca="1" ref="K921" ca="1">_xlfn.IFS(G921&lt;$B$11,"Fail",G921&lt;25,"Marginal",G921&lt;35,"Solid",TRUE,"Blowout")</f>
        <v>Marginal</v>
      </c>
      <c r="L921" s="193">
        <f t="shared" ca="1" si="154"/>
        <v>0</v>
      </c>
      <c r="M921" s="184" t="str" cm="1">
        <f t="array" aca="1" ref="M921" ca="1">_xlfn.IFS(C921&lt;$B$11,"Fail",C921&lt;25,"Marginal",C921&lt;35,"Solid",TRUE,"Blowout")</f>
        <v>Fail</v>
      </c>
    </row>
    <row r="922" spans="1:13" x14ac:dyDescent="0.25">
      <c r="A922" s="138">
        <f t="shared" ca="1" si="155"/>
        <v>37.77215930065298</v>
      </c>
      <c r="B922" s="137">
        <f t="shared" ca="1" si="156"/>
        <v>5.869477943510307</v>
      </c>
      <c r="C922" s="137">
        <f t="shared" ca="1" si="157"/>
        <v>31.902681357142672</v>
      </c>
      <c r="D922" s="152">
        <f t="shared" ca="1" si="158"/>
        <v>4.0319009843746398</v>
      </c>
      <c r="E922" s="197">
        <f t="shared" ca="1" si="159"/>
        <v>3.7732364470650753E-5</v>
      </c>
      <c r="F922" s="137">
        <f t="shared" ca="1" si="160"/>
        <v>59.483753826316487</v>
      </c>
      <c r="G922" s="137">
        <f t="shared" ca="1" si="161"/>
        <v>53.614275882806183</v>
      </c>
      <c r="H922" s="152">
        <f t="shared" ca="1" si="162"/>
        <v>6.7758396007056048</v>
      </c>
      <c r="I922" s="152">
        <f t="shared" ca="1" si="163"/>
        <v>5.2155301110601944E-11</v>
      </c>
      <c r="J922" s="190">
        <f t="shared" ca="1" si="164"/>
        <v>1</v>
      </c>
      <c r="K922" s="187" t="str" cm="1">
        <f t="array" aca="1" ref="K922" ca="1">_xlfn.IFS(G922&lt;$B$11,"Fail",G922&lt;25,"Marginal",G922&lt;35,"Solid",TRUE,"Blowout")</f>
        <v>Blowout</v>
      </c>
      <c r="L922" s="193">
        <f t="shared" ca="1" si="154"/>
        <v>1</v>
      </c>
      <c r="M922" s="184" t="str" cm="1">
        <f t="array" aca="1" ref="M922" ca="1">_xlfn.IFS(C922&lt;$B$11,"Fail",C922&lt;25,"Marginal",C922&lt;35,"Solid",TRUE,"Blowout")</f>
        <v>Solid</v>
      </c>
    </row>
    <row r="923" spans="1:13" x14ac:dyDescent="0.25">
      <c r="A923" s="138">
        <f t="shared" ca="1" si="155"/>
        <v>58.465129796506297</v>
      </c>
      <c r="B923" s="137">
        <f t="shared" ca="1" si="156"/>
        <v>-0.34185457784241713</v>
      </c>
      <c r="C923" s="137">
        <f t="shared" ca="1" si="157"/>
        <v>58.806984374348716</v>
      </c>
      <c r="D923" s="152">
        <f t="shared" ca="1" si="158"/>
        <v>7.4321006291828695</v>
      </c>
      <c r="E923" s="197">
        <f t="shared" ca="1" si="159"/>
        <v>1.0680273012029083E-12</v>
      </c>
      <c r="F923" s="137">
        <f t="shared" ca="1" si="160"/>
        <v>43.958690643882086</v>
      </c>
      <c r="G923" s="137">
        <f t="shared" ca="1" si="161"/>
        <v>44.300545221724505</v>
      </c>
      <c r="H923" s="152">
        <f t="shared" ca="1" si="162"/>
        <v>5.5987586086651673</v>
      </c>
      <c r="I923" s="152">
        <f t="shared" ca="1" si="163"/>
        <v>3.0888979311432286E-8</v>
      </c>
      <c r="J923" s="190">
        <f t="shared" ca="1" si="164"/>
        <v>1</v>
      </c>
      <c r="K923" s="187" t="str" cm="1">
        <f t="array" aca="1" ref="K923" ca="1">_xlfn.IFS(G923&lt;$B$11,"Fail",G923&lt;25,"Marginal",G923&lt;35,"Solid",TRUE,"Blowout")</f>
        <v>Blowout</v>
      </c>
      <c r="L923" s="193">
        <f t="shared" ca="1" si="154"/>
        <v>1</v>
      </c>
      <c r="M923" s="184" t="str" cm="1">
        <f t="array" aca="1" ref="M923" ca="1">_xlfn.IFS(C923&lt;$B$11,"Fail",C923&lt;25,"Marginal",C923&lt;35,"Solid",TRUE,"Blowout")</f>
        <v>Blowout</v>
      </c>
    </row>
    <row r="924" spans="1:13" x14ac:dyDescent="0.25">
      <c r="A924" s="138">
        <f t="shared" ca="1" si="155"/>
        <v>61.25351719757743</v>
      </c>
      <c r="B924" s="137">
        <f t="shared" ca="1" si="156"/>
        <v>4.2536018675695333</v>
      </c>
      <c r="C924" s="137">
        <f t="shared" ca="1" si="157"/>
        <v>56.999915330007894</v>
      </c>
      <c r="D924" s="152">
        <f t="shared" ca="1" si="158"/>
        <v>7.2037209711489076</v>
      </c>
      <c r="E924" s="197">
        <f t="shared" ca="1" si="159"/>
        <v>4.2349158965341402E-12</v>
      </c>
      <c r="F924" s="137">
        <f t="shared" ca="1" si="160"/>
        <v>55.6911519119448</v>
      </c>
      <c r="G924" s="137">
        <f t="shared" ca="1" si="161"/>
        <v>51.437550044375264</v>
      </c>
      <c r="H924" s="152">
        <f t="shared" ca="1" si="162"/>
        <v>6.5007422522277665</v>
      </c>
      <c r="I924" s="152">
        <f t="shared" ca="1" si="163"/>
        <v>2.4903164739750655E-10</v>
      </c>
      <c r="J924" s="190">
        <f t="shared" ca="1" si="164"/>
        <v>1</v>
      </c>
      <c r="K924" s="187" t="str" cm="1">
        <f t="array" aca="1" ref="K924" ca="1">_xlfn.IFS(G924&lt;$B$11,"Fail",G924&lt;25,"Marginal",G924&lt;35,"Solid",TRUE,"Blowout")</f>
        <v>Blowout</v>
      </c>
      <c r="L924" s="193">
        <f t="shared" ca="1" si="154"/>
        <v>1</v>
      </c>
      <c r="M924" s="184" t="str" cm="1">
        <f t="array" aca="1" ref="M924" ca="1">_xlfn.IFS(C924&lt;$B$11,"Fail",C924&lt;25,"Marginal",C924&lt;35,"Solid",TRUE,"Blowout")</f>
        <v>Blowout</v>
      </c>
    </row>
    <row r="925" spans="1:13" x14ac:dyDescent="0.25">
      <c r="A925" s="138">
        <f t="shared" ca="1" si="155"/>
        <v>54.913696376611426</v>
      </c>
      <c r="B925" s="137">
        <f t="shared" ca="1" si="156"/>
        <v>14.705806823420007</v>
      </c>
      <c r="C925" s="137">
        <f t="shared" ca="1" si="157"/>
        <v>40.207889553191421</v>
      </c>
      <c r="D925" s="152">
        <f t="shared" ca="1" si="158"/>
        <v>5.0815236391672025</v>
      </c>
      <c r="E925" s="197">
        <f t="shared" ca="1" si="159"/>
        <v>3.8964825014182519E-7</v>
      </c>
      <c r="F925" s="137">
        <f t="shared" ca="1" si="160"/>
        <v>13.665917482053425</v>
      </c>
      <c r="G925" s="137">
        <f t="shared" ca="1" si="161"/>
        <v>-1.0398893413665817</v>
      </c>
      <c r="H925" s="152">
        <f t="shared" ca="1" si="162"/>
        <v>-0.13142252251965988</v>
      </c>
      <c r="I925" s="152">
        <f t="shared" ca="1" si="163"/>
        <v>0.55222151683792575</v>
      </c>
      <c r="J925" s="190">
        <f t="shared" ca="1" si="164"/>
        <v>0</v>
      </c>
      <c r="K925" s="187" t="str" cm="1">
        <f t="array" aca="1" ref="K925" ca="1">_xlfn.IFS(G925&lt;$B$11,"Fail",G925&lt;25,"Marginal",G925&lt;35,"Solid",TRUE,"Blowout")</f>
        <v>Fail</v>
      </c>
      <c r="L925" s="193">
        <f t="shared" ca="1" si="154"/>
        <v>1</v>
      </c>
      <c r="M925" s="184" t="str" cm="1">
        <f t="array" aca="1" ref="M925" ca="1">_xlfn.IFS(C925&lt;$B$11,"Fail",C925&lt;25,"Marginal",C925&lt;35,"Solid",TRUE,"Blowout")</f>
        <v>Blowout</v>
      </c>
    </row>
    <row r="926" spans="1:13" x14ac:dyDescent="0.25">
      <c r="A926" s="138">
        <f t="shared" ca="1" si="155"/>
        <v>28.179433848176458</v>
      </c>
      <c r="B926" s="137">
        <f t="shared" ca="1" si="156"/>
        <v>-5.1740689528470867</v>
      </c>
      <c r="C926" s="137">
        <f t="shared" ca="1" si="157"/>
        <v>33.353502801023545</v>
      </c>
      <c r="D926" s="152">
        <f t="shared" ca="1" si="158"/>
        <v>4.2152576227164342</v>
      </c>
      <c r="E926" s="197">
        <f t="shared" ca="1" si="159"/>
        <v>1.7987091731023147E-5</v>
      </c>
      <c r="F926" s="137">
        <f t="shared" ca="1" si="160"/>
        <v>47.611065924148384</v>
      </c>
      <c r="G926" s="137">
        <f t="shared" ca="1" si="161"/>
        <v>52.785134876995471</v>
      </c>
      <c r="H926" s="152">
        <f t="shared" ca="1" si="162"/>
        <v>6.6710517178286342</v>
      </c>
      <c r="I926" s="152">
        <f t="shared" ca="1" si="163"/>
        <v>9.5065999878602333E-11</v>
      </c>
      <c r="J926" s="190">
        <f t="shared" ca="1" si="164"/>
        <v>1</v>
      </c>
      <c r="K926" s="187" t="str" cm="1">
        <f t="array" aca="1" ref="K926" ca="1">_xlfn.IFS(G926&lt;$B$11,"Fail",G926&lt;25,"Marginal",G926&lt;35,"Solid",TRUE,"Blowout")</f>
        <v>Blowout</v>
      </c>
      <c r="L926" s="193">
        <f t="shared" ca="1" si="154"/>
        <v>1</v>
      </c>
      <c r="M926" s="184" t="str" cm="1">
        <f t="array" aca="1" ref="M926" ca="1">_xlfn.IFS(C926&lt;$B$11,"Fail",C926&lt;25,"Marginal",C926&lt;35,"Solid",TRUE,"Blowout")</f>
        <v>Solid</v>
      </c>
    </row>
    <row r="927" spans="1:13" x14ac:dyDescent="0.25">
      <c r="A927" s="138">
        <f t="shared" ca="1" si="155"/>
        <v>35.103538664490145</v>
      </c>
      <c r="B927" s="137">
        <f t="shared" ca="1" si="156"/>
        <v>8.8706697824549074</v>
      </c>
      <c r="C927" s="137">
        <f t="shared" ca="1" si="157"/>
        <v>26.232868882035238</v>
      </c>
      <c r="D927" s="152">
        <f t="shared" ca="1" si="158"/>
        <v>3.3153429545434845</v>
      </c>
      <c r="E927" s="197">
        <f t="shared" ca="1" si="159"/>
        <v>5.3240052545201408E-4</v>
      </c>
      <c r="F927" s="137">
        <f t="shared" ca="1" si="160"/>
        <v>1.9340902485539857</v>
      </c>
      <c r="G927" s="137">
        <f t="shared" ca="1" si="161"/>
        <v>-6.9365795339009217</v>
      </c>
      <c r="H927" s="152">
        <f t="shared" ca="1" si="162"/>
        <v>-0.87665364355546427</v>
      </c>
      <c r="I927" s="152">
        <f t="shared" ca="1" si="163"/>
        <v>0.80920124458269693</v>
      </c>
      <c r="J927" s="190">
        <f t="shared" ca="1" si="164"/>
        <v>0</v>
      </c>
      <c r="K927" s="187" t="str" cm="1">
        <f t="array" aca="1" ref="K927" ca="1">_xlfn.IFS(G927&lt;$B$11,"Fail",G927&lt;25,"Marginal",G927&lt;35,"Solid",TRUE,"Blowout")</f>
        <v>Fail</v>
      </c>
      <c r="L927" s="193">
        <f t="shared" ca="1" si="154"/>
        <v>1</v>
      </c>
      <c r="M927" s="184" t="str" cm="1">
        <f t="array" aca="1" ref="M927" ca="1">_xlfn.IFS(C927&lt;$B$11,"Fail",C927&lt;25,"Marginal",C927&lt;35,"Solid",TRUE,"Blowout")</f>
        <v>Solid</v>
      </c>
    </row>
    <row r="928" spans="1:13" x14ac:dyDescent="0.25">
      <c r="A928" s="138">
        <f t="shared" ca="1" si="155"/>
        <v>38.404880941350207</v>
      </c>
      <c r="B928" s="137">
        <f t="shared" ca="1" si="156"/>
        <v>3.7928634417781133</v>
      </c>
      <c r="C928" s="137">
        <f t="shared" ca="1" si="157"/>
        <v>34.61201749957209</v>
      </c>
      <c r="D928" s="152">
        <f t="shared" ca="1" si="158"/>
        <v>4.374310292776463</v>
      </c>
      <c r="E928" s="197">
        <f t="shared" ca="1" si="159"/>
        <v>9.2686448367332232E-6</v>
      </c>
      <c r="F928" s="137">
        <f t="shared" ca="1" si="160"/>
        <v>58.916599494701863</v>
      </c>
      <c r="G928" s="137">
        <f t="shared" ca="1" si="161"/>
        <v>55.123736052923746</v>
      </c>
      <c r="H928" s="152">
        <f t="shared" ca="1" si="162"/>
        <v>6.9666070750015781</v>
      </c>
      <c r="I928" s="152">
        <f t="shared" ca="1" si="163"/>
        <v>1.7225286847824185E-11</v>
      </c>
      <c r="J928" s="190">
        <f t="shared" ca="1" si="164"/>
        <v>1</v>
      </c>
      <c r="K928" s="187" t="str" cm="1">
        <f t="array" aca="1" ref="K928" ca="1">_xlfn.IFS(G928&lt;$B$11,"Fail",G928&lt;25,"Marginal",G928&lt;35,"Solid",TRUE,"Blowout")</f>
        <v>Blowout</v>
      </c>
      <c r="L928" s="193">
        <f t="shared" ca="1" si="154"/>
        <v>1</v>
      </c>
      <c r="M928" s="184" t="str" cm="1">
        <f t="array" aca="1" ref="M928" ca="1">_xlfn.IFS(C928&lt;$B$11,"Fail",C928&lt;25,"Marginal",C928&lt;35,"Solid",TRUE,"Blowout")</f>
        <v>Solid</v>
      </c>
    </row>
    <row r="929" spans="1:13" x14ac:dyDescent="0.25">
      <c r="A929" s="138">
        <f t="shared" ca="1" si="155"/>
        <v>33.367770266945044</v>
      </c>
      <c r="B929" s="137">
        <f t="shared" ca="1" si="156"/>
        <v>7.4189337093508056</v>
      </c>
      <c r="C929" s="137">
        <f t="shared" ca="1" si="157"/>
        <v>25.948836557594237</v>
      </c>
      <c r="D929" s="152">
        <f t="shared" ca="1" si="158"/>
        <v>3.2794465922381422</v>
      </c>
      <c r="E929" s="197">
        <f t="shared" ca="1" si="159"/>
        <v>6.0144790424844052E-4</v>
      </c>
      <c r="F929" s="137">
        <f t="shared" ca="1" si="160"/>
        <v>19.064218885534444</v>
      </c>
      <c r="G929" s="137">
        <f t="shared" ca="1" si="161"/>
        <v>11.645285176183638</v>
      </c>
      <c r="H929" s="152">
        <f t="shared" ca="1" si="162"/>
        <v>1.4717457833576741</v>
      </c>
      <c r="I929" s="152">
        <f t="shared" ca="1" si="163"/>
        <v>7.1234227902435332E-2</v>
      </c>
      <c r="J929" s="190">
        <f t="shared" ca="1" si="164"/>
        <v>0</v>
      </c>
      <c r="K929" s="187" t="str" cm="1">
        <f t="array" aca="1" ref="K929" ca="1">_xlfn.IFS(G929&lt;$B$11,"Fail",G929&lt;25,"Marginal",G929&lt;35,"Solid",TRUE,"Blowout")</f>
        <v>Fail</v>
      </c>
      <c r="L929" s="193">
        <f t="shared" ca="1" si="154"/>
        <v>1</v>
      </c>
      <c r="M929" s="184" t="str" cm="1">
        <f t="array" aca="1" ref="M929" ca="1">_xlfn.IFS(C929&lt;$B$11,"Fail",C929&lt;25,"Marginal",C929&lt;35,"Solid",TRUE,"Blowout")</f>
        <v>Solid</v>
      </c>
    </row>
    <row r="930" spans="1:13" x14ac:dyDescent="0.25">
      <c r="A930" s="138">
        <f t="shared" ca="1" si="155"/>
        <v>9.4647265603456745</v>
      </c>
      <c r="B930" s="137">
        <f t="shared" ca="1" si="156"/>
        <v>2.93553276442861</v>
      </c>
      <c r="C930" s="137">
        <f t="shared" ca="1" si="157"/>
        <v>6.5291937959170649</v>
      </c>
      <c r="D930" s="152">
        <f t="shared" ca="1" si="158"/>
        <v>0.82516772174188746</v>
      </c>
      <c r="E930" s="197">
        <f t="shared" ca="1" si="159"/>
        <v>0.20506944103340552</v>
      </c>
      <c r="F930" s="137">
        <f t="shared" ca="1" si="160"/>
        <v>43.517360628845879</v>
      </c>
      <c r="G930" s="137">
        <f t="shared" ca="1" si="161"/>
        <v>40.581827864417271</v>
      </c>
      <c r="H930" s="152">
        <f t="shared" ca="1" si="162"/>
        <v>5.1287824331302785</v>
      </c>
      <c r="I930" s="152">
        <f t="shared" ca="1" si="163"/>
        <v>3.1138266995793843E-7</v>
      </c>
      <c r="J930" s="190">
        <f t="shared" ca="1" si="164"/>
        <v>1</v>
      </c>
      <c r="K930" s="187" t="str" cm="1">
        <f t="array" aca="1" ref="K930" ca="1">_xlfn.IFS(G930&lt;$B$11,"Fail",G930&lt;25,"Marginal",G930&lt;35,"Solid",TRUE,"Blowout")</f>
        <v>Blowout</v>
      </c>
      <c r="L930" s="193">
        <f t="shared" ca="1" si="154"/>
        <v>0</v>
      </c>
      <c r="M930" s="184" t="str" cm="1">
        <f t="array" aca="1" ref="M930" ca="1">_xlfn.IFS(C930&lt;$B$11,"Fail",C930&lt;25,"Marginal",C930&lt;35,"Solid",TRUE,"Blowout")</f>
        <v>Fail</v>
      </c>
    </row>
    <row r="931" spans="1:13" x14ac:dyDescent="0.25">
      <c r="A931" s="138">
        <f t="shared" ca="1" si="155"/>
        <v>66.187915627108481</v>
      </c>
      <c r="B931" s="137">
        <f t="shared" ca="1" si="156"/>
        <v>3.1094803637270827</v>
      </c>
      <c r="C931" s="137">
        <f t="shared" ca="1" si="157"/>
        <v>63.078435263381401</v>
      </c>
      <c r="D931" s="152">
        <f t="shared" ca="1" si="158"/>
        <v>7.9719319634648382</v>
      </c>
      <c r="E931" s="197">
        <f t="shared" ca="1" si="159"/>
        <v>3.7387525904086166E-14</v>
      </c>
      <c r="F931" s="137">
        <f t="shared" ca="1" si="160"/>
        <v>28.93515914503455</v>
      </c>
      <c r="G931" s="137">
        <f t="shared" ca="1" si="161"/>
        <v>25.825678781307467</v>
      </c>
      <c r="H931" s="152">
        <f t="shared" ca="1" si="162"/>
        <v>3.2638817576123262</v>
      </c>
      <c r="I931" s="152">
        <f t="shared" ca="1" si="163"/>
        <v>6.339018074823789E-4</v>
      </c>
      <c r="J931" s="190">
        <f t="shared" ca="1" si="164"/>
        <v>1</v>
      </c>
      <c r="K931" s="187" t="str" cm="1">
        <f t="array" aca="1" ref="K931" ca="1">_xlfn.IFS(G931&lt;$B$11,"Fail",G931&lt;25,"Marginal",G931&lt;35,"Solid",TRUE,"Blowout")</f>
        <v>Solid</v>
      </c>
      <c r="L931" s="193">
        <f t="shared" ca="1" si="154"/>
        <v>1</v>
      </c>
      <c r="M931" s="184" t="str" cm="1">
        <f t="array" aca="1" ref="M931" ca="1">_xlfn.IFS(C931&lt;$B$11,"Fail",C931&lt;25,"Marginal",C931&lt;35,"Solid",TRUE,"Blowout")</f>
        <v>Blowout</v>
      </c>
    </row>
    <row r="932" spans="1:13" x14ac:dyDescent="0.25">
      <c r="A932" s="138">
        <f t="shared" ca="1" si="155"/>
        <v>52.71304173216901</v>
      </c>
      <c r="B932" s="137">
        <f t="shared" ca="1" si="156"/>
        <v>6.5336348123064765</v>
      </c>
      <c r="C932" s="137">
        <f t="shared" ca="1" si="157"/>
        <v>46.179406919862537</v>
      </c>
      <c r="D932" s="152">
        <f t="shared" ca="1" si="158"/>
        <v>5.8362115125581653</v>
      </c>
      <c r="E932" s="197">
        <f t="shared" ca="1" si="159"/>
        <v>9.1060677242179796E-9</v>
      </c>
      <c r="F932" s="137">
        <f t="shared" ca="1" si="160"/>
        <v>43.605543817979125</v>
      </c>
      <c r="G932" s="137">
        <f t="shared" ca="1" si="161"/>
        <v>37.071909005672651</v>
      </c>
      <c r="H932" s="152">
        <f t="shared" ca="1" si="162"/>
        <v>4.6851944743871448</v>
      </c>
      <c r="I932" s="152">
        <f t="shared" ca="1" si="163"/>
        <v>2.4042639609973721E-6</v>
      </c>
      <c r="J932" s="190">
        <f t="shared" ca="1" si="164"/>
        <v>1</v>
      </c>
      <c r="K932" s="187" t="str" cm="1">
        <f t="array" aca="1" ref="K932" ca="1">_xlfn.IFS(G932&lt;$B$11,"Fail",G932&lt;25,"Marginal",G932&lt;35,"Solid",TRUE,"Blowout")</f>
        <v>Blowout</v>
      </c>
      <c r="L932" s="193">
        <f t="shared" ca="1" si="154"/>
        <v>1</v>
      </c>
      <c r="M932" s="184" t="str" cm="1">
        <f t="array" aca="1" ref="M932" ca="1">_xlfn.IFS(C932&lt;$B$11,"Fail",C932&lt;25,"Marginal",C932&lt;35,"Solid",TRUE,"Blowout")</f>
        <v>Blowout</v>
      </c>
    </row>
    <row r="933" spans="1:13" x14ac:dyDescent="0.25">
      <c r="A933" s="138">
        <f t="shared" ca="1" si="155"/>
        <v>34.164450282532016</v>
      </c>
      <c r="B933" s="137">
        <f t="shared" ca="1" si="156"/>
        <v>2.2264233814163918</v>
      </c>
      <c r="C933" s="137">
        <f t="shared" ca="1" si="157"/>
        <v>31.938026901115624</v>
      </c>
      <c r="D933" s="152">
        <f t="shared" ca="1" si="158"/>
        <v>4.036367998665459</v>
      </c>
      <c r="E933" s="197">
        <f t="shared" ca="1" si="159"/>
        <v>3.7068617522866438E-5</v>
      </c>
      <c r="F933" s="137">
        <f t="shared" ca="1" si="160"/>
        <v>30.055356121177436</v>
      </c>
      <c r="G933" s="137">
        <f t="shared" ca="1" si="161"/>
        <v>27.828932739761044</v>
      </c>
      <c r="H933" s="152">
        <f t="shared" ca="1" si="162"/>
        <v>3.517055511774938</v>
      </c>
      <c r="I933" s="152">
        <f t="shared" ca="1" si="163"/>
        <v>2.6323051300739046E-4</v>
      </c>
      <c r="J933" s="190">
        <f t="shared" ca="1" si="164"/>
        <v>1</v>
      </c>
      <c r="K933" s="187" t="str" cm="1">
        <f t="array" aca="1" ref="K933" ca="1">_xlfn.IFS(G933&lt;$B$11,"Fail",G933&lt;25,"Marginal",G933&lt;35,"Solid",TRUE,"Blowout")</f>
        <v>Solid</v>
      </c>
      <c r="L933" s="193">
        <f t="shared" ca="1" si="154"/>
        <v>1</v>
      </c>
      <c r="M933" s="184" t="str" cm="1">
        <f t="array" aca="1" ref="M933" ca="1">_xlfn.IFS(C933&lt;$B$11,"Fail",C933&lt;25,"Marginal",C933&lt;35,"Solid",TRUE,"Blowout")</f>
        <v>Solid</v>
      </c>
    </row>
    <row r="934" spans="1:13" x14ac:dyDescent="0.25">
      <c r="A934" s="138">
        <f t="shared" ca="1" si="155"/>
        <v>4.4332152175015977</v>
      </c>
      <c r="B934" s="137">
        <f t="shared" ca="1" si="156"/>
        <v>2.1004897538596961</v>
      </c>
      <c r="C934" s="137">
        <f t="shared" ca="1" si="157"/>
        <v>2.3327254636419017</v>
      </c>
      <c r="D934" s="152">
        <f t="shared" ca="1" si="158"/>
        <v>0.29481277726606575</v>
      </c>
      <c r="E934" s="197">
        <f t="shared" ca="1" si="159"/>
        <v>0.38420258319448136</v>
      </c>
      <c r="F934" s="137">
        <f t="shared" ca="1" si="160"/>
        <v>26.912470914223078</v>
      </c>
      <c r="G934" s="137">
        <f t="shared" ca="1" si="161"/>
        <v>24.811981160363381</v>
      </c>
      <c r="H934" s="152">
        <f t="shared" ca="1" si="162"/>
        <v>3.1357693776531534</v>
      </c>
      <c r="I934" s="152">
        <f t="shared" ca="1" si="163"/>
        <v>9.6976375533211153E-4</v>
      </c>
      <c r="J934" s="190">
        <f t="shared" ca="1" si="164"/>
        <v>1</v>
      </c>
      <c r="K934" s="187" t="str" cm="1">
        <f t="array" aca="1" ref="K934" ca="1">_xlfn.IFS(G934&lt;$B$11,"Fail",G934&lt;25,"Marginal",G934&lt;35,"Solid",TRUE,"Blowout")</f>
        <v>Marginal</v>
      </c>
      <c r="L934" s="193">
        <f t="shared" ca="1" si="154"/>
        <v>0</v>
      </c>
      <c r="M934" s="184" t="str" cm="1">
        <f t="array" aca="1" ref="M934" ca="1">_xlfn.IFS(C934&lt;$B$11,"Fail",C934&lt;25,"Marginal",C934&lt;35,"Solid",TRUE,"Blowout")</f>
        <v>Fail</v>
      </c>
    </row>
    <row r="935" spans="1:13" x14ac:dyDescent="0.25">
      <c r="A935" s="138">
        <f t="shared" ca="1" si="155"/>
        <v>32.384033691662296</v>
      </c>
      <c r="B935" s="137">
        <f t="shared" ca="1" si="156"/>
        <v>8.0944261188328319</v>
      </c>
      <c r="C935" s="137">
        <f t="shared" ca="1" si="157"/>
        <v>24.289607572829464</v>
      </c>
      <c r="D935" s="152">
        <f t="shared" ca="1" si="158"/>
        <v>3.0697511468276191</v>
      </c>
      <c r="E935" s="197">
        <f t="shared" ca="1" si="159"/>
        <v>1.2010660468055273E-3</v>
      </c>
      <c r="F935" s="137">
        <f t="shared" ca="1" si="160"/>
        <v>24.117616825994233</v>
      </c>
      <c r="G935" s="137">
        <f t="shared" ca="1" si="161"/>
        <v>16.023190707161401</v>
      </c>
      <c r="H935" s="152">
        <f t="shared" ca="1" si="162"/>
        <v>2.0250309891448199</v>
      </c>
      <c r="I935" s="152">
        <f t="shared" ca="1" si="163"/>
        <v>2.2014890912916009E-2</v>
      </c>
      <c r="J935" s="190">
        <f t="shared" ca="1" si="164"/>
        <v>0</v>
      </c>
      <c r="K935" s="187" t="str" cm="1">
        <f t="array" aca="1" ref="K935" ca="1">_xlfn.IFS(G935&lt;$B$11,"Fail",G935&lt;25,"Marginal",G935&lt;35,"Solid",TRUE,"Blowout")</f>
        <v>Fail</v>
      </c>
      <c r="L935" s="193">
        <f t="shared" ca="1" si="154"/>
        <v>1</v>
      </c>
      <c r="M935" s="184" t="str" cm="1">
        <f t="array" aca="1" ref="M935" ca="1">_xlfn.IFS(C935&lt;$B$11,"Fail",C935&lt;25,"Marginal",C935&lt;35,"Solid",TRUE,"Blowout")</f>
        <v>Marginal</v>
      </c>
    </row>
    <row r="936" spans="1:13" x14ac:dyDescent="0.25">
      <c r="A936" s="138">
        <f t="shared" ca="1" si="155"/>
        <v>35.855330600572493</v>
      </c>
      <c r="B936" s="137">
        <f t="shared" ca="1" si="156"/>
        <v>13.372029681246556</v>
      </c>
      <c r="C936" s="137">
        <f t="shared" ca="1" si="157"/>
        <v>22.483300919325938</v>
      </c>
      <c r="D936" s="152">
        <f t="shared" ca="1" si="158"/>
        <v>2.8414678407063052</v>
      </c>
      <c r="E936" s="197">
        <f t="shared" ca="1" si="159"/>
        <v>2.4487019325272097E-3</v>
      </c>
      <c r="F936" s="137">
        <f t="shared" ca="1" si="160"/>
        <v>18.985752086520158</v>
      </c>
      <c r="G936" s="137">
        <f t="shared" ca="1" si="161"/>
        <v>5.6137224052736023</v>
      </c>
      <c r="H936" s="152">
        <f t="shared" ca="1" si="162"/>
        <v>0.70946929627785349</v>
      </c>
      <c r="I936" s="152">
        <f t="shared" ca="1" si="163"/>
        <v>0.2393790941392106</v>
      </c>
      <c r="J936" s="190">
        <f t="shared" ca="1" si="164"/>
        <v>0</v>
      </c>
      <c r="K936" s="187" t="str" cm="1">
        <f t="array" aca="1" ref="K936" ca="1">_xlfn.IFS(G936&lt;$B$11,"Fail",G936&lt;25,"Marginal",G936&lt;35,"Solid",TRUE,"Blowout")</f>
        <v>Fail</v>
      </c>
      <c r="L936" s="193">
        <f t="shared" ca="1" si="154"/>
        <v>1</v>
      </c>
      <c r="M936" s="184" t="str" cm="1">
        <f t="array" aca="1" ref="M936" ca="1">_xlfn.IFS(C936&lt;$B$11,"Fail",C936&lt;25,"Marginal",C936&lt;35,"Solid",TRUE,"Blowout")</f>
        <v>Marginal</v>
      </c>
    </row>
    <row r="937" spans="1:13" x14ac:dyDescent="0.25">
      <c r="A937" s="138">
        <f t="shared" ca="1" si="155"/>
        <v>41.987748457133605</v>
      </c>
      <c r="B937" s="137">
        <f t="shared" ca="1" si="156"/>
        <v>1.0509359664246456</v>
      </c>
      <c r="C937" s="137">
        <f t="shared" ca="1" si="157"/>
        <v>40.936812490708959</v>
      </c>
      <c r="D937" s="152">
        <f t="shared" ca="1" si="158"/>
        <v>5.1736458365589968</v>
      </c>
      <c r="E937" s="197">
        <f t="shared" ca="1" si="159"/>
        <v>2.5133019037159475E-7</v>
      </c>
      <c r="F937" s="137">
        <f t="shared" ca="1" si="160"/>
        <v>3.5549117027933876</v>
      </c>
      <c r="G937" s="137">
        <f t="shared" ca="1" si="161"/>
        <v>2.503975736368742</v>
      </c>
      <c r="H937" s="152">
        <f t="shared" ca="1" si="162"/>
        <v>0.31645560206352391</v>
      </c>
      <c r="I937" s="152">
        <f t="shared" ca="1" si="163"/>
        <v>0.37597312774195951</v>
      </c>
      <c r="J937" s="190">
        <f t="shared" ca="1" si="164"/>
        <v>0</v>
      </c>
      <c r="K937" s="187" t="str" cm="1">
        <f t="array" aca="1" ref="K937" ca="1">_xlfn.IFS(G937&lt;$B$11,"Fail",G937&lt;25,"Marginal",G937&lt;35,"Solid",TRUE,"Blowout")</f>
        <v>Fail</v>
      </c>
      <c r="L937" s="193">
        <f t="shared" ca="1" si="154"/>
        <v>1</v>
      </c>
      <c r="M937" s="184" t="str" cm="1">
        <f t="array" aca="1" ref="M937" ca="1">_xlfn.IFS(C937&lt;$B$11,"Fail",C937&lt;25,"Marginal",C937&lt;35,"Solid",TRUE,"Blowout")</f>
        <v>Blowout</v>
      </c>
    </row>
    <row r="938" spans="1:13" x14ac:dyDescent="0.25">
      <c r="A938" s="138">
        <f t="shared" ca="1" si="155"/>
        <v>9.0769216254651504</v>
      </c>
      <c r="B938" s="137">
        <f t="shared" ca="1" si="156"/>
        <v>6.5553001512790638</v>
      </c>
      <c r="C938" s="137">
        <f t="shared" ca="1" si="157"/>
        <v>2.5216214741860865</v>
      </c>
      <c r="D938" s="152">
        <f t="shared" ca="1" si="158"/>
        <v>0.31868569259664581</v>
      </c>
      <c r="E938" s="197">
        <f t="shared" ca="1" si="159"/>
        <v>0.37512830508750017</v>
      </c>
      <c r="F938" s="137">
        <f t="shared" ca="1" si="160"/>
        <v>36.438878899660644</v>
      </c>
      <c r="G938" s="137">
        <f t="shared" ca="1" si="161"/>
        <v>29.883578748381581</v>
      </c>
      <c r="H938" s="152">
        <f t="shared" ca="1" si="162"/>
        <v>3.7767242578580578</v>
      </c>
      <c r="I938" s="152">
        <f t="shared" ca="1" si="163"/>
        <v>1.0139234391576804E-4</v>
      </c>
      <c r="J938" s="190">
        <f t="shared" ca="1" si="164"/>
        <v>1</v>
      </c>
      <c r="K938" s="187" t="str" cm="1">
        <f t="array" aca="1" ref="K938" ca="1">_xlfn.IFS(G938&lt;$B$11,"Fail",G938&lt;25,"Marginal",G938&lt;35,"Solid",TRUE,"Blowout")</f>
        <v>Solid</v>
      </c>
      <c r="L938" s="193">
        <f t="shared" ca="1" si="154"/>
        <v>0</v>
      </c>
      <c r="M938" s="184" t="str" cm="1">
        <f t="array" aca="1" ref="M938" ca="1">_xlfn.IFS(C938&lt;$B$11,"Fail",C938&lt;25,"Marginal",C938&lt;35,"Solid",TRUE,"Blowout")</f>
        <v>Fail</v>
      </c>
    </row>
    <row r="939" spans="1:13" x14ac:dyDescent="0.25">
      <c r="A939" s="138">
        <f t="shared" ca="1" si="155"/>
        <v>19.654156828060373</v>
      </c>
      <c r="B939" s="137">
        <f t="shared" ca="1" si="156"/>
        <v>0.45908295892314932</v>
      </c>
      <c r="C939" s="137">
        <f t="shared" ca="1" si="157"/>
        <v>19.195073869137225</v>
      </c>
      <c r="D939" s="152">
        <f t="shared" ca="1" si="158"/>
        <v>2.4258975714839379</v>
      </c>
      <c r="E939" s="197">
        <f t="shared" ca="1" si="159"/>
        <v>8.023983410265877E-3</v>
      </c>
      <c r="F939" s="137">
        <f t="shared" ca="1" si="160"/>
        <v>58.51314864588921</v>
      </c>
      <c r="G939" s="137">
        <f t="shared" ca="1" si="161"/>
        <v>58.054065686966062</v>
      </c>
      <c r="H939" s="152">
        <f t="shared" ca="1" si="162"/>
        <v>7.3369458187508449</v>
      </c>
      <c r="I939" s="152">
        <f t="shared" ca="1" si="163"/>
        <v>1.901851751737504E-12</v>
      </c>
      <c r="J939" s="190">
        <f t="shared" ca="1" si="164"/>
        <v>1</v>
      </c>
      <c r="K939" s="187" t="str" cm="1">
        <f t="array" aca="1" ref="K939" ca="1">_xlfn.IFS(G939&lt;$B$11,"Fail",G939&lt;25,"Marginal",G939&lt;35,"Solid",TRUE,"Blowout")</f>
        <v>Blowout</v>
      </c>
      <c r="L939" s="193">
        <f t="shared" ca="1" si="154"/>
        <v>0</v>
      </c>
      <c r="M939" s="184" t="str" cm="1">
        <f t="array" aca="1" ref="M939" ca="1">_xlfn.IFS(C939&lt;$B$11,"Fail",C939&lt;25,"Marginal",C939&lt;35,"Solid",TRUE,"Blowout")</f>
        <v>Fail</v>
      </c>
    </row>
    <row r="940" spans="1:13" x14ac:dyDescent="0.25">
      <c r="A940" s="138">
        <f t="shared" ca="1" si="155"/>
        <v>5.9858451192323043</v>
      </c>
      <c r="B940" s="137">
        <f t="shared" ca="1" si="156"/>
        <v>1.4721903430583918</v>
      </c>
      <c r="C940" s="137">
        <f t="shared" ca="1" si="157"/>
        <v>4.5136547761739125</v>
      </c>
      <c r="D940" s="152">
        <f t="shared" ca="1" si="158"/>
        <v>0.57044136608625273</v>
      </c>
      <c r="E940" s="197">
        <f t="shared" ca="1" si="159"/>
        <v>0.28447005482722398</v>
      </c>
      <c r="F940" s="137">
        <f t="shared" ca="1" si="160"/>
        <v>50.573762159646307</v>
      </c>
      <c r="G940" s="137">
        <f t="shared" ca="1" si="161"/>
        <v>49.101571816587914</v>
      </c>
      <c r="H940" s="152">
        <f t="shared" ca="1" si="162"/>
        <v>6.2055183865389703</v>
      </c>
      <c r="I940" s="152">
        <f t="shared" ca="1" si="163"/>
        <v>1.2720941914012367E-9</v>
      </c>
      <c r="J940" s="190">
        <f t="shared" ca="1" si="164"/>
        <v>1</v>
      </c>
      <c r="K940" s="187" t="str" cm="1">
        <f t="array" aca="1" ref="K940" ca="1">_xlfn.IFS(G940&lt;$B$11,"Fail",G940&lt;25,"Marginal",G940&lt;35,"Solid",TRUE,"Blowout")</f>
        <v>Blowout</v>
      </c>
      <c r="L940" s="193">
        <f t="shared" ca="1" si="154"/>
        <v>0</v>
      </c>
      <c r="M940" s="184" t="str" cm="1">
        <f t="array" aca="1" ref="M940" ca="1">_xlfn.IFS(C940&lt;$B$11,"Fail",C940&lt;25,"Marginal",C940&lt;35,"Solid",TRUE,"Blowout")</f>
        <v>Fail</v>
      </c>
    </row>
    <row r="941" spans="1:13" x14ac:dyDescent="0.25">
      <c r="A941" s="138">
        <f t="shared" ca="1" si="155"/>
        <v>23.709906472786631</v>
      </c>
      <c r="B941" s="137">
        <f t="shared" ca="1" si="156"/>
        <v>13.395664429906029</v>
      </c>
      <c r="C941" s="137">
        <f t="shared" ca="1" si="157"/>
        <v>10.314242042880602</v>
      </c>
      <c r="D941" s="152">
        <f t="shared" ca="1" si="158"/>
        <v>1.3035268785160572</v>
      </c>
      <c r="E941" s="197">
        <f t="shared" ca="1" si="159"/>
        <v>9.6854819777423051E-2</v>
      </c>
      <c r="F941" s="137">
        <f t="shared" ca="1" si="160"/>
        <v>10.027779149070641</v>
      </c>
      <c r="G941" s="137">
        <f t="shared" ca="1" si="161"/>
        <v>-3.3678852808353881</v>
      </c>
      <c r="H941" s="152">
        <f t="shared" ca="1" si="162"/>
        <v>-0.42563757657382212</v>
      </c>
      <c r="I941" s="152">
        <f t="shared" ca="1" si="163"/>
        <v>0.66461327576140616</v>
      </c>
      <c r="J941" s="190">
        <f t="shared" ca="1" si="164"/>
        <v>0</v>
      </c>
      <c r="K941" s="187" t="str" cm="1">
        <f t="array" aca="1" ref="K941" ca="1">_xlfn.IFS(G941&lt;$B$11,"Fail",G941&lt;25,"Marginal",G941&lt;35,"Solid",TRUE,"Blowout")</f>
        <v>Fail</v>
      </c>
      <c r="L941" s="193">
        <f t="shared" ca="1" si="154"/>
        <v>0</v>
      </c>
      <c r="M941" s="184" t="str" cm="1">
        <f t="array" aca="1" ref="M941" ca="1">_xlfn.IFS(C941&lt;$B$11,"Fail",C941&lt;25,"Marginal",C941&lt;35,"Solid",TRUE,"Blowout")</f>
        <v>Fail</v>
      </c>
    </row>
    <row r="942" spans="1:13" x14ac:dyDescent="0.25">
      <c r="A942" s="138">
        <f t="shared" ca="1" si="155"/>
        <v>57.490096532799832</v>
      </c>
      <c r="B942" s="137">
        <f t="shared" ca="1" si="156"/>
        <v>10.85221404754655</v>
      </c>
      <c r="C942" s="137">
        <f t="shared" ca="1" si="157"/>
        <v>46.637882485253286</v>
      </c>
      <c r="D942" s="152">
        <f t="shared" ca="1" si="158"/>
        <v>5.8941542309998178</v>
      </c>
      <c r="E942" s="197">
        <f t="shared" ca="1" si="159"/>
        <v>6.7232253635276157E-9</v>
      </c>
      <c r="F942" s="137">
        <f t="shared" ca="1" si="160"/>
        <v>32.535398022412203</v>
      </c>
      <c r="G942" s="137">
        <f t="shared" ca="1" si="161"/>
        <v>21.683183974865653</v>
      </c>
      <c r="H942" s="152">
        <f t="shared" ca="1" si="162"/>
        <v>2.7403480551976811</v>
      </c>
      <c r="I942" s="152">
        <f t="shared" ca="1" si="163"/>
        <v>3.3117195950534014E-3</v>
      </c>
      <c r="J942" s="190">
        <f t="shared" ca="1" si="164"/>
        <v>1</v>
      </c>
      <c r="K942" s="187" t="str" cm="1">
        <f t="array" aca="1" ref="K942" ca="1">_xlfn.IFS(G942&lt;$B$11,"Fail",G942&lt;25,"Marginal",G942&lt;35,"Solid",TRUE,"Blowout")</f>
        <v>Marginal</v>
      </c>
      <c r="L942" s="193">
        <f t="shared" ca="1" si="154"/>
        <v>1</v>
      </c>
      <c r="M942" s="184" t="str" cm="1">
        <f t="array" aca="1" ref="M942" ca="1">_xlfn.IFS(C942&lt;$B$11,"Fail",C942&lt;25,"Marginal",C942&lt;35,"Solid",TRUE,"Blowout")</f>
        <v>Blowout</v>
      </c>
    </row>
    <row r="943" spans="1:13" x14ac:dyDescent="0.25">
      <c r="A943" s="138">
        <f t="shared" ca="1" si="155"/>
        <v>2.3829419314089004</v>
      </c>
      <c r="B943" s="137">
        <f t="shared" ca="1" si="156"/>
        <v>9.7648197130290235</v>
      </c>
      <c r="C943" s="137">
        <f t="shared" ca="1" si="157"/>
        <v>-7.3818777816201226</v>
      </c>
      <c r="D943" s="152">
        <f t="shared" ca="1" si="158"/>
        <v>-0.93293099602061613</v>
      </c>
      <c r="E943" s="197">
        <f t="shared" ca="1" si="159"/>
        <v>0.82407875494737182</v>
      </c>
      <c r="F943" s="137">
        <f t="shared" ca="1" si="160"/>
        <v>14.801998266450859</v>
      </c>
      <c r="G943" s="137">
        <f t="shared" ca="1" si="161"/>
        <v>5.0371785534218354</v>
      </c>
      <c r="H943" s="152">
        <f t="shared" ca="1" si="162"/>
        <v>0.63660495933409256</v>
      </c>
      <c r="I943" s="152">
        <f t="shared" ca="1" si="163"/>
        <v>0.26251039987220526</v>
      </c>
      <c r="J943" s="190">
        <f t="shared" ca="1" si="164"/>
        <v>0</v>
      </c>
      <c r="K943" s="187" t="str" cm="1">
        <f t="array" aca="1" ref="K943" ca="1">_xlfn.IFS(G943&lt;$B$11,"Fail",G943&lt;25,"Marginal",G943&lt;35,"Solid",TRUE,"Blowout")</f>
        <v>Fail</v>
      </c>
      <c r="L943" s="193">
        <f t="shared" ca="1" si="154"/>
        <v>0</v>
      </c>
      <c r="M943" s="184" t="str" cm="1">
        <f t="array" aca="1" ref="M943" ca="1">_xlfn.IFS(C943&lt;$B$11,"Fail",C943&lt;25,"Marginal",C943&lt;35,"Solid",TRUE,"Blowout")</f>
        <v>Fail</v>
      </c>
    </row>
    <row r="944" spans="1:13" x14ac:dyDescent="0.25">
      <c r="A944" s="138">
        <f t="shared" ca="1" si="155"/>
        <v>13.073789012801287</v>
      </c>
      <c r="B944" s="137">
        <f t="shared" ca="1" si="156"/>
        <v>11.474287764161957</v>
      </c>
      <c r="C944" s="137">
        <f t="shared" ca="1" si="157"/>
        <v>1.5995012486393296</v>
      </c>
      <c r="D944" s="152">
        <f t="shared" ca="1" si="158"/>
        <v>0.20214697901728279</v>
      </c>
      <c r="E944" s="197">
        <f t="shared" ca="1" si="159"/>
        <v>0.41999103826173284</v>
      </c>
      <c r="F944" s="137">
        <f t="shared" ca="1" si="160"/>
        <v>14.8915551322141</v>
      </c>
      <c r="G944" s="137">
        <f t="shared" ca="1" si="161"/>
        <v>3.4172673680521424</v>
      </c>
      <c r="H944" s="152">
        <f t="shared" ca="1" si="162"/>
        <v>0.43187854684935439</v>
      </c>
      <c r="I944" s="152">
        <f t="shared" ca="1" si="163"/>
        <v>0.33311890964539287</v>
      </c>
      <c r="J944" s="190">
        <f t="shared" ca="1" si="164"/>
        <v>0</v>
      </c>
      <c r="K944" s="187" t="str" cm="1">
        <f t="array" aca="1" ref="K944" ca="1">_xlfn.IFS(G944&lt;$B$11,"Fail",G944&lt;25,"Marginal",G944&lt;35,"Solid",TRUE,"Blowout")</f>
        <v>Fail</v>
      </c>
      <c r="L944" s="193">
        <f t="shared" ca="1" si="154"/>
        <v>0</v>
      </c>
      <c r="M944" s="184" t="str" cm="1">
        <f t="array" aca="1" ref="M944" ca="1">_xlfn.IFS(C944&lt;$B$11,"Fail",C944&lt;25,"Marginal",C944&lt;35,"Solid",TRUE,"Blowout")</f>
        <v>Fail</v>
      </c>
    </row>
    <row r="945" spans="1:13" x14ac:dyDescent="0.25">
      <c r="A945" s="138">
        <f t="shared" ca="1" si="155"/>
        <v>9.9981076787376111</v>
      </c>
      <c r="B945" s="137">
        <f t="shared" ca="1" si="156"/>
        <v>-4.396903157561324</v>
      </c>
      <c r="C945" s="137">
        <f t="shared" ca="1" si="157"/>
        <v>14.395010836298935</v>
      </c>
      <c r="D945" s="152">
        <f t="shared" ca="1" si="158"/>
        <v>1.819259569790453</v>
      </c>
      <c r="E945" s="197">
        <f t="shared" ca="1" si="159"/>
        <v>3.5091743391812494E-2</v>
      </c>
      <c r="F945" s="137">
        <f t="shared" ca="1" si="160"/>
        <v>58.688212596208935</v>
      </c>
      <c r="G945" s="137">
        <f t="shared" ca="1" si="161"/>
        <v>63.08511575377026</v>
      </c>
      <c r="H945" s="152">
        <f t="shared" ca="1" si="162"/>
        <v>7.9727762522402363</v>
      </c>
      <c r="I945" s="152">
        <f t="shared" ca="1" si="163"/>
        <v>3.7188282559674273E-14</v>
      </c>
      <c r="J945" s="190">
        <f t="shared" ca="1" si="164"/>
        <v>1</v>
      </c>
      <c r="K945" s="187" t="str" cm="1">
        <f t="array" aca="1" ref="K945" ca="1">_xlfn.IFS(G945&lt;$B$11,"Fail",G945&lt;25,"Marginal",G945&lt;35,"Solid",TRUE,"Blowout")</f>
        <v>Blowout</v>
      </c>
      <c r="L945" s="193">
        <f t="shared" ca="1" si="154"/>
        <v>0</v>
      </c>
      <c r="M945" s="184" t="str" cm="1">
        <f t="array" aca="1" ref="M945" ca="1">_xlfn.IFS(C945&lt;$B$11,"Fail",C945&lt;25,"Marginal",C945&lt;35,"Solid",TRUE,"Blowout")</f>
        <v>Fail</v>
      </c>
    </row>
    <row r="946" spans="1:13" x14ac:dyDescent="0.25">
      <c r="A946" s="138">
        <f t="shared" ca="1" si="155"/>
        <v>57.173370222588325</v>
      </c>
      <c r="B946" s="137">
        <f t="shared" ca="1" si="156"/>
        <v>3.8418589532457337</v>
      </c>
      <c r="C946" s="137">
        <f t="shared" ca="1" si="157"/>
        <v>53.331511269342592</v>
      </c>
      <c r="D946" s="152">
        <f t="shared" ca="1" si="158"/>
        <v>6.7401034533076087</v>
      </c>
      <c r="E946" s="197">
        <f t="shared" ca="1" si="159"/>
        <v>6.4047477845558807E-11</v>
      </c>
      <c r="F946" s="137">
        <f t="shared" ca="1" si="160"/>
        <v>2.6053097020214722</v>
      </c>
      <c r="G946" s="137">
        <f t="shared" ca="1" si="161"/>
        <v>-1.2365492512242615</v>
      </c>
      <c r="H946" s="152">
        <f t="shared" ca="1" si="162"/>
        <v>-0.15627664920781309</v>
      </c>
      <c r="I946" s="152">
        <f t="shared" ca="1" si="163"/>
        <v>0.56202337734988572</v>
      </c>
      <c r="J946" s="190">
        <f t="shared" ca="1" si="164"/>
        <v>0</v>
      </c>
      <c r="K946" s="187" t="str" cm="1">
        <f t="array" aca="1" ref="K946" ca="1">_xlfn.IFS(G946&lt;$B$11,"Fail",G946&lt;25,"Marginal",G946&lt;35,"Solid",TRUE,"Blowout")</f>
        <v>Fail</v>
      </c>
      <c r="L946" s="193">
        <f t="shared" ca="1" si="154"/>
        <v>1</v>
      </c>
      <c r="M946" s="184" t="str" cm="1">
        <f t="array" aca="1" ref="M946" ca="1">_xlfn.IFS(C946&lt;$B$11,"Fail",C946&lt;25,"Marginal",C946&lt;35,"Solid",TRUE,"Blowout")</f>
        <v>Blowout</v>
      </c>
    </row>
    <row r="947" spans="1:13" x14ac:dyDescent="0.25">
      <c r="A947" s="138">
        <f t="shared" ca="1" si="155"/>
        <v>76.518746343622638</v>
      </c>
      <c r="B947" s="137">
        <f t="shared" ca="1" si="156"/>
        <v>8.2343670687006831</v>
      </c>
      <c r="C947" s="137">
        <f t="shared" ca="1" si="157"/>
        <v>68.28437927492196</v>
      </c>
      <c r="D947" s="152">
        <f t="shared" ca="1" si="158"/>
        <v>8.6298657136018075</v>
      </c>
      <c r="E947" s="197">
        <f t="shared" ca="1" si="159"/>
        <v>5.3240832861949934E-16</v>
      </c>
      <c r="F947" s="137">
        <f t="shared" ca="1" si="160"/>
        <v>20.567220849341695</v>
      </c>
      <c r="G947" s="137">
        <f t="shared" ca="1" si="161"/>
        <v>12.332853780641011</v>
      </c>
      <c r="H947" s="152">
        <f t="shared" ca="1" si="162"/>
        <v>1.558641568138351</v>
      </c>
      <c r="I947" s="152">
        <f t="shared" ca="1" si="163"/>
        <v>6.0234096231167551E-2</v>
      </c>
      <c r="J947" s="190">
        <f t="shared" ca="1" si="164"/>
        <v>0</v>
      </c>
      <c r="K947" s="187" t="str" cm="1">
        <f t="array" aca="1" ref="K947" ca="1">_xlfn.IFS(G947&lt;$B$11,"Fail",G947&lt;25,"Marginal",G947&lt;35,"Solid",TRUE,"Blowout")</f>
        <v>Fail</v>
      </c>
      <c r="L947" s="193">
        <f t="shared" ca="1" si="154"/>
        <v>1</v>
      </c>
      <c r="M947" s="184" t="str" cm="1">
        <f t="array" aca="1" ref="M947" ca="1">_xlfn.IFS(C947&lt;$B$11,"Fail",C947&lt;25,"Marginal",C947&lt;35,"Solid",TRUE,"Blowout")</f>
        <v>Blowout</v>
      </c>
    </row>
    <row r="948" spans="1:13" x14ac:dyDescent="0.25">
      <c r="A948" s="138">
        <f t="shared" ca="1" si="155"/>
        <v>33.209692303822592</v>
      </c>
      <c r="B948" s="137">
        <f t="shared" ca="1" si="156"/>
        <v>11.245967384799178</v>
      </c>
      <c r="C948" s="137">
        <f t="shared" ca="1" si="157"/>
        <v>21.963724919023413</v>
      </c>
      <c r="D948" s="152">
        <f t="shared" ca="1" si="158"/>
        <v>2.775803172472763</v>
      </c>
      <c r="E948" s="197">
        <f t="shared" ca="1" si="159"/>
        <v>2.9819186861600065E-3</v>
      </c>
      <c r="F948" s="137">
        <f t="shared" ca="1" si="160"/>
        <v>-3.2498513338973316</v>
      </c>
      <c r="G948" s="137">
        <f t="shared" ca="1" si="161"/>
        <v>-14.495818718696508</v>
      </c>
      <c r="H948" s="152">
        <f t="shared" ca="1" si="162"/>
        <v>-1.8319997967237762</v>
      </c>
      <c r="I948" s="152">
        <f t="shared" ca="1" si="163"/>
        <v>0.96587201933251032</v>
      </c>
      <c r="J948" s="190">
        <f t="shared" ca="1" si="164"/>
        <v>0</v>
      </c>
      <c r="K948" s="187" t="str" cm="1">
        <f t="array" aca="1" ref="K948" ca="1">_xlfn.IFS(G948&lt;$B$11,"Fail",G948&lt;25,"Marginal",G948&lt;35,"Solid",TRUE,"Blowout")</f>
        <v>Fail</v>
      </c>
      <c r="L948" s="193">
        <f t="shared" ca="1" si="154"/>
        <v>1</v>
      </c>
      <c r="M948" s="184" t="str" cm="1">
        <f t="array" aca="1" ref="M948" ca="1">_xlfn.IFS(C948&lt;$B$11,"Fail",C948&lt;25,"Marginal",C948&lt;35,"Solid",TRUE,"Blowout")</f>
        <v>Marginal</v>
      </c>
    </row>
    <row r="949" spans="1:13" x14ac:dyDescent="0.25">
      <c r="A949" s="138">
        <f t="shared" ca="1" si="155"/>
        <v>48.938530724276006</v>
      </c>
      <c r="B949" s="137">
        <f t="shared" ca="1" si="156"/>
        <v>2.2537766218509612</v>
      </c>
      <c r="C949" s="137">
        <f t="shared" ca="1" si="157"/>
        <v>46.684754102425046</v>
      </c>
      <c r="D949" s="152">
        <f t="shared" ca="1" si="158"/>
        <v>5.9000779249143971</v>
      </c>
      <c r="E949" s="197">
        <f t="shared" ca="1" si="159"/>
        <v>6.5171506918864275E-9</v>
      </c>
      <c r="F949" s="137">
        <f t="shared" ca="1" si="160"/>
        <v>27.589180879670117</v>
      </c>
      <c r="G949" s="137">
        <f t="shared" ca="1" si="161"/>
        <v>25.335404257819157</v>
      </c>
      <c r="H949" s="152">
        <f t="shared" ca="1" si="162"/>
        <v>3.2019202468622665</v>
      </c>
      <c r="I949" s="152">
        <f t="shared" ca="1" si="163"/>
        <v>7.7990643036656478E-4</v>
      </c>
      <c r="J949" s="190">
        <f t="shared" ca="1" si="164"/>
        <v>1</v>
      </c>
      <c r="K949" s="187" t="str" cm="1">
        <f t="array" aca="1" ref="K949" ca="1">_xlfn.IFS(G949&lt;$B$11,"Fail",G949&lt;25,"Marginal",G949&lt;35,"Solid",TRUE,"Blowout")</f>
        <v>Solid</v>
      </c>
      <c r="L949" s="193">
        <f t="shared" ca="1" si="154"/>
        <v>1</v>
      </c>
      <c r="M949" s="184" t="str" cm="1">
        <f t="array" aca="1" ref="M949" ca="1">_xlfn.IFS(C949&lt;$B$11,"Fail",C949&lt;25,"Marginal",C949&lt;35,"Solid",TRUE,"Blowout")</f>
        <v>Blowout</v>
      </c>
    </row>
    <row r="950" spans="1:13" x14ac:dyDescent="0.25">
      <c r="A950" s="138">
        <f t="shared" ca="1" si="155"/>
        <v>48.520492290168015</v>
      </c>
      <c r="B950" s="137">
        <f t="shared" ca="1" si="156"/>
        <v>12.732785520871637</v>
      </c>
      <c r="C950" s="137">
        <f t="shared" ca="1" si="157"/>
        <v>35.787706769296378</v>
      </c>
      <c r="D950" s="152">
        <f t="shared" ca="1" si="158"/>
        <v>4.5228953809969159</v>
      </c>
      <c r="E950" s="197">
        <f t="shared" ca="1" si="159"/>
        <v>4.9058889469908103E-6</v>
      </c>
      <c r="F950" s="137">
        <f t="shared" ca="1" si="160"/>
        <v>40.341171825196142</v>
      </c>
      <c r="G950" s="137">
        <f t="shared" ca="1" si="161"/>
        <v>27.608386304324505</v>
      </c>
      <c r="H950" s="152">
        <f t="shared" ca="1" si="162"/>
        <v>3.4891825759491906</v>
      </c>
      <c r="I950" s="152">
        <f t="shared" ca="1" si="163"/>
        <v>2.9069816322830873E-4</v>
      </c>
      <c r="J950" s="190">
        <f t="shared" ca="1" si="164"/>
        <v>1</v>
      </c>
      <c r="K950" s="187" t="str" cm="1">
        <f t="array" aca="1" ref="K950" ca="1">_xlfn.IFS(G950&lt;$B$11,"Fail",G950&lt;25,"Marginal",G950&lt;35,"Solid",TRUE,"Blowout")</f>
        <v>Solid</v>
      </c>
      <c r="L950" s="193">
        <f t="shared" ca="1" si="154"/>
        <v>1</v>
      </c>
      <c r="M950" s="184" t="str" cm="1">
        <f t="array" aca="1" ref="M950" ca="1">_xlfn.IFS(C950&lt;$B$11,"Fail",C950&lt;25,"Marginal",C950&lt;35,"Solid",TRUE,"Blowout")</f>
        <v>Blowout</v>
      </c>
    </row>
    <row r="951" spans="1:13" x14ac:dyDescent="0.25">
      <c r="A951" s="138">
        <f t="shared" ca="1" si="155"/>
        <v>48.053539171948309</v>
      </c>
      <c r="B951" s="137">
        <f t="shared" ca="1" si="156"/>
        <v>5.5416277903814395</v>
      </c>
      <c r="C951" s="137">
        <f t="shared" ca="1" si="157"/>
        <v>42.511911381566868</v>
      </c>
      <c r="D951" s="152">
        <f t="shared" ca="1" si="158"/>
        <v>5.3727088149163178</v>
      </c>
      <c r="E951" s="197">
        <f t="shared" ca="1" si="159"/>
        <v>9.5570792890453037E-8</v>
      </c>
      <c r="F951" s="137">
        <f t="shared" ca="1" si="160"/>
        <v>59.523490265108144</v>
      </c>
      <c r="G951" s="137">
        <f t="shared" ca="1" si="161"/>
        <v>53.981862474726704</v>
      </c>
      <c r="H951" s="152">
        <f t="shared" ca="1" si="162"/>
        <v>6.8222956563962169</v>
      </c>
      <c r="I951" s="152">
        <f t="shared" ca="1" si="163"/>
        <v>3.9892907618717025E-11</v>
      </c>
      <c r="J951" s="190">
        <f t="shared" ca="1" si="164"/>
        <v>1</v>
      </c>
      <c r="K951" s="187" t="str" cm="1">
        <f t="array" aca="1" ref="K951" ca="1">_xlfn.IFS(G951&lt;$B$11,"Fail",G951&lt;25,"Marginal",G951&lt;35,"Solid",TRUE,"Blowout")</f>
        <v>Blowout</v>
      </c>
      <c r="L951" s="193">
        <f t="shared" ca="1" si="154"/>
        <v>1</v>
      </c>
      <c r="M951" s="184" t="str" cm="1">
        <f t="array" aca="1" ref="M951" ca="1">_xlfn.IFS(C951&lt;$B$11,"Fail",C951&lt;25,"Marginal",C951&lt;35,"Solid",TRUE,"Blowout")</f>
        <v>Blowout</v>
      </c>
    </row>
    <row r="952" spans="1:13" x14ac:dyDescent="0.25">
      <c r="A952" s="138">
        <f t="shared" ca="1" si="155"/>
        <v>23.000389307442859</v>
      </c>
      <c r="B952" s="137">
        <f t="shared" ca="1" si="156"/>
        <v>3.4831554735263563</v>
      </c>
      <c r="C952" s="137">
        <f t="shared" ca="1" si="157"/>
        <v>19.517233833916503</v>
      </c>
      <c r="D952" s="152">
        <f t="shared" ca="1" si="158"/>
        <v>2.4666125529169594</v>
      </c>
      <c r="E952" s="197">
        <f t="shared" ca="1" si="159"/>
        <v>7.188338260830613E-3</v>
      </c>
      <c r="F952" s="137">
        <f t="shared" ca="1" si="160"/>
        <v>15.132080331272153</v>
      </c>
      <c r="G952" s="137">
        <f t="shared" ca="1" si="161"/>
        <v>11.648924857745797</v>
      </c>
      <c r="H952" s="152">
        <f t="shared" ca="1" si="162"/>
        <v>1.4722057708900387</v>
      </c>
      <c r="I952" s="152">
        <f t="shared" ca="1" si="163"/>
        <v>7.1172162161730848E-2</v>
      </c>
      <c r="J952" s="190">
        <f t="shared" ca="1" si="164"/>
        <v>0</v>
      </c>
      <c r="K952" s="187" t="str" cm="1">
        <f t="array" aca="1" ref="K952" ca="1">_xlfn.IFS(G952&lt;$B$11,"Fail",G952&lt;25,"Marginal",G952&lt;35,"Solid",TRUE,"Blowout")</f>
        <v>Fail</v>
      </c>
      <c r="L952" s="193">
        <f t="shared" ca="1" si="154"/>
        <v>0</v>
      </c>
      <c r="M952" s="184" t="str" cm="1">
        <f t="array" aca="1" ref="M952" ca="1">_xlfn.IFS(C952&lt;$B$11,"Fail",C952&lt;25,"Marginal",C952&lt;35,"Solid",TRUE,"Blowout")</f>
        <v>Fail</v>
      </c>
    </row>
    <row r="953" spans="1:13" x14ac:dyDescent="0.25">
      <c r="A953" s="138">
        <f t="shared" ca="1" si="155"/>
        <v>64.431551067916132</v>
      </c>
      <c r="B953" s="137">
        <f t="shared" ca="1" si="156"/>
        <v>-8.9439777646689489</v>
      </c>
      <c r="C953" s="137">
        <f t="shared" ca="1" si="157"/>
        <v>73.375528832585076</v>
      </c>
      <c r="D953" s="152">
        <f t="shared" ca="1" si="158"/>
        <v>9.273291596315099</v>
      </c>
      <c r="E953" s="197">
        <f t="shared" ca="1" si="159"/>
        <v>7.134619899079818E-18</v>
      </c>
      <c r="F953" s="137">
        <f t="shared" ca="1" si="160"/>
        <v>16.832696443277872</v>
      </c>
      <c r="G953" s="137">
        <f t="shared" ca="1" si="161"/>
        <v>25.776674207946819</v>
      </c>
      <c r="H953" s="152">
        <f t="shared" ca="1" si="162"/>
        <v>3.2576884980126151</v>
      </c>
      <c r="I953" s="152">
        <f t="shared" ca="1" si="163"/>
        <v>6.4726208168783142E-4</v>
      </c>
      <c r="J953" s="190">
        <f t="shared" ca="1" si="164"/>
        <v>1</v>
      </c>
      <c r="K953" s="187" t="str" cm="1">
        <f t="array" aca="1" ref="K953" ca="1">_xlfn.IFS(G953&lt;$B$11,"Fail",G953&lt;25,"Marginal",G953&lt;35,"Solid",TRUE,"Blowout")</f>
        <v>Solid</v>
      </c>
      <c r="L953" s="193">
        <f t="shared" ca="1" si="154"/>
        <v>1</v>
      </c>
      <c r="M953" s="184" t="str" cm="1">
        <f t="array" aca="1" ref="M953" ca="1">_xlfn.IFS(C953&lt;$B$11,"Fail",C953&lt;25,"Marginal",C953&lt;35,"Solid",TRUE,"Blowout")</f>
        <v>Blowout</v>
      </c>
    </row>
    <row r="954" spans="1:13" x14ac:dyDescent="0.25">
      <c r="A954" s="138">
        <f t="shared" ca="1" si="155"/>
        <v>-1.5776840381319666</v>
      </c>
      <c r="B954" s="137">
        <f t="shared" ca="1" si="156"/>
        <v>8.8974721261362948</v>
      </c>
      <c r="C954" s="137">
        <f t="shared" ca="1" si="157"/>
        <v>-10.475156164268261</v>
      </c>
      <c r="D954" s="152">
        <f t="shared" ca="1" si="158"/>
        <v>-1.323863407510584</v>
      </c>
      <c r="E954" s="197">
        <f t="shared" ca="1" si="159"/>
        <v>0.90656291455141425</v>
      </c>
      <c r="F954" s="137">
        <f t="shared" ca="1" si="160"/>
        <v>14.630010281440843</v>
      </c>
      <c r="G954" s="137">
        <f t="shared" ca="1" si="161"/>
        <v>5.7325381553045478</v>
      </c>
      <c r="H954" s="152">
        <f t="shared" ca="1" si="162"/>
        <v>0.72448538016579056</v>
      </c>
      <c r="I954" s="152">
        <f t="shared" ca="1" si="163"/>
        <v>0.23475529190912414</v>
      </c>
      <c r="J954" s="190">
        <f t="shared" ca="1" si="164"/>
        <v>0</v>
      </c>
      <c r="K954" s="187" t="str" cm="1">
        <f t="array" aca="1" ref="K954" ca="1">_xlfn.IFS(G954&lt;$B$11,"Fail",G954&lt;25,"Marginal",G954&lt;35,"Solid",TRUE,"Blowout")</f>
        <v>Fail</v>
      </c>
      <c r="L954" s="193">
        <f t="shared" ca="1" si="154"/>
        <v>0</v>
      </c>
      <c r="M954" s="184" t="str" cm="1">
        <f t="array" aca="1" ref="M954" ca="1">_xlfn.IFS(C954&lt;$B$11,"Fail",C954&lt;25,"Marginal",C954&lt;35,"Solid",TRUE,"Blowout")</f>
        <v>Fail</v>
      </c>
    </row>
    <row r="955" spans="1:13" x14ac:dyDescent="0.25">
      <c r="A955" s="138">
        <f t="shared" ca="1" si="155"/>
        <v>43.375995329171246</v>
      </c>
      <c r="B955" s="137">
        <f t="shared" ca="1" si="156"/>
        <v>1.5817253737638661</v>
      </c>
      <c r="C955" s="137">
        <f t="shared" ca="1" si="157"/>
        <v>41.79426995540738</v>
      </c>
      <c r="D955" s="152">
        <f t="shared" ca="1" si="158"/>
        <v>5.2820123891153354</v>
      </c>
      <c r="E955" s="197">
        <f t="shared" ca="1" si="159"/>
        <v>1.4895847497921715E-7</v>
      </c>
      <c r="F955" s="137">
        <f t="shared" ca="1" si="160"/>
        <v>27.991502839726326</v>
      </c>
      <c r="G955" s="137">
        <f t="shared" ca="1" si="161"/>
        <v>26.40977746596246</v>
      </c>
      <c r="H955" s="152">
        <f t="shared" ca="1" si="162"/>
        <v>3.3377008838252125</v>
      </c>
      <c r="I955" s="152">
        <f t="shared" ca="1" si="163"/>
        <v>4.9320360233531964E-4</v>
      </c>
      <c r="J955" s="190">
        <f t="shared" ca="1" si="164"/>
        <v>1</v>
      </c>
      <c r="K955" s="187" t="str" cm="1">
        <f t="array" aca="1" ref="K955" ca="1">_xlfn.IFS(G955&lt;$B$11,"Fail",G955&lt;25,"Marginal",G955&lt;35,"Solid",TRUE,"Blowout")</f>
        <v>Solid</v>
      </c>
      <c r="L955" s="193">
        <f t="shared" ca="1" si="154"/>
        <v>1</v>
      </c>
      <c r="M955" s="184" t="str" cm="1">
        <f t="array" aca="1" ref="M955" ca="1">_xlfn.IFS(C955&lt;$B$11,"Fail",C955&lt;25,"Marginal",C955&lt;35,"Solid",TRUE,"Blowout")</f>
        <v>Blowout</v>
      </c>
    </row>
    <row r="956" spans="1:13" x14ac:dyDescent="0.25">
      <c r="A956" s="138">
        <f t="shared" ca="1" si="155"/>
        <v>-9.3209716474423138E-2</v>
      </c>
      <c r="B956" s="137">
        <f t="shared" ca="1" si="156"/>
        <v>15.871990271458266</v>
      </c>
      <c r="C956" s="137">
        <f t="shared" ca="1" si="157"/>
        <v>-15.965199987932689</v>
      </c>
      <c r="D956" s="152">
        <f t="shared" ca="1" si="158"/>
        <v>-2.0177020491311151</v>
      </c>
      <c r="E956" s="197">
        <f t="shared" ca="1" si="159"/>
        <v>0.97760296204231623</v>
      </c>
      <c r="F956" s="137">
        <f t="shared" ca="1" si="160"/>
        <v>20.248197749616605</v>
      </c>
      <c r="G956" s="137">
        <f t="shared" ca="1" si="161"/>
        <v>4.3762074781583387</v>
      </c>
      <c r="H956" s="152">
        <f t="shared" ca="1" si="162"/>
        <v>0.55307060373669381</v>
      </c>
      <c r="I956" s="152">
        <f t="shared" ca="1" si="163"/>
        <v>0.29037846921300159</v>
      </c>
      <c r="J956" s="190">
        <f t="shared" ca="1" si="164"/>
        <v>0</v>
      </c>
      <c r="K956" s="187" t="str" cm="1">
        <f t="array" aca="1" ref="K956" ca="1">_xlfn.IFS(G956&lt;$B$11,"Fail",G956&lt;25,"Marginal",G956&lt;35,"Solid",TRUE,"Blowout")</f>
        <v>Fail</v>
      </c>
      <c r="L956" s="193">
        <f t="shared" ca="1" si="154"/>
        <v>0</v>
      </c>
      <c r="M956" s="184" t="str" cm="1">
        <f t="array" aca="1" ref="M956" ca="1">_xlfn.IFS(C956&lt;$B$11,"Fail",C956&lt;25,"Marginal",C956&lt;35,"Solid",TRUE,"Blowout")</f>
        <v>Fail</v>
      </c>
    </row>
    <row r="957" spans="1:13" x14ac:dyDescent="0.25">
      <c r="A957" s="138">
        <f t="shared" ca="1" si="155"/>
        <v>13.497876484389201</v>
      </c>
      <c r="B957" s="137">
        <f t="shared" ca="1" si="156"/>
        <v>-2.3987927947856749</v>
      </c>
      <c r="C957" s="137">
        <f t="shared" ca="1" si="157"/>
        <v>15.896669279174876</v>
      </c>
      <c r="D957" s="152">
        <f t="shared" ca="1" si="158"/>
        <v>2.0090410519877309</v>
      </c>
      <c r="E957" s="197">
        <f t="shared" ca="1" si="159"/>
        <v>2.2855887551228943E-2</v>
      </c>
      <c r="F957" s="137">
        <f t="shared" ca="1" si="160"/>
        <v>28.290830002142279</v>
      </c>
      <c r="G957" s="137">
        <f t="shared" ca="1" si="161"/>
        <v>30.689622796927953</v>
      </c>
      <c r="H957" s="152">
        <f t="shared" ca="1" si="162"/>
        <v>3.8785931182338276</v>
      </c>
      <c r="I957" s="152">
        <f t="shared" ca="1" si="163"/>
        <v>6.8743822226214525E-5</v>
      </c>
      <c r="J957" s="190">
        <f t="shared" ca="1" si="164"/>
        <v>1</v>
      </c>
      <c r="K957" s="187" t="str" cm="1">
        <f t="array" aca="1" ref="K957" ca="1">_xlfn.IFS(G957&lt;$B$11,"Fail",G957&lt;25,"Marginal",G957&lt;35,"Solid",TRUE,"Blowout")</f>
        <v>Solid</v>
      </c>
      <c r="L957" s="193">
        <f t="shared" ca="1" si="154"/>
        <v>0</v>
      </c>
      <c r="M957" s="184" t="str" cm="1">
        <f t="array" aca="1" ref="M957" ca="1">_xlfn.IFS(C957&lt;$B$11,"Fail",C957&lt;25,"Marginal",C957&lt;35,"Solid",TRUE,"Blowout")</f>
        <v>Fail</v>
      </c>
    </row>
    <row r="958" spans="1:13" x14ac:dyDescent="0.25">
      <c r="A958" s="138">
        <f t="shared" ca="1" si="155"/>
        <v>10.746122791279893</v>
      </c>
      <c r="B958" s="137">
        <f t="shared" ca="1" si="156"/>
        <v>8.570826484318804</v>
      </c>
      <c r="C958" s="137">
        <f t="shared" ca="1" si="157"/>
        <v>2.1752963069610889</v>
      </c>
      <c r="D958" s="152">
        <f t="shared" ca="1" si="158"/>
        <v>0.27491668249318779</v>
      </c>
      <c r="E958" s="197">
        <f t="shared" ca="1" si="159"/>
        <v>0.39181460327117901</v>
      </c>
      <c r="F958" s="137">
        <f t="shared" ca="1" si="160"/>
        <v>-6.2985368726106099</v>
      </c>
      <c r="G958" s="137">
        <f t="shared" ca="1" si="161"/>
        <v>-14.869363356929414</v>
      </c>
      <c r="H958" s="152">
        <f t="shared" ca="1" si="162"/>
        <v>-1.8792088377989999</v>
      </c>
      <c r="I958" s="152">
        <f t="shared" ca="1" si="163"/>
        <v>0.9692541864421188</v>
      </c>
      <c r="J958" s="190">
        <f t="shared" ca="1" si="164"/>
        <v>0</v>
      </c>
      <c r="K958" s="187" t="str" cm="1">
        <f t="array" aca="1" ref="K958" ca="1">_xlfn.IFS(G958&lt;$B$11,"Fail",G958&lt;25,"Marginal",G958&lt;35,"Solid",TRUE,"Blowout")</f>
        <v>Fail</v>
      </c>
      <c r="L958" s="193">
        <f t="shared" ca="1" si="154"/>
        <v>0</v>
      </c>
      <c r="M958" s="184" t="str" cm="1">
        <f t="array" aca="1" ref="M958" ca="1">_xlfn.IFS(C958&lt;$B$11,"Fail",C958&lt;25,"Marginal",C958&lt;35,"Solid",TRUE,"Blowout")</f>
        <v>Fail</v>
      </c>
    </row>
    <row r="959" spans="1:13" x14ac:dyDescent="0.25">
      <c r="A959" s="138">
        <f t="shared" ca="1" si="155"/>
        <v>45.607085511524517</v>
      </c>
      <c r="B959" s="137">
        <f t="shared" ca="1" si="156"/>
        <v>1.746477511514207</v>
      </c>
      <c r="C959" s="137">
        <f t="shared" ca="1" si="157"/>
        <v>43.860608000010309</v>
      </c>
      <c r="D959" s="152">
        <f t="shared" ca="1" si="158"/>
        <v>5.543158789407487</v>
      </c>
      <c r="E959" s="197">
        <f t="shared" ca="1" si="159"/>
        <v>4.0905379583051099E-8</v>
      </c>
      <c r="F959" s="137">
        <f t="shared" ca="1" si="160"/>
        <v>5.382378428410334</v>
      </c>
      <c r="G959" s="137">
        <f t="shared" ca="1" si="161"/>
        <v>3.6359009168961269</v>
      </c>
      <c r="H959" s="152">
        <f t="shared" ca="1" si="162"/>
        <v>0.45950972966226933</v>
      </c>
      <c r="I959" s="152">
        <f t="shared" ca="1" si="163"/>
        <v>0.32315299635158506</v>
      </c>
      <c r="J959" s="190">
        <f t="shared" ca="1" si="164"/>
        <v>0</v>
      </c>
      <c r="K959" s="187" t="str" cm="1">
        <f t="array" aca="1" ref="K959" ca="1">_xlfn.IFS(G959&lt;$B$11,"Fail",G959&lt;25,"Marginal",G959&lt;35,"Solid",TRUE,"Blowout")</f>
        <v>Fail</v>
      </c>
      <c r="L959" s="193">
        <f t="shared" ca="1" si="154"/>
        <v>1</v>
      </c>
      <c r="M959" s="184" t="str" cm="1">
        <f t="array" aca="1" ref="M959" ca="1">_xlfn.IFS(C959&lt;$B$11,"Fail",C959&lt;25,"Marginal",C959&lt;35,"Solid",TRUE,"Blowout")</f>
        <v>Blowout</v>
      </c>
    </row>
    <row r="960" spans="1:13" x14ac:dyDescent="0.25">
      <c r="A960" s="138">
        <f t="shared" ca="1" si="155"/>
        <v>46.403619716548796</v>
      </c>
      <c r="B960" s="137">
        <f t="shared" ca="1" si="156"/>
        <v>-3.5209770047624183</v>
      </c>
      <c r="C960" s="137">
        <f t="shared" ca="1" si="157"/>
        <v>49.924596721311218</v>
      </c>
      <c r="D960" s="152">
        <f t="shared" ca="1" si="158"/>
        <v>6.3095333088701233</v>
      </c>
      <c r="E960" s="197">
        <f t="shared" ca="1" si="159"/>
        <v>7.2018744776301099E-10</v>
      </c>
      <c r="F960" s="137">
        <f t="shared" ca="1" si="160"/>
        <v>34.732252105337245</v>
      </c>
      <c r="G960" s="137">
        <f t="shared" ca="1" si="161"/>
        <v>38.253229110099667</v>
      </c>
      <c r="H960" s="152">
        <f t="shared" ca="1" si="162"/>
        <v>4.8344911945775459</v>
      </c>
      <c r="I960" s="152">
        <f t="shared" ca="1" si="163"/>
        <v>1.227050899792395E-6</v>
      </c>
      <c r="J960" s="190">
        <f t="shared" ca="1" si="164"/>
        <v>1</v>
      </c>
      <c r="K960" s="187" t="str" cm="1">
        <f t="array" aca="1" ref="K960" ca="1">_xlfn.IFS(G960&lt;$B$11,"Fail",G960&lt;25,"Marginal",G960&lt;35,"Solid",TRUE,"Blowout")</f>
        <v>Blowout</v>
      </c>
      <c r="L960" s="193">
        <f t="shared" ca="1" si="154"/>
        <v>1</v>
      </c>
      <c r="M960" s="184" t="str" cm="1">
        <f t="array" aca="1" ref="M960" ca="1">_xlfn.IFS(C960&lt;$B$11,"Fail",C960&lt;25,"Marginal",C960&lt;35,"Solid",TRUE,"Blowout")</f>
        <v>Blowout</v>
      </c>
    </row>
    <row r="961" spans="1:13" x14ac:dyDescent="0.25">
      <c r="A961" s="138">
        <f t="shared" ca="1" si="155"/>
        <v>16.446674089708395</v>
      </c>
      <c r="B961" s="137">
        <f t="shared" ca="1" si="156"/>
        <v>14.555293973303442</v>
      </c>
      <c r="C961" s="137">
        <f t="shared" ca="1" si="157"/>
        <v>1.8913801164049531</v>
      </c>
      <c r="D961" s="152">
        <f t="shared" ca="1" si="158"/>
        <v>0.23903499733424138</v>
      </c>
      <c r="E961" s="197">
        <f t="shared" ca="1" si="159"/>
        <v>0.4056465848095151</v>
      </c>
      <c r="F961" s="137">
        <f t="shared" ca="1" si="160"/>
        <v>24.318328160348727</v>
      </c>
      <c r="G961" s="137">
        <f t="shared" ca="1" si="161"/>
        <v>9.7630341870452853</v>
      </c>
      <c r="H961" s="152">
        <f t="shared" ca="1" si="162"/>
        <v>1.2338645366063583</v>
      </c>
      <c r="I961" s="152">
        <f t="shared" ca="1" si="163"/>
        <v>0.10926187609208894</v>
      </c>
      <c r="J961" s="190">
        <f t="shared" ca="1" si="164"/>
        <v>0</v>
      </c>
      <c r="K961" s="187" t="str" cm="1">
        <f t="array" aca="1" ref="K961" ca="1">_xlfn.IFS(G961&lt;$B$11,"Fail",G961&lt;25,"Marginal",G961&lt;35,"Solid",TRUE,"Blowout")</f>
        <v>Fail</v>
      </c>
      <c r="L961" s="193">
        <f t="shared" ca="1" si="154"/>
        <v>0</v>
      </c>
      <c r="M961" s="184" t="str" cm="1">
        <f t="array" aca="1" ref="M961" ca="1">_xlfn.IFS(C961&lt;$B$11,"Fail",C961&lt;25,"Marginal",C961&lt;35,"Solid",TRUE,"Blowout")</f>
        <v>Fail</v>
      </c>
    </row>
    <row r="962" spans="1:13" x14ac:dyDescent="0.25">
      <c r="A962" s="138">
        <f t="shared" ca="1" si="155"/>
        <v>7.2699300752599125</v>
      </c>
      <c r="B962" s="137">
        <f t="shared" ca="1" si="156"/>
        <v>-1.0002183800020417</v>
      </c>
      <c r="C962" s="137">
        <f t="shared" ca="1" si="157"/>
        <v>8.2701484552619533</v>
      </c>
      <c r="D962" s="152">
        <f t="shared" ca="1" si="158"/>
        <v>1.045191760667779</v>
      </c>
      <c r="E962" s="197">
        <f t="shared" ca="1" si="159"/>
        <v>0.14852059424173961</v>
      </c>
      <c r="F962" s="137">
        <f t="shared" ca="1" si="160"/>
        <v>38.59380034582351</v>
      </c>
      <c r="G962" s="137">
        <f t="shared" ca="1" si="161"/>
        <v>39.594018725825549</v>
      </c>
      <c r="H962" s="152">
        <f t="shared" ca="1" si="162"/>
        <v>5.0039418721229971</v>
      </c>
      <c r="I962" s="152">
        <f t="shared" ca="1" si="163"/>
        <v>5.6117661824720965E-7</v>
      </c>
      <c r="J962" s="190">
        <f t="shared" ca="1" si="164"/>
        <v>1</v>
      </c>
      <c r="K962" s="187" t="str" cm="1">
        <f t="array" aca="1" ref="K962" ca="1">_xlfn.IFS(G962&lt;$B$11,"Fail",G962&lt;25,"Marginal",G962&lt;35,"Solid",TRUE,"Blowout")</f>
        <v>Blowout</v>
      </c>
      <c r="L962" s="193">
        <f t="shared" ca="1" si="154"/>
        <v>0</v>
      </c>
      <c r="M962" s="184" t="str" cm="1">
        <f t="array" aca="1" ref="M962" ca="1">_xlfn.IFS(C962&lt;$B$11,"Fail",C962&lt;25,"Marginal",C962&lt;35,"Solid",TRUE,"Blowout")</f>
        <v>Fail</v>
      </c>
    </row>
    <row r="963" spans="1:13" x14ac:dyDescent="0.25">
      <c r="A963" s="138">
        <f t="shared" ca="1" si="155"/>
        <v>86.241926958155886</v>
      </c>
      <c r="B963" s="137">
        <f t="shared" ca="1" si="156"/>
        <v>6.1732318299218552</v>
      </c>
      <c r="C963" s="137">
        <f t="shared" ca="1" si="157"/>
        <v>80.068695128234026</v>
      </c>
      <c r="D963" s="152">
        <f t="shared" ca="1" si="158"/>
        <v>10.119182368752265</v>
      </c>
      <c r="E963" s="197">
        <f t="shared" ca="1" si="159"/>
        <v>2.023306110789057E-20</v>
      </c>
      <c r="F963" s="137">
        <f t="shared" ca="1" si="160"/>
        <v>46.634064147901739</v>
      </c>
      <c r="G963" s="137">
        <f t="shared" ca="1" si="161"/>
        <v>40.460832317979886</v>
      </c>
      <c r="H963" s="152">
        <f t="shared" ca="1" si="162"/>
        <v>5.1134908638316183</v>
      </c>
      <c r="I963" s="152">
        <f t="shared" ca="1" si="163"/>
        <v>3.3486921138284892E-7</v>
      </c>
      <c r="J963" s="190">
        <f t="shared" ca="1" si="164"/>
        <v>1</v>
      </c>
      <c r="K963" s="187" t="str" cm="1">
        <f t="array" aca="1" ref="K963" ca="1">_xlfn.IFS(G963&lt;$B$11,"Fail",G963&lt;25,"Marginal",G963&lt;35,"Solid",TRUE,"Blowout")</f>
        <v>Blowout</v>
      </c>
      <c r="L963" s="193">
        <f t="shared" ca="1" si="154"/>
        <v>1</v>
      </c>
      <c r="M963" s="184" t="str" cm="1">
        <f t="array" aca="1" ref="M963" ca="1">_xlfn.IFS(C963&lt;$B$11,"Fail",C963&lt;25,"Marginal",C963&lt;35,"Solid",TRUE,"Blowout")</f>
        <v>Blowout</v>
      </c>
    </row>
    <row r="964" spans="1:13" x14ac:dyDescent="0.25">
      <c r="A964" s="138">
        <f t="shared" ca="1" si="155"/>
        <v>78.612304857777204</v>
      </c>
      <c r="B964" s="137">
        <f t="shared" ca="1" si="156"/>
        <v>-6.5807094357673446</v>
      </c>
      <c r="C964" s="137">
        <f t="shared" ca="1" si="157"/>
        <v>85.19301429354455</v>
      </c>
      <c r="D964" s="152">
        <f t="shared" ca="1" si="158"/>
        <v>10.766800268187529</v>
      </c>
      <c r="E964" s="197">
        <f t="shared" ca="1" si="159"/>
        <v>2.0036595300105684E-22</v>
      </c>
      <c r="F964" s="137">
        <f t="shared" ca="1" si="160"/>
        <v>36.700937471422478</v>
      </c>
      <c r="G964" s="137">
        <f t="shared" ca="1" si="161"/>
        <v>43.281646907189824</v>
      </c>
      <c r="H964" s="152">
        <f t="shared" ca="1" si="162"/>
        <v>5.4699889585106583</v>
      </c>
      <c r="I964" s="152">
        <f t="shared" ca="1" si="163"/>
        <v>5.9018691797207642E-8</v>
      </c>
      <c r="J964" s="190">
        <f t="shared" ca="1" si="164"/>
        <v>1</v>
      </c>
      <c r="K964" s="187" t="str" cm="1">
        <f t="array" aca="1" ref="K964" ca="1">_xlfn.IFS(G964&lt;$B$11,"Fail",G964&lt;25,"Marginal",G964&lt;35,"Solid",TRUE,"Blowout")</f>
        <v>Blowout</v>
      </c>
      <c r="L964" s="193">
        <f t="shared" ca="1" si="154"/>
        <v>1</v>
      </c>
      <c r="M964" s="184" t="str" cm="1">
        <f t="array" aca="1" ref="M964" ca="1">_xlfn.IFS(C964&lt;$B$11,"Fail",C964&lt;25,"Marginal",C964&lt;35,"Solid",TRUE,"Blowout")</f>
        <v>Blowout</v>
      </c>
    </row>
    <row r="965" spans="1:13" x14ac:dyDescent="0.25">
      <c r="A965" s="138">
        <f t="shared" ca="1" si="155"/>
        <v>6.4623873429616401</v>
      </c>
      <c r="B965" s="137">
        <f t="shared" ca="1" si="156"/>
        <v>0.49791083001053948</v>
      </c>
      <c r="C965" s="137">
        <f t="shared" ca="1" si="157"/>
        <v>5.9644765129511006</v>
      </c>
      <c r="D965" s="152">
        <f t="shared" ca="1" si="158"/>
        <v>0.75379804144465212</v>
      </c>
      <c r="E965" s="197">
        <f t="shared" ca="1" si="159"/>
        <v>0.22587412173604504</v>
      </c>
      <c r="F965" s="137">
        <f t="shared" ca="1" si="160"/>
        <v>9.8601912001866978</v>
      </c>
      <c r="G965" s="137">
        <f t="shared" ca="1" si="161"/>
        <v>9.3622803701761583</v>
      </c>
      <c r="H965" s="152">
        <f t="shared" ca="1" si="162"/>
        <v>1.1832167653222443</v>
      </c>
      <c r="I965" s="152">
        <f t="shared" ca="1" si="163"/>
        <v>0.11897775443502549</v>
      </c>
      <c r="J965" s="190">
        <f t="shared" ca="1" si="164"/>
        <v>0</v>
      </c>
      <c r="K965" s="187" t="str" cm="1">
        <f t="array" aca="1" ref="K965" ca="1">_xlfn.IFS(G965&lt;$B$11,"Fail",G965&lt;25,"Marginal",G965&lt;35,"Solid",TRUE,"Blowout")</f>
        <v>Fail</v>
      </c>
      <c r="L965" s="193">
        <f t="shared" ca="1" si="154"/>
        <v>0</v>
      </c>
      <c r="M965" s="184" t="str" cm="1">
        <f t="array" aca="1" ref="M965" ca="1">_xlfn.IFS(C965&lt;$B$11,"Fail",C965&lt;25,"Marginal",C965&lt;35,"Solid",TRUE,"Blowout")</f>
        <v>Fail</v>
      </c>
    </row>
    <row r="966" spans="1:13" x14ac:dyDescent="0.25">
      <c r="A966" s="138">
        <f t="shared" ca="1" si="155"/>
        <v>22.421029576172476</v>
      </c>
      <c r="B966" s="137">
        <f t="shared" ca="1" si="156"/>
        <v>13.762443596380857</v>
      </c>
      <c r="C966" s="137">
        <f t="shared" ca="1" si="157"/>
        <v>8.6585859797916189</v>
      </c>
      <c r="D966" s="152">
        <f t="shared" ca="1" si="158"/>
        <v>1.0942829834395151</v>
      </c>
      <c r="E966" s="197">
        <f t="shared" ca="1" si="159"/>
        <v>0.13749279308597451</v>
      </c>
      <c r="F966" s="137">
        <f t="shared" ca="1" si="160"/>
        <v>35.328834000533178</v>
      </c>
      <c r="G966" s="137">
        <f t="shared" ca="1" si="161"/>
        <v>21.566390404152322</v>
      </c>
      <c r="H966" s="152">
        <f t="shared" ca="1" si="162"/>
        <v>2.7255875368745941</v>
      </c>
      <c r="I966" s="152">
        <f t="shared" ca="1" si="163"/>
        <v>3.4584981793854006E-3</v>
      </c>
      <c r="J966" s="190">
        <f t="shared" ca="1" si="164"/>
        <v>1</v>
      </c>
      <c r="K966" s="187" t="str" cm="1">
        <f t="array" aca="1" ref="K966" ca="1">_xlfn.IFS(G966&lt;$B$11,"Fail",G966&lt;25,"Marginal",G966&lt;35,"Solid",TRUE,"Blowout")</f>
        <v>Marginal</v>
      </c>
      <c r="L966" s="193">
        <f t="shared" ca="1" si="154"/>
        <v>0</v>
      </c>
      <c r="M966" s="184" t="str" cm="1">
        <f t="array" aca="1" ref="M966" ca="1">_xlfn.IFS(C966&lt;$B$11,"Fail",C966&lt;25,"Marginal",C966&lt;35,"Solid",TRUE,"Blowout")</f>
        <v>Fail</v>
      </c>
    </row>
    <row r="967" spans="1:13" x14ac:dyDescent="0.25">
      <c r="A967" s="138">
        <f t="shared" ca="1" si="155"/>
        <v>26.919236233355001</v>
      </c>
      <c r="B967" s="137">
        <f t="shared" ca="1" si="156"/>
        <v>11.890508997360925</v>
      </c>
      <c r="C967" s="137">
        <f t="shared" ca="1" si="157"/>
        <v>15.028727235994076</v>
      </c>
      <c r="D967" s="152">
        <f t="shared" ca="1" si="158"/>
        <v>1.8993494452194704</v>
      </c>
      <c r="E967" s="197">
        <f t="shared" ca="1" si="159"/>
        <v>2.9390386303593131E-2</v>
      </c>
      <c r="F967" s="137">
        <f t="shared" ca="1" si="160"/>
        <v>23.743738866517603</v>
      </c>
      <c r="G967" s="137">
        <f t="shared" ca="1" si="161"/>
        <v>11.853229869156678</v>
      </c>
      <c r="H967" s="152">
        <f t="shared" ca="1" si="162"/>
        <v>1.4980260951254425</v>
      </c>
      <c r="I967" s="152">
        <f t="shared" ca="1" si="163"/>
        <v>6.7754823712276258E-2</v>
      </c>
      <c r="J967" s="190">
        <f t="shared" ca="1" si="164"/>
        <v>0</v>
      </c>
      <c r="K967" s="187" t="str" cm="1">
        <f t="array" aca="1" ref="K967" ca="1">_xlfn.IFS(G967&lt;$B$11,"Fail",G967&lt;25,"Marginal",G967&lt;35,"Solid",TRUE,"Blowout")</f>
        <v>Fail</v>
      </c>
      <c r="L967" s="193">
        <f t="shared" ca="1" si="154"/>
        <v>0</v>
      </c>
      <c r="M967" s="184" t="str" cm="1">
        <f t="array" aca="1" ref="M967" ca="1">_xlfn.IFS(C967&lt;$B$11,"Fail",C967&lt;25,"Marginal",C967&lt;35,"Solid",TRUE,"Blowout")</f>
        <v>Fail</v>
      </c>
    </row>
    <row r="968" spans="1:13" x14ac:dyDescent="0.25">
      <c r="A968" s="138">
        <f t="shared" ca="1" si="155"/>
        <v>-1.4979395180394701</v>
      </c>
      <c r="B968" s="137">
        <f t="shared" ca="1" si="156"/>
        <v>1.9032021406170454</v>
      </c>
      <c r="C968" s="137">
        <f t="shared" ca="1" si="157"/>
        <v>-3.4011416586565155</v>
      </c>
      <c r="D968" s="152">
        <f t="shared" ca="1" si="158"/>
        <v>-0.42984055941945426</v>
      </c>
      <c r="E968" s="197">
        <f t="shared" ca="1" si="159"/>
        <v>0.66614120612005956</v>
      </c>
      <c r="F968" s="137">
        <f t="shared" ca="1" si="160"/>
        <v>3.6787042128016059</v>
      </c>
      <c r="G968" s="137">
        <f t="shared" ca="1" si="161"/>
        <v>1.7755020721845605</v>
      </c>
      <c r="H968" s="152">
        <f t="shared" ca="1" si="162"/>
        <v>0.22439018440051581</v>
      </c>
      <c r="I968" s="152">
        <f t="shared" ca="1" si="163"/>
        <v>0.41132733198800686</v>
      </c>
      <c r="J968" s="190">
        <f t="shared" ca="1" si="164"/>
        <v>0</v>
      </c>
      <c r="K968" s="187" t="str" cm="1">
        <f t="array" aca="1" ref="K968" ca="1">_xlfn.IFS(G968&lt;$B$11,"Fail",G968&lt;25,"Marginal",G968&lt;35,"Solid",TRUE,"Blowout")</f>
        <v>Fail</v>
      </c>
      <c r="L968" s="193">
        <f t="shared" ca="1" si="154"/>
        <v>0</v>
      </c>
      <c r="M968" s="184" t="str" cm="1">
        <f t="array" aca="1" ref="M968" ca="1">_xlfn.IFS(C968&lt;$B$11,"Fail",C968&lt;25,"Marginal",C968&lt;35,"Solid",TRUE,"Blowout")</f>
        <v>Fail</v>
      </c>
    </row>
    <row r="969" spans="1:13" x14ac:dyDescent="0.25">
      <c r="A969" s="138">
        <f t="shared" ca="1" si="155"/>
        <v>19.595656241570772</v>
      </c>
      <c r="B969" s="137">
        <f t="shared" ca="1" si="156"/>
        <v>7.596106850227323</v>
      </c>
      <c r="C969" s="137">
        <f t="shared" ca="1" si="157"/>
        <v>11.99954939134345</v>
      </c>
      <c r="D969" s="152">
        <f t="shared" ca="1" si="158"/>
        <v>1.5165181403216998</v>
      </c>
      <c r="E969" s="197">
        <f t="shared" ca="1" si="159"/>
        <v>6.5386804748538196E-2</v>
      </c>
      <c r="F969" s="137">
        <f t="shared" ca="1" si="160"/>
        <v>17.607919226917744</v>
      </c>
      <c r="G969" s="137">
        <f t="shared" ca="1" si="161"/>
        <v>10.011812376690422</v>
      </c>
      <c r="H969" s="152">
        <f t="shared" ca="1" si="162"/>
        <v>1.26530543702762</v>
      </c>
      <c r="I969" s="152">
        <f t="shared" ca="1" si="163"/>
        <v>0.1035267173444412</v>
      </c>
      <c r="J969" s="190">
        <f t="shared" ca="1" si="164"/>
        <v>0</v>
      </c>
      <c r="K969" s="187" t="str" cm="1">
        <f t="array" aca="1" ref="K969" ca="1">_xlfn.IFS(G969&lt;$B$11,"Fail",G969&lt;25,"Marginal",G969&lt;35,"Solid",TRUE,"Blowout")</f>
        <v>Fail</v>
      </c>
      <c r="L969" s="193">
        <f t="shared" ca="1" si="154"/>
        <v>0</v>
      </c>
      <c r="M969" s="184" t="str" cm="1">
        <f t="array" aca="1" ref="M969" ca="1">_xlfn.IFS(C969&lt;$B$11,"Fail",C969&lt;25,"Marginal",C969&lt;35,"Solid",TRUE,"Blowout")</f>
        <v>Fail</v>
      </c>
    </row>
    <row r="970" spans="1:13" x14ac:dyDescent="0.25">
      <c r="A970" s="138">
        <f t="shared" ca="1" si="155"/>
        <v>23.75317256736291</v>
      </c>
      <c r="B970" s="137">
        <f t="shared" ca="1" si="156"/>
        <v>1.4853658760141282</v>
      </c>
      <c r="C970" s="137">
        <f t="shared" ca="1" si="157"/>
        <v>22.267806691348781</v>
      </c>
      <c r="D970" s="152">
        <f t="shared" ca="1" si="158"/>
        <v>2.814233409211925</v>
      </c>
      <c r="E970" s="197">
        <f t="shared" ca="1" si="159"/>
        <v>2.6583272920560753E-3</v>
      </c>
      <c r="F970" s="137">
        <f t="shared" ca="1" si="160"/>
        <v>9.5801620681071125</v>
      </c>
      <c r="G970" s="137">
        <f t="shared" ca="1" si="161"/>
        <v>8.0947961920929838</v>
      </c>
      <c r="H970" s="152">
        <f t="shared" ca="1" si="162"/>
        <v>1.0230305211603983</v>
      </c>
      <c r="I970" s="152">
        <f t="shared" ca="1" si="163"/>
        <v>0.15368881671939566</v>
      </c>
      <c r="J970" s="190">
        <f t="shared" ca="1" si="164"/>
        <v>0</v>
      </c>
      <c r="K970" s="187" t="str" cm="1">
        <f t="array" aca="1" ref="K970" ca="1">_xlfn.IFS(G970&lt;$B$11,"Fail",G970&lt;25,"Marginal",G970&lt;35,"Solid",TRUE,"Blowout")</f>
        <v>Fail</v>
      </c>
      <c r="L970" s="193">
        <f t="shared" ca="1" si="154"/>
        <v>1</v>
      </c>
      <c r="M970" s="184" t="str" cm="1">
        <f t="array" aca="1" ref="M970" ca="1">_xlfn.IFS(C970&lt;$B$11,"Fail",C970&lt;25,"Marginal",C970&lt;35,"Solid",TRUE,"Blowout")</f>
        <v>Marginal</v>
      </c>
    </row>
    <row r="971" spans="1:13" x14ac:dyDescent="0.25">
      <c r="A971" s="138">
        <f t="shared" ca="1" si="155"/>
        <v>19.297970818604355</v>
      </c>
      <c r="B971" s="137">
        <f t="shared" ca="1" si="156"/>
        <v>7.3271735733620105</v>
      </c>
      <c r="C971" s="137">
        <f t="shared" ca="1" si="157"/>
        <v>11.970797245242345</v>
      </c>
      <c r="D971" s="152">
        <f t="shared" ca="1" si="158"/>
        <v>1.5128844079444688</v>
      </c>
      <c r="E971" s="197">
        <f t="shared" ca="1" si="159"/>
        <v>6.584695287663847E-2</v>
      </c>
      <c r="F971" s="137">
        <f t="shared" ca="1" si="160"/>
        <v>29.102069652050741</v>
      </c>
      <c r="G971" s="137">
        <f t="shared" ca="1" si="161"/>
        <v>21.77489607868873</v>
      </c>
      <c r="H971" s="152">
        <f t="shared" ca="1" si="162"/>
        <v>2.7519387461977196</v>
      </c>
      <c r="I971" s="152">
        <f t="shared" ca="1" si="163"/>
        <v>3.2004392948785051E-3</v>
      </c>
      <c r="J971" s="190">
        <f t="shared" ca="1" si="164"/>
        <v>1</v>
      </c>
      <c r="K971" s="187" t="str" cm="1">
        <f t="array" aca="1" ref="K971" ca="1">_xlfn.IFS(G971&lt;$B$11,"Fail",G971&lt;25,"Marginal",G971&lt;35,"Solid",TRUE,"Blowout")</f>
        <v>Marginal</v>
      </c>
      <c r="L971" s="193">
        <f t="shared" ca="1" si="154"/>
        <v>0</v>
      </c>
      <c r="M971" s="184" t="str" cm="1">
        <f t="array" aca="1" ref="M971" ca="1">_xlfn.IFS(C971&lt;$B$11,"Fail",C971&lt;25,"Marginal",C971&lt;35,"Solid",TRUE,"Blowout")</f>
        <v>Fail</v>
      </c>
    </row>
    <row r="972" spans="1:13" x14ac:dyDescent="0.25">
      <c r="A972" s="138">
        <f t="shared" ca="1" si="155"/>
        <v>49.66703027906982</v>
      </c>
      <c r="B972" s="137">
        <f t="shared" ca="1" si="156"/>
        <v>3.0467800223801582</v>
      </c>
      <c r="C972" s="137">
        <f t="shared" ca="1" si="157"/>
        <v>46.620250256689658</v>
      </c>
      <c r="D972" s="152">
        <f t="shared" ca="1" si="158"/>
        <v>5.8919258477831677</v>
      </c>
      <c r="E972" s="197">
        <f t="shared" ca="1" si="159"/>
        <v>6.8023848219717043E-9</v>
      </c>
      <c r="F972" s="137">
        <f t="shared" ca="1" si="160"/>
        <v>11.555042003415302</v>
      </c>
      <c r="G972" s="137">
        <f t="shared" ca="1" si="161"/>
        <v>8.5082619810351439</v>
      </c>
      <c r="H972" s="152">
        <f t="shared" ca="1" si="162"/>
        <v>1.0752848474591465</v>
      </c>
      <c r="I972" s="152">
        <f t="shared" ca="1" si="163"/>
        <v>0.14169189121365863</v>
      </c>
      <c r="J972" s="190">
        <f t="shared" ca="1" si="164"/>
        <v>0</v>
      </c>
      <c r="K972" s="187" t="str" cm="1">
        <f t="array" aca="1" ref="K972" ca="1">_xlfn.IFS(G972&lt;$B$11,"Fail",G972&lt;25,"Marginal",G972&lt;35,"Solid",TRUE,"Blowout")</f>
        <v>Fail</v>
      </c>
      <c r="L972" s="193">
        <f t="shared" ca="1" si="154"/>
        <v>1</v>
      </c>
      <c r="M972" s="184" t="str" cm="1">
        <f t="array" aca="1" ref="M972" ca="1">_xlfn.IFS(C972&lt;$B$11,"Fail",C972&lt;25,"Marginal",C972&lt;35,"Solid",TRUE,"Blowout")</f>
        <v>Blowout</v>
      </c>
    </row>
    <row r="973" spans="1:13" x14ac:dyDescent="0.25">
      <c r="A973" s="138">
        <f t="shared" ca="1" si="155"/>
        <v>38.285793663615465</v>
      </c>
      <c r="B973" s="137">
        <f t="shared" ca="1" si="156"/>
        <v>-5.5674196480389284</v>
      </c>
      <c r="C973" s="137">
        <f t="shared" ca="1" si="157"/>
        <v>43.853213311654393</v>
      </c>
      <c r="D973" s="152">
        <f t="shared" ca="1" si="158"/>
        <v>5.5422242393949785</v>
      </c>
      <c r="E973" s="197">
        <f t="shared" ca="1" si="159"/>
        <v>4.1098250512192401E-8</v>
      </c>
      <c r="F973" s="137">
        <f t="shared" ca="1" si="160"/>
        <v>8.9502807113940506</v>
      </c>
      <c r="G973" s="137">
        <f t="shared" ca="1" si="161"/>
        <v>14.517700359432979</v>
      </c>
      <c r="H973" s="152">
        <f t="shared" ca="1" si="162"/>
        <v>1.8347652259940452</v>
      </c>
      <c r="I973" s="152">
        <f t="shared" ca="1" si="163"/>
        <v>3.392170329104708E-2</v>
      </c>
      <c r="J973" s="190">
        <f t="shared" ca="1" si="164"/>
        <v>0</v>
      </c>
      <c r="K973" s="187" t="str" cm="1">
        <f t="array" aca="1" ref="K973" ca="1">_xlfn.IFS(G973&lt;$B$11,"Fail",G973&lt;25,"Marginal",G973&lt;35,"Solid",TRUE,"Blowout")</f>
        <v>Fail</v>
      </c>
      <c r="L973" s="193">
        <f t="shared" ca="1" si="154"/>
        <v>1</v>
      </c>
      <c r="M973" s="184" t="str" cm="1">
        <f t="array" aca="1" ref="M973" ca="1">_xlfn.IFS(C973&lt;$B$11,"Fail",C973&lt;25,"Marginal",C973&lt;35,"Solid",TRUE,"Blowout")</f>
        <v>Blowout</v>
      </c>
    </row>
    <row r="974" spans="1:13" x14ac:dyDescent="0.25">
      <c r="A974" s="138">
        <f t="shared" ca="1" si="155"/>
        <v>62.527153221466214</v>
      </c>
      <c r="B974" s="137">
        <f t="shared" ca="1" si="156"/>
        <v>5.1759255705833684</v>
      </c>
      <c r="C974" s="137">
        <f t="shared" ca="1" si="157"/>
        <v>57.351227650882848</v>
      </c>
      <c r="D974" s="152">
        <f t="shared" ca="1" si="158"/>
        <v>7.2481202640014981</v>
      </c>
      <c r="E974" s="197">
        <f t="shared" ca="1" si="159"/>
        <v>3.2463583486941179E-12</v>
      </c>
      <c r="F974" s="137">
        <f t="shared" ca="1" si="160"/>
        <v>31.230725797741876</v>
      </c>
      <c r="G974" s="137">
        <f t="shared" ca="1" si="161"/>
        <v>26.054800227158509</v>
      </c>
      <c r="H974" s="152">
        <f t="shared" ca="1" si="162"/>
        <v>3.2928384140364839</v>
      </c>
      <c r="I974" s="152">
        <f t="shared" ca="1" si="163"/>
        <v>5.74768451643033E-4</v>
      </c>
      <c r="J974" s="190">
        <f t="shared" ca="1" si="164"/>
        <v>1</v>
      </c>
      <c r="K974" s="187" t="str" cm="1">
        <f t="array" aca="1" ref="K974" ca="1">_xlfn.IFS(G974&lt;$B$11,"Fail",G974&lt;25,"Marginal",G974&lt;35,"Solid",TRUE,"Blowout")</f>
        <v>Solid</v>
      </c>
      <c r="L974" s="193">
        <f t="shared" ca="1" si="154"/>
        <v>1</v>
      </c>
      <c r="M974" s="184" t="str" cm="1">
        <f t="array" aca="1" ref="M974" ca="1">_xlfn.IFS(C974&lt;$B$11,"Fail",C974&lt;25,"Marginal",C974&lt;35,"Solid",TRUE,"Blowout")</f>
        <v>Blowout</v>
      </c>
    </row>
    <row r="975" spans="1:13" x14ac:dyDescent="0.25">
      <c r="A975" s="138">
        <f t="shared" ca="1" si="155"/>
        <v>7.969421310972387</v>
      </c>
      <c r="B975" s="137">
        <f t="shared" ca="1" si="156"/>
        <v>-5.6636458233270162</v>
      </c>
      <c r="C975" s="137">
        <f t="shared" ca="1" si="157"/>
        <v>13.633067134299402</v>
      </c>
      <c r="D975" s="152">
        <f t="shared" ca="1" si="158"/>
        <v>1.7229641666630864</v>
      </c>
      <c r="E975" s="197">
        <f t="shared" ca="1" si="159"/>
        <v>4.3125423457965079E-2</v>
      </c>
      <c r="F975" s="137">
        <f t="shared" ca="1" si="160"/>
        <v>-11.405563025456017</v>
      </c>
      <c r="G975" s="137">
        <f t="shared" ca="1" si="161"/>
        <v>-5.7419172021290006</v>
      </c>
      <c r="H975" s="152">
        <f t="shared" ca="1" si="162"/>
        <v>-0.72567071589668641</v>
      </c>
      <c r="I975" s="152">
        <f t="shared" ca="1" si="163"/>
        <v>0.76560757212148767</v>
      </c>
      <c r="J975" s="190">
        <f t="shared" ca="1" si="164"/>
        <v>0</v>
      </c>
      <c r="K975" s="187" t="str" cm="1">
        <f t="array" aca="1" ref="K975" ca="1">_xlfn.IFS(G975&lt;$B$11,"Fail",G975&lt;25,"Marginal",G975&lt;35,"Solid",TRUE,"Blowout")</f>
        <v>Fail</v>
      </c>
      <c r="L975" s="193">
        <f t="shared" ca="1" si="154"/>
        <v>0</v>
      </c>
      <c r="M975" s="184" t="str" cm="1">
        <f t="array" aca="1" ref="M975" ca="1">_xlfn.IFS(C975&lt;$B$11,"Fail",C975&lt;25,"Marginal",C975&lt;35,"Solid",TRUE,"Blowout")</f>
        <v>Fail</v>
      </c>
    </row>
    <row r="976" spans="1:13" x14ac:dyDescent="0.25">
      <c r="A976" s="138">
        <f t="shared" ca="1" si="155"/>
        <v>45.778355676191183</v>
      </c>
      <c r="B976" s="137">
        <f t="shared" ca="1" si="156"/>
        <v>6.6681846545813839</v>
      </c>
      <c r="C976" s="137">
        <f t="shared" ca="1" si="157"/>
        <v>39.110171021609801</v>
      </c>
      <c r="D976" s="152">
        <f t="shared" ca="1" si="158"/>
        <v>4.942792590873692</v>
      </c>
      <c r="E976" s="197">
        <f t="shared" ca="1" si="159"/>
        <v>7.4594324454610425E-7</v>
      </c>
      <c r="F976" s="137">
        <f t="shared" ca="1" si="160"/>
        <v>40.250001950333967</v>
      </c>
      <c r="G976" s="137">
        <f t="shared" ca="1" si="161"/>
        <v>33.581817295752586</v>
      </c>
      <c r="H976" s="152">
        <f t="shared" ca="1" si="162"/>
        <v>4.2441122956431325</v>
      </c>
      <c r="I976" s="152">
        <f t="shared" ca="1" si="163"/>
        <v>1.5970885256467548E-5</v>
      </c>
      <c r="J976" s="190">
        <f t="shared" ca="1" si="164"/>
        <v>1</v>
      </c>
      <c r="K976" s="187" t="str" cm="1">
        <f t="array" aca="1" ref="K976" ca="1">_xlfn.IFS(G976&lt;$B$11,"Fail",G976&lt;25,"Marginal",G976&lt;35,"Solid",TRUE,"Blowout")</f>
        <v>Solid</v>
      </c>
      <c r="L976" s="193">
        <f t="shared" ref="L976:L1005" ca="1" si="165">IF(AND(E976&lt;$B$10,C976&gt;=$B$11),1,0)</f>
        <v>1</v>
      </c>
      <c r="M976" s="184" t="str" cm="1">
        <f t="array" aca="1" ref="M976" ca="1">_xlfn.IFS(C976&lt;$B$11,"Fail",C976&lt;25,"Marginal",C976&lt;35,"Solid",TRUE,"Blowout")</f>
        <v>Blowout</v>
      </c>
    </row>
    <row r="977" spans="1:13" x14ac:dyDescent="0.25">
      <c r="A977" s="138">
        <f t="shared" ref="A977:A1005" ca="1" si="166">NORMINV(RAND(), MAX(0, NORMINV(RAND(), $B$6, $B$12)), $B$7/SQRT($B$9))</f>
        <v>20.023608796403124</v>
      </c>
      <c r="B977" s="137">
        <f t="shared" ref="B977:B1005" ca="1" si="167">NORMINV(RAND(), $B$8, $B$7/SQRT($B$9))</f>
        <v>6.0183861900680755</v>
      </c>
      <c r="C977" s="137">
        <f t="shared" ref="C977:C1005" ca="1" si="168">A977-B977</f>
        <v>14.00522260633505</v>
      </c>
      <c r="D977" s="152">
        <f t="shared" ref="D977:D1005" ca="1" si="169">C977/($B$7*SQRT(2/$B$9))</f>
        <v>1.7699976431675619</v>
      </c>
      <c r="E977" s="197">
        <f t="shared" ref="E977:E1005" ca="1" si="170">_xlfn.T.DIST.RT(D977, 2*$B$9-2)</f>
        <v>3.9032003974309719E-2</v>
      </c>
      <c r="F977" s="137">
        <f t="shared" ref="F977:F1005" ca="1" si="171">NORMINV(RAND(), MAX(0, NORMINV(RAND(), $N$7, $N$8)), $B$7/SQRT($B$9))</f>
        <v>52.64012550759675</v>
      </c>
      <c r="G977" s="137">
        <f t="shared" ref="G977:G1005" ca="1" si="172">F977-B977</f>
        <v>46.621739317528672</v>
      </c>
      <c r="H977" s="152">
        <f t="shared" ref="H977:H1005" ca="1" si="173">G977/($B$7*SQRT(2/$B$9))</f>
        <v>5.8921140371643483</v>
      </c>
      <c r="I977" s="152">
        <f t="shared" ref="I977:I1005" ca="1" si="174">_xlfn.T.DIST.RT(H977, 2*$B$9-2)</f>
        <v>6.7956646374170955E-9</v>
      </c>
      <c r="J977" s="190">
        <f t="shared" ref="J977:J1005" ca="1" si="175">IF(AND(I977&lt;$B$10, G977&gt;=$B$11), 1, 0)</f>
        <v>1</v>
      </c>
      <c r="K977" s="187" t="str" cm="1">
        <f t="array" aca="1" ref="K977" ca="1">_xlfn.IFS(G977&lt;$B$11,"Fail",G977&lt;25,"Marginal",G977&lt;35,"Solid",TRUE,"Blowout")</f>
        <v>Blowout</v>
      </c>
      <c r="L977" s="193">
        <f t="shared" ca="1" si="165"/>
        <v>0</v>
      </c>
      <c r="M977" s="184" t="str" cm="1">
        <f t="array" aca="1" ref="M977" ca="1">_xlfn.IFS(C977&lt;$B$11,"Fail",C977&lt;25,"Marginal",C977&lt;35,"Solid",TRUE,"Blowout")</f>
        <v>Fail</v>
      </c>
    </row>
    <row r="978" spans="1:13" x14ac:dyDescent="0.25">
      <c r="A978" s="138">
        <f t="shared" ca="1" si="166"/>
        <v>67.677770834996792</v>
      </c>
      <c r="B978" s="137">
        <f t="shared" ca="1" si="167"/>
        <v>-10.046093332060689</v>
      </c>
      <c r="C978" s="137">
        <f t="shared" ca="1" si="168"/>
        <v>77.723864167057485</v>
      </c>
      <c r="D978" s="152">
        <f t="shared" ca="1" si="169"/>
        <v>9.8228396834863076</v>
      </c>
      <c r="E978" s="197">
        <f t="shared" ca="1" si="170"/>
        <v>1.6157540239075909E-19</v>
      </c>
      <c r="F978" s="137">
        <f t="shared" ca="1" si="171"/>
        <v>10.127826219219594</v>
      </c>
      <c r="G978" s="137">
        <f t="shared" ca="1" si="172"/>
        <v>20.173919551280285</v>
      </c>
      <c r="H978" s="152">
        <f t="shared" ca="1" si="173"/>
        <v>2.5496053195945794</v>
      </c>
      <c r="I978" s="152">
        <f t="shared" ca="1" si="174"/>
        <v>5.7203815986998164E-3</v>
      </c>
      <c r="J978" s="190">
        <f t="shared" ca="1" si="175"/>
        <v>1</v>
      </c>
      <c r="K978" s="187" t="str" cm="1">
        <f t="array" aca="1" ref="K978" ca="1">_xlfn.IFS(G978&lt;$B$11,"Fail",G978&lt;25,"Marginal",G978&lt;35,"Solid",TRUE,"Blowout")</f>
        <v>Marginal</v>
      </c>
      <c r="L978" s="193">
        <f t="shared" ca="1" si="165"/>
        <v>1</v>
      </c>
      <c r="M978" s="184" t="str" cm="1">
        <f t="array" aca="1" ref="M978" ca="1">_xlfn.IFS(C978&lt;$B$11,"Fail",C978&lt;25,"Marginal",C978&lt;35,"Solid",TRUE,"Blowout")</f>
        <v>Blowout</v>
      </c>
    </row>
    <row r="979" spans="1:13" x14ac:dyDescent="0.25">
      <c r="A979" s="138">
        <f t="shared" ca="1" si="166"/>
        <v>34.213542283575492</v>
      </c>
      <c r="B979" s="137">
        <f t="shared" ca="1" si="167"/>
        <v>0.12417451372754051</v>
      </c>
      <c r="C979" s="137">
        <f t="shared" ca="1" si="168"/>
        <v>34.089367769847954</v>
      </c>
      <c r="D979" s="152">
        <f t="shared" ca="1" si="169"/>
        <v>4.3082571627537076</v>
      </c>
      <c r="E979" s="197">
        <f t="shared" ca="1" si="170"/>
        <v>1.2234480959009939E-5</v>
      </c>
      <c r="F979" s="137">
        <f t="shared" ca="1" si="171"/>
        <v>17.064145123547387</v>
      </c>
      <c r="G979" s="137">
        <f t="shared" ca="1" si="172"/>
        <v>16.939970609819845</v>
      </c>
      <c r="H979" s="152">
        <f t="shared" ca="1" si="173"/>
        <v>2.1408947860026313</v>
      </c>
      <c r="I979" s="152">
        <f t="shared" ca="1" si="174"/>
        <v>1.6671847236710002E-2</v>
      </c>
      <c r="J979" s="190">
        <f t="shared" ca="1" si="175"/>
        <v>0</v>
      </c>
      <c r="K979" s="187" t="str" cm="1">
        <f t="array" aca="1" ref="K979" ca="1">_xlfn.IFS(G979&lt;$B$11,"Fail",G979&lt;25,"Marginal",G979&lt;35,"Solid",TRUE,"Blowout")</f>
        <v>Fail</v>
      </c>
      <c r="L979" s="193">
        <f t="shared" ca="1" si="165"/>
        <v>1</v>
      </c>
      <c r="M979" s="184" t="str" cm="1">
        <f t="array" aca="1" ref="M979" ca="1">_xlfn.IFS(C979&lt;$B$11,"Fail",C979&lt;25,"Marginal",C979&lt;35,"Solid",TRUE,"Blowout")</f>
        <v>Solid</v>
      </c>
    </row>
    <row r="980" spans="1:13" x14ac:dyDescent="0.25">
      <c r="A980" s="138">
        <f t="shared" ca="1" si="166"/>
        <v>36.705273252671383</v>
      </c>
      <c r="B980" s="137">
        <f t="shared" ca="1" si="167"/>
        <v>-9.7047704311890985</v>
      </c>
      <c r="C980" s="137">
        <f t="shared" ca="1" si="168"/>
        <v>46.410043683860479</v>
      </c>
      <c r="D980" s="152">
        <f t="shared" ca="1" si="169"/>
        <v>5.86535967679509</v>
      </c>
      <c r="E980" s="197">
        <f t="shared" ca="1" si="170"/>
        <v>7.819230528599152E-9</v>
      </c>
      <c r="F980" s="137">
        <f t="shared" ca="1" si="171"/>
        <v>9.5345174450006915</v>
      </c>
      <c r="G980" s="137">
        <f t="shared" ca="1" si="172"/>
        <v>19.239287876189792</v>
      </c>
      <c r="H980" s="152">
        <f t="shared" ca="1" si="173"/>
        <v>2.4314853932899716</v>
      </c>
      <c r="I980" s="152">
        <f t="shared" ca="1" si="174"/>
        <v>7.9044281825581177E-3</v>
      </c>
      <c r="J980" s="190">
        <f t="shared" ca="1" si="175"/>
        <v>0</v>
      </c>
      <c r="K980" s="187" t="str" cm="1">
        <f t="array" aca="1" ref="K980" ca="1">_xlfn.IFS(G980&lt;$B$11,"Fail",G980&lt;25,"Marginal",G980&lt;35,"Solid",TRUE,"Blowout")</f>
        <v>Fail</v>
      </c>
      <c r="L980" s="193">
        <f t="shared" ca="1" si="165"/>
        <v>1</v>
      </c>
      <c r="M980" s="184" t="str" cm="1">
        <f t="array" aca="1" ref="M980" ca="1">_xlfn.IFS(C980&lt;$B$11,"Fail",C980&lt;25,"Marginal",C980&lt;35,"Solid",TRUE,"Blowout")</f>
        <v>Blowout</v>
      </c>
    </row>
    <row r="981" spans="1:13" x14ac:dyDescent="0.25">
      <c r="A981" s="138">
        <f t="shared" ca="1" si="166"/>
        <v>19.221403728932199</v>
      </c>
      <c r="B981" s="137">
        <f t="shared" ca="1" si="167"/>
        <v>14.485008957450948</v>
      </c>
      <c r="C981" s="137">
        <f t="shared" ca="1" si="168"/>
        <v>4.7363947714812511</v>
      </c>
      <c r="D981" s="152">
        <f t="shared" ca="1" si="169"/>
        <v>0.59859152676665561</v>
      </c>
      <c r="E981" s="197">
        <f t="shared" ca="1" si="170"/>
        <v>0.27501976122300087</v>
      </c>
      <c r="F981" s="137">
        <f t="shared" ca="1" si="171"/>
        <v>18.360331656463082</v>
      </c>
      <c r="G981" s="137">
        <f t="shared" ca="1" si="172"/>
        <v>3.8753226990121341</v>
      </c>
      <c r="H981" s="152">
        <f t="shared" ca="1" si="173"/>
        <v>0.48976815553524489</v>
      </c>
      <c r="I981" s="152">
        <f t="shared" ca="1" si="174"/>
        <v>0.31238443535498661</v>
      </c>
      <c r="J981" s="190">
        <f t="shared" ca="1" si="175"/>
        <v>0</v>
      </c>
      <c r="K981" s="187" t="str" cm="1">
        <f t="array" aca="1" ref="K981" ca="1">_xlfn.IFS(G981&lt;$B$11,"Fail",G981&lt;25,"Marginal",G981&lt;35,"Solid",TRUE,"Blowout")</f>
        <v>Fail</v>
      </c>
      <c r="L981" s="193">
        <f t="shared" ca="1" si="165"/>
        <v>0</v>
      </c>
      <c r="M981" s="184" t="str" cm="1">
        <f t="array" aca="1" ref="M981" ca="1">_xlfn.IFS(C981&lt;$B$11,"Fail",C981&lt;25,"Marginal",C981&lt;35,"Solid",TRUE,"Blowout")</f>
        <v>Fail</v>
      </c>
    </row>
    <row r="982" spans="1:13" x14ac:dyDescent="0.25">
      <c r="A982" s="138">
        <f t="shared" ca="1" si="166"/>
        <v>24.189788776292367</v>
      </c>
      <c r="B982" s="137">
        <f t="shared" ca="1" si="167"/>
        <v>9.9277940083231577</v>
      </c>
      <c r="C982" s="137">
        <f t="shared" ca="1" si="168"/>
        <v>14.26199476796921</v>
      </c>
      <c r="D982" s="152">
        <f t="shared" ca="1" si="169"/>
        <v>1.8024488318204237</v>
      </c>
      <c r="E982" s="197">
        <f t="shared" ca="1" si="170"/>
        <v>3.6397720803082401E-2</v>
      </c>
      <c r="F982" s="137">
        <f t="shared" ca="1" si="171"/>
        <v>-3.7127207884574669</v>
      </c>
      <c r="G982" s="137">
        <f t="shared" ca="1" si="172"/>
        <v>-13.640514796780625</v>
      </c>
      <c r="H982" s="152">
        <f t="shared" ca="1" si="173"/>
        <v>-1.7239054116121606</v>
      </c>
      <c r="I982" s="152">
        <f t="shared" ca="1" si="174"/>
        <v>0.95695979119942542</v>
      </c>
      <c r="J982" s="190">
        <f t="shared" ca="1" si="175"/>
        <v>0</v>
      </c>
      <c r="K982" s="187" t="str" cm="1">
        <f t="array" aca="1" ref="K982" ca="1">_xlfn.IFS(G982&lt;$B$11,"Fail",G982&lt;25,"Marginal",G982&lt;35,"Solid",TRUE,"Blowout")</f>
        <v>Fail</v>
      </c>
      <c r="L982" s="193">
        <f t="shared" ca="1" si="165"/>
        <v>0</v>
      </c>
      <c r="M982" s="184" t="str" cm="1">
        <f t="array" aca="1" ref="M982" ca="1">_xlfn.IFS(C982&lt;$B$11,"Fail",C982&lt;25,"Marginal",C982&lt;35,"Solid",TRUE,"Blowout")</f>
        <v>Fail</v>
      </c>
    </row>
    <row r="983" spans="1:13" x14ac:dyDescent="0.25">
      <c r="A983" s="138">
        <f t="shared" ca="1" si="166"/>
        <v>10.928331718448565</v>
      </c>
      <c r="B983" s="137">
        <f t="shared" ca="1" si="167"/>
        <v>12.171449134212965</v>
      </c>
      <c r="C983" s="137">
        <f t="shared" ca="1" si="168"/>
        <v>-1.2431174157644005</v>
      </c>
      <c r="D983" s="152">
        <f t="shared" ca="1" si="169"/>
        <v>-0.15710674210121159</v>
      </c>
      <c r="E983" s="197">
        <f t="shared" ca="1" si="170"/>
        <v>0.56235012012555585</v>
      </c>
      <c r="F983" s="137">
        <f t="shared" ca="1" si="171"/>
        <v>29.430189482170917</v>
      </c>
      <c r="G983" s="137">
        <f t="shared" ca="1" si="172"/>
        <v>17.258740347957954</v>
      </c>
      <c r="H983" s="152">
        <f t="shared" ca="1" si="173"/>
        <v>2.1811813063298682</v>
      </c>
      <c r="I983" s="152">
        <f t="shared" ca="1" si="174"/>
        <v>1.5096247811869443E-2</v>
      </c>
      <c r="J983" s="190">
        <f t="shared" ca="1" si="175"/>
        <v>0</v>
      </c>
      <c r="K983" s="187" t="str" cm="1">
        <f t="array" aca="1" ref="K983" ca="1">_xlfn.IFS(G983&lt;$B$11,"Fail",G983&lt;25,"Marginal",G983&lt;35,"Solid",TRUE,"Blowout")</f>
        <v>Fail</v>
      </c>
      <c r="L983" s="193">
        <f t="shared" ca="1" si="165"/>
        <v>0</v>
      </c>
      <c r="M983" s="184" t="str" cm="1">
        <f t="array" aca="1" ref="M983" ca="1">_xlfn.IFS(C983&lt;$B$11,"Fail",C983&lt;25,"Marginal",C983&lt;35,"Solid",TRUE,"Blowout")</f>
        <v>Fail</v>
      </c>
    </row>
    <row r="984" spans="1:13" x14ac:dyDescent="0.25">
      <c r="A984" s="138">
        <f t="shared" ca="1" si="166"/>
        <v>53.390975109280596</v>
      </c>
      <c r="B984" s="137">
        <f t="shared" ca="1" si="167"/>
        <v>6.4453864185317382</v>
      </c>
      <c r="C984" s="137">
        <f t="shared" ca="1" si="168"/>
        <v>46.945588690748856</v>
      </c>
      <c r="D984" s="152">
        <f t="shared" ca="1" si="169"/>
        <v>5.9330425281603949</v>
      </c>
      <c r="E984" s="197">
        <f t="shared" ca="1" si="170"/>
        <v>5.4783725856073162E-9</v>
      </c>
      <c r="F984" s="137">
        <f t="shared" ca="1" si="171"/>
        <v>26.868702139876696</v>
      </c>
      <c r="G984" s="137">
        <f t="shared" ca="1" si="172"/>
        <v>20.423315721344956</v>
      </c>
      <c r="H984" s="152">
        <f t="shared" ca="1" si="173"/>
        <v>2.581124321158311</v>
      </c>
      <c r="I984" s="152">
        <f t="shared" ca="1" si="174"/>
        <v>5.2372198240608356E-3</v>
      </c>
      <c r="J984" s="190">
        <f t="shared" ca="1" si="175"/>
        <v>1</v>
      </c>
      <c r="K984" s="187" t="str" cm="1">
        <f t="array" aca="1" ref="K984" ca="1">_xlfn.IFS(G984&lt;$B$11,"Fail",G984&lt;25,"Marginal",G984&lt;35,"Solid",TRUE,"Blowout")</f>
        <v>Marginal</v>
      </c>
      <c r="L984" s="193">
        <f t="shared" ca="1" si="165"/>
        <v>1</v>
      </c>
      <c r="M984" s="184" t="str" cm="1">
        <f t="array" aca="1" ref="M984" ca="1">_xlfn.IFS(C984&lt;$B$11,"Fail",C984&lt;25,"Marginal",C984&lt;35,"Solid",TRUE,"Blowout")</f>
        <v>Blowout</v>
      </c>
    </row>
    <row r="985" spans="1:13" x14ac:dyDescent="0.25">
      <c r="A985" s="138">
        <f t="shared" ca="1" si="166"/>
        <v>27.654757505071196</v>
      </c>
      <c r="B985" s="137">
        <f t="shared" ca="1" si="167"/>
        <v>2.282336028507443</v>
      </c>
      <c r="C985" s="137">
        <f t="shared" ca="1" si="168"/>
        <v>25.372421476563751</v>
      </c>
      <c r="D985" s="152">
        <f t="shared" ca="1" si="169"/>
        <v>3.2065985295126911</v>
      </c>
      <c r="E985" s="197">
        <f t="shared" ca="1" si="170"/>
        <v>7.6787853954736918E-4</v>
      </c>
      <c r="F985" s="137">
        <f t="shared" ca="1" si="171"/>
        <v>24.931330815990826</v>
      </c>
      <c r="G985" s="137">
        <f t="shared" ca="1" si="172"/>
        <v>22.648994787483382</v>
      </c>
      <c r="H985" s="152">
        <f t="shared" ca="1" si="173"/>
        <v>2.8624084401076555</v>
      </c>
      <c r="I985" s="152">
        <f t="shared" ca="1" si="174"/>
        <v>2.2978815559520113E-3</v>
      </c>
      <c r="J985" s="190">
        <f t="shared" ca="1" si="175"/>
        <v>1</v>
      </c>
      <c r="K985" s="187" t="str" cm="1">
        <f t="array" aca="1" ref="K985" ca="1">_xlfn.IFS(G985&lt;$B$11,"Fail",G985&lt;25,"Marginal",G985&lt;35,"Solid",TRUE,"Blowout")</f>
        <v>Marginal</v>
      </c>
      <c r="L985" s="193">
        <f t="shared" ca="1" si="165"/>
        <v>1</v>
      </c>
      <c r="M985" s="184" t="str" cm="1">
        <f t="array" aca="1" ref="M985" ca="1">_xlfn.IFS(C985&lt;$B$11,"Fail",C985&lt;25,"Marginal",C985&lt;35,"Solid",TRUE,"Blowout")</f>
        <v>Solid</v>
      </c>
    </row>
    <row r="986" spans="1:13" x14ac:dyDescent="0.25">
      <c r="A986" s="138">
        <f t="shared" ca="1" si="166"/>
        <v>24.197487037475177</v>
      </c>
      <c r="B986" s="137">
        <f t="shared" ca="1" si="167"/>
        <v>6.4478181229041152</v>
      </c>
      <c r="C986" s="137">
        <f t="shared" ca="1" si="168"/>
        <v>17.74966891457106</v>
      </c>
      <c r="D986" s="152">
        <f t="shared" ca="1" si="169"/>
        <v>2.2432254758724341</v>
      </c>
      <c r="E986" s="197">
        <f t="shared" ca="1" si="170"/>
        <v>1.2921811439851714E-2</v>
      </c>
      <c r="F986" s="137">
        <f t="shared" ca="1" si="171"/>
        <v>20.653059708039844</v>
      </c>
      <c r="G986" s="137">
        <f t="shared" ca="1" si="172"/>
        <v>14.205241585135729</v>
      </c>
      <c r="H986" s="152">
        <f t="shared" ca="1" si="173"/>
        <v>1.7952762932124275</v>
      </c>
      <c r="I986" s="152">
        <f t="shared" ca="1" si="174"/>
        <v>3.6966993148219295E-2</v>
      </c>
      <c r="J986" s="190">
        <f t="shared" ca="1" si="175"/>
        <v>0</v>
      </c>
      <c r="K986" s="187" t="str" cm="1">
        <f t="array" aca="1" ref="K986" ca="1">_xlfn.IFS(G986&lt;$B$11,"Fail",G986&lt;25,"Marginal",G986&lt;35,"Solid",TRUE,"Blowout")</f>
        <v>Fail</v>
      </c>
      <c r="L986" s="193">
        <f t="shared" ca="1" si="165"/>
        <v>0</v>
      </c>
      <c r="M986" s="184" t="str" cm="1">
        <f t="array" aca="1" ref="M986" ca="1">_xlfn.IFS(C986&lt;$B$11,"Fail",C986&lt;25,"Marginal",C986&lt;35,"Solid",TRUE,"Blowout")</f>
        <v>Fail</v>
      </c>
    </row>
    <row r="987" spans="1:13" x14ac:dyDescent="0.25">
      <c r="A987" s="138">
        <f t="shared" ca="1" si="166"/>
        <v>33.737587038336173</v>
      </c>
      <c r="B987" s="137">
        <f t="shared" ca="1" si="167"/>
        <v>3.5862890661022568</v>
      </c>
      <c r="C987" s="137">
        <f t="shared" ca="1" si="168"/>
        <v>30.151297972233916</v>
      </c>
      <c r="D987" s="152">
        <f t="shared" ca="1" si="169"/>
        <v>3.8105589499988981</v>
      </c>
      <c r="E987" s="197">
        <f t="shared" ca="1" si="170"/>
        <v>8.9194032268655535E-5</v>
      </c>
      <c r="F987" s="137">
        <f t="shared" ca="1" si="171"/>
        <v>44.149439851989413</v>
      </c>
      <c r="G987" s="137">
        <f t="shared" ca="1" si="172"/>
        <v>40.56315078588716</v>
      </c>
      <c r="H987" s="152">
        <f t="shared" ca="1" si="173"/>
        <v>5.1264220004610692</v>
      </c>
      <c r="I987" s="152">
        <f t="shared" ca="1" si="174"/>
        <v>3.1490081817819318E-7</v>
      </c>
      <c r="J987" s="190">
        <f t="shared" ca="1" si="175"/>
        <v>1</v>
      </c>
      <c r="K987" s="187" t="str" cm="1">
        <f t="array" aca="1" ref="K987" ca="1">_xlfn.IFS(G987&lt;$B$11,"Fail",G987&lt;25,"Marginal",G987&lt;35,"Solid",TRUE,"Blowout")</f>
        <v>Blowout</v>
      </c>
      <c r="L987" s="193">
        <f t="shared" ca="1" si="165"/>
        <v>1</v>
      </c>
      <c r="M987" s="184" t="str" cm="1">
        <f t="array" aca="1" ref="M987" ca="1">_xlfn.IFS(C987&lt;$B$11,"Fail",C987&lt;25,"Marginal",C987&lt;35,"Solid",TRUE,"Blowout")</f>
        <v>Solid</v>
      </c>
    </row>
    <row r="988" spans="1:13" x14ac:dyDescent="0.25">
      <c r="A988" s="138">
        <f t="shared" ca="1" si="166"/>
        <v>27.003696196303942</v>
      </c>
      <c r="B988" s="137">
        <f t="shared" ca="1" si="167"/>
        <v>0.15462693310832964</v>
      </c>
      <c r="C988" s="137">
        <f t="shared" ca="1" si="168"/>
        <v>26.849069263195613</v>
      </c>
      <c r="D988" s="152">
        <f t="shared" ca="1" si="169"/>
        <v>3.3932191335254216</v>
      </c>
      <c r="E988" s="197">
        <f t="shared" ca="1" si="170"/>
        <v>4.0719710582474592E-4</v>
      </c>
      <c r="F988" s="137">
        <f t="shared" ca="1" si="171"/>
        <v>32.810968724699677</v>
      </c>
      <c r="G988" s="137">
        <f t="shared" ca="1" si="172"/>
        <v>32.656341791591345</v>
      </c>
      <c r="H988" s="152">
        <f t="shared" ca="1" si="173"/>
        <v>4.1271495377335405</v>
      </c>
      <c r="I988" s="152">
        <f t="shared" ca="1" si="174"/>
        <v>2.5759954113479838E-5</v>
      </c>
      <c r="J988" s="190">
        <f t="shared" ca="1" si="175"/>
        <v>1</v>
      </c>
      <c r="K988" s="187" t="str" cm="1">
        <f t="array" aca="1" ref="K988" ca="1">_xlfn.IFS(G988&lt;$B$11,"Fail",G988&lt;25,"Marginal",G988&lt;35,"Solid",TRUE,"Blowout")</f>
        <v>Solid</v>
      </c>
      <c r="L988" s="193">
        <f t="shared" ca="1" si="165"/>
        <v>1</v>
      </c>
      <c r="M988" s="184" t="str" cm="1">
        <f t="array" aca="1" ref="M988" ca="1">_xlfn.IFS(C988&lt;$B$11,"Fail",C988&lt;25,"Marginal",C988&lt;35,"Solid",TRUE,"Blowout")</f>
        <v>Solid</v>
      </c>
    </row>
    <row r="989" spans="1:13" x14ac:dyDescent="0.25">
      <c r="A989" s="138">
        <f t="shared" ca="1" si="166"/>
        <v>20.850921503426836</v>
      </c>
      <c r="B989" s="137">
        <f t="shared" ca="1" si="167"/>
        <v>13.132933175751818</v>
      </c>
      <c r="C989" s="137">
        <f t="shared" ca="1" si="168"/>
        <v>7.7179883276750179</v>
      </c>
      <c r="D989" s="152">
        <f t="shared" ca="1" si="169"/>
        <v>0.97540906945672312</v>
      </c>
      <c r="E989" s="197">
        <f t="shared" ca="1" si="170"/>
        <v>0.16519556865411661</v>
      </c>
      <c r="F989" s="137">
        <f t="shared" ca="1" si="171"/>
        <v>17.986107260336155</v>
      </c>
      <c r="G989" s="137">
        <f t="shared" ca="1" si="172"/>
        <v>4.853174084584337</v>
      </c>
      <c r="H989" s="152">
        <f t="shared" ca="1" si="173"/>
        <v>0.61335024319503229</v>
      </c>
      <c r="I989" s="152">
        <f t="shared" ca="1" si="174"/>
        <v>0.27012808111069597</v>
      </c>
      <c r="J989" s="190">
        <f t="shared" ca="1" si="175"/>
        <v>0</v>
      </c>
      <c r="K989" s="187" t="str" cm="1">
        <f t="array" aca="1" ref="K989" ca="1">_xlfn.IFS(G989&lt;$B$11,"Fail",G989&lt;25,"Marginal",G989&lt;35,"Solid",TRUE,"Blowout")</f>
        <v>Fail</v>
      </c>
      <c r="L989" s="193">
        <f t="shared" ca="1" si="165"/>
        <v>0</v>
      </c>
      <c r="M989" s="184" t="str" cm="1">
        <f t="array" aca="1" ref="M989" ca="1">_xlfn.IFS(C989&lt;$B$11,"Fail",C989&lt;25,"Marginal",C989&lt;35,"Solid",TRUE,"Blowout")</f>
        <v>Fail</v>
      </c>
    </row>
    <row r="990" spans="1:13" x14ac:dyDescent="0.25">
      <c r="A990" s="138">
        <f t="shared" ca="1" si="166"/>
        <v>20.367241422339148</v>
      </c>
      <c r="B990" s="137">
        <f t="shared" ca="1" si="167"/>
        <v>6.3789965296220439</v>
      </c>
      <c r="C990" s="137">
        <f t="shared" ca="1" si="168"/>
        <v>13.988244892717105</v>
      </c>
      <c r="D990" s="152">
        <f t="shared" ca="1" si="169"/>
        <v>1.7678519783727344</v>
      </c>
      <c r="E990" s="197">
        <f t="shared" ca="1" si="170"/>
        <v>3.9211552585927824E-2</v>
      </c>
      <c r="F990" s="137">
        <f t="shared" ca="1" si="171"/>
        <v>5.6573069080108969</v>
      </c>
      <c r="G990" s="137">
        <f t="shared" ca="1" si="172"/>
        <v>-0.72168962161114703</v>
      </c>
      <c r="H990" s="152">
        <f t="shared" ca="1" si="173"/>
        <v>-9.120804183236704E-2</v>
      </c>
      <c r="I990" s="152">
        <f t="shared" ca="1" si="174"/>
        <v>0.53629631697629887</v>
      </c>
      <c r="J990" s="190">
        <f t="shared" ca="1" si="175"/>
        <v>0</v>
      </c>
      <c r="K990" s="187" t="str" cm="1">
        <f t="array" aca="1" ref="K990" ca="1">_xlfn.IFS(G990&lt;$B$11,"Fail",G990&lt;25,"Marginal",G990&lt;35,"Solid",TRUE,"Blowout")</f>
        <v>Fail</v>
      </c>
      <c r="L990" s="193">
        <f t="shared" ca="1" si="165"/>
        <v>0</v>
      </c>
      <c r="M990" s="184" t="str" cm="1">
        <f t="array" aca="1" ref="M990" ca="1">_xlfn.IFS(C990&lt;$B$11,"Fail",C990&lt;25,"Marginal",C990&lt;35,"Solid",TRUE,"Blowout")</f>
        <v>Fail</v>
      </c>
    </row>
    <row r="991" spans="1:13" x14ac:dyDescent="0.25">
      <c r="A991" s="138">
        <f t="shared" ca="1" si="166"/>
        <v>2.3562135617398874</v>
      </c>
      <c r="B991" s="137">
        <f t="shared" ca="1" si="167"/>
        <v>11.722749502684032</v>
      </c>
      <c r="C991" s="137">
        <f t="shared" ca="1" si="168"/>
        <v>-9.3665359409441447</v>
      </c>
      <c r="D991" s="152">
        <f t="shared" ca="1" si="169"/>
        <v>-1.1837545897068606</v>
      </c>
      <c r="E991" s="197">
        <f t="shared" ca="1" si="170"/>
        <v>0.8811285447935705</v>
      </c>
      <c r="F991" s="137">
        <f t="shared" ca="1" si="171"/>
        <v>25.883210376575661</v>
      </c>
      <c r="G991" s="137">
        <f t="shared" ca="1" si="172"/>
        <v>14.16046087389163</v>
      </c>
      <c r="H991" s="152">
        <f t="shared" ca="1" si="173"/>
        <v>1.7896168506180934</v>
      </c>
      <c r="I991" s="152">
        <f t="shared" ca="1" si="174"/>
        <v>3.7421327309320317E-2</v>
      </c>
      <c r="J991" s="190">
        <f t="shared" ca="1" si="175"/>
        <v>0</v>
      </c>
      <c r="K991" s="187" t="str" cm="1">
        <f t="array" aca="1" ref="K991" ca="1">_xlfn.IFS(G991&lt;$B$11,"Fail",G991&lt;25,"Marginal",G991&lt;35,"Solid",TRUE,"Blowout")</f>
        <v>Fail</v>
      </c>
      <c r="L991" s="193">
        <f t="shared" ca="1" si="165"/>
        <v>0</v>
      </c>
      <c r="M991" s="184" t="str" cm="1">
        <f t="array" aca="1" ref="M991" ca="1">_xlfn.IFS(C991&lt;$B$11,"Fail",C991&lt;25,"Marginal",C991&lt;35,"Solid",TRUE,"Blowout")</f>
        <v>Fail</v>
      </c>
    </row>
    <row r="992" spans="1:13" x14ac:dyDescent="0.25">
      <c r="A992" s="138">
        <f t="shared" ca="1" si="166"/>
        <v>42.913110511928124</v>
      </c>
      <c r="B992" s="137">
        <f t="shared" ca="1" si="167"/>
        <v>3.3357244349163713</v>
      </c>
      <c r="C992" s="137">
        <f t="shared" ca="1" si="168"/>
        <v>39.577386077011752</v>
      </c>
      <c r="D992" s="152">
        <f t="shared" ca="1" si="169"/>
        <v>5.0018398170520033</v>
      </c>
      <c r="E992" s="197">
        <f t="shared" ca="1" si="170"/>
        <v>5.6671823671106488E-7</v>
      </c>
      <c r="F992" s="137">
        <f t="shared" ca="1" si="171"/>
        <v>46.997010783136474</v>
      </c>
      <c r="G992" s="137">
        <f t="shared" ca="1" si="172"/>
        <v>43.661286348220102</v>
      </c>
      <c r="H992" s="152">
        <f t="shared" ca="1" si="173"/>
        <v>5.5179682684270244</v>
      </c>
      <c r="I992" s="152">
        <f t="shared" ca="1" si="174"/>
        <v>4.6425993008423752E-8</v>
      </c>
      <c r="J992" s="190">
        <f t="shared" ca="1" si="175"/>
        <v>1</v>
      </c>
      <c r="K992" s="187" t="str" cm="1">
        <f t="array" aca="1" ref="K992" ca="1">_xlfn.IFS(G992&lt;$B$11,"Fail",G992&lt;25,"Marginal",G992&lt;35,"Solid",TRUE,"Blowout")</f>
        <v>Blowout</v>
      </c>
      <c r="L992" s="193">
        <f t="shared" ca="1" si="165"/>
        <v>1</v>
      </c>
      <c r="M992" s="184" t="str" cm="1">
        <f t="array" aca="1" ref="M992" ca="1">_xlfn.IFS(C992&lt;$B$11,"Fail",C992&lt;25,"Marginal",C992&lt;35,"Solid",TRUE,"Blowout")</f>
        <v>Blowout</v>
      </c>
    </row>
    <row r="993" spans="1:13" x14ac:dyDescent="0.25">
      <c r="A993" s="138">
        <f t="shared" ca="1" si="166"/>
        <v>37.889607854239664</v>
      </c>
      <c r="B993" s="137">
        <f t="shared" ca="1" si="167"/>
        <v>3.1010056984335788</v>
      </c>
      <c r="C993" s="137">
        <f t="shared" ca="1" si="168"/>
        <v>34.788602155806082</v>
      </c>
      <c r="D993" s="152">
        <f t="shared" ca="1" si="169"/>
        <v>4.3966272836690132</v>
      </c>
      <c r="E993" s="197">
        <f t="shared" ca="1" si="170"/>
        <v>8.4326620236208088E-6</v>
      </c>
      <c r="F993" s="137">
        <f t="shared" ca="1" si="171"/>
        <v>-1.6025616211995419</v>
      </c>
      <c r="G993" s="137">
        <f t="shared" ca="1" si="172"/>
        <v>-4.7035673196331205</v>
      </c>
      <c r="H993" s="152">
        <f t="shared" ca="1" si="173"/>
        <v>-0.59444275212482267</v>
      </c>
      <c r="I993" s="152">
        <f t="shared" ca="1" si="174"/>
        <v>0.72359728703685555</v>
      </c>
      <c r="J993" s="190">
        <f t="shared" ca="1" si="175"/>
        <v>0</v>
      </c>
      <c r="K993" s="187" t="str" cm="1">
        <f t="array" aca="1" ref="K993" ca="1">_xlfn.IFS(G993&lt;$B$11,"Fail",G993&lt;25,"Marginal",G993&lt;35,"Solid",TRUE,"Blowout")</f>
        <v>Fail</v>
      </c>
      <c r="L993" s="193">
        <f t="shared" ca="1" si="165"/>
        <v>1</v>
      </c>
      <c r="M993" s="184" t="str" cm="1">
        <f t="array" aca="1" ref="M993" ca="1">_xlfn.IFS(C993&lt;$B$11,"Fail",C993&lt;25,"Marginal",C993&lt;35,"Solid",TRUE,"Blowout")</f>
        <v>Solid</v>
      </c>
    </row>
    <row r="994" spans="1:13" x14ac:dyDescent="0.25">
      <c r="A994" s="138">
        <f t="shared" ca="1" si="166"/>
        <v>-6.9702541695816365</v>
      </c>
      <c r="B994" s="137">
        <f t="shared" ca="1" si="167"/>
        <v>12.237435009776863</v>
      </c>
      <c r="C994" s="137">
        <f t="shared" ca="1" si="168"/>
        <v>-19.2076891793585</v>
      </c>
      <c r="D994" s="152">
        <f t="shared" ca="1" si="169"/>
        <v>-2.4274919102522041</v>
      </c>
      <c r="E994" s="197">
        <f t="shared" ca="1" si="170"/>
        <v>0.99201029063466462</v>
      </c>
      <c r="F994" s="137">
        <f t="shared" ca="1" si="171"/>
        <v>17.490754807927331</v>
      </c>
      <c r="G994" s="137">
        <f t="shared" ca="1" si="172"/>
        <v>5.2533197981504678</v>
      </c>
      <c r="H994" s="152">
        <f t="shared" ca="1" si="173"/>
        <v>0.66392116161908388</v>
      </c>
      <c r="I994" s="152">
        <f t="shared" ca="1" si="174"/>
        <v>0.25370578932657972</v>
      </c>
      <c r="J994" s="190">
        <f t="shared" ca="1" si="175"/>
        <v>0</v>
      </c>
      <c r="K994" s="187" t="str" cm="1">
        <f t="array" aca="1" ref="K994" ca="1">_xlfn.IFS(G994&lt;$B$11,"Fail",G994&lt;25,"Marginal",G994&lt;35,"Solid",TRUE,"Blowout")</f>
        <v>Fail</v>
      </c>
      <c r="L994" s="193">
        <f t="shared" ca="1" si="165"/>
        <v>0</v>
      </c>
      <c r="M994" s="184" t="str" cm="1">
        <f t="array" aca="1" ref="M994" ca="1">_xlfn.IFS(C994&lt;$B$11,"Fail",C994&lt;25,"Marginal",C994&lt;35,"Solid",TRUE,"Blowout")</f>
        <v>Fail</v>
      </c>
    </row>
    <row r="995" spans="1:13" x14ac:dyDescent="0.25">
      <c r="A995" s="138">
        <f t="shared" ca="1" si="166"/>
        <v>33.971771191127559</v>
      </c>
      <c r="B995" s="137">
        <f t="shared" ca="1" si="167"/>
        <v>4.8371687539944981</v>
      </c>
      <c r="C995" s="137">
        <f t="shared" ca="1" si="168"/>
        <v>29.134602437133061</v>
      </c>
      <c r="D995" s="152">
        <f t="shared" ca="1" si="169"/>
        <v>3.682067689879013</v>
      </c>
      <c r="E995" s="197">
        <f t="shared" ca="1" si="170"/>
        <v>1.4444249448510734E-4</v>
      </c>
      <c r="F995" s="137">
        <f t="shared" ca="1" si="171"/>
        <v>34.944810727484175</v>
      </c>
      <c r="G995" s="137">
        <f t="shared" ca="1" si="172"/>
        <v>30.107641973489677</v>
      </c>
      <c r="H995" s="152">
        <f t="shared" ca="1" si="173"/>
        <v>3.8050416499845112</v>
      </c>
      <c r="I995" s="152">
        <f t="shared" ca="1" si="174"/>
        <v>9.1083533786552389E-5</v>
      </c>
      <c r="J995" s="190">
        <f t="shared" ca="1" si="175"/>
        <v>1</v>
      </c>
      <c r="K995" s="187" t="str" cm="1">
        <f t="array" aca="1" ref="K995" ca="1">_xlfn.IFS(G995&lt;$B$11,"Fail",G995&lt;25,"Marginal",G995&lt;35,"Solid",TRUE,"Blowout")</f>
        <v>Solid</v>
      </c>
      <c r="L995" s="193">
        <f t="shared" ca="1" si="165"/>
        <v>1</v>
      </c>
      <c r="M995" s="184" t="str" cm="1">
        <f t="array" aca="1" ref="M995" ca="1">_xlfn.IFS(C995&lt;$B$11,"Fail",C995&lt;25,"Marginal",C995&lt;35,"Solid",TRUE,"Blowout")</f>
        <v>Solid</v>
      </c>
    </row>
    <row r="996" spans="1:13" x14ac:dyDescent="0.25">
      <c r="A996" s="138">
        <f t="shared" ca="1" si="166"/>
        <v>36.65313128258974</v>
      </c>
      <c r="B996" s="137">
        <f t="shared" ca="1" si="167"/>
        <v>0.26662373930321515</v>
      </c>
      <c r="C996" s="137">
        <f t="shared" ca="1" si="168"/>
        <v>36.386507543286527</v>
      </c>
      <c r="D996" s="152">
        <f t="shared" ca="1" si="169"/>
        <v>4.5985725757463989</v>
      </c>
      <c r="E996" s="197">
        <f t="shared" ca="1" si="170"/>
        <v>3.5262771337933488E-6</v>
      </c>
      <c r="F996" s="137">
        <f t="shared" ca="1" si="171"/>
        <v>28.321684508041674</v>
      </c>
      <c r="G996" s="137">
        <f t="shared" ca="1" si="172"/>
        <v>28.055060768738457</v>
      </c>
      <c r="H996" s="152">
        <f t="shared" ca="1" si="173"/>
        <v>3.5456338564106815</v>
      </c>
      <c r="I996" s="152">
        <f t="shared" ca="1" si="174"/>
        <v>2.3760867693828247E-4</v>
      </c>
      <c r="J996" s="190">
        <f t="shared" ca="1" si="175"/>
        <v>1</v>
      </c>
      <c r="K996" s="187" t="str" cm="1">
        <f t="array" aca="1" ref="K996" ca="1">_xlfn.IFS(G996&lt;$B$11,"Fail",G996&lt;25,"Marginal",G996&lt;35,"Solid",TRUE,"Blowout")</f>
        <v>Solid</v>
      </c>
      <c r="L996" s="193">
        <f t="shared" ca="1" si="165"/>
        <v>1</v>
      </c>
      <c r="M996" s="184" t="str" cm="1">
        <f t="array" aca="1" ref="M996" ca="1">_xlfn.IFS(C996&lt;$B$11,"Fail",C996&lt;25,"Marginal",C996&lt;35,"Solid",TRUE,"Blowout")</f>
        <v>Blowout</v>
      </c>
    </row>
    <row r="997" spans="1:13" x14ac:dyDescent="0.25">
      <c r="A997" s="138">
        <f t="shared" ca="1" si="166"/>
        <v>16.828648668811265</v>
      </c>
      <c r="B997" s="137">
        <f t="shared" ca="1" si="167"/>
        <v>-6.003415524182433</v>
      </c>
      <c r="C997" s="137">
        <f t="shared" ca="1" si="168"/>
        <v>22.832064192993698</v>
      </c>
      <c r="D997" s="152">
        <f t="shared" ca="1" si="169"/>
        <v>2.8855449817676768</v>
      </c>
      <c r="E997" s="197">
        <f t="shared" ca="1" si="170"/>
        <v>2.1411288164289669E-3</v>
      </c>
      <c r="F997" s="137">
        <f t="shared" ca="1" si="171"/>
        <v>29.597843563938035</v>
      </c>
      <c r="G997" s="137">
        <f t="shared" ca="1" si="172"/>
        <v>35.601259088120472</v>
      </c>
      <c r="H997" s="152">
        <f t="shared" ca="1" si="173"/>
        <v>4.4993318886104303</v>
      </c>
      <c r="I997" s="152">
        <f t="shared" ca="1" si="174"/>
        <v>5.4325163998756533E-6</v>
      </c>
      <c r="J997" s="190">
        <f t="shared" ca="1" si="175"/>
        <v>1</v>
      </c>
      <c r="K997" s="187" t="str" cm="1">
        <f t="array" aca="1" ref="K997" ca="1">_xlfn.IFS(G997&lt;$B$11,"Fail",G997&lt;25,"Marginal",G997&lt;35,"Solid",TRUE,"Blowout")</f>
        <v>Blowout</v>
      </c>
      <c r="L997" s="193">
        <f t="shared" ca="1" si="165"/>
        <v>1</v>
      </c>
      <c r="M997" s="184" t="str" cm="1">
        <f t="array" aca="1" ref="M997" ca="1">_xlfn.IFS(C997&lt;$B$11,"Fail",C997&lt;25,"Marginal",C997&lt;35,"Solid",TRUE,"Blowout")</f>
        <v>Marginal</v>
      </c>
    </row>
    <row r="998" spans="1:13" x14ac:dyDescent="0.25">
      <c r="A998" s="138">
        <f t="shared" ca="1" si="166"/>
        <v>24.473759311933776</v>
      </c>
      <c r="B998" s="137">
        <f t="shared" ca="1" si="167"/>
        <v>8.2916313927338585</v>
      </c>
      <c r="C998" s="137">
        <f t="shared" ca="1" si="168"/>
        <v>16.182127919199917</v>
      </c>
      <c r="D998" s="152">
        <f t="shared" ca="1" si="169"/>
        <v>2.0451176738500347</v>
      </c>
      <c r="E998" s="197">
        <f t="shared" ca="1" si="170"/>
        <v>2.0995819412714844E-2</v>
      </c>
      <c r="F998" s="137">
        <f t="shared" ca="1" si="171"/>
        <v>33.571505759114451</v>
      </c>
      <c r="G998" s="137">
        <f t="shared" ca="1" si="172"/>
        <v>25.279874366380593</v>
      </c>
      <c r="H998" s="152">
        <f t="shared" ca="1" si="173"/>
        <v>3.1949023093589277</v>
      </c>
      <c r="I998" s="152">
        <f t="shared" ca="1" si="174"/>
        <v>7.9827739155064002E-4</v>
      </c>
      <c r="J998" s="190">
        <f t="shared" ca="1" si="175"/>
        <v>1</v>
      </c>
      <c r="K998" s="187" t="str" cm="1">
        <f t="array" aca="1" ref="K998" ca="1">_xlfn.IFS(G998&lt;$B$11,"Fail",G998&lt;25,"Marginal",G998&lt;35,"Solid",TRUE,"Blowout")</f>
        <v>Solid</v>
      </c>
      <c r="L998" s="193">
        <f t="shared" ca="1" si="165"/>
        <v>0</v>
      </c>
      <c r="M998" s="184" t="str" cm="1">
        <f t="array" aca="1" ref="M998" ca="1">_xlfn.IFS(C998&lt;$B$11,"Fail",C998&lt;25,"Marginal",C998&lt;35,"Solid",TRUE,"Blowout")</f>
        <v>Fail</v>
      </c>
    </row>
    <row r="999" spans="1:13" x14ac:dyDescent="0.25">
      <c r="A999" s="138">
        <f t="shared" ca="1" si="166"/>
        <v>28.905040695405603</v>
      </c>
      <c r="B999" s="137">
        <f t="shared" ca="1" si="167"/>
        <v>5.7656002842587943</v>
      </c>
      <c r="C999" s="137">
        <f t="shared" ca="1" si="168"/>
        <v>23.139440411146808</v>
      </c>
      <c r="D999" s="152">
        <f t="shared" ca="1" si="169"/>
        <v>2.9243915747129878</v>
      </c>
      <c r="E999" s="197">
        <f t="shared" ca="1" si="170"/>
        <v>1.8997421216518993E-3</v>
      </c>
      <c r="F999" s="137">
        <f t="shared" ca="1" si="171"/>
        <v>25.641029748107272</v>
      </c>
      <c r="G999" s="137">
        <f t="shared" ca="1" si="172"/>
        <v>19.875429463848477</v>
      </c>
      <c r="H999" s="152">
        <f t="shared" ca="1" si="173"/>
        <v>2.5118817670232549</v>
      </c>
      <c r="I999" s="152">
        <f t="shared" ca="1" si="174"/>
        <v>6.3507360245196624E-3</v>
      </c>
      <c r="J999" s="190">
        <f t="shared" ca="1" si="175"/>
        <v>0</v>
      </c>
      <c r="K999" s="187" t="str" cm="1">
        <f t="array" aca="1" ref="K999" ca="1">_xlfn.IFS(G999&lt;$B$11,"Fail",G999&lt;25,"Marginal",G999&lt;35,"Solid",TRUE,"Blowout")</f>
        <v>Fail</v>
      </c>
      <c r="L999" s="193">
        <f t="shared" ca="1" si="165"/>
        <v>1</v>
      </c>
      <c r="M999" s="184" t="str" cm="1">
        <f t="array" aca="1" ref="M999" ca="1">_xlfn.IFS(C999&lt;$B$11,"Fail",C999&lt;25,"Marginal",C999&lt;35,"Solid",TRUE,"Blowout")</f>
        <v>Marginal</v>
      </c>
    </row>
    <row r="1000" spans="1:13" x14ac:dyDescent="0.25">
      <c r="A1000" s="138">
        <f t="shared" ca="1" si="166"/>
        <v>24.724697744993126</v>
      </c>
      <c r="B1000" s="137">
        <f t="shared" ca="1" si="167"/>
        <v>22.384877843248933</v>
      </c>
      <c r="C1000" s="137">
        <f t="shared" ca="1" si="168"/>
        <v>2.3398199017441925</v>
      </c>
      <c r="D1000" s="152">
        <f t="shared" ca="1" si="169"/>
        <v>0.29570938127398583</v>
      </c>
      <c r="E1000" s="197">
        <f t="shared" ca="1" si="170"/>
        <v>0.38386058451239113</v>
      </c>
      <c r="F1000" s="137">
        <f t="shared" ca="1" si="171"/>
        <v>7.7047295033184442</v>
      </c>
      <c r="G1000" s="137">
        <f t="shared" ca="1" si="172"/>
        <v>-14.68014833993049</v>
      </c>
      <c r="H1000" s="152">
        <f t="shared" ca="1" si="173"/>
        <v>-1.8552956060315509</v>
      </c>
      <c r="I1000" s="152">
        <f t="shared" ca="1" si="174"/>
        <v>0.96757762166991057</v>
      </c>
      <c r="J1000" s="190">
        <f t="shared" ca="1" si="175"/>
        <v>0</v>
      </c>
      <c r="K1000" s="187" t="str" cm="1">
        <f t="array" aca="1" ref="K1000" ca="1">_xlfn.IFS(G1000&lt;$B$11,"Fail",G1000&lt;25,"Marginal",G1000&lt;35,"Solid",TRUE,"Blowout")</f>
        <v>Fail</v>
      </c>
      <c r="L1000" s="193">
        <f t="shared" ca="1" si="165"/>
        <v>0</v>
      </c>
      <c r="M1000" s="184" t="str" cm="1">
        <f t="array" aca="1" ref="M1000" ca="1">_xlfn.IFS(C1000&lt;$B$11,"Fail",C1000&lt;25,"Marginal",C1000&lt;35,"Solid",TRUE,"Blowout")</f>
        <v>Fail</v>
      </c>
    </row>
    <row r="1001" spans="1:13" x14ac:dyDescent="0.25">
      <c r="A1001" s="138">
        <f t="shared" ca="1" si="166"/>
        <v>-0.20253253644035851</v>
      </c>
      <c r="B1001" s="137">
        <f t="shared" ca="1" si="167"/>
        <v>11.143400472972917</v>
      </c>
      <c r="C1001" s="137">
        <f t="shared" ca="1" si="168"/>
        <v>-11.345933009413276</v>
      </c>
      <c r="D1001" s="152">
        <f t="shared" ca="1" si="169"/>
        <v>-1.4339132801155641</v>
      </c>
      <c r="E1001" s="197">
        <f t="shared" ca="1" si="170"/>
        <v>0.92351649303601457</v>
      </c>
      <c r="F1001" s="137">
        <f t="shared" ca="1" si="171"/>
        <v>42.481579454138888</v>
      </c>
      <c r="G1001" s="137">
        <f t="shared" ca="1" si="172"/>
        <v>31.338178981165971</v>
      </c>
      <c r="H1001" s="152">
        <f t="shared" ca="1" si="173"/>
        <v>3.9605584642929315</v>
      </c>
      <c r="I1001" s="152">
        <f t="shared" ca="1" si="174"/>
        <v>4.9994086515308077E-5</v>
      </c>
      <c r="J1001" s="190">
        <f t="shared" ca="1" si="175"/>
        <v>1</v>
      </c>
      <c r="K1001" s="187" t="str" cm="1">
        <f t="array" aca="1" ref="K1001" ca="1">_xlfn.IFS(G1001&lt;$B$11,"Fail",G1001&lt;25,"Marginal",G1001&lt;35,"Solid",TRUE,"Blowout")</f>
        <v>Solid</v>
      </c>
      <c r="L1001" s="193">
        <f t="shared" ca="1" si="165"/>
        <v>0</v>
      </c>
      <c r="M1001" s="184" t="str" cm="1">
        <f t="array" aca="1" ref="M1001" ca="1">_xlfn.IFS(C1001&lt;$B$11,"Fail",C1001&lt;25,"Marginal",C1001&lt;35,"Solid",TRUE,"Blowout")</f>
        <v>Fail</v>
      </c>
    </row>
    <row r="1002" spans="1:13" x14ac:dyDescent="0.25">
      <c r="A1002" s="138">
        <f t="shared" ca="1" si="166"/>
        <v>-0.83142108829771821</v>
      </c>
      <c r="B1002" s="137">
        <f t="shared" ca="1" si="167"/>
        <v>-1.5580209893049899</v>
      </c>
      <c r="C1002" s="137">
        <f t="shared" ca="1" si="168"/>
        <v>0.72659990100727168</v>
      </c>
      <c r="D1002" s="152">
        <f t="shared" ca="1" si="169"/>
        <v>9.1828609116638801E-2</v>
      </c>
      <c r="E1002" s="197">
        <f t="shared" ca="1" si="170"/>
        <v>0.4634574217882535</v>
      </c>
      <c r="F1002" s="137">
        <f t="shared" ca="1" si="171"/>
        <v>16.05751300210779</v>
      </c>
      <c r="G1002" s="137">
        <f t="shared" ca="1" si="172"/>
        <v>17.615533991412779</v>
      </c>
      <c r="H1002" s="152">
        <f t="shared" ca="1" si="173"/>
        <v>2.2262733356223228</v>
      </c>
      <c r="I1002" s="152">
        <f t="shared" ca="1" si="174"/>
        <v>1.3487039568597363E-2</v>
      </c>
      <c r="J1002" s="190">
        <f t="shared" ca="1" si="175"/>
        <v>0</v>
      </c>
      <c r="K1002" s="187" t="str" cm="1">
        <f t="array" aca="1" ref="K1002" ca="1">_xlfn.IFS(G1002&lt;$B$11,"Fail",G1002&lt;25,"Marginal",G1002&lt;35,"Solid",TRUE,"Blowout")</f>
        <v>Fail</v>
      </c>
      <c r="L1002" s="193">
        <f t="shared" ca="1" si="165"/>
        <v>0</v>
      </c>
      <c r="M1002" s="184" t="str" cm="1">
        <f t="array" aca="1" ref="M1002" ca="1">_xlfn.IFS(C1002&lt;$B$11,"Fail",C1002&lt;25,"Marginal",C1002&lt;35,"Solid",TRUE,"Blowout")</f>
        <v>Fail</v>
      </c>
    </row>
    <row r="1003" spans="1:13" x14ac:dyDescent="0.25">
      <c r="A1003" s="138">
        <f t="shared" ca="1" si="166"/>
        <v>28.697777939040694</v>
      </c>
      <c r="B1003" s="137">
        <f t="shared" ca="1" si="167"/>
        <v>11.257725125273552</v>
      </c>
      <c r="C1003" s="137">
        <f t="shared" ca="1" si="168"/>
        <v>17.440052813767142</v>
      </c>
      <c r="D1003" s="152">
        <f t="shared" ca="1" si="169"/>
        <v>2.2040958037412839</v>
      </c>
      <c r="E1003" s="197">
        <f t="shared" ca="1" si="170"/>
        <v>1.4258850267092969E-2</v>
      </c>
      <c r="F1003" s="137">
        <f t="shared" ca="1" si="171"/>
        <v>41.3024834960273</v>
      </c>
      <c r="G1003" s="137">
        <f t="shared" ca="1" si="172"/>
        <v>30.044758370753748</v>
      </c>
      <c r="H1003" s="152">
        <f t="shared" ca="1" si="173"/>
        <v>3.797094341200848</v>
      </c>
      <c r="I1003" s="152">
        <f t="shared" ca="1" si="174"/>
        <v>9.3871921496250477E-5</v>
      </c>
      <c r="J1003" s="190">
        <f t="shared" ca="1" si="175"/>
        <v>1</v>
      </c>
      <c r="K1003" s="187" t="str" cm="1">
        <f t="array" aca="1" ref="K1003" ca="1">_xlfn.IFS(G1003&lt;$B$11,"Fail",G1003&lt;25,"Marginal",G1003&lt;35,"Solid",TRUE,"Blowout")</f>
        <v>Solid</v>
      </c>
      <c r="L1003" s="193">
        <f t="shared" ca="1" si="165"/>
        <v>0</v>
      </c>
      <c r="M1003" s="184" t="str" cm="1">
        <f t="array" aca="1" ref="M1003" ca="1">_xlfn.IFS(C1003&lt;$B$11,"Fail",C1003&lt;25,"Marginal",C1003&lt;35,"Solid",TRUE,"Blowout")</f>
        <v>Fail</v>
      </c>
    </row>
    <row r="1004" spans="1:13" x14ac:dyDescent="0.25">
      <c r="A1004" s="138">
        <f t="shared" ca="1" si="166"/>
        <v>33.992000096364386</v>
      </c>
      <c r="B1004" s="137">
        <f t="shared" ca="1" si="167"/>
        <v>-0.18868248569598833</v>
      </c>
      <c r="C1004" s="137">
        <f t="shared" ca="1" si="168"/>
        <v>34.180682582060371</v>
      </c>
      <c r="D1004" s="152">
        <f t="shared" ca="1" si="169"/>
        <v>4.3197976435404355</v>
      </c>
      <c r="E1004" s="197">
        <f t="shared" ca="1" si="170"/>
        <v>1.165792236943204E-5</v>
      </c>
      <c r="F1004" s="137">
        <f t="shared" ca="1" si="171"/>
        <v>0.77491085544080296</v>
      </c>
      <c r="G1004" s="137">
        <f t="shared" ca="1" si="172"/>
        <v>0.96359334113679129</v>
      </c>
      <c r="H1004" s="152">
        <f t="shared" ca="1" si="173"/>
        <v>0.12178013807596273</v>
      </c>
      <c r="I1004" s="152">
        <f t="shared" ca="1" si="174"/>
        <v>0.45159020405129024</v>
      </c>
      <c r="J1004" s="190">
        <f t="shared" ca="1" si="175"/>
        <v>0</v>
      </c>
      <c r="K1004" s="187" t="str" cm="1">
        <f t="array" aca="1" ref="K1004" ca="1">_xlfn.IFS(G1004&lt;$B$11,"Fail",G1004&lt;25,"Marginal",G1004&lt;35,"Solid",TRUE,"Blowout")</f>
        <v>Fail</v>
      </c>
      <c r="L1004" s="193">
        <f t="shared" ca="1" si="165"/>
        <v>1</v>
      </c>
      <c r="M1004" s="184" t="str" cm="1">
        <f t="array" aca="1" ref="M1004" ca="1">_xlfn.IFS(C1004&lt;$B$11,"Fail",C1004&lt;25,"Marginal",C1004&lt;35,"Solid",TRUE,"Blowout")</f>
        <v>Solid</v>
      </c>
    </row>
    <row r="1005" spans="1:13" x14ac:dyDescent="0.25">
      <c r="A1005" s="138">
        <f t="shared" ca="1" si="166"/>
        <v>25.44445566304417</v>
      </c>
      <c r="B1005" s="137">
        <f t="shared" ca="1" si="167"/>
        <v>9.6668818028416013</v>
      </c>
      <c r="C1005" s="137">
        <f t="shared" ca="1" si="168"/>
        <v>15.777573860202569</v>
      </c>
      <c r="D1005" s="152">
        <f t="shared" ca="1" si="169"/>
        <v>1.9939896231873284</v>
      </c>
      <c r="E1005" s="197">
        <f t="shared" ca="1" si="170"/>
        <v>2.3672262631843473E-2</v>
      </c>
      <c r="F1005" s="137">
        <f t="shared" ca="1" si="171"/>
        <v>35.150013521323118</v>
      </c>
      <c r="G1005" s="137">
        <f t="shared" ca="1" si="172"/>
        <v>25.483131718481516</v>
      </c>
      <c r="H1005" s="152">
        <f t="shared" ca="1" si="173"/>
        <v>3.2205902290934114</v>
      </c>
      <c r="I1005" s="152">
        <f t="shared" ca="1" si="174"/>
        <v>7.329243776294527E-4</v>
      </c>
      <c r="J1005" s="191">
        <f t="shared" ca="1" si="175"/>
        <v>1</v>
      </c>
      <c r="K1005" s="188" t="str" cm="1">
        <f t="array" aca="1" ref="K1005" ca="1">_xlfn.IFS(G1005&lt;$B$11,"Fail",G1005&lt;25,"Marginal",G1005&lt;35,"Solid",TRUE,"Blowout")</f>
        <v>Solid</v>
      </c>
      <c r="L1005" s="194">
        <f t="shared" ca="1" si="165"/>
        <v>0</v>
      </c>
      <c r="M1005" s="185" t="str" cm="1">
        <f t="array" aca="1" ref="M1005" ca="1">_xlfn.IFS(C1005&lt;$B$11,"Fail",C1005&lt;25,"Marginal",C1005&lt;35,"Solid",TRUE,"Blowout")</f>
        <v>Fail</v>
      </c>
    </row>
    <row r="1006" spans="1:13" x14ac:dyDescent="0.25">
      <c r="D1006" s="1"/>
      <c r="E1006" s="197"/>
      <c r="I1006" s="152"/>
    </row>
  </sheetData>
  <mergeCells count="4">
    <mergeCell ref="A14:E14"/>
    <mergeCell ref="A1:N1"/>
    <mergeCell ref="A2:N2"/>
    <mergeCell ref="D6:E6"/>
  </mergeCells>
  <conditionalFormatting sqref="A16:I16 A17:D1005 F17:H1005 E17:E1006 I17:I1006">
    <cfRule type="expression" dxfId="2" priority="1">
      <formula>MOD(ROW(),2)=0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2DEC0-A087-4365-BEA8-9759345C88BB}">
  <dimension ref="A1:G1015"/>
  <sheetViews>
    <sheetView showGridLines="0" workbookViewId="0">
      <selection activeCell="E9" sqref="E9"/>
    </sheetView>
  </sheetViews>
  <sheetFormatPr defaultRowHeight="15" x14ac:dyDescent="0.25"/>
  <cols>
    <col min="1" max="1" width="10.42578125" customWidth="1"/>
    <col min="2" max="2" width="15.28515625" customWidth="1"/>
    <col min="3" max="3" width="17.140625" customWidth="1"/>
    <col min="4" max="5" width="15.28515625" customWidth="1"/>
    <col min="6" max="6" width="24.7109375" customWidth="1"/>
    <col min="7" max="7" width="15.28515625" customWidth="1"/>
  </cols>
  <sheetData>
    <row r="1" spans="1:7" ht="32.1" customHeight="1" x14ac:dyDescent="0.35">
      <c r="A1" s="290" t="s">
        <v>62</v>
      </c>
      <c r="B1" s="290"/>
      <c r="C1" s="290"/>
      <c r="D1" s="290"/>
      <c r="E1" s="290"/>
      <c r="F1" s="290"/>
      <c r="G1" s="290"/>
    </row>
    <row r="2" spans="1:7" ht="18" customHeight="1" x14ac:dyDescent="0.25">
      <c r="A2" s="284" t="s">
        <v>165</v>
      </c>
      <c r="B2" s="268"/>
      <c r="C2" s="268"/>
      <c r="D2" s="268"/>
      <c r="E2" s="268"/>
      <c r="F2" s="268"/>
      <c r="G2" s="268"/>
    </row>
    <row r="3" spans="1:7" ht="8.1" customHeight="1" x14ac:dyDescent="0.25"/>
    <row r="4" spans="1:7" ht="6" customHeight="1" x14ac:dyDescent="0.25"/>
    <row r="5" spans="1:7" ht="6" customHeight="1" thickBot="1" x14ac:dyDescent="0.3"/>
    <row r="6" spans="1:7" ht="20.100000000000001" customHeight="1" x14ac:dyDescent="0.25">
      <c r="A6" s="291" t="s">
        <v>63</v>
      </c>
      <c r="B6" s="292"/>
      <c r="F6" s="293" t="s">
        <v>69</v>
      </c>
      <c r="G6" s="294"/>
    </row>
    <row r="7" spans="1:7" ht="18.95" customHeight="1" x14ac:dyDescent="0.25">
      <c r="A7" s="109" t="s">
        <v>64</v>
      </c>
      <c r="B7" s="110">
        <v>1000</v>
      </c>
      <c r="F7" s="113" t="s">
        <v>70</v>
      </c>
      <c r="G7" s="114">
        <f ca="1">AVERAGE(B16:B1015)</f>
        <v>39.097525363246888</v>
      </c>
    </row>
    <row r="8" spans="1:7" ht="18.95" customHeight="1" x14ac:dyDescent="0.25">
      <c r="A8" s="109" t="s">
        <v>65</v>
      </c>
      <c r="B8" s="110">
        <v>115</v>
      </c>
      <c r="F8" s="113" t="s">
        <v>71</v>
      </c>
      <c r="G8" s="114">
        <f ca="1">PERCENTILE(B16:B1015, 0.025)</f>
        <v>-59.440545894460286</v>
      </c>
    </row>
    <row r="9" spans="1:7" ht="18.95" customHeight="1" x14ac:dyDescent="0.25">
      <c r="A9" s="109" t="s">
        <v>66</v>
      </c>
      <c r="B9" s="110">
        <v>35</v>
      </c>
      <c r="F9" s="113" t="s">
        <v>72</v>
      </c>
      <c r="G9" s="114">
        <f ca="1">PERCENTILE(B16:B1015, 0.975)</f>
        <v>132.02071103924925</v>
      </c>
    </row>
    <row r="10" spans="1:7" ht="24" customHeight="1" x14ac:dyDescent="0.25">
      <c r="A10" s="109" t="s">
        <v>67</v>
      </c>
      <c r="B10" s="110">
        <v>50</v>
      </c>
      <c r="F10" s="115" t="s">
        <v>36</v>
      </c>
      <c r="G10" s="116">
        <f ca="1">AVERAGE(C16:C1015)</f>
        <v>0.621</v>
      </c>
    </row>
    <row r="11" spans="1:7" ht="18.95" customHeight="1" thickBot="1" x14ac:dyDescent="0.3">
      <c r="A11" s="111" t="s">
        <v>68</v>
      </c>
      <c r="B11" s="112">
        <v>25</v>
      </c>
      <c r="F11" s="113" t="s">
        <v>73</v>
      </c>
      <c r="G11" s="117">
        <v>25</v>
      </c>
    </row>
    <row r="12" spans="1:7" ht="18.95" customHeight="1" thickBot="1" x14ac:dyDescent="0.3">
      <c r="F12" s="118" t="s">
        <v>74</v>
      </c>
      <c r="G12" s="119">
        <v>1000</v>
      </c>
    </row>
    <row r="14" spans="1:7" ht="15.75" thickBot="1" x14ac:dyDescent="0.3"/>
    <row r="15" spans="1:7" ht="21.95" customHeight="1" x14ac:dyDescent="0.25">
      <c r="A15" s="124" t="s">
        <v>12</v>
      </c>
      <c r="B15" s="122" t="s">
        <v>75</v>
      </c>
      <c r="C15" s="127" t="s">
        <v>11</v>
      </c>
      <c r="D15" s="130" t="s">
        <v>76</v>
      </c>
      <c r="E15" s="130" t="s">
        <v>77</v>
      </c>
      <c r="F15" s="120"/>
      <c r="G15" s="120"/>
    </row>
    <row r="16" spans="1:7" x14ac:dyDescent="0.25">
      <c r="A16" s="125">
        <v>1</v>
      </c>
      <c r="B16" s="121">
        <f ca="1">_xlfn.NORM.INV(RAND(), $B$9, $B$10)</f>
        <v>48.19210088302637</v>
      </c>
      <c r="C16" s="128">
        <f ca="1">IF(B16 &gt;= $B$11, 1, 0)</f>
        <v>1</v>
      </c>
      <c r="D16" s="132" t="s">
        <v>86</v>
      </c>
      <c r="E16" s="132">
        <f ca="1">COUNTIFS(B16:B1015,"&gt;=-100",B16:B1015,"&lt;-75")</f>
        <v>9</v>
      </c>
    </row>
    <row r="17" spans="1:5" x14ac:dyDescent="0.25">
      <c r="A17" s="125">
        <f>+A16+1</f>
        <v>2</v>
      </c>
      <c r="B17" s="121">
        <f t="shared" ref="B17:B80" ca="1" si="0">_xlfn.NORM.INV(RAND(), $B$9, $B$10)</f>
        <v>139.66810538541822</v>
      </c>
      <c r="C17" s="128">
        <f t="shared" ref="C17:C80" ca="1" si="1">IF(B17 &gt;= $B$11, 1, 0)</f>
        <v>1</v>
      </c>
      <c r="D17" s="132" t="s">
        <v>87</v>
      </c>
      <c r="E17" s="132">
        <f ca="1">COUNTIFS(B16:B1015,"&gt;=-75",B16:B1015,"&lt;-25")</f>
        <v>97</v>
      </c>
    </row>
    <row r="18" spans="1:5" x14ac:dyDescent="0.25">
      <c r="A18" s="125">
        <f t="shared" ref="A18:A81" si="2">+A17+1</f>
        <v>3</v>
      </c>
      <c r="B18" s="121">
        <f t="shared" ca="1" si="0"/>
        <v>87.683074683762584</v>
      </c>
      <c r="C18" s="128">
        <f t="shared" ca="1" si="1"/>
        <v>1</v>
      </c>
      <c r="D18" s="132" t="s">
        <v>88</v>
      </c>
      <c r="E18" s="132">
        <f ca="1">COUNTIFS(B16:B1015,"&gt;=-25",B16:B1015,"&lt;25")</f>
        <v>273</v>
      </c>
    </row>
    <row r="19" spans="1:5" x14ac:dyDescent="0.25">
      <c r="A19" s="125">
        <f t="shared" si="2"/>
        <v>4</v>
      </c>
      <c r="B19" s="121">
        <f t="shared" ca="1" si="0"/>
        <v>80.437340873723045</v>
      </c>
      <c r="C19" s="128">
        <f t="shared" ca="1" si="1"/>
        <v>1</v>
      </c>
      <c r="D19" s="131" t="s">
        <v>89</v>
      </c>
      <c r="E19" s="131">
        <f ca="1">COUNTIFS(B16:B1015,"&gt;=25",B16:B1015,"&lt;75")</f>
        <v>380</v>
      </c>
    </row>
    <row r="20" spans="1:5" x14ac:dyDescent="0.25">
      <c r="A20" s="125">
        <f t="shared" si="2"/>
        <v>5</v>
      </c>
      <c r="B20" s="121">
        <f t="shared" ca="1" si="0"/>
        <v>59.835498703067927</v>
      </c>
      <c r="C20" s="128">
        <f t="shared" ca="1" si="1"/>
        <v>1</v>
      </c>
      <c r="D20" s="131" t="s">
        <v>90</v>
      </c>
      <c r="E20" s="131">
        <f ca="1">COUNTIFS(B16:B1015,"&gt;=75",B16:B1015,"&lt;125")</f>
        <v>205</v>
      </c>
    </row>
    <row r="21" spans="1:5" x14ac:dyDescent="0.25">
      <c r="A21" s="125">
        <f t="shared" si="2"/>
        <v>6</v>
      </c>
      <c r="B21" s="121">
        <f t="shared" ca="1" si="0"/>
        <v>-5.0244928184055908</v>
      </c>
      <c r="C21" s="128">
        <f t="shared" ca="1" si="1"/>
        <v>0</v>
      </c>
      <c r="D21" s="131" t="s">
        <v>91</v>
      </c>
      <c r="E21" s="131">
        <f ca="1">COUNTIFS(B16:B1015,"&gt;=125",B16:B1015,"&lt;175")</f>
        <v>36</v>
      </c>
    </row>
    <row r="22" spans="1:5" x14ac:dyDescent="0.25">
      <c r="A22" s="125">
        <f t="shared" si="2"/>
        <v>7</v>
      </c>
      <c r="B22" s="121">
        <f t="shared" ca="1" si="0"/>
        <v>74.241902398798814</v>
      </c>
      <c r="C22" s="128">
        <f t="shared" ca="1" si="1"/>
        <v>1</v>
      </c>
    </row>
    <row r="23" spans="1:5" x14ac:dyDescent="0.25">
      <c r="A23" s="125">
        <f t="shared" si="2"/>
        <v>8</v>
      </c>
      <c r="B23" s="121">
        <f t="shared" ca="1" si="0"/>
        <v>-82.109899179796301</v>
      </c>
      <c r="C23" s="128">
        <f t="shared" ca="1" si="1"/>
        <v>0</v>
      </c>
    </row>
    <row r="24" spans="1:5" x14ac:dyDescent="0.25">
      <c r="A24" s="125">
        <f t="shared" si="2"/>
        <v>9</v>
      </c>
      <c r="B24" s="121">
        <f t="shared" ca="1" si="0"/>
        <v>67.183409674256112</v>
      </c>
      <c r="C24" s="128">
        <f t="shared" ca="1" si="1"/>
        <v>1</v>
      </c>
    </row>
    <row r="25" spans="1:5" x14ac:dyDescent="0.25">
      <c r="A25" s="125">
        <f t="shared" si="2"/>
        <v>10</v>
      </c>
      <c r="B25" s="121">
        <f t="shared" ca="1" si="0"/>
        <v>-29.757326672875152</v>
      </c>
      <c r="C25" s="128">
        <f t="shared" ca="1" si="1"/>
        <v>0</v>
      </c>
    </row>
    <row r="26" spans="1:5" x14ac:dyDescent="0.25">
      <c r="A26" s="125">
        <f t="shared" si="2"/>
        <v>11</v>
      </c>
      <c r="B26" s="121">
        <f t="shared" ca="1" si="0"/>
        <v>66.113781343510297</v>
      </c>
      <c r="C26" s="128">
        <f t="shared" ca="1" si="1"/>
        <v>1</v>
      </c>
    </row>
    <row r="27" spans="1:5" x14ac:dyDescent="0.25">
      <c r="A27" s="125">
        <f t="shared" si="2"/>
        <v>12</v>
      </c>
      <c r="B27" s="121">
        <f t="shared" ca="1" si="0"/>
        <v>37.910230617787981</v>
      </c>
      <c r="C27" s="128">
        <f t="shared" ca="1" si="1"/>
        <v>1</v>
      </c>
    </row>
    <row r="28" spans="1:5" x14ac:dyDescent="0.25">
      <c r="A28" s="125">
        <f t="shared" si="2"/>
        <v>13</v>
      </c>
      <c r="B28" s="121">
        <f t="shared" ca="1" si="0"/>
        <v>67.390326259843476</v>
      </c>
      <c r="C28" s="128">
        <f t="shared" ca="1" si="1"/>
        <v>1</v>
      </c>
    </row>
    <row r="29" spans="1:5" x14ac:dyDescent="0.25">
      <c r="A29" s="125">
        <f t="shared" si="2"/>
        <v>14</v>
      </c>
      <c r="B29" s="121">
        <f t="shared" ca="1" si="0"/>
        <v>-0.13094487179679248</v>
      </c>
      <c r="C29" s="128">
        <f t="shared" ca="1" si="1"/>
        <v>0</v>
      </c>
    </row>
    <row r="30" spans="1:5" x14ac:dyDescent="0.25">
      <c r="A30" s="125">
        <f t="shared" si="2"/>
        <v>15</v>
      </c>
      <c r="B30" s="121">
        <f t="shared" ca="1" si="0"/>
        <v>62.178446487727641</v>
      </c>
      <c r="C30" s="128">
        <f t="shared" ca="1" si="1"/>
        <v>1</v>
      </c>
    </row>
    <row r="31" spans="1:5" x14ac:dyDescent="0.25">
      <c r="A31" s="125">
        <f t="shared" si="2"/>
        <v>16</v>
      </c>
      <c r="B31" s="121">
        <f t="shared" ca="1" si="0"/>
        <v>97.239530829878447</v>
      </c>
      <c r="C31" s="128">
        <f t="shared" ca="1" si="1"/>
        <v>1</v>
      </c>
    </row>
    <row r="32" spans="1:5" x14ac:dyDescent="0.25">
      <c r="A32" s="125">
        <f t="shared" si="2"/>
        <v>17</v>
      </c>
      <c r="B32" s="121">
        <f t="shared" ca="1" si="0"/>
        <v>-24.931024721224247</v>
      </c>
      <c r="C32" s="128">
        <f t="shared" ca="1" si="1"/>
        <v>0</v>
      </c>
    </row>
    <row r="33" spans="1:3" x14ac:dyDescent="0.25">
      <c r="A33" s="125">
        <f t="shared" si="2"/>
        <v>18</v>
      </c>
      <c r="B33" s="121">
        <f t="shared" ca="1" si="0"/>
        <v>38.372800129277948</v>
      </c>
      <c r="C33" s="128">
        <f t="shared" ca="1" si="1"/>
        <v>1</v>
      </c>
    </row>
    <row r="34" spans="1:3" x14ac:dyDescent="0.25">
      <c r="A34" s="125">
        <f t="shared" si="2"/>
        <v>19</v>
      </c>
      <c r="B34" s="121">
        <f t="shared" ca="1" si="0"/>
        <v>-22.039705171863545</v>
      </c>
      <c r="C34" s="128">
        <f t="shared" ca="1" si="1"/>
        <v>0</v>
      </c>
    </row>
    <row r="35" spans="1:3" x14ac:dyDescent="0.25">
      <c r="A35" s="125">
        <f t="shared" si="2"/>
        <v>20</v>
      </c>
      <c r="B35" s="121">
        <f t="shared" ca="1" si="0"/>
        <v>92.522683395577673</v>
      </c>
      <c r="C35" s="128">
        <f t="shared" ca="1" si="1"/>
        <v>1</v>
      </c>
    </row>
    <row r="36" spans="1:3" x14ac:dyDescent="0.25">
      <c r="A36" s="125">
        <f t="shared" si="2"/>
        <v>21</v>
      </c>
      <c r="B36" s="121">
        <f t="shared" ca="1" si="0"/>
        <v>91.918637833318257</v>
      </c>
      <c r="C36" s="128">
        <f t="shared" ca="1" si="1"/>
        <v>1</v>
      </c>
    </row>
    <row r="37" spans="1:3" x14ac:dyDescent="0.25">
      <c r="A37" s="125">
        <f t="shared" si="2"/>
        <v>22</v>
      </c>
      <c r="B37" s="121">
        <f t="shared" ca="1" si="0"/>
        <v>13.811562829154227</v>
      </c>
      <c r="C37" s="128">
        <f t="shared" ca="1" si="1"/>
        <v>0</v>
      </c>
    </row>
    <row r="38" spans="1:3" x14ac:dyDescent="0.25">
      <c r="A38" s="125">
        <f t="shared" si="2"/>
        <v>23</v>
      </c>
      <c r="B38" s="121">
        <f t="shared" ca="1" si="0"/>
        <v>57.93497666211789</v>
      </c>
      <c r="C38" s="128">
        <f t="shared" ca="1" si="1"/>
        <v>1</v>
      </c>
    </row>
    <row r="39" spans="1:3" x14ac:dyDescent="0.25">
      <c r="A39" s="125">
        <f t="shared" si="2"/>
        <v>24</v>
      </c>
      <c r="B39" s="121">
        <f t="shared" ca="1" si="0"/>
        <v>11.001608543006267</v>
      </c>
      <c r="C39" s="128">
        <f t="shared" ca="1" si="1"/>
        <v>0</v>
      </c>
    </row>
    <row r="40" spans="1:3" x14ac:dyDescent="0.25">
      <c r="A40" s="125">
        <f t="shared" si="2"/>
        <v>25</v>
      </c>
      <c r="B40" s="121">
        <f t="shared" ca="1" si="0"/>
        <v>-10.46049601889213</v>
      </c>
      <c r="C40" s="128">
        <f t="shared" ca="1" si="1"/>
        <v>0</v>
      </c>
    </row>
    <row r="41" spans="1:3" x14ac:dyDescent="0.25">
      <c r="A41" s="125">
        <f t="shared" si="2"/>
        <v>26</v>
      </c>
      <c r="B41" s="121">
        <f t="shared" ca="1" si="0"/>
        <v>50.732852591681251</v>
      </c>
      <c r="C41" s="128">
        <f t="shared" ca="1" si="1"/>
        <v>1</v>
      </c>
    </row>
    <row r="42" spans="1:3" x14ac:dyDescent="0.25">
      <c r="A42" s="125">
        <f t="shared" si="2"/>
        <v>27</v>
      </c>
      <c r="B42" s="121">
        <f t="shared" ca="1" si="0"/>
        <v>-44.568154515898854</v>
      </c>
      <c r="C42" s="128">
        <f t="shared" ca="1" si="1"/>
        <v>0</v>
      </c>
    </row>
    <row r="43" spans="1:3" x14ac:dyDescent="0.25">
      <c r="A43" s="125">
        <f t="shared" si="2"/>
        <v>28</v>
      </c>
      <c r="B43" s="121">
        <f t="shared" ca="1" si="0"/>
        <v>-37.364287908575804</v>
      </c>
      <c r="C43" s="128">
        <f t="shared" ca="1" si="1"/>
        <v>0</v>
      </c>
    </row>
    <row r="44" spans="1:3" x14ac:dyDescent="0.25">
      <c r="A44" s="125">
        <f t="shared" si="2"/>
        <v>29</v>
      </c>
      <c r="B44" s="121">
        <f t="shared" ca="1" si="0"/>
        <v>42.631086444636786</v>
      </c>
      <c r="C44" s="128">
        <f t="shared" ca="1" si="1"/>
        <v>1</v>
      </c>
    </row>
    <row r="45" spans="1:3" x14ac:dyDescent="0.25">
      <c r="A45" s="125">
        <f t="shared" si="2"/>
        <v>30</v>
      </c>
      <c r="B45" s="121">
        <f t="shared" ca="1" si="0"/>
        <v>46.749535311859731</v>
      </c>
      <c r="C45" s="128">
        <f t="shared" ca="1" si="1"/>
        <v>1</v>
      </c>
    </row>
    <row r="46" spans="1:3" x14ac:dyDescent="0.25">
      <c r="A46" s="125">
        <f t="shared" si="2"/>
        <v>31</v>
      </c>
      <c r="B46" s="121">
        <f t="shared" ca="1" si="0"/>
        <v>80.525701891184468</v>
      </c>
      <c r="C46" s="128">
        <f t="shared" ca="1" si="1"/>
        <v>1</v>
      </c>
    </row>
    <row r="47" spans="1:3" x14ac:dyDescent="0.25">
      <c r="A47" s="125">
        <f t="shared" si="2"/>
        <v>32</v>
      </c>
      <c r="B47" s="121">
        <f t="shared" ca="1" si="0"/>
        <v>106.39254150138035</v>
      </c>
      <c r="C47" s="128">
        <f t="shared" ca="1" si="1"/>
        <v>1</v>
      </c>
    </row>
    <row r="48" spans="1:3" x14ac:dyDescent="0.25">
      <c r="A48" s="125">
        <f t="shared" si="2"/>
        <v>33</v>
      </c>
      <c r="B48" s="121">
        <f t="shared" ca="1" si="0"/>
        <v>87.426829849011284</v>
      </c>
      <c r="C48" s="128">
        <f t="shared" ca="1" si="1"/>
        <v>1</v>
      </c>
    </row>
    <row r="49" spans="1:3" x14ac:dyDescent="0.25">
      <c r="A49" s="125">
        <f t="shared" si="2"/>
        <v>34</v>
      </c>
      <c r="B49" s="121">
        <f t="shared" ca="1" si="0"/>
        <v>86.931742355655047</v>
      </c>
      <c r="C49" s="128">
        <f t="shared" ca="1" si="1"/>
        <v>1</v>
      </c>
    </row>
    <row r="50" spans="1:3" x14ac:dyDescent="0.25">
      <c r="A50" s="125">
        <f t="shared" si="2"/>
        <v>35</v>
      </c>
      <c r="B50" s="121">
        <f t="shared" ca="1" si="0"/>
        <v>22.595977557689913</v>
      </c>
      <c r="C50" s="128">
        <f t="shared" ca="1" si="1"/>
        <v>0</v>
      </c>
    </row>
    <row r="51" spans="1:3" x14ac:dyDescent="0.25">
      <c r="A51" s="125">
        <f t="shared" si="2"/>
        <v>36</v>
      </c>
      <c r="B51" s="121">
        <f t="shared" ca="1" si="0"/>
        <v>45.604884399873633</v>
      </c>
      <c r="C51" s="128">
        <f t="shared" ca="1" si="1"/>
        <v>1</v>
      </c>
    </row>
    <row r="52" spans="1:3" x14ac:dyDescent="0.25">
      <c r="A52" s="125">
        <f t="shared" si="2"/>
        <v>37</v>
      </c>
      <c r="B52" s="121">
        <f t="shared" ca="1" si="0"/>
        <v>-99.118593432443475</v>
      </c>
      <c r="C52" s="128">
        <f t="shared" ca="1" si="1"/>
        <v>0</v>
      </c>
    </row>
    <row r="53" spans="1:3" x14ac:dyDescent="0.25">
      <c r="A53" s="125">
        <f t="shared" si="2"/>
        <v>38</v>
      </c>
      <c r="B53" s="121">
        <f t="shared" ca="1" si="0"/>
        <v>35.366485896710856</v>
      </c>
      <c r="C53" s="128">
        <f t="shared" ca="1" si="1"/>
        <v>1</v>
      </c>
    </row>
    <row r="54" spans="1:3" x14ac:dyDescent="0.25">
      <c r="A54" s="125">
        <f t="shared" si="2"/>
        <v>39</v>
      </c>
      <c r="B54" s="121">
        <f t="shared" ca="1" si="0"/>
        <v>71.808642730393331</v>
      </c>
      <c r="C54" s="128">
        <f t="shared" ca="1" si="1"/>
        <v>1</v>
      </c>
    </row>
    <row r="55" spans="1:3" x14ac:dyDescent="0.25">
      <c r="A55" s="125">
        <f t="shared" si="2"/>
        <v>40</v>
      </c>
      <c r="B55" s="121">
        <f t="shared" ca="1" si="0"/>
        <v>3.9151633214347257</v>
      </c>
      <c r="C55" s="128">
        <f t="shared" ca="1" si="1"/>
        <v>0</v>
      </c>
    </row>
    <row r="56" spans="1:3" x14ac:dyDescent="0.25">
      <c r="A56" s="125">
        <f t="shared" si="2"/>
        <v>41</v>
      </c>
      <c r="B56" s="121">
        <f t="shared" ca="1" si="0"/>
        <v>-19.630889191108878</v>
      </c>
      <c r="C56" s="128">
        <f t="shared" ca="1" si="1"/>
        <v>0</v>
      </c>
    </row>
    <row r="57" spans="1:3" x14ac:dyDescent="0.25">
      <c r="A57" s="125">
        <f t="shared" si="2"/>
        <v>42</v>
      </c>
      <c r="B57" s="121">
        <f t="shared" ca="1" si="0"/>
        <v>56.579586490862688</v>
      </c>
      <c r="C57" s="128">
        <f t="shared" ca="1" si="1"/>
        <v>1</v>
      </c>
    </row>
    <row r="58" spans="1:3" x14ac:dyDescent="0.25">
      <c r="A58" s="125">
        <f t="shared" si="2"/>
        <v>43</v>
      </c>
      <c r="B58" s="121">
        <f t="shared" ca="1" si="0"/>
        <v>69.147988281830507</v>
      </c>
      <c r="C58" s="128">
        <f t="shared" ca="1" si="1"/>
        <v>1</v>
      </c>
    </row>
    <row r="59" spans="1:3" x14ac:dyDescent="0.25">
      <c r="A59" s="125">
        <f t="shared" si="2"/>
        <v>44</v>
      </c>
      <c r="B59" s="121">
        <f t="shared" ca="1" si="0"/>
        <v>-60.021382572409422</v>
      </c>
      <c r="C59" s="128">
        <f t="shared" ca="1" si="1"/>
        <v>0</v>
      </c>
    </row>
    <row r="60" spans="1:3" x14ac:dyDescent="0.25">
      <c r="A60" s="125">
        <f t="shared" si="2"/>
        <v>45</v>
      </c>
      <c r="B60" s="121">
        <f t="shared" ca="1" si="0"/>
        <v>-53.150985956705355</v>
      </c>
      <c r="C60" s="128">
        <f t="shared" ca="1" si="1"/>
        <v>0</v>
      </c>
    </row>
    <row r="61" spans="1:3" x14ac:dyDescent="0.25">
      <c r="A61" s="125">
        <f t="shared" si="2"/>
        <v>46</v>
      </c>
      <c r="B61" s="121">
        <f t="shared" ca="1" si="0"/>
        <v>21.209820791454618</v>
      </c>
      <c r="C61" s="128">
        <f t="shared" ca="1" si="1"/>
        <v>0</v>
      </c>
    </row>
    <row r="62" spans="1:3" x14ac:dyDescent="0.25">
      <c r="A62" s="125">
        <f t="shared" si="2"/>
        <v>47</v>
      </c>
      <c r="B62" s="121">
        <f t="shared" ca="1" si="0"/>
        <v>43.822842336605035</v>
      </c>
      <c r="C62" s="128">
        <f t="shared" ca="1" si="1"/>
        <v>1</v>
      </c>
    </row>
    <row r="63" spans="1:3" x14ac:dyDescent="0.25">
      <c r="A63" s="125">
        <f t="shared" si="2"/>
        <v>48</v>
      </c>
      <c r="B63" s="121">
        <f t="shared" ca="1" si="0"/>
        <v>19.209341864190883</v>
      </c>
      <c r="C63" s="128">
        <f t="shared" ca="1" si="1"/>
        <v>0</v>
      </c>
    </row>
    <row r="64" spans="1:3" x14ac:dyDescent="0.25">
      <c r="A64" s="125">
        <f t="shared" si="2"/>
        <v>49</v>
      </c>
      <c r="B64" s="121">
        <f t="shared" ca="1" si="0"/>
        <v>29.387679732712044</v>
      </c>
      <c r="C64" s="128">
        <f t="shared" ca="1" si="1"/>
        <v>1</v>
      </c>
    </row>
    <row r="65" spans="1:3" x14ac:dyDescent="0.25">
      <c r="A65" s="125">
        <f t="shared" si="2"/>
        <v>50</v>
      </c>
      <c r="B65" s="121">
        <f t="shared" ca="1" si="0"/>
        <v>34.197802861872354</v>
      </c>
      <c r="C65" s="128">
        <f t="shared" ca="1" si="1"/>
        <v>1</v>
      </c>
    </row>
    <row r="66" spans="1:3" x14ac:dyDescent="0.25">
      <c r="A66" s="125">
        <f t="shared" si="2"/>
        <v>51</v>
      </c>
      <c r="B66" s="121">
        <f t="shared" ca="1" si="0"/>
        <v>-24.231251597652246</v>
      </c>
      <c r="C66" s="128">
        <f t="shared" ca="1" si="1"/>
        <v>0</v>
      </c>
    </row>
    <row r="67" spans="1:3" x14ac:dyDescent="0.25">
      <c r="A67" s="125">
        <f t="shared" si="2"/>
        <v>52</v>
      </c>
      <c r="B67" s="121">
        <f t="shared" ca="1" si="0"/>
        <v>104.49201627762255</v>
      </c>
      <c r="C67" s="128">
        <f t="shared" ca="1" si="1"/>
        <v>1</v>
      </c>
    </row>
    <row r="68" spans="1:3" x14ac:dyDescent="0.25">
      <c r="A68" s="125">
        <f t="shared" si="2"/>
        <v>53</v>
      </c>
      <c r="B68" s="121">
        <f t="shared" ca="1" si="0"/>
        <v>83.574602475034055</v>
      </c>
      <c r="C68" s="128">
        <f t="shared" ca="1" si="1"/>
        <v>1</v>
      </c>
    </row>
    <row r="69" spans="1:3" x14ac:dyDescent="0.25">
      <c r="A69" s="125">
        <f t="shared" si="2"/>
        <v>54</v>
      </c>
      <c r="B69" s="121">
        <f t="shared" ca="1" si="0"/>
        <v>92.433900349364819</v>
      </c>
      <c r="C69" s="128">
        <f t="shared" ca="1" si="1"/>
        <v>1</v>
      </c>
    </row>
    <row r="70" spans="1:3" x14ac:dyDescent="0.25">
      <c r="A70" s="125">
        <f t="shared" si="2"/>
        <v>55</v>
      </c>
      <c r="B70" s="121">
        <f t="shared" ca="1" si="0"/>
        <v>10.008769142693929</v>
      </c>
      <c r="C70" s="128">
        <f t="shared" ca="1" si="1"/>
        <v>0</v>
      </c>
    </row>
    <row r="71" spans="1:3" x14ac:dyDescent="0.25">
      <c r="A71" s="125">
        <f t="shared" si="2"/>
        <v>56</v>
      </c>
      <c r="B71" s="121">
        <f t="shared" ca="1" si="0"/>
        <v>-29.563693984961418</v>
      </c>
      <c r="C71" s="128">
        <f t="shared" ca="1" si="1"/>
        <v>0</v>
      </c>
    </row>
    <row r="72" spans="1:3" x14ac:dyDescent="0.25">
      <c r="A72" s="125">
        <f t="shared" si="2"/>
        <v>57</v>
      </c>
      <c r="B72" s="121">
        <f t="shared" ca="1" si="0"/>
        <v>38.601480615887368</v>
      </c>
      <c r="C72" s="128">
        <f t="shared" ca="1" si="1"/>
        <v>1</v>
      </c>
    </row>
    <row r="73" spans="1:3" x14ac:dyDescent="0.25">
      <c r="A73" s="125">
        <f t="shared" si="2"/>
        <v>58</v>
      </c>
      <c r="B73" s="121">
        <f t="shared" ca="1" si="0"/>
        <v>15.336716839479728</v>
      </c>
      <c r="C73" s="128">
        <f t="shared" ca="1" si="1"/>
        <v>0</v>
      </c>
    </row>
    <row r="74" spans="1:3" x14ac:dyDescent="0.25">
      <c r="A74" s="125">
        <f t="shared" si="2"/>
        <v>59</v>
      </c>
      <c r="B74" s="121">
        <f t="shared" ca="1" si="0"/>
        <v>156.49222185890488</v>
      </c>
      <c r="C74" s="128">
        <f t="shared" ca="1" si="1"/>
        <v>1</v>
      </c>
    </row>
    <row r="75" spans="1:3" x14ac:dyDescent="0.25">
      <c r="A75" s="125">
        <f t="shared" si="2"/>
        <v>60</v>
      </c>
      <c r="B75" s="121">
        <f t="shared" ca="1" si="0"/>
        <v>68.874276362570498</v>
      </c>
      <c r="C75" s="128">
        <f t="shared" ca="1" si="1"/>
        <v>1</v>
      </c>
    </row>
    <row r="76" spans="1:3" x14ac:dyDescent="0.25">
      <c r="A76" s="125">
        <f t="shared" si="2"/>
        <v>61</v>
      </c>
      <c r="B76" s="121">
        <f t="shared" ca="1" si="0"/>
        <v>57.399647796529138</v>
      </c>
      <c r="C76" s="128">
        <f t="shared" ca="1" si="1"/>
        <v>1</v>
      </c>
    </row>
    <row r="77" spans="1:3" x14ac:dyDescent="0.25">
      <c r="A77" s="125">
        <f t="shared" si="2"/>
        <v>62</v>
      </c>
      <c r="B77" s="121">
        <f t="shared" ca="1" si="0"/>
        <v>2.8055130491910205</v>
      </c>
      <c r="C77" s="128">
        <f t="shared" ca="1" si="1"/>
        <v>0</v>
      </c>
    </row>
    <row r="78" spans="1:3" x14ac:dyDescent="0.25">
      <c r="A78" s="125">
        <f t="shared" si="2"/>
        <v>63</v>
      </c>
      <c r="B78" s="121">
        <f t="shared" ca="1" si="0"/>
        <v>84.952025557932686</v>
      </c>
      <c r="C78" s="128">
        <f t="shared" ca="1" si="1"/>
        <v>1</v>
      </c>
    </row>
    <row r="79" spans="1:3" x14ac:dyDescent="0.25">
      <c r="A79" s="125">
        <f t="shared" si="2"/>
        <v>64</v>
      </c>
      <c r="B79" s="121">
        <f t="shared" ca="1" si="0"/>
        <v>36.366609115215347</v>
      </c>
      <c r="C79" s="128">
        <f t="shared" ca="1" si="1"/>
        <v>1</v>
      </c>
    </row>
    <row r="80" spans="1:3" x14ac:dyDescent="0.25">
      <c r="A80" s="125">
        <f t="shared" si="2"/>
        <v>65</v>
      </c>
      <c r="B80" s="121">
        <f t="shared" ca="1" si="0"/>
        <v>-68.722400915787503</v>
      </c>
      <c r="C80" s="128">
        <f t="shared" ca="1" si="1"/>
        <v>0</v>
      </c>
    </row>
    <row r="81" spans="1:3" x14ac:dyDescent="0.25">
      <c r="A81" s="125">
        <f t="shared" si="2"/>
        <v>66</v>
      </c>
      <c r="B81" s="121">
        <f t="shared" ref="B81:B144" ca="1" si="3">_xlfn.NORM.INV(RAND(), $B$9, $B$10)</f>
        <v>24.818543190000053</v>
      </c>
      <c r="C81" s="128">
        <f t="shared" ref="C81:C144" ca="1" si="4">IF(B81 &gt;= $B$11, 1, 0)</f>
        <v>0</v>
      </c>
    </row>
    <row r="82" spans="1:3" x14ac:dyDescent="0.25">
      <c r="A82" s="125">
        <f t="shared" ref="A82:A145" si="5">+A81+1</f>
        <v>67</v>
      </c>
      <c r="B82" s="121">
        <f t="shared" ca="1" si="3"/>
        <v>88.05987297365553</v>
      </c>
      <c r="C82" s="128">
        <f t="shared" ca="1" si="4"/>
        <v>1</v>
      </c>
    </row>
    <row r="83" spans="1:3" x14ac:dyDescent="0.25">
      <c r="A83" s="125">
        <f t="shared" si="5"/>
        <v>68</v>
      </c>
      <c r="B83" s="121">
        <f t="shared" ca="1" si="3"/>
        <v>113.78958220219448</v>
      </c>
      <c r="C83" s="128">
        <f t="shared" ca="1" si="4"/>
        <v>1</v>
      </c>
    </row>
    <row r="84" spans="1:3" x14ac:dyDescent="0.25">
      <c r="A84" s="125">
        <f t="shared" si="5"/>
        <v>69</v>
      </c>
      <c r="B84" s="121">
        <f t="shared" ca="1" si="3"/>
        <v>16.375129865479291</v>
      </c>
      <c r="C84" s="128">
        <f t="shared" ca="1" si="4"/>
        <v>0</v>
      </c>
    </row>
    <row r="85" spans="1:3" x14ac:dyDescent="0.25">
      <c r="A85" s="125">
        <f t="shared" si="5"/>
        <v>70</v>
      </c>
      <c r="B85" s="121">
        <f t="shared" ca="1" si="3"/>
        <v>17.136160127864724</v>
      </c>
      <c r="C85" s="128">
        <f t="shared" ca="1" si="4"/>
        <v>0</v>
      </c>
    </row>
    <row r="86" spans="1:3" x14ac:dyDescent="0.25">
      <c r="A86" s="125">
        <f t="shared" si="5"/>
        <v>71</v>
      </c>
      <c r="B86" s="121">
        <f t="shared" ca="1" si="3"/>
        <v>-49.49429217841643</v>
      </c>
      <c r="C86" s="128">
        <f t="shared" ca="1" si="4"/>
        <v>0</v>
      </c>
    </row>
    <row r="87" spans="1:3" x14ac:dyDescent="0.25">
      <c r="A87" s="125">
        <f t="shared" si="5"/>
        <v>72</v>
      </c>
      <c r="B87" s="121">
        <f t="shared" ca="1" si="3"/>
        <v>52.914081700666486</v>
      </c>
      <c r="C87" s="128">
        <f t="shared" ca="1" si="4"/>
        <v>1</v>
      </c>
    </row>
    <row r="88" spans="1:3" x14ac:dyDescent="0.25">
      <c r="A88" s="125">
        <f t="shared" si="5"/>
        <v>73</v>
      </c>
      <c r="B88" s="121">
        <f t="shared" ca="1" si="3"/>
        <v>103.82135037705277</v>
      </c>
      <c r="C88" s="128">
        <f t="shared" ca="1" si="4"/>
        <v>1</v>
      </c>
    </row>
    <row r="89" spans="1:3" x14ac:dyDescent="0.25">
      <c r="A89" s="125">
        <f t="shared" si="5"/>
        <v>74</v>
      </c>
      <c r="B89" s="121">
        <f t="shared" ca="1" si="3"/>
        <v>76.116776080378912</v>
      </c>
      <c r="C89" s="128">
        <f t="shared" ca="1" si="4"/>
        <v>1</v>
      </c>
    </row>
    <row r="90" spans="1:3" x14ac:dyDescent="0.25">
      <c r="A90" s="125">
        <f t="shared" si="5"/>
        <v>75</v>
      </c>
      <c r="B90" s="121">
        <f t="shared" ca="1" si="3"/>
        <v>33.766142387039295</v>
      </c>
      <c r="C90" s="128">
        <f t="shared" ca="1" si="4"/>
        <v>1</v>
      </c>
    </row>
    <row r="91" spans="1:3" x14ac:dyDescent="0.25">
      <c r="A91" s="125">
        <f t="shared" si="5"/>
        <v>76</v>
      </c>
      <c r="B91" s="121">
        <f t="shared" ca="1" si="3"/>
        <v>-64.426630935805463</v>
      </c>
      <c r="C91" s="128">
        <f t="shared" ca="1" si="4"/>
        <v>0</v>
      </c>
    </row>
    <row r="92" spans="1:3" x14ac:dyDescent="0.25">
      <c r="A92" s="125">
        <f t="shared" si="5"/>
        <v>77</v>
      </c>
      <c r="B92" s="121">
        <f t="shared" ca="1" si="3"/>
        <v>-27.018145240468357</v>
      </c>
      <c r="C92" s="128">
        <f t="shared" ca="1" si="4"/>
        <v>0</v>
      </c>
    </row>
    <row r="93" spans="1:3" x14ac:dyDescent="0.25">
      <c r="A93" s="125">
        <f t="shared" si="5"/>
        <v>78</v>
      </c>
      <c r="B93" s="121">
        <f t="shared" ca="1" si="3"/>
        <v>-18.430179942301947</v>
      </c>
      <c r="C93" s="128">
        <f t="shared" ca="1" si="4"/>
        <v>0</v>
      </c>
    </row>
    <row r="94" spans="1:3" x14ac:dyDescent="0.25">
      <c r="A94" s="125">
        <f t="shared" si="5"/>
        <v>79</v>
      </c>
      <c r="B94" s="121">
        <f t="shared" ca="1" si="3"/>
        <v>20.954241578859996</v>
      </c>
      <c r="C94" s="128">
        <f t="shared" ca="1" si="4"/>
        <v>0</v>
      </c>
    </row>
    <row r="95" spans="1:3" x14ac:dyDescent="0.25">
      <c r="A95" s="125">
        <f t="shared" si="5"/>
        <v>80</v>
      </c>
      <c r="B95" s="121">
        <f t="shared" ca="1" si="3"/>
        <v>-21.784434490096068</v>
      </c>
      <c r="C95" s="128">
        <f t="shared" ca="1" si="4"/>
        <v>0</v>
      </c>
    </row>
    <row r="96" spans="1:3" x14ac:dyDescent="0.25">
      <c r="A96" s="125">
        <f t="shared" si="5"/>
        <v>81</v>
      </c>
      <c r="B96" s="121">
        <f t="shared" ca="1" si="3"/>
        <v>-0.73999667764570631</v>
      </c>
      <c r="C96" s="128">
        <f t="shared" ca="1" si="4"/>
        <v>0</v>
      </c>
    </row>
    <row r="97" spans="1:3" x14ac:dyDescent="0.25">
      <c r="A97" s="125">
        <f t="shared" si="5"/>
        <v>82</v>
      </c>
      <c r="B97" s="121">
        <f t="shared" ca="1" si="3"/>
        <v>40.913022770600065</v>
      </c>
      <c r="C97" s="128">
        <f t="shared" ca="1" si="4"/>
        <v>1</v>
      </c>
    </row>
    <row r="98" spans="1:3" x14ac:dyDescent="0.25">
      <c r="A98" s="125">
        <f t="shared" si="5"/>
        <v>83</v>
      </c>
      <c r="B98" s="121">
        <f t="shared" ca="1" si="3"/>
        <v>134.20141447214655</v>
      </c>
      <c r="C98" s="128">
        <f t="shared" ca="1" si="4"/>
        <v>1</v>
      </c>
    </row>
    <row r="99" spans="1:3" x14ac:dyDescent="0.25">
      <c r="A99" s="125">
        <f t="shared" si="5"/>
        <v>84</v>
      </c>
      <c r="B99" s="121">
        <f t="shared" ca="1" si="3"/>
        <v>32.300717553946285</v>
      </c>
      <c r="C99" s="128">
        <f t="shared" ca="1" si="4"/>
        <v>1</v>
      </c>
    </row>
    <row r="100" spans="1:3" x14ac:dyDescent="0.25">
      <c r="A100" s="125">
        <f t="shared" si="5"/>
        <v>85</v>
      </c>
      <c r="B100" s="121">
        <f t="shared" ca="1" si="3"/>
        <v>92.146809522712459</v>
      </c>
      <c r="C100" s="128">
        <f t="shared" ca="1" si="4"/>
        <v>1</v>
      </c>
    </row>
    <row r="101" spans="1:3" x14ac:dyDescent="0.25">
      <c r="A101" s="125">
        <f t="shared" si="5"/>
        <v>86</v>
      </c>
      <c r="B101" s="121">
        <f t="shared" ca="1" si="3"/>
        <v>75.836819458336507</v>
      </c>
      <c r="C101" s="128">
        <f t="shared" ca="1" si="4"/>
        <v>1</v>
      </c>
    </row>
    <row r="102" spans="1:3" x14ac:dyDescent="0.25">
      <c r="A102" s="125">
        <f t="shared" si="5"/>
        <v>87</v>
      </c>
      <c r="B102" s="121">
        <f t="shared" ca="1" si="3"/>
        <v>113.14178629819358</v>
      </c>
      <c r="C102" s="128">
        <f t="shared" ca="1" si="4"/>
        <v>1</v>
      </c>
    </row>
    <row r="103" spans="1:3" x14ac:dyDescent="0.25">
      <c r="A103" s="125">
        <f t="shared" si="5"/>
        <v>88</v>
      </c>
      <c r="B103" s="121">
        <f t="shared" ca="1" si="3"/>
        <v>32.32140320994688</v>
      </c>
      <c r="C103" s="128">
        <f t="shared" ca="1" si="4"/>
        <v>1</v>
      </c>
    </row>
    <row r="104" spans="1:3" x14ac:dyDescent="0.25">
      <c r="A104" s="125">
        <f t="shared" si="5"/>
        <v>89</v>
      </c>
      <c r="B104" s="121">
        <f t="shared" ca="1" si="3"/>
        <v>141.46722517178057</v>
      </c>
      <c r="C104" s="128">
        <f t="shared" ca="1" si="4"/>
        <v>1</v>
      </c>
    </row>
    <row r="105" spans="1:3" x14ac:dyDescent="0.25">
      <c r="A105" s="125">
        <f t="shared" si="5"/>
        <v>90</v>
      </c>
      <c r="B105" s="121">
        <f t="shared" ca="1" si="3"/>
        <v>41.277296135121823</v>
      </c>
      <c r="C105" s="128">
        <f t="shared" ca="1" si="4"/>
        <v>1</v>
      </c>
    </row>
    <row r="106" spans="1:3" x14ac:dyDescent="0.25">
      <c r="A106" s="125">
        <f t="shared" si="5"/>
        <v>91</v>
      </c>
      <c r="B106" s="121">
        <f t="shared" ca="1" si="3"/>
        <v>37.522254011344081</v>
      </c>
      <c r="C106" s="128">
        <f t="shared" ca="1" si="4"/>
        <v>1</v>
      </c>
    </row>
    <row r="107" spans="1:3" x14ac:dyDescent="0.25">
      <c r="A107" s="125">
        <f t="shared" si="5"/>
        <v>92</v>
      </c>
      <c r="B107" s="121">
        <f t="shared" ca="1" si="3"/>
        <v>-2.0214457767161846</v>
      </c>
      <c r="C107" s="128">
        <f t="shared" ca="1" si="4"/>
        <v>0</v>
      </c>
    </row>
    <row r="108" spans="1:3" x14ac:dyDescent="0.25">
      <c r="A108" s="125">
        <f t="shared" si="5"/>
        <v>93</v>
      </c>
      <c r="B108" s="121">
        <f t="shared" ca="1" si="3"/>
        <v>56.903063305613713</v>
      </c>
      <c r="C108" s="128">
        <f t="shared" ca="1" si="4"/>
        <v>1</v>
      </c>
    </row>
    <row r="109" spans="1:3" x14ac:dyDescent="0.25">
      <c r="A109" s="125">
        <f t="shared" si="5"/>
        <v>94</v>
      </c>
      <c r="B109" s="121">
        <f t="shared" ca="1" si="3"/>
        <v>44.167334873080179</v>
      </c>
      <c r="C109" s="128">
        <f t="shared" ca="1" si="4"/>
        <v>1</v>
      </c>
    </row>
    <row r="110" spans="1:3" x14ac:dyDescent="0.25">
      <c r="A110" s="125">
        <f t="shared" si="5"/>
        <v>95</v>
      </c>
      <c r="B110" s="121">
        <f t="shared" ca="1" si="3"/>
        <v>-44.640502980040466</v>
      </c>
      <c r="C110" s="128">
        <f t="shared" ca="1" si="4"/>
        <v>0</v>
      </c>
    </row>
    <row r="111" spans="1:3" x14ac:dyDescent="0.25">
      <c r="A111" s="125">
        <f t="shared" si="5"/>
        <v>96</v>
      </c>
      <c r="B111" s="121">
        <f t="shared" ca="1" si="3"/>
        <v>0.10607338652655329</v>
      </c>
      <c r="C111" s="128">
        <f t="shared" ca="1" si="4"/>
        <v>0</v>
      </c>
    </row>
    <row r="112" spans="1:3" x14ac:dyDescent="0.25">
      <c r="A112" s="125">
        <f t="shared" si="5"/>
        <v>97</v>
      </c>
      <c r="B112" s="121">
        <f t="shared" ca="1" si="3"/>
        <v>97.991015095977843</v>
      </c>
      <c r="C112" s="128">
        <f t="shared" ca="1" si="4"/>
        <v>1</v>
      </c>
    </row>
    <row r="113" spans="1:3" x14ac:dyDescent="0.25">
      <c r="A113" s="125">
        <f t="shared" si="5"/>
        <v>98</v>
      </c>
      <c r="B113" s="121">
        <f t="shared" ca="1" si="3"/>
        <v>69.176830696751665</v>
      </c>
      <c r="C113" s="128">
        <f t="shared" ca="1" si="4"/>
        <v>1</v>
      </c>
    </row>
    <row r="114" spans="1:3" x14ac:dyDescent="0.25">
      <c r="A114" s="125">
        <f t="shared" si="5"/>
        <v>99</v>
      </c>
      <c r="B114" s="121">
        <f t="shared" ca="1" si="3"/>
        <v>-37.131160266366663</v>
      </c>
      <c r="C114" s="128">
        <f t="shared" ca="1" si="4"/>
        <v>0</v>
      </c>
    </row>
    <row r="115" spans="1:3" x14ac:dyDescent="0.25">
      <c r="A115" s="125">
        <f t="shared" si="5"/>
        <v>100</v>
      </c>
      <c r="B115" s="121">
        <f t="shared" ca="1" si="3"/>
        <v>-39.203080460627717</v>
      </c>
      <c r="C115" s="128">
        <f t="shared" ca="1" si="4"/>
        <v>0</v>
      </c>
    </row>
    <row r="116" spans="1:3" x14ac:dyDescent="0.25">
      <c r="A116" s="125">
        <f t="shared" si="5"/>
        <v>101</v>
      </c>
      <c r="B116" s="121">
        <f t="shared" ca="1" si="3"/>
        <v>-43.128556862025889</v>
      </c>
      <c r="C116" s="128">
        <f t="shared" ca="1" si="4"/>
        <v>0</v>
      </c>
    </row>
    <row r="117" spans="1:3" x14ac:dyDescent="0.25">
      <c r="A117" s="125">
        <f t="shared" si="5"/>
        <v>102</v>
      </c>
      <c r="B117" s="121">
        <f t="shared" ca="1" si="3"/>
        <v>41.706233088433592</v>
      </c>
      <c r="C117" s="128">
        <f t="shared" ca="1" si="4"/>
        <v>1</v>
      </c>
    </row>
    <row r="118" spans="1:3" x14ac:dyDescent="0.25">
      <c r="A118" s="125">
        <f t="shared" si="5"/>
        <v>103</v>
      </c>
      <c r="B118" s="121">
        <f t="shared" ca="1" si="3"/>
        <v>75.495556729005301</v>
      </c>
      <c r="C118" s="128">
        <f t="shared" ca="1" si="4"/>
        <v>1</v>
      </c>
    </row>
    <row r="119" spans="1:3" x14ac:dyDescent="0.25">
      <c r="A119" s="125">
        <f t="shared" si="5"/>
        <v>104</v>
      </c>
      <c r="B119" s="121">
        <f t="shared" ca="1" si="3"/>
        <v>116.16879383779171</v>
      </c>
      <c r="C119" s="128">
        <f t="shared" ca="1" si="4"/>
        <v>1</v>
      </c>
    </row>
    <row r="120" spans="1:3" x14ac:dyDescent="0.25">
      <c r="A120" s="125">
        <f t="shared" si="5"/>
        <v>105</v>
      </c>
      <c r="B120" s="121">
        <f t="shared" ca="1" si="3"/>
        <v>30.739797233499139</v>
      </c>
      <c r="C120" s="128">
        <f t="shared" ca="1" si="4"/>
        <v>1</v>
      </c>
    </row>
    <row r="121" spans="1:3" x14ac:dyDescent="0.25">
      <c r="A121" s="125">
        <f t="shared" si="5"/>
        <v>106</v>
      </c>
      <c r="B121" s="121">
        <f t="shared" ca="1" si="3"/>
        <v>42.742761108278302</v>
      </c>
      <c r="C121" s="128">
        <f t="shared" ca="1" si="4"/>
        <v>1</v>
      </c>
    </row>
    <row r="122" spans="1:3" x14ac:dyDescent="0.25">
      <c r="A122" s="125">
        <f t="shared" si="5"/>
        <v>107</v>
      </c>
      <c r="B122" s="121">
        <f t="shared" ca="1" si="3"/>
        <v>-43.732028590709604</v>
      </c>
      <c r="C122" s="128">
        <f t="shared" ca="1" si="4"/>
        <v>0</v>
      </c>
    </row>
    <row r="123" spans="1:3" x14ac:dyDescent="0.25">
      <c r="A123" s="125">
        <f t="shared" si="5"/>
        <v>108</v>
      </c>
      <c r="B123" s="121">
        <f t="shared" ca="1" si="3"/>
        <v>16.252246544569847</v>
      </c>
      <c r="C123" s="128">
        <f t="shared" ca="1" si="4"/>
        <v>0</v>
      </c>
    </row>
    <row r="124" spans="1:3" x14ac:dyDescent="0.25">
      <c r="A124" s="125">
        <f t="shared" si="5"/>
        <v>109</v>
      </c>
      <c r="B124" s="121">
        <f t="shared" ca="1" si="3"/>
        <v>106.68973472018423</v>
      </c>
      <c r="C124" s="128">
        <f t="shared" ca="1" si="4"/>
        <v>1</v>
      </c>
    </row>
    <row r="125" spans="1:3" x14ac:dyDescent="0.25">
      <c r="A125" s="125">
        <f t="shared" si="5"/>
        <v>110</v>
      </c>
      <c r="B125" s="121">
        <f t="shared" ca="1" si="3"/>
        <v>44.762059230437302</v>
      </c>
      <c r="C125" s="128">
        <f t="shared" ca="1" si="4"/>
        <v>1</v>
      </c>
    </row>
    <row r="126" spans="1:3" x14ac:dyDescent="0.25">
      <c r="A126" s="125">
        <f t="shared" si="5"/>
        <v>111</v>
      </c>
      <c r="B126" s="121">
        <f t="shared" ca="1" si="3"/>
        <v>8.6950029868547283</v>
      </c>
      <c r="C126" s="128">
        <f t="shared" ca="1" si="4"/>
        <v>0</v>
      </c>
    </row>
    <row r="127" spans="1:3" x14ac:dyDescent="0.25">
      <c r="A127" s="125">
        <f t="shared" si="5"/>
        <v>112</v>
      </c>
      <c r="B127" s="121">
        <f t="shared" ca="1" si="3"/>
        <v>19.960374635025406</v>
      </c>
      <c r="C127" s="128">
        <f t="shared" ca="1" si="4"/>
        <v>0</v>
      </c>
    </row>
    <row r="128" spans="1:3" x14ac:dyDescent="0.25">
      <c r="A128" s="125">
        <f t="shared" si="5"/>
        <v>113</v>
      </c>
      <c r="B128" s="121">
        <f t="shared" ca="1" si="3"/>
        <v>17.573499054468876</v>
      </c>
      <c r="C128" s="128">
        <f t="shared" ca="1" si="4"/>
        <v>0</v>
      </c>
    </row>
    <row r="129" spans="1:3" x14ac:dyDescent="0.25">
      <c r="A129" s="125">
        <f t="shared" si="5"/>
        <v>114</v>
      </c>
      <c r="B129" s="121">
        <f t="shared" ca="1" si="3"/>
        <v>-31.869831464694443</v>
      </c>
      <c r="C129" s="128">
        <f t="shared" ca="1" si="4"/>
        <v>0</v>
      </c>
    </row>
    <row r="130" spans="1:3" x14ac:dyDescent="0.25">
      <c r="A130" s="125">
        <f t="shared" si="5"/>
        <v>115</v>
      </c>
      <c r="B130" s="121">
        <f t="shared" ca="1" si="3"/>
        <v>64.495139524608163</v>
      </c>
      <c r="C130" s="128">
        <f t="shared" ca="1" si="4"/>
        <v>1</v>
      </c>
    </row>
    <row r="131" spans="1:3" x14ac:dyDescent="0.25">
      <c r="A131" s="125">
        <f t="shared" si="5"/>
        <v>116</v>
      </c>
      <c r="B131" s="121">
        <f t="shared" ca="1" si="3"/>
        <v>-13.622447776885913</v>
      </c>
      <c r="C131" s="128">
        <f t="shared" ca="1" si="4"/>
        <v>0</v>
      </c>
    </row>
    <row r="132" spans="1:3" x14ac:dyDescent="0.25">
      <c r="A132" s="125">
        <f t="shared" si="5"/>
        <v>117</v>
      </c>
      <c r="B132" s="121">
        <f t="shared" ca="1" si="3"/>
        <v>111.1130037131984</v>
      </c>
      <c r="C132" s="128">
        <f t="shared" ca="1" si="4"/>
        <v>1</v>
      </c>
    </row>
    <row r="133" spans="1:3" x14ac:dyDescent="0.25">
      <c r="A133" s="125">
        <f t="shared" si="5"/>
        <v>118</v>
      </c>
      <c r="B133" s="121">
        <f t="shared" ca="1" si="3"/>
        <v>30.442327811821464</v>
      </c>
      <c r="C133" s="128">
        <f t="shared" ca="1" si="4"/>
        <v>1</v>
      </c>
    </row>
    <row r="134" spans="1:3" x14ac:dyDescent="0.25">
      <c r="A134" s="125">
        <f t="shared" si="5"/>
        <v>119</v>
      </c>
      <c r="B134" s="121">
        <f t="shared" ca="1" si="3"/>
        <v>88.226084858975725</v>
      </c>
      <c r="C134" s="128">
        <f t="shared" ca="1" si="4"/>
        <v>1</v>
      </c>
    </row>
    <row r="135" spans="1:3" x14ac:dyDescent="0.25">
      <c r="A135" s="125">
        <f t="shared" si="5"/>
        <v>120</v>
      </c>
      <c r="B135" s="121">
        <f t="shared" ca="1" si="3"/>
        <v>-0.8997546482993144</v>
      </c>
      <c r="C135" s="128">
        <f t="shared" ca="1" si="4"/>
        <v>0</v>
      </c>
    </row>
    <row r="136" spans="1:3" x14ac:dyDescent="0.25">
      <c r="A136" s="125">
        <f t="shared" si="5"/>
        <v>121</v>
      </c>
      <c r="B136" s="121">
        <f t="shared" ca="1" si="3"/>
        <v>40.94806974327755</v>
      </c>
      <c r="C136" s="128">
        <f t="shared" ca="1" si="4"/>
        <v>1</v>
      </c>
    </row>
    <row r="137" spans="1:3" x14ac:dyDescent="0.25">
      <c r="A137" s="125">
        <f t="shared" si="5"/>
        <v>122</v>
      </c>
      <c r="B137" s="121">
        <f t="shared" ca="1" si="3"/>
        <v>-32.293806290916038</v>
      </c>
      <c r="C137" s="128">
        <f t="shared" ca="1" si="4"/>
        <v>0</v>
      </c>
    </row>
    <row r="138" spans="1:3" x14ac:dyDescent="0.25">
      <c r="A138" s="125">
        <f t="shared" si="5"/>
        <v>123</v>
      </c>
      <c r="B138" s="121">
        <f t="shared" ca="1" si="3"/>
        <v>61.570491719980254</v>
      </c>
      <c r="C138" s="128">
        <f t="shared" ca="1" si="4"/>
        <v>1</v>
      </c>
    </row>
    <row r="139" spans="1:3" x14ac:dyDescent="0.25">
      <c r="A139" s="125">
        <f t="shared" si="5"/>
        <v>124</v>
      </c>
      <c r="B139" s="121">
        <f t="shared" ca="1" si="3"/>
        <v>20.07366811301052</v>
      </c>
      <c r="C139" s="128">
        <f t="shared" ca="1" si="4"/>
        <v>0</v>
      </c>
    </row>
    <row r="140" spans="1:3" x14ac:dyDescent="0.25">
      <c r="A140" s="125">
        <f t="shared" si="5"/>
        <v>125</v>
      </c>
      <c r="B140" s="121">
        <f t="shared" ca="1" si="3"/>
        <v>70.047687529267392</v>
      </c>
      <c r="C140" s="128">
        <f t="shared" ca="1" si="4"/>
        <v>1</v>
      </c>
    </row>
    <row r="141" spans="1:3" x14ac:dyDescent="0.25">
      <c r="A141" s="125">
        <f t="shared" si="5"/>
        <v>126</v>
      </c>
      <c r="B141" s="121">
        <f t="shared" ca="1" si="3"/>
        <v>31.604279696856995</v>
      </c>
      <c r="C141" s="128">
        <f t="shared" ca="1" si="4"/>
        <v>1</v>
      </c>
    </row>
    <row r="142" spans="1:3" x14ac:dyDescent="0.25">
      <c r="A142" s="125">
        <f t="shared" si="5"/>
        <v>127</v>
      </c>
      <c r="B142" s="121">
        <f t="shared" ca="1" si="3"/>
        <v>88.52054782501456</v>
      </c>
      <c r="C142" s="128">
        <f t="shared" ca="1" si="4"/>
        <v>1</v>
      </c>
    </row>
    <row r="143" spans="1:3" x14ac:dyDescent="0.25">
      <c r="A143" s="125">
        <f t="shared" si="5"/>
        <v>128</v>
      </c>
      <c r="B143" s="121">
        <f t="shared" ca="1" si="3"/>
        <v>168.68666010353593</v>
      </c>
      <c r="C143" s="128">
        <f t="shared" ca="1" si="4"/>
        <v>1</v>
      </c>
    </row>
    <row r="144" spans="1:3" x14ac:dyDescent="0.25">
      <c r="A144" s="125">
        <f t="shared" si="5"/>
        <v>129</v>
      </c>
      <c r="B144" s="121">
        <f t="shared" ca="1" si="3"/>
        <v>-36.963227521519698</v>
      </c>
      <c r="C144" s="128">
        <f t="shared" ca="1" si="4"/>
        <v>0</v>
      </c>
    </row>
    <row r="145" spans="1:3" x14ac:dyDescent="0.25">
      <c r="A145" s="125">
        <f t="shared" si="5"/>
        <v>130</v>
      </c>
      <c r="B145" s="121">
        <f t="shared" ref="B145:B208" ca="1" si="6">_xlfn.NORM.INV(RAND(), $B$9, $B$10)</f>
        <v>10.438350319906821</v>
      </c>
      <c r="C145" s="128">
        <f t="shared" ref="C145:C208" ca="1" si="7">IF(B145 &gt;= $B$11, 1, 0)</f>
        <v>0</v>
      </c>
    </row>
    <row r="146" spans="1:3" x14ac:dyDescent="0.25">
      <c r="A146" s="125">
        <f t="shared" ref="A146:A209" si="8">+A145+1</f>
        <v>131</v>
      </c>
      <c r="B146" s="121">
        <f t="shared" ca="1" si="6"/>
        <v>79.796547257419462</v>
      </c>
      <c r="C146" s="128">
        <f t="shared" ca="1" si="7"/>
        <v>1</v>
      </c>
    </row>
    <row r="147" spans="1:3" x14ac:dyDescent="0.25">
      <c r="A147" s="125">
        <f t="shared" si="8"/>
        <v>132</v>
      </c>
      <c r="B147" s="121">
        <f t="shared" ca="1" si="6"/>
        <v>-67.95999219849034</v>
      </c>
      <c r="C147" s="128">
        <f t="shared" ca="1" si="7"/>
        <v>0</v>
      </c>
    </row>
    <row r="148" spans="1:3" x14ac:dyDescent="0.25">
      <c r="A148" s="125">
        <f t="shared" si="8"/>
        <v>133</v>
      </c>
      <c r="B148" s="121">
        <f t="shared" ca="1" si="6"/>
        <v>58.873804195176064</v>
      </c>
      <c r="C148" s="128">
        <f t="shared" ca="1" si="7"/>
        <v>1</v>
      </c>
    </row>
    <row r="149" spans="1:3" x14ac:dyDescent="0.25">
      <c r="A149" s="125">
        <f t="shared" si="8"/>
        <v>134</v>
      </c>
      <c r="B149" s="121">
        <f t="shared" ca="1" si="6"/>
        <v>63.986206363556562</v>
      </c>
      <c r="C149" s="128">
        <f t="shared" ca="1" si="7"/>
        <v>1</v>
      </c>
    </row>
    <row r="150" spans="1:3" x14ac:dyDescent="0.25">
      <c r="A150" s="125">
        <f t="shared" si="8"/>
        <v>135</v>
      </c>
      <c r="B150" s="121">
        <f t="shared" ca="1" si="6"/>
        <v>94.229815764378031</v>
      </c>
      <c r="C150" s="128">
        <f t="shared" ca="1" si="7"/>
        <v>1</v>
      </c>
    </row>
    <row r="151" spans="1:3" x14ac:dyDescent="0.25">
      <c r="A151" s="125">
        <f t="shared" si="8"/>
        <v>136</v>
      </c>
      <c r="B151" s="121">
        <f t="shared" ca="1" si="6"/>
        <v>83.3581373718782</v>
      </c>
      <c r="C151" s="128">
        <f t="shared" ca="1" si="7"/>
        <v>1</v>
      </c>
    </row>
    <row r="152" spans="1:3" x14ac:dyDescent="0.25">
      <c r="A152" s="125">
        <f t="shared" si="8"/>
        <v>137</v>
      </c>
      <c r="B152" s="121">
        <f t="shared" ca="1" si="6"/>
        <v>48.622751137635795</v>
      </c>
      <c r="C152" s="128">
        <f t="shared" ca="1" si="7"/>
        <v>1</v>
      </c>
    </row>
    <row r="153" spans="1:3" x14ac:dyDescent="0.25">
      <c r="A153" s="125">
        <f t="shared" si="8"/>
        <v>138</v>
      </c>
      <c r="B153" s="121">
        <f t="shared" ca="1" si="6"/>
        <v>126.50179459198543</v>
      </c>
      <c r="C153" s="128">
        <f t="shared" ca="1" si="7"/>
        <v>1</v>
      </c>
    </row>
    <row r="154" spans="1:3" x14ac:dyDescent="0.25">
      <c r="A154" s="125">
        <f t="shared" si="8"/>
        <v>139</v>
      </c>
      <c r="B154" s="121">
        <f t="shared" ca="1" si="6"/>
        <v>32.772143693488673</v>
      </c>
      <c r="C154" s="128">
        <f t="shared" ca="1" si="7"/>
        <v>1</v>
      </c>
    </row>
    <row r="155" spans="1:3" x14ac:dyDescent="0.25">
      <c r="A155" s="125">
        <f t="shared" si="8"/>
        <v>140</v>
      </c>
      <c r="B155" s="121">
        <f t="shared" ca="1" si="6"/>
        <v>23.44417854541782</v>
      </c>
      <c r="C155" s="128">
        <f t="shared" ca="1" si="7"/>
        <v>0</v>
      </c>
    </row>
    <row r="156" spans="1:3" x14ac:dyDescent="0.25">
      <c r="A156" s="125">
        <f t="shared" si="8"/>
        <v>141</v>
      </c>
      <c r="B156" s="121">
        <f t="shared" ca="1" si="6"/>
        <v>-12.917938500075756</v>
      </c>
      <c r="C156" s="128">
        <f t="shared" ca="1" si="7"/>
        <v>0</v>
      </c>
    </row>
    <row r="157" spans="1:3" x14ac:dyDescent="0.25">
      <c r="A157" s="125">
        <f t="shared" si="8"/>
        <v>142</v>
      </c>
      <c r="B157" s="121">
        <f t="shared" ca="1" si="6"/>
        <v>106.11480021328795</v>
      </c>
      <c r="C157" s="128">
        <f t="shared" ca="1" si="7"/>
        <v>1</v>
      </c>
    </row>
    <row r="158" spans="1:3" x14ac:dyDescent="0.25">
      <c r="A158" s="125">
        <f t="shared" si="8"/>
        <v>143</v>
      </c>
      <c r="B158" s="121">
        <f t="shared" ca="1" si="6"/>
        <v>69.376391809771803</v>
      </c>
      <c r="C158" s="128">
        <f t="shared" ca="1" si="7"/>
        <v>1</v>
      </c>
    </row>
    <row r="159" spans="1:3" x14ac:dyDescent="0.25">
      <c r="A159" s="125">
        <f t="shared" si="8"/>
        <v>144</v>
      </c>
      <c r="B159" s="121">
        <f t="shared" ca="1" si="6"/>
        <v>67.225696415620547</v>
      </c>
      <c r="C159" s="128">
        <f t="shared" ca="1" si="7"/>
        <v>1</v>
      </c>
    </row>
    <row r="160" spans="1:3" x14ac:dyDescent="0.25">
      <c r="A160" s="125">
        <f t="shared" si="8"/>
        <v>145</v>
      </c>
      <c r="B160" s="121">
        <f t="shared" ca="1" si="6"/>
        <v>36.552093306589775</v>
      </c>
      <c r="C160" s="128">
        <f t="shared" ca="1" si="7"/>
        <v>1</v>
      </c>
    </row>
    <row r="161" spans="1:3" x14ac:dyDescent="0.25">
      <c r="A161" s="125">
        <f t="shared" si="8"/>
        <v>146</v>
      </c>
      <c r="B161" s="121">
        <f t="shared" ca="1" si="6"/>
        <v>112.88734486112055</v>
      </c>
      <c r="C161" s="128">
        <f t="shared" ca="1" si="7"/>
        <v>1</v>
      </c>
    </row>
    <row r="162" spans="1:3" x14ac:dyDescent="0.25">
      <c r="A162" s="125">
        <f t="shared" si="8"/>
        <v>147</v>
      </c>
      <c r="B162" s="121">
        <f t="shared" ca="1" si="6"/>
        <v>-98.421147478519742</v>
      </c>
      <c r="C162" s="128">
        <f t="shared" ca="1" si="7"/>
        <v>0</v>
      </c>
    </row>
    <row r="163" spans="1:3" x14ac:dyDescent="0.25">
      <c r="A163" s="125">
        <f t="shared" si="8"/>
        <v>148</v>
      </c>
      <c r="B163" s="121">
        <f t="shared" ca="1" si="6"/>
        <v>26.59279950738112</v>
      </c>
      <c r="C163" s="128">
        <f t="shared" ca="1" si="7"/>
        <v>1</v>
      </c>
    </row>
    <row r="164" spans="1:3" x14ac:dyDescent="0.25">
      <c r="A164" s="125">
        <f t="shared" si="8"/>
        <v>149</v>
      </c>
      <c r="B164" s="121">
        <f t="shared" ca="1" si="6"/>
        <v>54.260428591539217</v>
      </c>
      <c r="C164" s="128">
        <f t="shared" ca="1" si="7"/>
        <v>1</v>
      </c>
    </row>
    <row r="165" spans="1:3" x14ac:dyDescent="0.25">
      <c r="A165" s="125">
        <f t="shared" si="8"/>
        <v>150</v>
      </c>
      <c r="B165" s="121">
        <f t="shared" ca="1" si="6"/>
        <v>71.161743438193739</v>
      </c>
      <c r="C165" s="128">
        <f t="shared" ca="1" si="7"/>
        <v>1</v>
      </c>
    </row>
    <row r="166" spans="1:3" x14ac:dyDescent="0.25">
      <c r="A166" s="125">
        <f t="shared" si="8"/>
        <v>151</v>
      </c>
      <c r="B166" s="121">
        <f t="shared" ca="1" si="6"/>
        <v>31.745415805967149</v>
      </c>
      <c r="C166" s="128">
        <f t="shared" ca="1" si="7"/>
        <v>1</v>
      </c>
    </row>
    <row r="167" spans="1:3" x14ac:dyDescent="0.25">
      <c r="A167" s="125">
        <f t="shared" si="8"/>
        <v>152</v>
      </c>
      <c r="B167" s="121">
        <f t="shared" ca="1" si="6"/>
        <v>-75.591285742708337</v>
      </c>
      <c r="C167" s="128">
        <f t="shared" ca="1" si="7"/>
        <v>0</v>
      </c>
    </row>
    <row r="168" spans="1:3" x14ac:dyDescent="0.25">
      <c r="A168" s="125">
        <f t="shared" si="8"/>
        <v>153</v>
      </c>
      <c r="B168" s="121">
        <f t="shared" ca="1" si="6"/>
        <v>56.462531477470833</v>
      </c>
      <c r="C168" s="128">
        <f t="shared" ca="1" si="7"/>
        <v>1</v>
      </c>
    </row>
    <row r="169" spans="1:3" x14ac:dyDescent="0.25">
      <c r="A169" s="125">
        <f t="shared" si="8"/>
        <v>154</v>
      </c>
      <c r="B169" s="121">
        <f t="shared" ca="1" si="6"/>
        <v>45.289564386012323</v>
      </c>
      <c r="C169" s="128">
        <f t="shared" ca="1" si="7"/>
        <v>1</v>
      </c>
    </row>
    <row r="170" spans="1:3" x14ac:dyDescent="0.25">
      <c r="A170" s="125">
        <f t="shared" si="8"/>
        <v>155</v>
      </c>
      <c r="B170" s="121">
        <f t="shared" ca="1" si="6"/>
        <v>-32.641792884550568</v>
      </c>
      <c r="C170" s="128">
        <f t="shared" ca="1" si="7"/>
        <v>0</v>
      </c>
    </row>
    <row r="171" spans="1:3" x14ac:dyDescent="0.25">
      <c r="A171" s="125">
        <f t="shared" si="8"/>
        <v>156</v>
      </c>
      <c r="B171" s="121">
        <f t="shared" ca="1" si="6"/>
        <v>72.093542425838905</v>
      </c>
      <c r="C171" s="128">
        <f t="shared" ca="1" si="7"/>
        <v>1</v>
      </c>
    </row>
    <row r="172" spans="1:3" x14ac:dyDescent="0.25">
      <c r="A172" s="125">
        <f t="shared" si="8"/>
        <v>157</v>
      </c>
      <c r="B172" s="121">
        <f t="shared" ca="1" si="6"/>
        <v>36.328447470168598</v>
      </c>
      <c r="C172" s="128">
        <f t="shared" ca="1" si="7"/>
        <v>1</v>
      </c>
    </row>
    <row r="173" spans="1:3" x14ac:dyDescent="0.25">
      <c r="A173" s="125">
        <f t="shared" si="8"/>
        <v>158</v>
      </c>
      <c r="B173" s="121">
        <f t="shared" ca="1" si="6"/>
        <v>-15.596820502388795</v>
      </c>
      <c r="C173" s="128">
        <f t="shared" ca="1" si="7"/>
        <v>0</v>
      </c>
    </row>
    <row r="174" spans="1:3" x14ac:dyDescent="0.25">
      <c r="A174" s="125">
        <f t="shared" si="8"/>
        <v>159</v>
      </c>
      <c r="B174" s="121">
        <f t="shared" ca="1" si="6"/>
        <v>160.76486034048364</v>
      </c>
      <c r="C174" s="128">
        <f t="shared" ca="1" si="7"/>
        <v>1</v>
      </c>
    </row>
    <row r="175" spans="1:3" x14ac:dyDescent="0.25">
      <c r="A175" s="125">
        <f t="shared" si="8"/>
        <v>160</v>
      </c>
      <c r="B175" s="121">
        <f t="shared" ca="1" si="6"/>
        <v>61.735827328083879</v>
      </c>
      <c r="C175" s="128">
        <f t="shared" ca="1" si="7"/>
        <v>1</v>
      </c>
    </row>
    <row r="176" spans="1:3" x14ac:dyDescent="0.25">
      <c r="A176" s="125">
        <f t="shared" si="8"/>
        <v>161</v>
      </c>
      <c r="B176" s="121">
        <f t="shared" ca="1" si="6"/>
        <v>-24.642987445022257</v>
      </c>
      <c r="C176" s="128">
        <f t="shared" ca="1" si="7"/>
        <v>0</v>
      </c>
    </row>
    <row r="177" spans="1:3" x14ac:dyDescent="0.25">
      <c r="A177" s="125">
        <f t="shared" si="8"/>
        <v>162</v>
      </c>
      <c r="B177" s="121">
        <f t="shared" ca="1" si="6"/>
        <v>41.756397077518194</v>
      </c>
      <c r="C177" s="128">
        <f t="shared" ca="1" si="7"/>
        <v>1</v>
      </c>
    </row>
    <row r="178" spans="1:3" x14ac:dyDescent="0.25">
      <c r="A178" s="125">
        <f t="shared" si="8"/>
        <v>163</v>
      </c>
      <c r="B178" s="121">
        <f t="shared" ca="1" si="6"/>
        <v>-38.891114525791451</v>
      </c>
      <c r="C178" s="128">
        <f t="shared" ca="1" si="7"/>
        <v>0</v>
      </c>
    </row>
    <row r="179" spans="1:3" x14ac:dyDescent="0.25">
      <c r="A179" s="125">
        <f t="shared" si="8"/>
        <v>164</v>
      </c>
      <c r="B179" s="121">
        <f t="shared" ca="1" si="6"/>
        <v>61.698399061441492</v>
      </c>
      <c r="C179" s="128">
        <f t="shared" ca="1" si="7"/>
        <v>1</v>
      </c>
    </row>
    <row r="180" spans="1:3" x14ac:dyDescent="0.25">
      <c r="A180" s="125">
        <f t="shared" si="8"/>
        <v>165</v>
      </c>
      <c r="B180" s="121">
        <f t="shared" ca="1" si="6"/>
        <v>26.195891273871116</v>
      </c>
      <c r="C180" s="128">
        <f t="shared" ca="1" si="7"/>
        <v>1</v>
      </c>
    </row>
    <row r="181" spans="1:3" x14ac:dyDescent="0.25">
      <c r="A181" s="125">
        <f t="shared" si="8"/>
        <v>166</v>
      </c>
      <c r="B181" s="121">
        <f t="shared" ca="1" si="6"/>
        <v>-65.78077312439207</v>
      </c>
      <c r="C181" s="128">
        <f t="shared" ca="1" si="7"/>
        <v>0</v>
      </c>
    </row>
    <row r="182" spans="1:3" x14ac:dyDescent="0.25">
      <c r="A182" s="125">
        <f t="shared" si="8"/>
        <v>167</v>
      </c>
      <c r="B182" s="121">
        <f t="shared" ca="1" si="6"/>
        <v>76.182060388404665</v>
      </c>
      <c r="C182" s="128">
        <f t="shared" ca="1" si="7"/>
        <v>1</v>
      </c>
    </row>
    <row r="183" spans="1:3" x14ac:dyDescent="0.25">
      <c r="A183" s="125">
        <f t="shared" si="8"/>
        <v>168</v>
      </c>
      <c r="B183" s="121">
        <f t="shared" ca="1" si="6"/>
        <v>-19.149477887520447</v>
      </c>
      <c r="C183" s="128">
        <f t="shared" ca="1" si="7"/>
        <v>0</v>
      </c>
    </row>
    <row r="184" spans="1:3" x14ac:dyDescent="0.25">
      <c r="A184" s="125">
        <f t="shared" si="8"/>
        <v>169</v>
      </c>
      <c r="B184" s="121">
        <f t="shared" ca="1" si="6"/>
        <v>17.844837494015529</v>
      </c>
      <c r="C184" s="128">
        <f t="shared" ca="1" si="7"/>
        <v>0</v>
      </c>
    </row>
    <row r="185" spans="1:3" x14ac:dyDescent="0.25">
      <c r="A185" s="125">
        <f t="shared" si="8"/>
        <v>170</v>
      </c>
      <c r="B185" s="121">
        <f t="shared" ca="1" si="6"/>
        <v>8.4148405762339209</v>
      </c>
      <c r="C185" s="128">
        <f t="shared" ca="1" si="7"/>
        <v>0</v>
      </c>
    </row>
    <row r="186" spans="1:3" x14ac:dyDescent="0.25">
      <c r="A186" s="125">
        <f t="shared" si="8"/>
        <v>171</v>
      </c>
      <c r="B186" s="121">
        <f t="shared" ca="1" si="6"/>
        <v>70.379999055179908</v>
      </c>
      <c r="C186" s="128">
        <f t="shared" ca="1" si="7"/>
        <v>1</v>
      </c>
    </row>
    <row r="187" spans="1:3" x14ac:dyDescent="0.25">
      <c r="A187" s="125">
        <f t="shared" si="8"/>
        <v>172</v>
      </c>
      <c r="B187" s="121">
        <f t="shared" ca="1" si="6"/>
        <v>56.400631907537871</v>
      </c>
      <c r="C187" s="128">
        <f t="shared" ca="1" si="7"/>
        <v>1</v>
      </c>
    </row>
    <row r="188" spans="1:3" x14ac:dyDescent="0.25">
      <c r="A188" s="125">
        <f t="shared" si="8"/>
        <v>173</v>
      </c>
      <c r="B188" s="121">
        <f t="shared" ca="1" si="6"/>
        <v>-23.565078663287991</v>
      </c>
      <c r="C188" s="128">
        <f t="shared" ca="1" si="7"/>
        <v>0</v>
      </c>
    </row>
    <row r="189" spans="1:3" x14ac:dyDescent="0.25">
      <c r="A189" s="125">
        <f t="shared" si="8"/>
        <v>174</v>
      </c>
      <c r="B189" s="121">
        <f t="shared" ca="1" si="6"/>
        <v>34.296434053819873</v>
      </c>
      <c r="C189" s="128">
        <f t="shared" ca="1" si="7"/>
        <v>1</v>
      </c>
    </row>
    <row r="190" spans="1:3" x14ac:dyDescent="0.25">
      <c r="A190" s="125">
        <f t="shared" si="8"/>
        <v>175</v>
      </c>
      <c r="B190" s="121">
        <f t="shared" ca="1" si="6"/>
        <v>-3.4617491709403367</v>
      </c>
      <c r="C190" s="128">
        <f t="shared" ca="1" si="7"/>
        <v>0</v>
      </c>
    </row>
    <row r="191" spans="1:3" x14ac:dyDescent="0.25">
      <c r="A191" s="125">
        <f t="shared" si="8"/>
        <v>176</v>
      </c>
      <c r="B191" s="121">
        <f t="shared" ca="1" si="6"/>
        <v>99.506323235880458</v>
      </c>
      <c r="C191" s="128">
        <f t="shared" ca="1" si="7"/>
        <v>1</v>
      </c>
    </row>
    <row r="192" spans="1:3" x14ac:dyDescent="0.25">
      <c r="A192" s="125">
        <f t="shared" si="8"/>
        <v>177</v>
      </c>
      <c r="B192" s="121">
        <f t="shared" ca="1" si="6"/>
        <v>-9.9256976286203837</v>
      </c>
      <c r="C192" s="128">
        <f t="shared" ca="1" si="7"/>
        <v>0</v>
      </c>
    </row>
    <row r="193" spans="1:3" x14ac:dyDescent="0.25">
      <c r="A193" s="125">
        <f t="shared" si="8"/>
        <v>178</v>
      </c>
      <c r="B193" s="121">
        <f t="shared" ca="1" si="6"/>
        <v>2.3884292005724959</v>
      </c>
      <c r="C193" s="128">
        <f t="shared" ca="1" si="7"/>
        <v>0</v>
      </c>
    </row>
    <row r="194" spans="1:3" x14ac:dyDescent="0.25">
      <c r="A194" s="125">
        <f t="shared" si="8"/>
        <v>179</v>
      </c>
      <c r="B194" s="121">
        <f t="shared" ca="1" si="6"/>
        <v>101.65202165534124</v>
      </c>
      <c r="C194" s="128">
        <f t="shared" ca="1" si="7"/>
        <v>1</v>
      </c>
    </row>
    <row r="195" spans="1:3" x14ac:dyDescent="0.25">
      <c r="A195" s="125">
        <f t="shared" si="8"/>
        <v>180</v>
      </c>
      <c r="B195" s="121">
        <f t="shared" ca="1" si="6"/>
        <v>36.127465788637828</v>
      </c>
      <c r="C195" s="128">
        <f t="shared" ca="1" si="7"/>
        <v>1</v>
      </c>
    </row>
    <row r="196" spans="1:3" x14ac:dyDescent="0.25">
      <c r="A196" s="125">
        <f t="shared" si="8"/>
        <v>181</v>
      </c>
      <c r="B196" s="121">
        <f t="shared" ca="1" si="6"/>
        <v>57.925162213153797</v>
      </c>
      <c r="C196" s="128">
        <f t="shared" ca="1" si="7"/>
        <v>1</v>
      </c>
    </row>
    <row r="197" spans="1:3" x14ac:dyDescent="0.25">
      <c r="A197" s="125">
        <f t="shared" si="8"/>
        <v>182</v>
      </c>
      <c r="B197" s="121">
        <f t="shared" ca="1" si="6"/>
        <v>88.466052328628507</v>
      </c>
      <c r="C197" s="128">
        <f t="shared" ca="1" si="7"/>
        <v>1</v>
      </c>
    </row>
    <row r="198" spans="1:3" x14ac:dyDescent="0.25">
      <c r="A198" s="125">
        <f t="shared" si="8"/>
        <v>183</v>
      </c>
      <c r="B198" s="121">
        <f t="shared" ca="1" si="6"/>
        <v>59.035497872177899</v>
      </c>
      <c r="C198" s="128">
        <f t="shared" ca="1" si="7"/>
        <v>1</v>
      </c>
    </row>
    <row r="199" spans="1:3" x14ac:dyDescent="0.25">
      <c r="A199" s="125">
        <f t="shared" si="8"/>
        <v>184</v>
      </c>
      <c r="B199" s="121">
        <f t="shared" ca="1" si="6"/>
        <v>3.2368759455004366</v>
      </c>
      <c r="C199" s="128">
        <f t="shared" ca="1" si="7"/>
        <v>0</v>
      </c>
    </row>
    <row r="200" spans="1:3" x14ac:dyDescent="0.25">
      <c r="A200" s="125">
        <f t="shared" si="8"/>
        <v>185</v>
      </c>
      <c r="B200" s="121">
        <f t="shared" ca="1" si="6"/>
        <v>41.147107165979669</v>
      </c>
      <c r="C200" s="128">
        <f t="shared" ca="1" si="7"/>
        <v>1</v>
      </c>
    </row>
    <row r="201" spans="1:3" x14ac:dyDescent="0.25">
      <c r="A201" s="125">
        <f t="shared" si="8"/>
        <v>186</v>
      </c>
      <c r="B201" s="121">
        <f t="shared" ca="1" si="6"/>
        <v>103.42839703587275</v>
      </c>
      <c r="C201" s="128">
        <f t="shared" ca="1" si="7"/>
        <v>1</v>
      </c>
    </row>
    <row r="202" spans="1:3" x14ac:dyDescent="0.25">
      <c r="A202" s="125">
        <f t="shared" si="8"/>
        <v>187</v>
      </c>
      <c r="B202" s="121">
        <f t="shared" ca="1" si="6"/>
        <v>51.297233041860302</v>
      </c>
      <c r="C202" s="128">
        <f t="shared" ca="1" si="7"/>
        <v>1</v>
      </c>
    </row>
    <row r="203" spans="1:3" x14ac:dyDescent="0.25">
      <c r="A203" s="125">
        <f t="shared" si="8"/>
        <v>188</v>
      </c>
      <c r="B203" s="121">
        <f t="shared" ca="1" si="6"/>
        <v>73.018135944512494</v>
      </c>
      <c r="C203" s="128">
        <f t="shared" ca="1" si="7"/>
        <v>1</v>
      </c>
    </row>
    <row r="204" spans="1:3" x14ac:dyDescent="0.25">
      <c r="A204" s="125">
        <f t="shared" si="8"/>
        <v>189</v>
      </c>
      <c r="B204" s="121">
        <f t="shared" ca="1" si="6"/>
        <v>11.156749001967857</v>
      </c>
      <c r="C204" s="128">
        <f t="shared" ca="1" si="7"/>
        <v>0</v>
      </c>
    </row>
    <row r="205" spans="1:3" x14ac:dyDescent="0.25">
      <c r="A205" s="125">
        <f t="shared" si="8"/>
        <v>190</v>
      </c>
      <c r="B205" s="121">
        <f t="shared" ca="1" si="6"/>
        <v>82.491982162072915</v>
      </c>
      <c r="C205" s="128">
        <f t="shared" ca="1" si="7"/>
        <v>1</v>
      </c>
    </row>
    <row r="206" spans="1:3" x14ac:dyDescent="0.25">
      <c r="A206" s="125">
        <f t="shared" si="8"/>
        <v>191</v>
      </c>
      <c r="B206" s="121">
        <f t="shared" ca="1" si="6"/>
        <v>78.729936606910229</v>
      </c>
      <c r="C206" s="128">
        <f t="shared" ca="1" si="7"/>
        <v>1</v>
      </c>
    </row>
    <row r="207" spans="1:3" x14ac:dyDescent="0.25">
      <c r="A207" s="125">
        <f t="shared" si="8"/>
        <v>192</v>
      </c>
      <c r="B207" s="121">
        <f t="shared" ca="1" si="6"/>
        <v>85.496163686896921</v>
      </c>
      <c r="C207" s="128">
        <f t="shared" ca="1" si="7"/>
        <v>1</v>
      </c>
    </row>
    <row r="208" spans="1:3" x14ac:dyDescent="0.25">
      <c r="A208" s="125">
        <f t="shared" si="8"/>
        <v>193</v>
      </c>
      <c r="B208" s="121">
        <f t="shared" ca="1" si="6"/>
        <v>31.683384253205553</v>
      </c>
      <c r="C208" s="128">
        <f t="shared" ca="1" si="7"/>
        <v>1</v>
      </c>
    </row>
    <row r="209" spans="1:3" x14ac:dyDescent="0.25">
      <c r="A209" s="125">
        <f t="shared" si="8"/>
        <v>194</v>
      </c>
      <c r="B209" s="121">
        <f t="shared" ref="B209:B272" ca="1" si="9">_xlfn.NORM.INV(RAND(), $B$9, $B$10)</f>
        <v>67.903847915271513</v>
      </c>
      <c r="C209" s="128">
        <f t="shared" ref="C209:C272" ca="1" si="10">IF(B209 &gt;= $B$11, 1, 0)</f>
        <v>1</v>
      </c>
    </row>
    <row r="210" spans="1:3" x14ac:dyDescent="0.25">
      <c r="A210" s="125">
        <f t="shared" ref="A210:A273" si="11">+A209+1</f>
        <v>195</v>
      </c>
      <c r="B210" s="121">
        <f t="shared" ca="1" si="9"/>
        <v>58.031978305541969</v>
      </c>
      <c r="C210" s="128">
        <f t="shared" ca="1" si="10"/>
        <v>1</v>
      </c>
    </row>
    <row r="211" spans="1:3" x14ac:dyDescent="0.25">
      <c r="A211" s="125">
        <f t="shared" si="11"/>
        <v>196</v>
      </c>
      <c r="B211" s="121">
        <f t="shared" ca="1" si="9"/>
        <v>40.398076783170502</v>
      </c>
      <c r="C211" s="128">
        <f t="shared" ca="1" si="10"/>
        <v>1</v>
      </c>
    </row>
    <row r="212" spans="1:3" x14ac:dyDescent="0.25">
      <c r="A212" s="125">
        <f t="shared" si="11"/>
        <v>197</v>
      </c>
      <c r="B212" s="121">
        <f t="shared" ca="1" si="9"/>
        <v>130.88113577235993</v>
      </c>
      <c r="C212" s="128">
        <f t="shared" ca="1" si="10"/>
        <v>1</v>
      </c>
    </row>
    <row r="213" spans="1:3" x14ac:dyDescent="0.25">
      <c r="A213" s="125">
        <f t="shared" si="11"/>
        <v>198</v>
      </c>
      <c r="B213" s="121">
        <f t="shared" ca="1" si="9"/>
        <v>51.224575449772601</v>
      </c>
      <c r="C213" s="128">
        <f t="shared" ca="1" si="10"/>
        <v>1</v>
      </c>
    </row>
    <row r="214" spans="1:3" x14ac:dyDescent="0.25">
      <c r="A214" s="125">
        <f t="shared" si="11"/>
        <v>199</v>
      </c>
      <c r="B214" s="121">
        <f t="shared" ca="1" si="9"/>
        <v>24.608560395000474</v>
      </c>
      <c r="C214" s="128">
        <f t="shared" ca="1" si="10"/>
        <v>0</v>
      </c>
    </row>
    <row r="215" spans="1:3" x14ac:dyDescent="0.25">
      <c r="A215" s="125">
        <f t="shared" si="11"/>
        <v>200</v>
      </c>
      <c r="B215" s="121">
        <f t="shared" ca="1" si="9"/>
        <v>78.626097891022482</v>
      </c>
      <c r="C215" s="128">
        <f t="shared" ca="1" si="10"/>
        <v>1</v>
      </c>
    </row>
    <row r="216" spans="1:3" x14ac:dyDescent="0.25">
      <c r="A216" s="125">
        <f t="shared" si="11"/>
        <v>201</v>
      </c>
      <c r="B216" s="121">
        <f t="shared" ca="1" si="9"/>
        <v>-16.796111291893951</v>
      </c>
      <c r="C216" s="128">
        <f t="shared" ca="1" si="10"/>
        <v>0</v>
      </c>
    </row>
    <row r="217" spans="1:3" x14ac:dyDescent="0.25">
      <c r="A217" s="125">
        <f t="shared" si="11"/>
        <v>202</v>
      </c>
      <c r="B217" s="121">
        <f t="shared" ca="1" si="9"/>
        <v>-34.176535611053495</v>
      </c>
      <c r="C217" s="128">
        <f t="shared" ca="1" si="10"/>
        <v>0</v>
      </c>
    </row>
    <row r="218" spans="1:3" x14ac:dyDescent="0.25">
      <c r="A218" s="125">
        <f t="shared" si="11"/>
        <v>203</v>
      </c>
      <c r="B218" s="121">
        <f t="shared" ca="1" si="9"/>
        <v>52.518841282121286</v>
      </c>
      <c r="C218" s="128">
        <f t="shared" ca="1" si="10"/>
        <v>1</v>
      </c>
    </row>
    <row r="219" spans="1:3" x14ac:dyDescent="0.25">
      <c r="A219" s="125">
        <f t="shared" si="11"/>
        <v>204</v>
      </c>
      <c r="B219" s="121">
        <f t="shared" ca="1" si="9"/>
        <v>56.046603009750385</v>
      </c>
      <c r="C219" s="128">
        <f t="shared" ca="1" si="10"/>
        <v>1</v>
      </c>
    </row>
    <row r="220" spans="1:3" x14ac:dyDescent="0.25">
      <c r="A220" s="125">
        <f t="shared" si="11"/>
        <v>205</v>
      </c>
      <c r="B220" s="121">
        <f t="shared" ca="1" si="9"/>
        <v>85.06095576241384</v>
      </c>
      <c r="C220" s="128">
        <f t="shared" ca="1" si="10"/>
        <v>1</v>
      </c>
    </row>
    <row r="221" spans="1:3" x14ac:dyDescent="0.25">
      <c r="A221" s="125">
        <f t="shared" si="11"/>
        <v>206</v>
      </c>
      <c r="B221" s="121">
        <f t="shared" ca="1" si="9"/>
        <v>9.8258343353322353</v>
      </c>
      <c r="C221" s="128">
        <f t="shared" ca="1" si="10"/>
        <v>0</v>
      </c>
    </row>
    <row r="222" spans="1:3" x14ac:dyDescent="0.25">
      <c r="A222" s="125">
        <f t="shared" si="11"/>
        <v>207</v>
      </c>
      <c r="B222" s="121">
        <f t="shared" ca="1" si="9"/>
        <v>104.33596149670805</v>
      </c>
      <c r="C222" s="128">
        <f t="shared" ca="1" si="10"/>
        <v>1</v>
      </c>
    </row>
    <row r="223" spans="1:3" x14ac:dyDescent="0.25">
      <c r="A223" s="125">
        <f t="shared" si="11"/>
        <v>208</v>
      </c>
      <c r="B223" s="121">
        <f t="shared" ca="1" si="9"/>
        <v>49.088733595543289</v>
      </c>
      <c r="C223" s="128">
        <f t="shared" ca="1" si="10"/>
        <v>1</v>
      </c>
    </row>
    <row r="224" spans="1:3" x14ac:dyDescent="0.25">
      <c r="A224" s="125">
        <f t="shared" si="11"/>
        <v>209</v>
      </c>
      <c r="B224" s="121">
        <f t="shared" ca="1" si="9"/>
        <v>34.44919995605639</v>
      </c>
      <c r="C224" s="128">
        <f t="shared" ca="1" si="10"/>
        <v>1</v>
      </c>
    </row>
    <row r="225" spans="1:3" x14ac:dyDescent="0.25">
      <c r="A225" s="125">
        <f t="shared" si="11"/>
        <v>210</v>
      </c>
      <c r="B225" s="121">
        <f t="shared" ca="1" si="9"/>
        <v>151.01854052310182</v>
      </c>
      <c r="C225" s="128">
        <f t="shared" ca="1" si="10"/>
        <v>1</v>
      </c>
    </row>
    <row r="226" spans="1:3" x14ac:dyDescent="0.25">
      <c r="A226" s="125">
        <f t="shared" si="11"/>
        <v>211</v>
      </c>
      <c r="B226" s="121">
        <f t="shared" ca="1" si="9"/>
        <v>-43.636473265392198</v>
      </c>
      <c r="C226" s="128">
        <f t="shared" ca="1" si="10"/>
        <v>0</v>
      </c>
    </row>
    <row r="227" spans="1:3" x14ac:dyDescent="0.25">
      <c r="A227" s="125">
        <f t="shared" si="11"/>
        <v>212</v>
      </c>
      <c r="B227" s="121">
        <f t="shared" ca="1" si="9"/>
        <v>55.894205464425134</v>
      </c>
      <c r="C227" s="128">
        <f t="shared" ca="1" si="10"/>
        <v>1</v>
      </c>
    </row>
    <row r="228" spans="1:3" x14ac:dyDescent="0.25">
      <c r="A228" s="125">
        <f t="shared" si="11"/>
        <v>213</v>
      </c>
      <c r="B228" s="121">
        <f t="shared" ca="1" si="9"/>
        <v>89.724012728968859</v>
      </c>
      <c r="C228" s="128">
        <f t="shared" ca="1" si="10"/>
        <v>1</v>
      </c>
    </row>
    <row r="229" spans="1:3" x14ac:dyDescent="0.25">
      <c r="A229" s="125">
        <f t="shared" si="11"/>
        <v>214</v>
      </c>
      <c r="B229" s="121">
        <f t="shared" ca="1" si="9"/>
        <v>83.599109687015442</v>
      </c>
      <c r="C229" s="128">
        <f t="shared" ca="1" si="10"/>
        <v>1</v>
      </c>
    </row>
    <row r="230" spans="1:3" x14ac:dyDescent="0.25">
      <c r="A230" s="125">
        <f t="shared" si="11"/>
        <v>215</v>
      </c>
      <c r="B230" s="121">
        <f t="shared" ca="1" si="9"/>
        <v>85.880131617433378</v>
      </c>
      <c r="C230" s="128">
        <f t="shared" ca="1" si="10"/>
        <v>1</v>
      </c>
    </row>
    <row r="231" spans="1:3" x14ac:dyDescent="0.25">
      <c r="A231" s="125">
        <f t="shared" si="11"/>
        <v>216</v>
      </c>
      <c r="B231" s="121">
        <f t="shared" ca="1" si="9"/>
        <v>77.944598615203148</v>
      </c>
      <c r="C231" s="128">
        <f t="shared" ca="1" si="10"/>
        <v>1</v>
      </c>
    </row>
    <row r="232" spans="1:3" x14ac:dyDescent="0.25">
      <c r="A232" s="125">
        <f t="shared" si="11"/>
        <v>217</v>
      </c>
      <c r="B232" s="121">
        <f t="shared" ca="1" si="9"/>
        <v>-12.891768273883336</v>
      </c>
      <c r="C232" s="128">
        <f t="shared" ca="1" si="10"/>
        <v>0</v>
      </c>
    </row>
    <row r="233" spans="1:3" x14ac:dyDescent="0.25">
      <c r="A233" s="125">
        <f t="shared" si="11"/>
        <v>218</v>
      </c>
      <c r="B233" s="121">
        <f t="shared" ca="1" si="9"/>
        <v>-14.084418838704053</v>
      </c>
      <c r="C233" s="128">
        <f t="shared" ca="1" si="10"/>
        <v>0</v>
      </c>
    </row>
    <row r="234" spans="1:3" x14ac:dyDescent="0.25">
      <c r="A234" s="125">
        <f t="shared" si="11"/>
        <v>219</v>
      </c>
      <c r="B234" s="121">
        <f t="shared" ca="1" si="9"/>
        <v>30.703860755952832</v>
      </c>
      <c r="C234" s="128">
        <f t="shared" ca="1" si="10"/>
        <v>1</v>
      </c>
    </row>
    <row r="235" spans="1:3" x14ac:dyDescent="0.25">
      <c r="A235" s="125">
        <f t="shared" si="11"/>
        <v>220</v>
      </c>
      <c r="B235" s="121">
        <f t="shared" ca="1" si="9"/>
        <v>75.801612661807127</v>
      </c>
      <c r="C235" s="128">
        <f t="shared" ca="1" si="10"/>
        <v>1</v>
      </c>
    </row>
    <row r="236" spans="1:3" x14ac:dyDescent="0.25">
      <c r="A236" s="125">
        <f t="shared" si="11"/>
        <v>221</v>
      </c>
      <c r="B236" s="121">
        <f t="shared" ca="1" si="9"/>
        <v>18.265100485172162</v>
      </c>
      <c r="C236" s="128">
        <f t="shared" ca="1" si="10"/>
        <v>0</v>
      </c>
    </row>
    <row r="237" spans="1:3" x14ac:dyDescent="0.25">
      <c r="A237" s="125">
        <f t="shared" si="11"/>
        <v>222</v>
      </c>
      <c r="B237" s="121">
        <f t="shared" ca="1" si="9"/>
        <v>-7.7791127901231647</v>
      </c>
      <c r="C237" s="128">
        <f t="shared" ca="1" si="10"/>
        <v>0</v>
      </c>
    </row>
    <row r="238" spans="1:3" x14ac:dyDescent="0.25">
      <c r="A238" s="125">
        <f t="shared" si="11"/>
        <v>223</v>
      </c>
      <c r="B238" s="121">
        <f t="shared" ca="1" si="9"/>
        <v>116.66388043394963</v>
      </c>
      <c r="C238" s="128">
        <f t="shared" ca="1" si="10"/>
        <v>1</v>
      </c>
    </row>
    <row r="239" spans="1:3" x14ac:dyDescent="0.25">
      <c r="A239" s="125">
        <f t="shared" si="11"/>
        <v>224</v>
      </c>
      <c r="B239" s="121">
        <f t="shared" ca="1" si="9"/>
        <v>46.46613926206394</v>
      </c>
      <c r="C239" s="128">
        <f t="shared" ca="1" si="10"/>
        <v>1</v>
      </c>
    </row>
    <row r="240" spans="1:3" x14ac:dyDescent="0.25">
      <c r="A240" s="125">
        <f t="shared" si="11"/>
        <v>225</v>
      </c>
      <c r="B240" s="121">
        <f t="shared" ca="1" si="9"/>
        <v>61.38350743337962</v>
      </c>
      <c r="C240" s="128">
        <f t="shared" ca="1" si="10"/>
        <v>1</v>
      </c>
    </row>
    <row r="241" spans="1:3" x14ac:dyDescent="0.25">
      <c r="A241" s="125">
        <f t="shared" si="11"/>
        <v>226</v>
      </c>
      <c r="B241" s="121">
        <f t="shared" ca="1" si="9"/>
        <v>-50.614185215807908</v>
      </c>
      <c r="C241" s="128">
        <f t="shared" ca="1" si="10"/>
        <v>0</v>
      </c>
    </row>
    <row r="242" spans="1:3" x14ac:dyDescent="0.25">
      <c r="A242" s="125">
        <f t="shared" si="11"/>
        <v>227</v>
      </c>
      <c r="B242" s="121">
        <f t="shared" ca="1" si="9"/>
        <v>30.708582668791976</v>
      </c>
      <c r="C242" s="128">
        <f t="shared" ca="1" si="10"/>
        <v>1</v>
      </c>
    </row>
    <row r="243" spans="1:3" x14ac:dyDescent="0.25">
      <c r="A243" s="125">
        <f t="shared" si="11"/>
        <v>228</v>
      </c>
      <c r="B243" s="121">
        <f t="shared" ca="1" si="9"/>
        <v>36.941197880050375</v>
      </c>
      <c r="C243" s="128">
        <f t="shared" ca="1" si="10"/>
        <v>1</v>
      </c>
    </row>
    <row r="244" spans="1:3" x14ac:dyDescent="0.25">
      <c r="A244" s="125">
        <f t="shared" si="11"/>
        <v>229</v>
      </c>
      <c r="B244" s="121">
        <f t="shared" ca="1" si="9"/>
        <v>16.721699436329008</v>
      </c>
      <c r="C244" s="128">
        <f t="shared" ca="1" si="10"/>
        <v>0</v>
      </c>
    </row>
    <row r="245" spans="1:3" x14ac:dyDescent="0.25">
      <c r="A245" s="125">
        <f t="shared" si="11"/>
        <v>230</v>
      </c>
      <c r="B245" s="121">
        <f t="shared" ca="1" si="9"/>
        <v>20.017357545871654</v>
      </c>
      <c r="C245" s="128">
        <f t="shared" ca="1" si="10"/>
        <v>0</v>
      </c>
    </row>
    <row r="246" spans="1:3" x14ac:dyDescent="0.25">
      <c r="A246" s="125">
        <f t="shared" si="11"/>
        <v>231</v>
      </c>
      <c r="B246" s="121">
        <f t="shared" ca="1" si="9"/>
        <v>43.728823641859165</v>
      </c>
      <c r="C246" s="128">
        <f t="shared" ca="1" si="10"/>
        <v>1</v>
      </c>
    </row>
    <row r="247" spans="1:3" x14ac:dyDescent="0.25">
      <c r="A247" s="125">
        <f t="shared" si="11"/>
        <v>232</v>
      </c>
      <c r="B247" s="121">
        <f t="shared" ca="1" si="9"/>
        <v>19.067019406450228</v>
      </c>
      <c r="C247" s="128">
        <f t="shared" ca="1" si="10"/>
        <v>0</v>
      </c>
    </row>
    <row r="248" spans="1:3" x14ac:dyDescent="0.25">
      <c r="A248" s="125">
        <f t="shared" si="11"/>
        <v>233</v>
      </c>
      <c r="B248" s="121">
        <f t="shared" ca="1" si="9"/>
        <v>25.921917650794168</v>
      </c>
      <c r="C248" s="128">
        <f t="shared" ca="1" si="10"/>
        <v>1</v>
      </c>
    </row>
    <row r="249" spans="1:3" x14ac:dyDescent="0.25">
      <c r="A249" s="125">
        <f t="shared" si="11"/>
        <v>234</v>
      </c>
      <c r="B249" s="121">
        <f t="shared" ca="1" si="9"/>
        <v>-23.895445550141687</v>
      </c>
      <c r="C249" s="128">
        <f t="shared" ca="1" si="10"/>
        <v>0</v>
      </c>
    </row>
    <row r="250" spans="1:3" x14ac:dyDescent="0.25">
      <c r="A250" s="125">
        <f t="shared" si="11"/>
        <v>235</v>
      </c>
      <c r="B250" s="121">
        <f t="shared" ca="1" si="9"/>
        <v>-0.22058214097405227</v>
      </c>
      <c r="C250" s="128">
        <f t="shared" ca="1" si="10"/>
        <v>0</v>
      </c>
    </row>
    <row r="251" spans="1:3" x14ac:dyDescent="0.25">
      <c r="A251" s="125">
        <f t="shared" si="11"/>
        <v>236</v>
      </c>
      <c r="B251" s="121">
        <f t="shared" ca="1" si="9"/>
        <v>-2.8183299629409788</v>
      </c>
      <c r="C251" s="128">
        <f t="shared" ca="1" si="10"/>
        <v>0</v>
      </c>
    </row>
    <row r="252" spans="1:3" x14ac:dyDescent="0.25">
      <c r="A252" s="125">
        <f t="shared" si="11"/>
        <v>237</v>
      </c>
      <c r="B252" s="121">
        <f t="shared" ca="1" si="9"/>
        <v>-5.4441834002681446</v>
      </c>
      <c r="C252" s="128">
        <f t="shared" ca="1" si="10"/>
        <v>0</v>
      </c>
    </row>
    <row r="253" spans="1:3" x14ac:dyDescent="0.25">
      <c r="A253" s="125">
        <f t="shared" si="11"/>
        <v>238</v>
      </c>
      <c r="B253" s="121">
        <f t="shared" ca="1" si="9"/>
        <v>74.750991429583308</v>
      </c>
      <c r="C253" s="128">
        <f t="shared" ca="1" si="10"/>
        <v>1</v>
      </c>
    </row>
    <row r="254" spans="1:3" x14ac:dyDescent="0.25">
      <c r="A254" s="125">
        <f t="shared" si="11"/>
        <v>239</v>
      </c>
      <c r="B254" s="121">
        <f t="shared" ca="1" si="9"/>
        <v>82.909691290805824</v>
      </c>
      <c r="C254" s="128">
        <f t="shared" ca="1" si="10"/>
        <v>1</v>
      </c>
    </row>
    <row r="255" spans="1:3" x14ac:dyDescent="0.25">
      <c r="A255" s="125">
        <f t="shared" si="11"/>
        <v>240</v>
      </c>
      <c r="B255" s="121">
        <f t="shared" ca="1" si="9"/>
        <v>50.32096564007</v>
      </c>
      <c r="C255" s="128">
        <f t="shared" ca="1" si="10"/>
        <v>1</v>
      </c>
    </row>
    <row r="256" spans="1:3" x14ac:dyDescent="0.25">
      <c r="A256" s="125">
        <f t="shared" si="11"/>
        <v>241</v>
      </c>
      <c r="B256" s="121">
        <f t="shared" ca="1" si="9"/>
        <v>-0.97365528963597825</v>
      </c>
      <c r="C256" s="128">
        <f t="shared" ca="1" si="10"/>
        <v>0</v>
      </c>
    </row>
    <row r="257" spans="1:3" x14ac:dyDescent="0.25">
      <c r="A257" s="125">
        <f t="shared" si="11"/>
        <v>242</v>
      </c>
      <c r="B257" s="121">
        <f t="shared" ca="1" si="9"/>
        <v>103.83446963551427</v>
      </c>
      <c r="C257" s="128">
        <f t="shared" ca="1" si="10"/>
        <v>1</v>
      </c>
    </row>
    <row r="258" spans="1:3" x14ac:dyDescent="0.25">
      <c r="A258" s="125">
        <f t="shared" si="11"/>
        <v>243</v>
      </c>
      <c r="B258" s="121">
        <f t="shared" ca="1" si="9"/>
        <v>106.00839221189938</v>
      </c>
      <c r="C258" s="128">
        <f t="shared" ca="1" si="10"/>
        <v>1</v>
      </c>
    </row>
    <row r="259" spans="1:3" x14ac:dyDescent="0.25">
      <c r="A259" s="125">
        <f t="shared" si="11"/>
        <v>244</v>
      </c>
      <c r="B259" s="121">
        <f t="shared" ca="1" si="9"/>
        <v>-17.88682348366018</v>
      </c>
      <c r="C259" s="128">
        <f t="shared" ca="1" si="10"/>
        <v>0</v>
      </c>
    </row>
    <row r="260" spans="1:3" x14ac:dyDescent="0.25">
      <c r="A260" s="125">
        <f t="shared" si="11"/>
        <v>245</v>
      </c>
      <c r="B260" s="121">
        <f t="shared" ca="1" si="9"/>
        <v>125.14491569274854</v>
      </c>
      <c r="C260" s="128">
        <f t="shared" ca="1" si="10"/>
        <v>1</v>
      </c>
    </row>
    <row r="261" spans="1:3" x14ac:dyDescent="0.25">
      <c r="A261" s="125">
        <f t="shared" si="11"/>
        <v>246</v>
      </c>
      <c r="B261" s="121">
        <f t="shared" ca="1" si="9"/>
        <v>39.669372346410967</v>
      </c>
      <c r="C261" s="128">
        <f t="shared" ca="1" si="10"/>
        <v>1</v>
      </c>
    </row>
    <row r="262" spans="1:3" x14ac:dyDescent="0.25">
      <c r="A262" s="125">
        <f t="shared" si="11"/>
        <v>247</v>
      </c>
      <c r="B262" s="121">
        <f t="shared" ca="1" si="9"/>
        <v>81.448494790160396</v>
      </c>
      <c r="C262" s="128">
        <f t="shared" ca="1" si="10"/>
        <v>1</v>
      </c>
    </row>
    <row r="263" spans="1:3" x14ac:dyDescent="0.25">
      <c r="A263" s="125">
        <f t="shared" si="11"/>
        <v>248</v>
      </c>
      <c r="B263" s="121">
        <f t="shared" ca="1" si="9"/>
        <v>-1.1280667322860438</v>
      </c>
      <c r="C263" s="128">
        <f t="shared" ca="1" si="10"/>
        <v>0</v>
      </c>
    </row>
    <row r="264" spans="1:3" x14ac:dyDescent="0.25">
      <c r="A264" s="125">
        <f t="shared" si="11"/>
        <v>249</v>
      </c>
      <c r="B264" s="121">
        <f t="shared" ca="1" si="9"/>
        <v>95.939338458515607</v>
      </c>
      <c r="C264" s="128">
        <f t="shared" ca="1" si="10"/>
        <v>1</v>
      </c>
    </row>
    <row r="265" spans="1:3" x14ac:dyDescent="0.25">
      <c r="A265" s="125">
        <f t="shared" si="11"/>
        <v>250</v>
      </c>
      <c r="B265" s="121">
        <f t="shared" ca="1" si="9"/>
        <v>13.337429236616924</v>
      </c>
      <c r="C265" s="128">
        <f t="shared" ca="1" si="10"/>
        <v>0</v>
      </c>
    </row>
    <row r="266" spans="1:3" x14ac:dyDescent="0.25">
      <c r="A266" s="125">
        <f t="shared" si="11"/>
        <v>251</v>
      </c>
      <c r="B266" s="121">
        <f t="shared" ca="1" si="9"/>
        <v>19.851079188639588</v>
      </c>
      <c r="C266" s="128">
        <f t="shared" ca="1" si="10"/>
        <v>0</v>
      </c>
    </row>
    <row r="267" spans="1:3" x14ac:dyDescent="0.25">
      <c r="A267" s="125">
        <f t="shared" si="11"/>
        <v>252</v>
      </c>
      <c r="B267" s="121">
        <f t="shared" ca="1" si="9"/>
        <v>-1.4992053370327838</v>
      </c>
      <c r="C267" s="128">
        <f t="shared" ca="1" si="10"/>
        <v>0</v>
      </c>
    </row>
    <row r="268" spans="1:3" x14ac:dyDescent="0.25">
      <c r="A268" s="125">
        <f t="shared" si="11"/>
        <v>253</v>
      </c>
      <c r="B268" s="121">
        <f t="shared" ca="1" si="9"/>
        <v>-17.585668357567471</v>
      </c>
      <c r="C268" s="128">
        <f t="shared" ca="1" si="10"/>
        <v>0</v>
      </c>
    </row>
    <row r="269" spans="1:3" x14ac:dyDescent="0.25">
      <c r="A269" s="125">
        <f t="shared" si="11"/>
        <v>254</v>
      </c>
      <c r="B269" s="121">
        <f t="shared" ca="1" si="9"/>
        <v>4.9304455355816472</v>
      </c>
      <c r="C269" s="128">
        <f t="shared" ca="1" si="10"/>
        <v>0</v>
      </c>
    </row>
    <row r="270" spans="1:3" x14ac:dyDescent="0.25">
      <c r="A270" s="125">
        <f t="shared" si="11"/>
        <v>255</v>
      </c>
      <c r="B270" s="121">
        <f t="shared" ca="1" si="9"/>
        <v>44.431308914110701</v>
      </c>
      <c r="C270" s="128">
        <f t="shared" ca="1" si="10"/>
        <v>1</v>
      </c>
    </row>
    <row r="271" spans="1:3" x14ac:dyDescent="0.25">
      <c r="A271" s="125">
        <f t="shared" si="11"/>
        <v>256</v>
      </c>
      <c r="B271" s="121">
        <f t="shared" ca="1" si="9"/>
        <v>17.805787493930218</v>
      </c>
      <c r="C271" s="128">
        <f t="shared" ca="1" si="10"/>
        <v>0</v>
      </c>
    </row>
    <row r="272" spans="1:3" x14ac:dyDescent="0.25">
      <c r="A272" s="125">
        <f t="shared" si="11"/>
        <v>257</v>
      </c>
      <c r="B272" s="121">
        <f t="shared" ca="1" si="9"/>
        <v>125.86239303017686</v>
      </c>
      <c r="C272" s="128">
        <f t="shared" ca="1" si="10"/>
        <v>1</v>
      </c>
    </row>
    <row r="273" spans="1:3" x14ac:dyDescent="0.25">
      <c r="A273" s="125">
        <f t="shared" si="11"/>
        <v>258</v>
      </c>
      <c r="B273" s="121">
        <f t="shared" ref="B273:B336" ca="1" si="12">_xlfn.NORM.INV(RAND(), $B$9, $B$10)</f>
        <v>0.61677752668915531</v>
      </c>
      <c r="C273" s="128">
        <f t="shared" ref="C273:C336" ca="1" si="13">IF(B273 &gt;= $B$11, 1, 0)</f>
        <v>0</v>
      </c>
    </row>
    <row r="274" spans="1:3" x14ac:dyDescent="0.25">
      <c r="A274" s="125">
        <f t="shared" ref="A274:A337" si="14">+A273+1</f>
        <v>259</v>
      </c>
      <c r="B274" s="121">
        <f t="shared" ca="1" si="12"/>
        <v>47.447011172128796</v>
      </c>
      <c r="C274" s="128">
        <f t="shared" ca="1" si="13"/>
        <v>1</v>
      </c>
    </row>
    <row r="275" spans="1:3" x14ac:dyDescent="0.25">
      <c r="A275" s="125">
        <f t="shared" si="14"/>
        <v>260</v>
      </c>
      <c r="B275" s="121">
        <f t="shared" ca="1" si="12"/>
        <v>59.03513506525961</v>
      </c>
      <c r="C275" s="128">
        <f t="shared" ca="1" si="13"/>
        <v>1</v>
      </c>
    </row>
    <row r="276" spans="1:3" x14ac:dyDescent="0.25">
      <c r="A276" s="125">
        <f t="shared" si="14"/>
        <v>261</v>
      </c>
      <c r="B276" s="121">
        <f t="shared" ca="1" si="12"/>
        <v>69.114276405175303</v>
      </c>
      <c r="C276" s="128">
        <f t="shared" ca="1" si="13"/>
        <v>1</v>
      </c>
    </row>
    <row r="277" spans="1:3" x14ac:dyDescent="0.25">
      <c r="A277" s="125">
        <f t="shared" si="14"/>
        <v>262</v>
      </c>
      <c r="B277" s="121">
        <f t="shared" ca="1" si="12"/>
        <v>54.713756067106793</v>
      </c>
      <c r="C277" s="128">
        <f t="shared" ca="1" si="13"/>
        <v>1</v>
      </c>
    </row>
    <row r="278" spans="1:3" x14ac:dyDescent="0.25">
      <c r="A278" s="125">
        <f t="shared" si="14"/>
        <v>263</v>
      </c>
      <c r="B278" s="121">
        <f t="shared" ca="1" si="12"/>
        <v>11.874466218150474</v>
      </c>
      <c r="C278" s="128">
        <f t="shared" ca="1" si="13"/>
        <v>0</v>
      </c>
    </row>
    <row r="279" spans="1:3" x14ac:dyDescent="0.25">
      <c r="A279" s="125">
        <f t="shared" si="14"/>
        <v>264</v>
      </c>
      <c r="B279" s="121">
        <f t="shared" ca="1" si="12"/>
        <v>38.667507555123343</v>
      </c>
      <c r="C279" s="128">
        <f t="shared" ca="1" si="13"/>
        <v>1</v>
      </c>
    </row>
    <row r="280" spans="1:3" x14ac:dyDescent="0.25">
      <c r="A280" s="125">
        <f t="shared" si="14"/>
        <v>265</v>
      </c>
      <c r="B280" s="121">
        <f t="shared" ca="1" si="12"/>
        <v>46.53654991454335</v>
      </c>
      <c r="C280" s="128">
        <f t="shared" ca="1" si="13"/>
        <v>1</v>
      </c>
    </row>
    <row r="281" spans="1:3" x14ac:dyDescent="0.25">
      <c r="A281" s="125">
        <f t="shared" si="14"/>
        <v>266</v>
      </c>
      <c r="B281" s="121">
        <f t="shared" ca="1" si="12"/>
        <v>46.566297386783972</v>
      </c>
      <c r="C281" s="128">
        <f t="shared" ca="1" si="13"/>
        <v>1</v>
      </c>
    </row>
    <row r="282" spans="1:3" x14ac:dyDescent="0.25">
      <c r="A282" s="125">
        <f t="shared" si="14"/>
        <v>267</v>
      </c>
      <c r="B282" s="121">
        <f t="shared" ca="1" si="12"/>
        <v>-55.109761094007951</v>
      </c>
      <c r="C282" s="128">
        <f t="shared" ca="1" si="13"/>
        <v>0</v>
      </c>
    </row>
    <row r="283" spans="1:3" x14ac:dyDescent="0.25">
      <c r="A283" s="125">
        <f t="shared" si="14"/>
        <v>268</v>
      </c>
      <c r="B283" s="121">
        <f t="shared" ca="1" si="12"/>
        <v>76.112586064115249</v>
      </c>
      <c r="C283" s="128">
        <f t="shared" ca="1" si="13"/>
        <v>1</v>
      </c>
    </row>
    <row r="284" spans="1:3" x14ac:dyDescent="0.25">
      <c r="A284" s="125">
        <f t="shared" si="14"/>
        <v>269</v>
      </c>
      <c r="B284" s="121">
        <f t="shared" ca="1" si="12"/>
        <v>51.715868415353576</v>
      </c>
      <c r="C284" s="128">
        <f t="shared" ca="1" si="13"/>
        <v>1</v>
      </c>
    </row>
    <row r="285" spans="1:3" x14ac:dyDescent="0.25">
      <c r="A285" s="125">
        <f t="shared" si="14"/>
        <v>270</v>
      </c>
      <c r="B285" s="121">
        <f t="shared" ca="1" si="12"/>
        <v>114.54040151117944</v>
      </c>
      <c r="C285" s="128">
        <f t="shared" ca="1" si="13"/>
        <v>1</v>
      </c>
    </row>
    <row r="286" spans="1:3" x14ac:dyDescent="0.25">
      <c r="A286" s="125">
        <f t="shared" si="14"/>
        <v>271</v>
      </c>
      <c r="B286" s="121">
        <f t="shared" ca="1" si="12"/>
        <v>-60.173842771214822</v>
      </c>
      <c r="C286" s="128">
        <f t="shared" ca="1" si="13"/>
        <v>0</v>
      </c>
    </row>
    <row r="287" spans="1:3" x14ac:dyDescent="0.25">
      <c r="A287" s="125">
        <f t="shared" si="14"/>
        <v>272</v>
      </c>
      <c r="B287" s="121">
        <f t="shared" ca="1" si="12"/>
        <v>57.030338238417954</v>
      </c>
      <c r="C287" s="128">
        <f t="shared" ca="1" si="13"/>
        <v>1</v>
      </c>
    </row>
    <row r="288" spans="1:3" x14ac:dyDescent="0.25">
      <c r="A288" s="125">
        <f t="shared" si="14"/>
        <v>273</v>
      </c>
      <c r="B288" s="121">
        <f t="shared" ca="1" si="12"/>
        <v>-14.001663542101227</v>
      </c>
      <c r="C288" s="128">
        <f t="shared" ca="1" si="13"/>
        <v>0</v>
      </c>
    </row>
    <row r="289" spans="1:3" x14ac:dyDescent="0.25">
      <c r="A289" s="125">
        <f t="shared" si="14"/>
        <v>274</v>
      </c>
      <c r="B289" s="121">
        <f t="shared" ca="1" si="12"/>
        <v>41.020366084705444</v>
      </c>
      <c r="C289" s="128">
        <f t="shared" ca="1" si="13"/>
        <v>1</v>
      </c>
    </row>
    <row r="290" spans="1:3" x14ac:dyDescent="0.25">
      <c r="A290" s="125">
        <f t="shared" si="14"/>
        <v>275</v>
      </c>
      <c r="B290" s="121">
        <f t="shared" ca="1" si="12"/>
        <v>95.899330885208272</v>
      </c>
      <c r="C290" s="128">
        <f t="shared" ca="1" si="13"/>
        <v>1</v>
      </c>
    </row>
    <row r="291" spans="1:3" x14ac:dyDescent="0.25">
      <c r="A291" s="125">
        <f t="shared" si="14"/>
        <v>276</v>
      </c>
      <c r="B291" s="121">
        <f t="shared" ca="1" si="12"/>
        <v>-14.443855107481909</v>
      </c>
      <c r="C291" s="128">
        <f t="shared" ca="1" si="13"/>
        <v>0</v>
      </c>
    </row>
    <row r="292" spans="1:3" x14ac:dyDescent="0.25">
      <c r="A292" s="125">
        <f t="shared" si="14"/>
        <v>277</v>
      </c>
      <c r="B292" s="121">
        <f t="shared" ca="1" si="12"/>
        <v>31.714005951716651</v>
      </c>
      <c r="C292" s="128">
        <f t="shared" ca="1" si="13"/>
        <v>1</v>
      </c>
    </row>
    <row r="293" spans="1:3" x14ac:dyDescent="0.25">
      <c r="A293" s="125">
        <f t="shared" si="14"/>
        <v>278</v>
      </c>
      <c r="B293" s="121">
        <f t="shared" ca="1" si="12"/>
        <v>14.582746048603003</v>
      </c>
      <c r="C293" s="128">
        <f t="shared" ca="1" si="13"/>
        <v>0</v>
      </c>
    </row>
    <row r="294" spans="1:3" x14ac:dyDescent="0.25">
      <c r="A294" s="125">
        <f t="shared" si="14"/>
        <v>279</v>
      </c>
      <c r="B294" s="121">
        <f t="shared" ca="1" si="12"/>
        <v>68.927341482904325</v>
      </c>
      <c r="C294" s="128">
        <f t="shared" ca="1" si="13"/>
        <v>1</v>
      </c>
    </row>
    <row r="295" spans="1:3" x14ac:dyDescent="0.25">
      <c r="A295" s="125">
        <f t="shared" si="14"/>
        <v>280</v>
      </c>
      <c r="B295" s="121">
        <f t="shared" ca="1" si="12"/>
        <v>67.227588464565613</v>
      </c>
      <c r="C295" s="128">
        <f t="shared" ca="1" si="13"/>
        <v>1</v>
      </c>
    </row>
    <row r="296" spans="1:3" x14ac:dyDescent="0.25">
      <c r="A296" s="125">
        <f t="shared" si="14"/>
        <v>281</v>
      </c>
      <c r="B296" s="121">
        <f t="shared" ca="1" si="12"/>
        <v>-53.44588884027506</v>
      </c>
      <c r="C296" s="128">
        <f t="shared" ca="1" si="13"/>
        <v>0</v>
      </c>
    </row>
    <row r="297" spans="1:3" x14ac:dyDescent="0.25">
      <c r="A297" s="125">
        <f t="shared" si="14"/>
        <v>282</v>
      </c>
      <c r="B297" s="121">
        <f t="shared" ca="1" si="12"/>
        <v>-39.136829871601478</v>
      </c>
      <c r="C297" s="128">
        <f t="shared" ca="1" si="13"/>
        <v>0</v>
      </c>
    </row>
    <row r="298" spans="1:3" x14ac:dyDescent="0.25">
      <c r="A298" s="125">
        <f t="shared" si="14"/>
        <v>283</v>
      </c>
      <c r="B298" s="121">
        <f t="shared" ca="1" si="12"/>
        <v>113.47564136165627</v>
      </c>
      <c r="C298" s="128">
        <f t="shared" ca="1" si="13"/>
        <v>1</v>
      </c>
    </row>
    <row r="299" spans="1:3" x14ac:dyDescent="0.25">
      <c r="A299" s="125">
        <f t="shared" si="14"/>
        <v>284</v>
      </c>
      <c r="B299" s="121">
        <f t="shared" ca="1" si="12"/>
        <v>17.70300222854922</v>
      </c>
      <c r="C299" s="128">
        <f t="shared" ca="1" si="13"/>
        <v>0</v>
      </c>
    </row>
    <row r="300" spans="1:3" x14ac:dyDescent="0.25">
      <c r="A300" s="125">
        <f t="shared" si="14"/>
        <v>285</v>
      </c>
      <c r="B300" s="121">
        <f t="shared" ca="1" si="12"/>
        <v>95.35127136681578</v>
      </c>
      <c r="C300" s="128">
        <f t="shared" ca="1" si="13"/>
        <v>1</v>
      </c>
    </row>
    <row r="301" spans="1:3" x14ac:dyDescent="0.25">
      <c r="A301" s="125">
        <f t="shared" si="14"/>
        <v>286</v>
      </c>
      <c r="B301" s="121">
        <f t="shared" ca="1" si="12"/>
        <v>73.669371535926587</v>
      </c>
      <c r="C301" s="128">
        <f t="shared" ca="1" si="13"/>
        <v>1</v>
      </c>
    </row>
    <row r="302" spans="1:3" x14ac:dyDescent="0.25">
      <c r="A302" s="125">
        <f t="shared" si="14"/>
        <v>287</v>
      </c>
      <c r="B302" s="121">
        <f t="shared" ca="1" si="12"/>
        <v>65.087148388677392</v>
      </c>
      <c r="C302" s="128">
        <f t="shared" ca="1" si="13"/>
        <v>1</v>
      </c>
    </row>
    <row r="303" spans="1:3" x14ac:dyDescent="0.25">
      <c r="A303" s="125">
        <f t="shared" si="14"/>
        <v>288</v>
      </c>
      <c r="B303" s="121">
        <f t="shared" ca="1" si="12"/>
        <v>53.225237371960489</v>
      </c>
      <c r="C303" s="128">
        <f t="shared" ca="1" si="13"/>
        <v>1</v>
      </c>
    </row>
    <row r="304" spans="1:3" x14ac:dyDescent="0.25">
      <c r="A304" s="125">
        <f t="shared" si="14"/>
        <v>289</v>
      </c>
      <c r="B304" s="121">
        <f t="shared" ca="1" si="12"/>
        <v>70.814521800205725</v>
      </c>
      <c r="C304" s="128">
        <f t="shared" ca="1" si="13"/>
        <v>1</v>
      </c>
    </row>
    <row r="305" spans="1:3" x14ac:dyDescent="0.25">
      <c r="A305" s="125">
        <f t="shared" si="14"/>
        <v>290</v>
      </c>
      <c r="B305" s="121">
        <f t="shared" ca="1" si="12"/>
        <v>2.9405596773976868</v>
      </c>
      <c r="C305" s="128">
        <f t="shared" ca="1" si="13"/>
        <v>0</v>
      </c>
    </row>
    <row r="306" spans="1:3" x14ac:dyDescent="0.25">
      <c r="A306" s="125">
        <f t="shared" si="14"/>
        <v>291</v>
      </c>
      <c r="B306" s="121">
        <f t="shared" ca="1" si="12"/>
        <v>-6.7682539472145749</v>
      </c>
      <c r="C306" s="128">
        <f t="shared" ca="1" si="13"/>
        <v>0</v>
      </c>
    </row>
    <row r="307" spans="1:3" x14ac:dyDescent="0.25">
      <c r="A307" s="125">
        <f t="shared" si="14"/>
        <v>292</v>
      </c>
      <c r="B307" s="121">
        <f t="shared" ca="1" si="12"/>
        <v>50.523812302177127</v>
      </c>
      <c r="C307" s="128">
        <f t="shared" ca="1" si="13"/>
        <v>1</v>
      </c>
    </row>
    <row r="308" spans="1:3" x14ac:dyDescent="0.25">
      <c r="A308" s="125">
        <f t="shared" si="14"/>
        <v>293</v>
      </c>
      <c r="B308" s="121">
        <f t="shared" ca="1" si="12"/>
        <v>107.84942166960499</v>
      </c>
      <c r="C308" s="128">
        <f t="shared" ca="1" si="13"/>
        <v>1</v>
      </c>
    </row>
    <row r="309" spans="1:3" x14ac:dyDescent="0.25">
      <c r="A309" s="125">
        <f t="shared" si="14"/>
        <v>294</v>
      </c>
      <c r="B309" s="121">
        <f t="shared" ca="1" si="12"/>
        <v>62.438974001079544</v>
      </c>
      <c r="C309" s="128">
        <f t="shared" ca="1" si="13"/>
        <v>1</v>
      </c>
    </row>
    <row r="310" spans="1:3" x14ac:dyDescent="0.25">
      <c r="A310" s="125">
        <f t="shared" si="14"/>
        <v>295</v>
      </c>
      <c r="B310" s="121">
        <f t="shared" ca="1" si="12"/>
        <v>52.069180455337069</v>
      </c>
      <c r="C310" s="128">
        <f t="shared" ca="1" si="13"/>
        <v>1</v>
      </c>
    </row>
    <row r="311" spans="1:3" x14ac:dyDescent="0.25">
      <c r="A311" s="125">
        <f t="shared" si="14"/>
        <v>296</v>
      </c>
      <c r="B311" s="121">
        <f t="shared" ca="1" si="12"/>
        <v>117.07311215443906</v>
      </c>
      <c r="C311" s="128">
        <f t="shared" ca="1" si="13"/>
        <v>1</v>
      </c>
    </row>
    <row r="312" spans="1:3" x14ac:dyDescent="0.25">
      <c r="A312" s="125">
        <f t="shared" si="14"/>
        <v>297</v>
      </c>
      <c r="B312" s="121">
        <f t="shared" ca="1" si="12"/>
        <v>-17.475609187058581</v>
      </c>
      <c r="C312" s="128">
        <f t="shared" ca="1" si="13"/>
        <v>0</v>
      </c>
    </row>
    <row r="313" spans="1:3" x14ac:dyDescent="0.25">
      <c r="A313" s="125">
        <f t="shared" si="14"/>
        <v>298</v>
      </c>
      <c r="B313" s="121">
        <f t="shared" ca="1" si="12"/>
        <v>110.97006156887001</v>
      </c>
      <c r="C313" s="128">
        <f t="shared" ca="1" si="13"/>
        <v>1</v>
      </c>
    </row>
    <row r="314" spans="1:3" x14ac:dyDescent="0.25">
      <c r="A314" s="125">
        <f t="shared" si="14"/>
        <v>299</v>
      </c>
      <c r="B314" s="121">
        <f t="shared" ca="1" si="12"/>
        <v>126.76015241788524</v>
      </c>
      <c r="C314" s="128">
        <f t="shared" ca="1" si="13"/>
        <v>1</v>
      </c>
    </row>
    <row r="315" spans="1:3" x14ac:dyDescent="0.25">
      <c r="A315" s="125">
        <f t="shared" si="14"/>
        <v>300</v>
      </c>
      <c r="B315" s="121">
        <f t="shared" ca="1" si="12"/>
        <v>67.484920342847829</v>
      </c>
      <c r="C315" s="128">
        <f t="shared" ca="1" si="13"/>
        <v>1</v>
      </c>
    </row>
    <row r="316" spans="1:3" x14ac:dyDescent="0.25">
      <c r="A316" s="125">
        <f t="shared" si="14"/>
        <v>301</v>
      </c>
      <c r="B316" s="121">
        <f t="shared" ca="1" si="12"/>
        <v>-38.483211471478171</v>
      </c>
      <c r="C316" s="128">
        <f t="shared" ca="1" si="13"/>
        <v>0</v>
      </c>
    </row>
    <row r="317" spans="1:3" x14ac:dyDescent="0.25">
      <c r="A317" s="125">
        <f t="shared" si="14"/>
        <v>302</v>
      </c>
      <c r="B317" s="121">
        <f t="shared" ca="1" si="12"/>
        <v>26.877774436631071</v>
      </c>
      <c r="C317" s="128">
        <f t="shared" ca="1" si="13"/>
        <v>1</v>
      </c>
    </row>
    <row r="318" spans="1:3" x14ac:dyDescent="0.25">
      <c r="A318" s="125">
        <f t="shared" si="14"/>
        <v>303</v>
      </c>
      <c r="B318" s="121">
        <f t="shared" ca="1" si="12"/>
        <v>13.943261339600411</v>
      </c>
      <c r="C318" s="128">
        <f t="shared" ca="1" si="13"/>
        <v>0</v>
      </c>
    </row>
    <row r="319" spans="1:3" x14ac:dyDescent="0.25">
      <c r="A319" s="125">
        <f t="shared" si="14"/>
        <v>304</v>
      </c>
      <c r="B319" s="121">
        <f t="shared" ca="1" si="12"/>
        <v>69.583178752014533</v>
      </c>
      <c r="C319" s="128">
        <f t="shared" ca="1" si="13"/>
        <v>1</v>
      </c>
    </row>
    <row r="320" spans="1:3" x14ac:dyDescent="0.25">
      <c r="A320" s="125">
        <f t="shared" si="14"/>
        <v>305</v>
      </c>
      <c r="B320" s="121">
        <f t="shared" ca="1" si="12"/>
        <v>-22.343246284700541</v>
      </c>
      <c r="C320" s="128">
        <f t="shared" ca="1" si="13"/>
        <v>0</v>
      </c>
    </row>
    <row r="321" spans="1:3" x14ac:dyDescent="0.25">
      <c r="A321" s="125">
        <f t="shared" si="14"/>
        <v>306</v>
      </c>
      <c r="B321" s="121">
        <f t="shared" ca="1" si="12"/>
        <v>60.748853153129389</v>
      </c>
      <c r="C321" s="128">
        <f t="shared" ca="1" si="13"/>
        <v>1</v>
      </c>
    </row>
    <row r="322" spans="1:3" x14ac:dyDescent="0.25">
      <c r="A322" s="125">
        <f t="shared" si="14"/>
        <v>307</v>
      </c>
      <c r="B322" s="121">
        <f t="shared" ca="1" si="12"/>
        <v>-7.8681630820717388</v>
      </c>
      <c r="C322" s="128">
        <f t="shared" ca="1" si="13"/>
        <v>0</v>
      </c>
    </row>
    <row r="323" spans="1:3" x14ac:dyDescent="0.25">
      <c r="A323" s="125">
        <f t="shared" si="14"/>
        <v>308</v>
      </c>
      <c r="B323" s="121">
        <f t="shared" ca="1" si="12"/>
        <v>65.939535192788824</v>
      </c>
      <c r="C323" s="128">
        <f t="shared" ca="1" si="13"/>
        <v>1</v>
      </c>
    </row>
    <row r="324" spans="1:3" x14ac:dyDescent="0.25">
      <c r="A324" s="125">
        <f t="shared" si="14"/>
        <v>309</v>
      </c>
      <c r="B324" s="121">
        <f t="shared" ca="1" si="12"/>
        <v>-18.462765340155968</v>
      </c>
      <c r="C324" s="128">
        <f t="shared" ca="1" si="13"/>
        <v>0</v>
      </c>
    </row>
    <row r="325" spans="1:3" x14ac:dyDescent="0.25">
      <c r="A325" s="125">
        <f t="shared" si="14"/>
        <v>310</v>
      </c>
      <c r="B325" s="121">
        <f t="shared" ca="1" si="12"/>
        <v>56.970263283484869</v>
      </c>
      <c r="C325" s="128">
        <f t="shared" ca="1" si="13"/>
        <v>1</v>
      </c>
    </row>
    <row r="326" spans="1:3" x14ac:dyDescent="0.25">
      <c r="A326" s="125">
        <f t="shared" si="14"/>
        <v>311</v>
      </c>
      <c r="B326" s="121">
        <f t="shared" ca="1" si="12"/>
        <v>74.614930140491651</v>
      </c>
      <c r="C326" s="128">
        <f t="shared" ca="1" si="13"/>
        <v>1</v>
      </c>
    </row>
    <row r="327" spans="1:3" x14ac:dyDescent="0.25">
      <c r="A327" s="125">
        <f t="shared" si="14"/>
        <v>312</v>
      </c>
      <c r="B327" s="121">
        <f t="shared" ca="1" si="12"/>
        <v>76.516952608215206</v>
      </c>
      <c r="C327" s="128">
        <f t="shared" ca="1" si="13"/>
        <v>1</v>
      </c>
    </row>
    <row r="328" spans="1:3" x14ac:dyDescent="0.25">
      <c r="A328" s="125">
        <f t="shared" si="14"/>
        <v>313</v>
      </c>
      <c r="B328" s="121">
        <f t="shared" ca="1" si="12"/>
        <v>30.179887096812731</v>
      </c>
      <c r="C328" s="128">
        <f t="shared" ca="1" si="13"/>
        <v>1</v>
      </c>
    </row>
    <row r="329" spans="1:3" x14ac:dyDescent="0.25">
      <c r="A329" s="125">
        <f t="shared" si="14"/>
        <v>314</v>
      </c>
      <c r="B329" s="121">
        <f t="shared" ca="1" si="12"/>
        <v>-4.4029440151940875</v>
      </c>
      <c r="C329" s="128">
        <f t="shared" ca="1" si="13"/>
        <v>0</v>
      </c>
    </row>
    <row r="330" spans="1:3" x14ac:dyDescent="0.25">
      <c r="A330" s="125">
        <f t="shared" si="14"/>
        <v>315</v>
      </c>
      <c r="B330" s="121">
        <f t="shared" ca="1" si="12"/>
        <v>51.183264417533778</v>
      </c>
      <c r="C330" s="128">
        <f t="shared" ca="1" si="13"/>
        <v>1</v>
      </c>
    </row>
    <row r="331" spans="1:3" x14ac:dyDescent="0.25">
      <c r="A331" s="125">
        <f t="shared" si="14"/>
        <v>316</v>
      </c>
      <c r="B331" s="121">
        <f t="shared" ca="1" si="12"/>
        <v>-20.180610723077194</v>
      </c>
      <c r="C331" s="128">
        <f t="shared" ca="1" si="13"/>
        <v>0</v>
      </c>
    </row>
    <row r="332" spans="1:3" x14ac:dyDescent="0.25">
      <c r="A332" s="125">
        <f t="shared" si="14"/>
        <v>317</v>
      </c>
      <c r="B332" s="121">
        <f t="shared" ca="1" si="12"/>
        <v>77.989040029192353</v>
      </c>
      <c r="C332" s="128">
        <f t="shared" ca="1" si="13"/>
        <v>1</v>
      </c>
    </row>
    <row r="333" spans="1:3" x14ac:dyDescent="0.25">
      <c r="A333" s="125">
        <f t="shared" si="14"/>
        <v>318</v>
      </c>
      <c r="B333" s="121">
        <f t="shared" ca="1" si="12"/>
        <v>-8.5732115745340494</v>
      </c>
      <c r="C333" s="128">
        <f t="shared" ca="1" si="13"/>
        <v>0</v>
      </c>
    </row>
    <row r="334" spans="1:3" x14ac:dyDescent="0.25">
      <c r="A334" s="125">
        <f t="shared" si="14"/>
        <v>319</v>
      </c>
      <c r="B334" s="121">
        <f t="shared" ca="1" si="12"/>
        <v>1.4308681186584735</v>
      </c>
      <c r="C334" s="128">
        <f t="shared" ca="1" si="13"/>
        <v>0</v>
      </c>
    </row>
    <row r="335" spans="1:3" x14ac:dyDescent="0.25">
      <c r="A335" s="125">
        <f t="shared" si="14"/>
        <v>320</v>
      </c>
      <c r="B335" s="121">
        <f t="shared" ca="1" si="12"/>
        <v>28.047887688168899</v>
      </c>
      <c r="C335" s="128">
        <f t="shared" ca="1" si="13"/>
        <v>1</v>
      </c>
    </row>
    <row r="336" spans="1:3" x14ac:dyDescent="0.25">
      <c r="A336" s="125">
        <f t="shared" si="14"/>
        <v>321</v>
      </c>
      <c r="B336" s="121">
        <f t="shared" ca="1" si="12"/>
        <v>-12.817397375676691</v>
      </c>
      <c r="C336" s="128">
        <f t="shared" ca="1" si="13"/>
        <v>0</v>
      </c>
    </row>
    <row r="337" spans="1:3" x14ac:dyDescent="0.25">
      <c r="A337" s="125">
        <f t="shared" si="14"/>
        <v>322</v>
      </c>
      <c r="B337" s="121">
        <f t="shared" ref="B337:B400" ca="1" si="15">_xlfn.NORM.INV(RAND(), $B$9, $B$10)</f>
        <v>40.887274806217029</v>
      </c>
      <c r="C337" s="128">
        <f t="shared" ref="C337:C400" ca="1" si="16">IF(B337 &gt;= $B$11, 1, 0)</f>
        <v>1</v>
      </c>
    </row>
    <row r="338" spans="1:3" x14ac:dyDescent="0.25">
      <c r="A338" s="125">
        <f t="shared" ref="A338:A401" si="17">+A337+1</f>
        <v>323</v>
      </c>
      <c r="B338" s="121">
        <f t="shared" ca="1" si="15"/>
        <v>-50.143380998853516</v>
      </c>
      <c r="C338" s="128">
        <f t="shared" ca="1" si="16"/>
        <v>0</v>
      </c>
    </row>
    <row r="339" spans="1:3" x14ac:dyDescent="0.25">
      <c r="A339" s="125">
        <f t="shared" si="17"/>
        <v>324</v>
      </c>
      <c r="B339" s="121">
        <f t="shared" ca="1" si="15"/>
        <v>-39.418324229306904</v>
      </c>
      <c r="C339" s="128">
        <f t="shared" ca="1" si="16"/>
        <v>0</v>
      </c>
    </row>
    <row r="340" spans="1:3" x14ac:dyDescent="0.25">
      <c r="A340" s="125">
        <f t="shared" si="17"/>
        <v>325</v>
      </c>
      <c r="B340" s="121">
        <f t="shared" ca="1" si="15"/>
        <v>24.174360287116336</v>
      </c>
      <c r="C340" s="128">
        <f t="shared" ca="1" si="16"/>
        <v>0</v>
      </c>
    </row>
    <row r="341" spans="1:3" x14ac:dyDescent="0.25">
      <c r="A341" s="125">
        <f t="shared" si="17"/>
        <v>326</v>
      </c>
      <c r="B341" s="121">
        <f t="shared" ca="1" si="15"/>
        <v>50.303267341986754</v>
      </c>
      <c r="C341" s="128">
        <f t="shared" ca="1" si="16"/>
        <v>1</v>
      </c>
    </row>
    <row r="342" spans="1:3" x14ac:dyDescent="0.25">
      <c r="A342" s="125">
        <f t="shared" si="17"/>
        <v>327</v>
      </c>
      <c r="B342" s="121">
        <f t="shared" ca="1" si="15"/>
        <v>84.69919527249246</v>
      </c>
      <c r="C342" s="128">
        <f t="shared" ca="1" si="16"/>
        <v>1</v>
      </c>
    </row>
    <row r="343" spans="1:3" x14ac:dyDescent="0.25">
      <c r="A343" s="125">
        <f t="shared" si="17"/>
        <v>328</v>
      </c>
      <c r="B343" s="121">
        <f t="shared" ca="1" si="15"/>
        <v>-3.2472058543952755</v>
      </c>
      <c r="C343" s="128">
        <f t="shared" ca="1" si="16"/>
        <v>0</v>
      </c>
    </row>
    <row r="344" spans="1:3" x14ac:dyDescent="0.25">
      <c r="A344" s="125">
        <f t="shared" si="17"/>
        <v>329</v>
      </c>
      <c r="B344" s="121">
        <f t="shared" ca="1" si="15"/>
        <v>-17.875515124995943</v>
      </c>
      <c r="C344" s="128">
        <f t="shared" ca="1" si="16"/>
        <v>0</v>
      </c>
    </row>
    <row r="345" spans="1:3" x14ac:dyDescent="0.25">
      <c r="A345" s="125">
        <f t="shared" si="17"/>
        <v>330</v>
      </c>
      <c r="B345" s="121">
        <f t="shared" ca="1" si="15"/>
        <v>70.944198812161957</v>
      </c>
      <c r="C345" s="128">
        <f t="shared" ca="1" si="16"/>
        <v>1</v>
      </c>
    </row>
    <row r="346" spans="1:3" x14ac:dyDescent="0.25">
      <c r="A346" s="125">
        <f t="shared" si="17"/>
        <v>331</v>
      </c>
      <c r="B346" s="121">
        <f t="shared" ca="1" si="15"/>
        <v>4.3236791810367912</v>
      </c>
      <c r="C346" s="128">
        <f t="shared" ca="1" si="16"/>
        <v>0</v>
      </c>
    </row>
    <row r="347" spans="1:3" x14ac:dyDescent="0.25">
      <c r="A347" s="125">
        <f t="shared" si="17"/>
        <v>332</v>
      </c>
      <c r="B347" s="121">
        <f t="shared" ca="1" si="15"/>
        <v>24.791296764721331</v>
      </c>
      <c r="C347" s="128">
        <f t="shared" ca="1" si="16"/>
        <v>0</v>
      </c>
    </row>
    <row r="348" spans="1:3" x14ac:dyDescent="0.25">
      <c r="A348" s="125">
        <f t="shared" si="17"/>
        <v>333</v>
      </c>
      <c r="B348" s="121">
        <f t="shared" ca="1" si="15"/>
        <v>0.54179315154046037</v>
      </c>
      <c r="C348" s="128">
        <f t="shared" ca="1" si="16"/>
        <v>0</v>
      </c>
    </row>
    <row r="349" spans="1:3" x14ac:dyDescent="0.25">
      <c r="A349" s="125">
        <f t="shared" si="17"/>
        <v>334</v>
      </c>
      <c r="B349" s="121">
        <f t="shared" ca="1" si="15"/>
        <v>43.103999968602977</v>
      </c>
      <c r="C349" s="128">
        <f t="shared" ca="1" si="16"/>
        <v>1</v>
      </c>
    </row>
    <row r="350" spans="1:3" x14ac:dyDescent="0.25">
      <c r="A350" s="125">
        <f t="shared" si="17"/>
        <v>335</v>
      </c>
      <c r="B350" s="121">
        <f t="shared" ca="1" si="15"/>
        <v>22.054243124631206</v>
      </c>
      <c r="C350" s="128">
        <f t="shared" ca="1" si="16"/>
        <v>0</v>
      </c>
    </row>
    <row r="351" spans="1:3" x14ac:dyDescent="0.25">
      <c r="A351" s="125">
        <f t="shared" si="17"/>
        <v>336</v>
      </c>
      <c r="B351" s="121">
        <f t="shared" ca="1" si="15"/>
        <v>60.982956219807974</v>
      </c>
      <c r="C351" s="128">
        <f t="shared" ca="1" si="16"/>
        <v>1</v>
      </c>
    </row>
    <row r="352" spans="1:3" x14ac:dyDescent="0.25">
      <c r="A352" s="125">
        <f t="shared" si="17"/>
        <v>337</v>
      </c>
      <c r="B352" s="121">
        <f t="shared" ca="1" si="15"/>
        <v>57.819100926999226</v>
      </c>
      <c r="C352" s="128">
        <f t="shared" ca="1" si="16"/>
        <v>1</v>
      </c>
    </row>
    <row r="353" spans="1:3" x14ac:dyDescent="0.25">
      <c r="A353" s="125">
        <f t="shared" si="17"/>
        <v>338</v>
      </c>
      <c r="B353" s="121">
        <f t="shared" ca="1" si="15"/>
        <v>25.629144953661072</v>
      </c>
      <c r="C353" s="128">
        <f t="shared" ca="1" si="16"/>
        <v>1</v>
      </c>
    </row>
    <row r="354" spans="1:3" x14ac:dyDescent="0.25">
      <c r="A354" s="125">
        <f t="shared" si="17"/>
        <v>339</v>
      </c>
      <c r="B354" s="121">
        <f t="shared" ca="1" si="15"/>
        <v>73.373518940533998</v>
      </c>
      <c r="C354" s="128">
        <f t="shared" ca="1" si="16"/>
        <v>1</v>
      </c>
    </row>
    <row r="355" spans="1:3" x14ac:dyDescent="0.25">
      <c r="A355" s="125">
        <f t="shared" si="17"/>
        <v>340</v>
      </c>
      <c r="B355" s="121">
        <f t="shared" ca="1" si="15"/>
        <v>4.4258769487518848</v>
      </c>
      <c r="C355" s="128">
        <f t="shared" ca="1" si="16"/>
        <v>0</v>
      </c>
    </row>
    <row r="356" spans="1:3" x14ac:dyDescent="0.25">
      <c r="A356" s="125">
        <f t="shared" si="17"/>
        <v>341</v>
      </c>
      <c r="B356" s="121">
        <f t="shared" ca="1" si="15"/>
        <v>48.16900660956442</v>
      </c>
      <c r="C356" s="128">
        <f t="shared" ca="1" si="16"/>
        <v>1</v>
      </c>
    </row>
    <row r="357" spans="1:3" x14ac:dyDescent="0.25">
      <c r="A357" s="125">
        <f t="shared" si="17"/>
        <v>342</v>
      </c>
      <c r="B357" s="121">
        <f t="shared" ca="1" si="15"/>
        <v>61.453330858262731</v>
      </c>
      <c r="C357" s="128">
        <f t="shared" ca="1" si="16"/>
        <v>1</v>
      </c>
    </row>
    <row r="358" spans="1:3" x14ac:dyDescent="0.25">
      <c r="A358" s="125">
        <f t="shared" si="17"/>
        <v>343</v>
      </c>
      <c r="B358" s="121">
        <f t="shared" ca="1" si="15"/>
        <v>45.459356092088896</v>
      </c>
      <c r="C358" s="128">
        <f t="shared" ca="1" si="16"/>
        <v>1</v>
      </c>
    </row>
    <row r="359" spans="1:3" x14ac:dyDescent="0.25">
      <c r="A359" s="125">
        <f t="shared" si="17"/>
        <v>344</v>
      </c>
      <c r="B359" s="121">
        <f t="shared" ca="1" si="15"/>
        <v>46.739639492599188</v>
      </c>
      <c r="C359" s="128">
        <f t="shared" ca="1" si="16"/>
        <v>1</v>
      </c>
    </row>
    <row r="360" spans="1:3" x14ac:dyDescent="0.25">
      <c r="A360" s="125">
        <f t="shared" si="17"/>
        <v>345</v>
      </c>
      <c r="B360" s="121">
        <f t="shared" ca="1" si="15"/>
        <v>46.210210996721393</v>
      </c>
      <c r="C360" s="128">
        <f t="shared" ca="1" si="16"/>
        <v>1</v>
      </c>
    </row>
    <row r="361" spans="1:3" x14ac:dyDescent="0.25">
      <c r="A361" s="125">
        <f t="shared" si="17"/>
        <v>346</v>
      </c>
      <c r="B361" s="121">
        <f t="shared" ca="1" si="15"/>
        <v>3.4328826024310679</v>
      </c>
      <c r="C361" s="128">
        <f t="shared" ca="1" si="16"/>
        <v>0</v>
      </c>
    </row>
    <row r="362" spans="1:3" x14ac:dyDescent="0.25">
      <c r="A362" s="125">
        <f t="shared" si="17"/>
        <v>347</v>
      </c>
      <c r="B362" s="121">
        <f t="shared" ca="1" si="15"/>
        <v>151.30466312938137</v>
      </c>
      <c r="C362" s="128">
        <f t="shared" ca="1" si="16"/>
        <v>1</v>
      </c>
    </row>
    <row r="363" spans="1:3" x14ac:dyDescent="0.25">
      <c r="A363" s="125">
        <f t="shared" si="17"/>
        <v>348</v>
      </c>
      <c r="B363" s="121">
        <f t="shared" ca="1" si="15"/>
        <v>72.342681003331876</v>
      </c>
      <c r="C363" s="128">
        <f t="shared" ca="1" si="16"/>
        <v>1</v>
      </c>
    </row>
    <row r="364" spans="1:3" x14ac:dyDescent="0.25">
      <c r="A364" s="125">
        <f t="shared" si="17"/>
        <v>349</v>
      </c>
      <c r="B364" s="121">
        <f t="shared" ca="1" si="15"/>
        <v>117.81808269331481</v>
      </c>
      <c r="C364" s="128">
        <f t="shared" ca="1" si="16"/>
        <v>1</v>
      </c>
    </row>
    <row r="365" spans="1:3" x14ac:dyDescent="0.25">
      <c r="A365" s="125">
        <f t="shared" si="17"/>
        <v>350</v>
      </c>
      <c r="B365" s="121">
        <f t="shared" ca="1" si="15"/>
        <v>80.812764903941087</v>
      </c>
      <c r="C365" s="128">
        <f t="shared" ca="1" si="16"/>
        <v>1</v>
      </c>
    </row>
    <row r="366" spans="1:3" x14ac:dyDescent="0.25">
      <c r="A366" s="125">
        <f t="shared" si="17"/>
        <v>351</v>
      </c>
      <c r="B366" s="121">
        <f t="shared" ca="1" si="15"/>
        <v>13.915211878643241</v>
      </c>
      <c r="C366" s="128">
        <f t="shared" ca="1" si="16"/>
        <v>0</v>
      </c>
    </row>
    <row r="367" spans="1:3" x14ac:dyDescent="0.25">
      <c r="A367" s="125">
        <f t="shared" si="17"/>
        <v>352</v>
      </c>
      <c r="B367" s="121">
        <f t="shared" ca="1" si="15"/>
        <v>40.852519671035928</v>
      </c>
      <c r="C367" s="128">
        <f t="shared" ca="1" si="16"/>
        <v>1</v>
      </c>
    </row>
    <row r="368" spans="1:3" x14ac:dyDescent="0.25">
      <c r="A368" s="125">
        <f t="shared" si="17"/>
        <v>353</v>
      </c>
      <c r="B368" s="121">
        <f t="shared" ca="1" si="15"/>
        <v>45.126929331098374</v>
      </c>
      <c r="C368" s="128">
        <f t="shared" ca="1" si="16"/>
        <v>1</v>
      </c>
    </row>
    <row r="369" spans="1:3" x14ac:dyDescent="0.25">
      <c r="A369" s="125">
        <f t="shared" si="17"/>
        <v>354</v>
      </c>
      <c r="B369" s="121">
        <f t="shared" ca="1" si="15"/>
        <v>24.682475159242841</v>
      </c>
      <c r="C369" s="128">
        <f t="shared" ca="1" si="16"/>
        <v>0</v>
      </c>
    </row>
    <row r="370" spans="1:3" x14ac:dyDescent="0.25">
      <c r="A370" s="125">
        <f t="shared" si="17"/>
        <v>355</v>
      </c>
      <c r="B370" s="121">
        <f t="shared" ca="1" si="15"/>
        <v>40.672421261383498</v>
      </c>
      <c r="C370" s="128">
        <f t="shared" ca="1" si="16"/>
        <v>1</v>
      </c>
    </row>
    <row r="371" spans="1:3" x14ac:dyDescent="0.25">
      <c r="A371" s="125">
        <f t="shared" si="17"/>
        <v>356</v>
      </c>
      <c r="B371" s="121">
        <f t="shared" ca="1" si="15"/>
        <v>102.70964260090578</v>
      </c>
      <c r="C371" s="128">
        <f t="shared" ca="1" si="16"/>
        <v>1</v>
      </c>
    </row>
    <row r="372" spans="1:3" x14ac:dyDescent="0.25">
      <c r="A372" s="125">
        <f t="shared" si="17"/>
        <v>357</v>
      </c>
      <c r="B372" s="121">
        <f t="shared" ca="1" si="15"/>
        <v>114.14671681711224</v>
      </c>
      <c r="C372" s="128">
        <f t="shared" ca="1" si="16"/>
        <v>1</v>
      </c>
    </row>
    <row r="373" spans="1:3" x14ac:dyDescent="0.25">
      <c r="A373" s="125">
        <f t="shared" si="17"/>
        <v>358</v>
      </c>
      <c r="B373" s="121">
        <f t="shared" ca="1" si="15"/>
        <v>-27.481619833114543</v>
      </c>
      <c r="C373" s="128">
        <f t="shared" ca="1" si="16"/>
        <v>0</v>
      </c>
    </row>
    <row r="374" spans="1:3" x14ac:dyDescent="0.25">
      <c r="A374" s="125">
        <f t="shared" si="17"/>
        <v>359</v>
      </c>
      <c r="B374" s="121">
        <f t="shared" ca="1" si="15"/>
        <v>18.500797818023329</v>
      </c>
      <c r="C374" s="128">
        <f t="shared" ca="1" si="16"/>
        <v>0</v>
      </c>
    </row>
    <row r="375" spans="1:3" x14ac:dyDescent="0.25">
      <c r="A375" s="125">
        <f t="shared" si="17"/>
        <v>360</v>
      </c>
      <c r="B375" s="121">
        <f t="shared" ca="1" si="15"/>
        <v>133.76033320643361</v>
      </c>
      <c r="C375" s="128">
        <f t="shared" ca="1" si="16"/>
        <v>1</v>
      </c>
    </row>
    <row r="376" spans="1:3" x14ac:dyDescent="0.25">
      <c r="A376" s="125">
        <f t="shared" si="17"/>
        <v>361</v>
      </c>
      <c r="B376" s="121">
        <f t="shared" ca="1" si="15"/>
        <v>-56.515286190894841</v>
      </c>
      <c r="C376" s="128">
        <f t="shared" ca="1" si="16"/>
        <v>0</v>
      </c>
    </row>
    <row r="377" spans="1:3" x14ac:dyDescent="0.25">
      <c r="A377" s="125">
        <f t="shared" si="17"/>
        <v>362</v>
      </c>
      <c r="B377" s="121">
        <f t="shared" ca="1" si="15"/>
        <v>80.929177229337512</v>
      </c>
      <c r="C377" s="128">
        <f t="shared" ca="1" si="16"/>
        <v>1</v>
      </c>
    </row>
    <row r="378" spans="1:3" x14ac:dyDescent="0.25">
      <c r="A378" s="125">
        <f t="shared" si="17"/>
        <v>363</v>
      </c>
      <c r="B378" s="121">
        <f t="shared" ca="1" si="15"/>
        <v>77.442928139679083</v>
      </c>
      <c r="C378" s="128">
        <f t="shared" ca="1" si="16"/>
        <v>1</v>
      </c>
    </row>
    <row r="379" spans="1:3" x14ac:dyDescent="0.25">
      <c r="A379" s="125">
        <f t="shared" si="17"/>
        <v>364</v>
      </c>
      <c r="B379" s="121">
        <f t="shared" ca="1" si="15"/>
        <v>41.83618122487696</v>
      </c>
      <c r="C379" s="128">
        <f t="shared" ca="1" si="16"/>
        <v>1</v>
      </c>
    </row>
    <row r="380" spans="1:3" x14ac:dyDescent="0.25">
      <c r="A380" s="125">
        <f t="shared" si="17"/>
        <v>365</v>
      </c>
      <c r="B380" s="121">
        <f t="shared" ca="1" si="15"/>
        <v>-12.704472384809335</v>
      </c>
      <c r="C380" s="128">
        <f t="shared" ca="1" si="16"/>
        <v>0</v>
      </c>
    </row>
    <row r="381" spans="1:3" x14ac:dyDescent="0.25">
      <c r="A381" s="125">
        <f t="shared" si="17"/>
        <v>366</v>
      </c>
      <c r="B381" s="121">
        <f t="shared" ca="1" si="15"/>
        <v>-29.440254279560605</v>
      </c>
      <c r="C381" s="128">
        <f t="shared" ca="1" si="16"/>
        <v>0</v>
      </c>
    </row>
    <row r="382" spans="1:3" x14ac:dyDescent="0.25">
      <c r="A382" s="125">
        <f t="shared" si="17"/>
        <v>367</v>
      </c>
      <c r="B382" s="121">
        <f t="shared" ca="1" si="15"/>
        <v>54.822034550264846</v>
      </c>
      <c r="C382" s="128">
        <f t="shared" ca="1" si="16"/>
        <v>1</v>
      </c>
    </row>
    <row r="383" spans="1:3" x14ac:dyDescent="0.25">
      <c r="A383" s="125">
        <f t="shared" si="17"/>
        <v>368</v>
      </c>
      <c r="B383" s="121">
        <f t="shared" ca="1" si="15"/>
        <v>93.409055403676192</v>
      </c>
      <c r="C383" s="128">
        <f t="shared" ca="1" si="16"/>
        <v>1</v>
      </c>
    </row>
    <row r="384" spans="1:3" x14ac:dyDescent="0.25">
      <c r="A384" s="125">
        <f t="shared" si="17"/>
        <v>369</v>
      </c>
      <c r="B384" s="121">
        <f t="shared" ca="1" si="15"/>
        <v>83.509275238638025</v>
      </c>
      <c r="C384" s="128">
        <f t="shared" ca="1" si="16"/>
        <v>1</v>
      </c>
    </row>
    <row r="385" spans="1:3" x14ac:dyDescent="0.25">
      <c r="A385" s="125">
        <f t="shared" si="17"/>
        <v>370</v>
      </c>
      <c r="B385" s="121">
        <f t="shared" ca="1" si="15"/>
        <v>81.722026744480161</v>
      </c>
      <c r="C385" s="128">
        <f t="shared" ca="1" si="16"/>
        <v>1</v>
      </c>
    </row>
    <row r="386" spans="1:3" x14ac:dyDescent="0.25">
      <c r="A386" s="125">
        <f t="shared" si="17"/>
        <v>371</v>
      </c>
      <c r="B386" s="121">
        <f t="shared" ca="1" si="15"/>
        <v>32.529316554208386</v>
      </c>
      <c r="C386" s="128">
        <f t="shared" ca="1" si="16"/>
        <v>1</v>
      </c>
    </row>
    <row r="387" spans="1:3" x14ac:dyDescent="0.25">
      <c r="A387" s="125">
        <f t="shared" si="17"/>
        <v>372</v>
      </c>
      <c r="B387" s="121">
        <f t="shared" ca="1" si="15"/>
        <v>74.797292206483036</v>
      </c>
      <c r="C387" s="128">
        <f t="shared" ca="1" si="16"/>
        <v>1</v>
      </c>
    </row>
    <row r="388" spans="1:3" x14ac:dyDescent="0.25">
      <c r="A388" s="125">
        <f t="shared" si="17"/>
        <v>373</v>
      </c>
      <c r="B388" s="121">
        <f t="shared" ca="1" si="15"/>
        <v>-32.431266762807439</v>
      </c>
      <c r="C388" s="128">
        <f t="shared" ca="1" si="16"/>
        <v>0</v>
      </c>
    </row>
    <row r="389" spans="1:3" x14ac:dyDescent="0.25">
      <c r="A389" s="125">
        <f t="shared" si="17"/>
        <v>374</v>
      </c>
      <c r="B389" s="121">
        <f t="shared" ca="1" si="15"/>
        <v>54.514277006885507</v>
      </c>
      <c r="C389" s="128">
        <f t="shared" ca="1" si="16"/>
        <v>1</v>
      </c>
    </row>
    <row r="390" spans="1:3" x14ac:dyDescent="0.25">
      <c r="A390" s="125">
        <f t="shared" si="17"/>
        <v>375</v>
      </c>
      <c r="B390" s="121">
        <f t="shared" ca="1" si="15"/>
        <v>58.26268608446685</v>
      </c>
      <c r="C390" s="128">
        <f t="shared" ca="1" si="16"/>
        <v>1</v>
      </c>
    </row>
    <row r="391" spans="1:3" x14ac:dyDescent="0.25">
      <c r="A391" s="125">
        <f t="shared" si="17"/>
        <v>376</v>
      </c>
      <c r="B391" s="121">
        <f t="shared" ca="1" si="15"/>
        <v>55.642537488570014</v>
      </c>
      <c r="C391" s="128">
        <f t="shared" ca="1" si="16"/>
        <v>1</v>
      </c>
    </row>
    <row r="392" spans="1:3" x14ac:dyDescent="0.25">
      <c r="A392" s="125">
        <f t="shared" si="17"/>
        <v>377</v>
      </c>
      <c r="B392" s="121">
        <f t="shared" ca="1" si="15"/>
        <v>165.98015709639057</v>
      </c>
      <c r="C392" s="128">
        <f t="shared" ca="1" si="16"/>
        <v>1</v>
      </c>
    </row>
    <row r="393" spans="1:3" x14ac:dyDescent="0.25">
      <c r="A393" s="125">
        <f t="shared" si="17"/>
        <v>378</v>
      </c>
      <c r="B393" s="121">
        <f t="shared" ca="1" si="15"/>
        <v>19.645083045552184</v>
      </c>
      <c r="C393" s="128">
        <f t="shared" ca="1" si="16"/>
        <v>0</v>
      </c>
    </row>
    <row r="394" spans="1:3" x14ac:dyDescent="0.25">
      <c r="A394" s="125">
        <f t="shared" si="17"/>
        <v>379</v>
      </c>
      <c r="B394" s="121">
        <f t="shared" ca="1" si="15"/>
        <v>-18.874993799430662</v>
      </c>
      <c r="C394" s="128">
        <f t="shared" ca="1" si="16"/>
        <v>0</v>
      </c>
    </row>
    <row r="395" spans="1:3" x14ac:dyDescent="0.25">
      <c r="A395" s="125">
        <f t="shared" si="17"/>
        <v>380</v>
      </c>
      <c r="B395" s="121">
        <f t="shared" ca="1" si="15"/>
        <v>12.352463230724787</v>
      </c>
      <c r="C395" s="128">
        <f t="shared" ca="1" si="16"/>
        <v>0</v>
      </c>
    </row>
    <row r="396" spans="1:3" x14ac:dyDescent="0.25">
      <c r="A396" s="125">
        <f t="shared" si="17"/>
        <v>381</v>
      </c>
      <c r="B396" s="121">
        <f t="shared" ca="1" si="15"/>
        <v>17.507422116251742</v>
      </c>
      <c r="C396" s="128">
        <f t="shared" ca="1" si="16"/>
        <v>0</v>
      </c>
    </row>
    <row r="397" spans="1:3" x14ac:dyDescent="0.25">
      <c r="A397" s="125">
        <f t="shared" si="17"/>
        <v>382</v>
      </c>
      <c r="B397" s="121">
        <f t="shared" ca="1" si="15"/>
        <v>-62.946968016588869</v>
      </c>
      <c r="C397" s="128">
        <f t="shared" ca="1" si="16"/>
        <v>0</v>
      </c>
    </row>
    <row r="398" spans="1:3" x14ac:dyDescent="0.25">
      <c r="A398" s="125">
        <f t="shared" si="17"/>
        <v>383</v>
      </c>
      <c r="B398" s="121">
        <f t="shared" ca="1" si="15"/>
        <v>51.590577069056543</v>
      </c>
      <c r="C398" s="128">
        <f t="shared" ca="1" si="16"/>
        <v>1</v>
      </c>
    </row>
    <row r="399" spans="1:3" x14ac:dyDescent="0.25">
      <c r="A399" s="125">
        <f t="shared" si="17"/>
        <v>384</v>
      </c>
      <c r="B399" s="121">
        <f t="shared" ca="1" si="15"/>
        <v>73.189238383439331</v>
      </c>
      <c r="C399" s="128">
        <f t="shared" ca="1" si="16"/>
        <v>1</v>
      </c>
    </row>
    <row r="400" spans="1:3" x14ac:dyDescent="0.25">
      <c r="A400" s="125">
        <f t="shared" si="17"/>
        <v>385</v>
      </c>
      <c r="B400" s="121">
        <f t="shared" ca="1" si="15"/>
        <v>78.747765761819721</v>
      </c>
      <c r="C400" s="128">
        <f t="shared" ca="1" si="16"/>
        <v>1</v>
      </c>
    </row>
    <row r="401" spans="1:3" x14ac:dyDescent="0.25">
      <c r="A401" s="125">
        <f t="shared" si="17"/>
        <v>386</v>
      </c>
      <c r="B401" s="121">
        <f t="shared" ref="B401:B464" ca="1" si="18">_xlfn.NORM.INV(RAND(), $B$9, $B$10)</f>
        <v>-59.425825389073665</v>
      </c>
      <c r="C401" s="128">
        <f t="shared" ref="C401:C464" ca="1" si="19">IF(B401 &gt;= $B$11, 1, 0)</f>
        <v>0</v>
      </c>
    </row>
    <row r="402" spans="1:3" x14ac:dyDescent="0.25">
      <c r="A402" s="125">
        <f t="shared" ref="A402:A465" si="20">+A401+1</f>
        <v>387</v>
      </c>
      <c r="B402" s="121">
        <f t="shared" ca="1" si="18"/>
        <v>118.38040548550184</v>
      </c>
      <c r="C402" s="128">
        <f t="shared" ca="1" si="19"/>
        <v>1</v>
      </c>
    </row>
    <row r="403" spans="1:3" x14ac:dyDescent="0.25">
      <c r="A403" s="125">
        <f t="shared" si="20"/>
        <v>388</v>
      </c>
      <c r="B403" s="121">
        <f t="shared" ca="1" si="18"/>
        <v>-4.7558375964924267</v>
      </c>
      <c r="C403" s="128">
        <f t="shared" ca="1" si="19"/>
        <v>0</v>
      </c>
    </row>
    <row r="404" spans="1:3" x14ac:dyDescent="0.25">
      <c r="A404" s="125">
        <f t="shared" si="20"/>
        <v>389</v>
      </c>
      <c r="B404" s="121">
        <f t="shared" ca="1" si="18"/>
        <v>43.642549464022515</v>
      </c>
      <c r="C404" s="128">
        <f t="shared" ca="1" si="19"/>
        <v>1</v>
      </c>
    </row>
    <row r="405" spans="1:3" x14ac:dyDescent="0.25">
      <c r="A405" s="125">
        <f t="shared" si="20"/>
        <v>390</v>
      </c>
      <c r="B405" s="121">
        <f t="shared" ca="1" si="18"/>
        <v>38.814961132268053</v>
      </c>
      <c r="C405" s="128">
        <f t="shared" ca="1" si="19"/>
        <v>1</v>
      </c>
    </row>
    <row r="406" spans="1:3" x14ac:dyDescent="0.25">
      <c r="A406" s="125">
        <f t="shared" si="20"/>
        <v>391</v>
      </c>
      <c r="B406" s="121">
        <f t="shared" ca="1" si="18"/>
        <v>105.56755143501292</v>
      </c>
      <c r="C406" s="128">
        <f t="shared" ca="1" si="19"/>
        <v>1</v>
      </c>
    </row>
    <row r="407" spans="1:3" x14ac:dyDescent="0.25">
      <c r="A407" s="125">
        <f t="shared" si="20"/>
        <v>392</v>
      </c>
      <c r="B407" s="121">
        <f t="shared" ca="1" si="18"/>
        <v>55.775604210503758</v>
      </c>
      <c r="C407" s="128">
        <f t="shared" ca="1" si="19"/>
        <v>1</v>
      </c>
    </row>
    <row r="408" spans="1:3" x14ac:dyDescent="0.25">
      <c r="A408" s="125">
        <f t="shared" si="20"/>
        <v>393</v>
      </c>
      <c r="B408" s="121">
        <f t="shared" ca="1" si="18"/>
        <v>72.705460053420154</v>
      </c>
      <c r="C408" s="128">
        <f t="shared" ca="1" si="19"/>
        <v>1</v>
      </c>
    </row>
    <row r="409" spans="1:3" x14ac:dyDescent="0.25">
      <c r="A409" s="125">
        <f t="shared" si="20"/>
        <v>394</v>
      </c>
      <c r="B409" s="121">
        <f t="shared" ca="1" si="18"/>
        <v>22.276006093181486</v>
      </c>
      <c r="C409" s="128">
        <f t="shared" ca="1" si="19"/>
        <v>0</v>
      </c>
    </row>
    <row r="410" spans="1:3" x14ac:dyDescent="0.25">
      <c r="A410" s="125">
        <f t="shared" si="20"/>
        <v>395</v>
      </c>
      <c r="B410" s="121">
        <f t="shared" ca="1" si="18"/>
        <v>45.694994523657599</v>
      </c>
      <c r="C410" s="128">
        <f t="shared" ca="1" si="19"/>
        <v>1</v>
      </c>
    </row>
    <row r="411" spans="1:3" x14ac:dyDescent="0.25">
      <c r="A411" s="125">
        <f t="shared" si="20"/>
        <v>396</v>
      </c>
      <c r="B411" s="121">
        <f t="shared" ca="1" si="18"/>
        <v>116.97545097372324</v>
      </c>
      <c r="C411" s="128">
        <f t="shared" ca="1" si="19"/>
        <v>1</v>
      </c>
    </row>
    <row r="412" spans="1:3" x14ac:dyDescent="0.25">
      <c r="A412" s="125">
        <f t="shared" si="20"/>
        <v>397</v>
      </c>
      <c r="B412" s="121">
        <f t="shared" ca="1" si="18"/>
        <v>-47.809327148087874</v>
      </c>
      <c r="C412" s="128">
        <f t="shared" ca="1" si="19"/>
        <v>0</v>
      </c>
    </row>
    <row r="413" spans="1:3" x14ac:dyDescent="0.25">
      <c r="A413" s="125">
        <f t="shared" si="20"/>
        <v>398</v>
      </c>
      <c r="B413" s="121">
        <f t="shared" ca="1" si="18"/>
        <v>20.803419630375544</v>
      </c>
      <c r="C413" s="128">
        <f t="shared" ca="1" si="19"/>
        <v>0</v>
      </c>
    </row>
    <row r="414" spans="1:3" x14ac:dyDescent="0.25">
      <c r="A414" s="125">
        <f t="shared" si="20"/>
        <v>399</v>
      </c>
      <c r="B414" s="121">
        <f t="shared" ca="1" si="18"/>
        <v>80.300684245449432</v>
      </c>
      <c r="C414" s="128">
        <f t="shared" ca="1" si="19"/>
        <v>1</v>
      </c>
    </row>
    <row r="415" spans="1:3" x14ac:dyDescent="0.25">
      <c r="A415" s="125">
        <f t="shared" si="20"/>
        <v>400</v>
      </c>
      <c r="B415" s="121">
        <f t="shared" ca="1" si="18"/>
        <v>100.27359773895066</v>
      </c>
      <c r="C415" s="128">
        <f t="shared" ca="1" si="19"/>
        <v>1</v>
      </c>
    </row>
    <row r="416" spans="1:3" x14ac:dyDescent="0.25">
      <c r="A416" s="125">
        <f t="shared" si="20"/>
        <v>401</v>
      </c>
      <c r="B416" s="121">
        <f t="shared" ca="1" si="18"/>
        <v>3.1784736351473519</v>
      </c>
      <c r="C416" s="128">
        <f t="shared" ca="1" si="19"/>
        <v>0</v>
      </c>
    </row>
    <row r="417" spans="1:3" x14ac:dyDescent="0.25">
      <c r="A417" s="125">
        <f t="shared" si="20"/>
        <v>402</v>
      </c>
      <c r="B417" s="121">
        <f t="shared" ca="1" si="18"/>
        <v>82.135165434171995</v>
      </c>
      <c r="C417" s="128">
        <f t="shared" ca="1" si="19"/>
        <v>1</v>
      </c>
    </row>
    <row r="418" spans="1:3" x14ac:dyDescent="0.25">
      <c r="A418" s="125">
        <f t="shared" si="20"/>
        <v>403</v>
      </c>
      <c r="B418" s="121">
        <f t="shared" ca="1" si="18"/>
        <v>114.22494695643817</v>
      </c>
      <c r="C418" s="128">
        <f t="shared" ca="1" si="19"/>
        <v>1</v>
      </c>
    </row>
    <row r="419" spans="1:3" x14ac:dyDescent="0.25">
      <c r="A419" s="125">
        <f t="shared" si="20"/>
        <v>404</v>
      </c>
      <c r="B419" s="121">
        <f t="shared" ca="1" si="18"/>
        <v>71.794753690269829</v>
      </c>
      <c r="C419" s="128">
        <f t="shared" ca="1" si="19"/>
        <v>1</v>
      </c>
    </row>
    <row r="420" spans="1:3" x14ac:dyDescent="0.25">
      <c r="A420" s="125">
        <f t="shared" si="20"/>
        <v>405</v>
      </c>
      <c r="B420" s="121">
        <f t="shared" ca="1" si="18"/>
        <v>8.9486922649800889</v>
      </c>
      <c r="C420" s="128">
        <f t="shared" ca="1" si="19"/>
        <v>0</v>
      </c>
    </row>
    <row r="421" spans="1:3" x14ac:dyDescent="0.25">
      <c r="A421" s="125">
        <f t="shared" si="20"/>
        <v>406</v>
      </c>
      <c r="B421" s="121">
        <f t="shared" ca="1" si="18"/>
        <v>93.187751755871915</v>
      </c>
      <c r="C421" s="128">
        <f t="shared" ca="1" si="19"/>
        <v>1</v>
      </c>
    </row>
    <row r="422" spans="1:3" x14ac:dyDescent="0.25">
      <c r="A422" s="125">
        <f t="shared" si="20"/>
        <v>407</v>
      </c>
      <c r="B422" s="121">
        <f t="shared" ca="1" si="18"/>
        <v>24.488198989525671</v>
      </c>
      <c r="C422" s="128">
        <f t="shared" ca="1" si="19"/>
        <v>0</v>
      </c>
    </row>
    <row r="423" spans="1:3" x14ac:dyDescent="0.25">
      <c r="A423" s="125">
        <f t="shared" si="20"/>
        <v>408</v>
      </c>
      <c r="B423" s="121">
        <f t="shared" ca="1" si="18"/>
        <v>71.565171866519734</v>
      </c>
      <c r="C423" s="128">
        <f t="shared" ca="1" si="19"/>
        <v>1</v>
      </c>
    </row>
    <row r="424" spans="1:3" x14ac:dyDescent="0.25">
      <c r="A424" s="125">
        <f t="shared" si="20"/>
        <v>409</v>
      </c>
      <c r="B424" s="121">
        <f t="shared" ca="1" si="18"/>
        <v>123.09981712977613</v>
      </c>
      <c r="C424" s="128">
        <f t="shared" ca="1" si="19"/>
        <v>1</v>
      </c>
    </row>
    <row r="425" spans="1:3" x14ac:dyDescent="0.25">
      <c r="A425" s="125">
        <f t="shared" si="20"/>
        <v>410</v>
      </c>
      <c r="B425" s="121">
        <f t="shared" ca="1" si="18"/>
        <v>-54.148290187296894</v>
      </c>
      <c r="C425" s="128">
        <f t="shared" ca="1" si="19"/>
        <v>0</v>
      </c>
    </row>
    <row r="426" spans="1:3" x14ac:dyDescent="0.25">
      <c r="A426" s="125">
        <f t="shared" si="20"/>
        <v>411</v>
      </c>
      <c r="B426" s="121">
        <f t="shared" ca="1" si="18"/>
        <v>55.727764907409821</v>
      </c>
      <c r="C426" s="128">
        <f t="shared" ca="1" si="19"/>
        <v>1</v>
      </c>
    </row>
    <row r="427" spans="1:3" x14ac:dyDescent="0.25">
      <c r="A427" s="125">
        <f t="shared" si="20"/>
        <v>412</v>
      </c>
      <c r="B427" s="121">
        <f t="shared" ca="1" si="18"/>
        <v>41.052543566745896</v>
      </c>
      <c r="C427" s="128">
        <f t="shared" ca="1" si="19"/>
        <v>1</v>
      </c>
    </row>
    <row r="428" spans="1:3" x14ac:dyDescent="0.25">
      <c r="A428" s="125">
        <f t="shared" si="20"/>
        <v>413</v>
      </c>
      <c r="B428" s="121">
        <f t="shared" ca="1" si="18"/>
        <v>117.8207789851385</v>
      </c>
      <c r="C428" s="128">
        <f t="shared" ca="1" si="19"/>
        <v>1</v>
      </c>
    </row>
    <row r="429" spans="1:3" x14ac:dyDescent="0.25">
      <c r="A429" s="125">
        <f t="shared" si="20"/>
        <v>414</v>
      </c>
      <c r="B429" s="121">
        <f t="shared" ca="1" si="18"/>
        <v>23.803239830664864</v>
      </c>
      <c r="C429" s="128">
        <f t="shared" ca="1" si="19"/>
        <v>0</v>
      </c>
    </row>
    <row r="430" spans="1:3" x14ac:dyDescent="0.25">
      <c r="A430" s="125">
        <f t="shared" si="20"/>
        <v>415</v>
      </c>
      <c r="B430" s="121">
        <f t="shared" ca="1" si="18"/>
        <v>125.71351145033699</v>
      </c>
      <c r="C430" s="128">
        <f t="shared" ca="1" si="19"/>
        <v>1</v>
      </c>
    </row>
    <row r="431" spans="1:3" x14ac:dyDescent="0.25">
      <c r="A431" s="125">
        <f t="shared" si="20"/>
        <v>416</v>
      </c>
      <c r="B431" s="121">
        <f t="shared" ca="1" si="18"/>
        <v>77.443739995482332</v>
      </c>
      <c r="C431" s="128">
        <f t="shared" ca="1" si="19"/>
        <v>1</v>
      </c>
    </row>
    <row r="432" spans="1:3" x14ac:dyDescent="0.25">
      <c r="A432" s="125">
        <f t="shared" si="20"/>
        <v>417</v>
      </c>
      <c r="B432" s="121">
        <f t="shared" ca="1" si="18"/>
        <v>13.025995064147949</v>
      </c>
      <c r="C432" s="128">
        <f t="shared" ca="1" si="19"/>
        <v>0</v>
      </c>
    </row>
    <row r="433" spans="1:3" x14ac:dyDescent="0.25">
      <c r="A433" s="125">
        <f t="shared" si="20"/>
        <v>418</v>
      </c>
      <c r="B433" s="121">
        <f t="shared" ca="1" si="18"/>
        <v>3.3971300388084806</v>
      </c>
      <c r="C433" s="128">
        <f t="shared" ca="1" si="19"/>
        <v>0</v>
      </c>
    </row>
    <row r="434" spans="1:3" x14ac:dyDescent="0.25">
      <c r="A434" s="125">
        <f t="shared" si="20"/>
        <v>419</v>
      </c>
      <c r="B434" s="121">
        <f t="shared" ca="1" si="18"/>
        <v>157.79848648089842</v>
      </c>
      <c r="C434" s="128">
        <f t="shared" ca="1" si="19"/>
        <v>1</v>
      </c>
    </row>
    <row r="435" spans="1:3" x14ac:dyDescent="0.25">
      <c r="A435" s="125">
        <f t="shared" si="20"/>
        <v>420</v>
      </c>
      <c r="B435" s="121">
        <f t="shared" ca="1" si="18"/>
        <v>50.372131641962085</v>
      </c>
      <c r="C435" s="128">
        <f t="shared" ca="1" si="19"/>
        <v>1</v>
      </c>
    </row>
    <row r="436" spans="1:3" x14ac:dyDescent="0.25">
      <c r="A436" s="125">
        <f t="shared" si="20"/>
        <v>421</v>
      </c>
      <c r="B436" s="121">
        <f t="shared" ca="1" si="18"/>
        <v>11.903497697549586</v>
      </c>
      <c r="C436" s="128">
        <f t="shared" ca="1" si="19"/>
        <v>0</v>
      </c>
    </row>
    <row r="437" spans="1:3" x14ac:dyDescent="0.25">
      <c r="A437" s="125">
        <f t="shared" si="20"/>
        <v>422</v>
      </c>
      <c r="B437" s="121">
        <f t="shared" ca="1" si="18"/>
        <v>20.474294379768011</v>
      </c>
      <c r="C437" s="128">
        <f t="shared" ca="1" si="19"/>
        <v>0</v>
      </c>
    </row>
    <row r="438" spans="1:3" x14ac:dyDescent="0.25">
      <c r="A438" s="125">
        <f t="shared" si="20"/>
        <v>423</v>
      </c>
      <c r="B438" s="121">
        <f t="shared" ca="1" si="18"/>
        <v>100.22125545297378</v>
      </c>
      <c r="C438" s="128">
        <f t="shared" ca="1" si="19"/>
        <v>1</v>
      </c>
    </row>
    <row r="439" spans="1:3" x14ac:dyDescent="0.25">
      <c r="A439" s="125">
        <f t="shared" si="20"/>
        <v>424</v>
      </c>
      <c r="B439" s="121">
        <f t="shared" ca="1" si="18"/>
        <v>55.452780725893732</v>
      </c>
      <c r="C439" s="128">
        <f t="shared" ca="1" si="19"/>
        <v>1</v>
      </c>
    </row>
    <row r="440" spans="1:3" x14ac:dyDescent="0.25">
      <c r="A440" s="125">
        <f t="shared" si="20"/>
        <v>425</v>
      </c>
      <c r="B440" s="121">
        <f t="shared" ca="1" si="18"/>
        <v>-19.410045592519459</v>
      </c>
      <c r="C440" s="128">
        <f t="shared" ca="1" si="19"/>
        <v>0</v>
      </c>
    </row>
    <row r="441" spans="1:3" x14ac:dyDescent="0.25">
      <c r="A441" s="125">
        <f t="shared" si="20"/>
        <v>426</v>
      </c>
      <c r="B441" s="121">
        <f t="shared" ca="1" si="18"/>
        <v>-62.685436029328997</v>
      </c>
      <c r="C441" s="128">
        <f t="shared" ca="1" si="19"/>
        <v>0</v>
      </c>
    </row>
    <row r="442" spans="1:3" x14ac:dyDescent="0.25">
      <c r="A442" s="125">
        <f t="shared" si="20"/>
        <v>427</v>
      </c>
      <c r="B442" s="121">
        <f t="shared" ca="1" si="18"/>
        <v>32.067284397395312</v>
      </c>
      <c r="C442" s="128">
        <f t="shared" ca="1" si="19"/>
        <v>1</v>
      </c>
    </row>
    <row r="443" spans="1:3" x14ac:dyDescent="0.25">
      <c r="A443" s="125">
        <f t="shared" si="20"/>
        <v>428</v>
      </c>
      <c r="B443" s="121">
        <f t="shared" ca="1" si="18"/>
        <v>67.801494264330699</v>
      </c>
      <c r="C443" s="128">
        <f t="shared" ca="1" si="19"/>
        <v>1</v>
      </c>
    </row>
    <row r="444" spans="1:3" x14ac:dyDescent="0.25">
      <c r="A444" s="125">
        <f t="shared" si="20"/>
        <v>429</v>
      </c>
      <c r="B444" s="121">
        <f t="shared" ca="1" si="18"/>
        <v>43.957199046178538</v>
      </c>
      <c r="C444" s="128">
        <f t="shared" ca="1" si="19"/>
        <v>1</v>
      </c>
    </row>
    <row r="445" spans="1:3" x14ac:dyDescent="0.25">
      <c r="A445" s="125">
        <f t="shared" si="20"/>
        <v>430</v>
      </c>
      <c r="B445" s="121">
        <f t="shared" ca="1" si="18"/>
        <v>44.930945522399327</v>
      </c>
      <c r="C445" s="128">
        <f t="shared" ca="1" si="19"/>
        <v>1</v>
      </c>
    </row>
    <row r="446" spans="1:3" x14ac:dyDescent="0.25">
      <c r="A446" s="125">
        <f t="shared" si="20"/>
        <v>431</v>
      </c>
      <c r="B446" s="121">
        <f t="shared" ca="1" si="18"/>
        <v>94.413884308057391</v>
      </c>
      <c r="C446" s="128">
        <f t="shared" ca="1" si="19"/>
        <v>1</v>
      </c>
    </row>
    <row r="447" spans="1:3" x14ac:dyDescent="0.25">
      <c r="A447" s="125">
        <f t="shared" si="20"/>
        <v>432</v>
      </c>
      <c r="B447" s="121">
        <f t="shared" ca="1" si="18"/>
        <v>43.163846075422761</v>
      </c>
      <c r="C447" s="128">
        <f t="shared" ca="1" si="19"/>
        <v>1</v>
      </c>
    </row>
    <row r="448" spans="1:3" x14ac:dyDescent="0.25">
      <c r="A448" s="125">
        <f t="shared" si="20"/>
        <v>433</v>
      </c>
      <c r="B448" s="121">
        <f t="shared" ca="1" si="18"/>
        <v>132.55452508011669</v>
      </c>
      <c r="C448" s="128">
        <f t="shared" ca="1" si="19"/>
        <v>1</v>
      </c>
    </row>
    <row r="449" spans="1:3" x14ac:dyDescent="0.25">
      <c r="A449" s="125">
        <f t="shared" si="20"/>
        <v>434</v>
      </c>
      <c r="B449" s="121">
        <f t="shared" ca="1" si="18"/>
        <v>51.280092559496637</v>
      </c>
      <c r="C449" s="128">
        <f t="shared" ca="1" si="19"/>
        <v>1</v>
      </c>
    </row>
    <row r="450" spans="1:3" x14ac:dyDescent="0.25">
      <c r="A450" s="125">
        <f t="shared" si="20"/>
        <v>435</v>
      </c>
      <c r="B450" s="121">
        <f t="shared" ca="1" si="18"/>
        <v>96.556824087378345</v>
      </c>
      <c r="C450" s="128">
        <f t="shared" ca="1" si="19"/>
        <v>1</v>
      </c>
    </row>
    <row r="451" spans="1:3" x14ac:dyDescent="0.25">
      <c r="A451" s="125">
        <f t="shared" si="20"/>
        <v>436</v>
      </c>
      <c r="B451" s="121">
        <f t="shared" ca="1" si="18"/>
        <v>41.693175371968714</v>
      </c>
      <c r="C451" s="128">
        <f t="shared" ca="1" si="19"/>
        <v>1</v>
      </c>
    </row>
    <row r="452" spans="1:3" x14ac:dyDescent="0.25">
      <c r="A452" s="125">
        <f t="shared" si="20"/>
        <v>437</v>
      </c>
      <c r="B452" s="121">
        <f t="shared" ca="1" si="18"/>
        <v>28.179186749662207</v>
      </c>
      <c r="C452" s="128">
        <f t="shared" ca="1" si="19"/>
        <v>1</v>
      </c>
    </row>
    <row r="453" spans="1:3" x14ac:dyDescent="0.25">
      <c r="A453" s="125">
        <f t="shared" si="20"/>
        <v>438</v>
      </c>
      <c r="B453" s="121">
        <f t="shared" ca="1" si="18"/>
        <v>-0.45625054137930476</v>
      </c>
      <c r="C453" s="128">
        <f t="shared" ca="1" si="19"/>
        <v>0</v>
      </c>
    </row>
    <row r="454" spans="1:3" x14ac:dyDescent="0.25">
      <c r="A454" s="125">
        <f t="shared" si="20"/>
        <v>439</v>
      </c>
      <c r="B454" s="121">
        <f t="shared" ca="1" si="18"/>
        <v>61.991658991725814</v>
      </c>
      <c r="C454" s="128">
        <f t="shared" ca="1" si="19"/>
        <v>1</v>
      </c>
    </row>
    <row r="455" spans="1:3" x14ac:dyDescent="0.25">
      <c r="A455" s="125">
        <f t="shared" si="20"/>
        <v>440</v>
      </c>
      <c r="B455" s="121">
        <f t="shared" ca="1" si="18"/>
        <v>83.884562599366916</v>
      </c>
      <c r="C455" s="128">
        <f t="shared" ca="1" si="19"/>
        <v>1</v>
      </c>
    </row>
    <row r="456" spans="1:3" x14ac:dyDescent="0.25">
      <c r="A456" s="125">
        <f t="shared" si="20"/>
        <v>441</v>
      </c>
      <c r="B456" s="121">
        <f t="shared" ca="1" si="18"/>
        <v>-22.707542355070608</v>
      </c>
      <c r="C456" s="128">
        <f t="shared" ca="1" si="19"/>
        <v>0</v>
      </c>
    </row>
    <row r="457" spans="1:3" x14ac:dyDescent="0.25">
      <c r="A457" s="125">
        <f t="shared" si="20"/>
        <v>442</v>
      </c>
      <c r="B457" s="121">
        <f t="shared" ca="1" si="18"/>
        <v>-8.6793601718652766</v>
      </c>
      <c r="C457" s="128">
        <f t="shared" ca="1" si="19"/>
        <v>0</v>
      </c>
    </row>
    <row r="458" spans="1:3" x14ac:dyDescent="0.25">
      <c r="A458" s="125">
        <f t="shared" si="20"/>
        <v>443</v>
      </c>
      <c r="B458" s="121">
        <f t="shared" ca="1" si="18"/>
        <v>-40.275615679464607</v>
      </c>
      <c r="C458" s="128">
        <f t="shared" ca="1" si="19"/>
        <v>0</v>
      </c>
    </row>
    <row r="459" spans="1:3" x14ac:dyDescent="0.25">
      <c r="A459" s="125">
        <f t="shared" si="20"/>
        <v>444</v>
      </c>
      <c r="B459" s="121">
        <f t="shared" ca="1" si="18"/>
        <v>-4.932376729829997</v>
      </c>
      <c r="C459" s="128">
        <f t="shared" ca="1" si="19"/>
        <v>0</v>
      </c>
    </row>
    <row r="460" spans="1:3" x14ac:dyDescent="0.25">
      <c r="A460" s="125">
        <f t="shared" si="20"/>
        <v>445</v>
      </c>
      <c r="B460" s="121">
        <f t="shared" ca="1" si="18"/>
        <v>35.212046919994471</v>
      </c>
      <c r="C460" s="128">
        <f t="shared" ca="1" si="19"/>
        <v>1</v>
      </c>
    </row>
    <row r="461" spans="1:3" x14ac:dyDescent="0.25">
      <c r="A461" s="125">
        <f t="shared" si="20"/>
        <v>446</v>
      </c>
      <c r="B461" s="121">
        <f t="shared" ca="1" si="18"/>
        <v>-6.4621417280057827</v>
      </c>
      <c r="C461" s="128">
        <f t="shared" ca="1" si="19"/>
        <v>0</v>
      </c>
    </row>
    <row r="462" spans="1:3" x14ac:dyDescent="0.25">
      <c r="A462" s="125">
        <f t="shared" si="20"/>
        <v>447</v>
      </c>
      <c r="B462" s="121">
        <f t="shared" ca="1" si="18"/>
        <v>97.973669750621184</v>
      </c>
      <c r="C462" s="128">
        <f t="shared" ca="1" si="19"/>
        <v>1</v>
      </c>
    </row>
    <row r="463" spans="1:3" x14ac:dyDescent="0.25">
      <c r="A463" s="125">
        <f t="shared" si="20"/>
        <v>448</v>
      </c>
      <c r="B463" s="121">
        <f t="shared" ca="1" si="18"/>
        <v>15.452265454202646</v>
      </c>
      <c r="C463" s="128">
        <f t="shared" ca="1" si="19"/>
        <v>0</v>
      </c>
    </row>
    <row r="464" spans="1:3" x14ac:dyDescent="0.25">
      <c r="A464" s="125">
        <f t="shared" si="20"/>
        <v>449</v>
      </c>
      <c r="B464" s="121">
        <f t="shared" ca="1" si="18"/>
        <v>-12.450441880292829</v>
      </c>
      <c r="C464" s="128">
        <f t="shared" ca="1" si="19"/>
        <v>0</v>
      </c>
    </row>
    <row r="465" spans="1:3" x14ac:dyDescent="0.25">
      <c r="A465" s="125">
        <f t="shared" si="20"/>
        <v>450</v>
      </c>
      <c r="B465" s="121">
        <f t="shared" ref="B465:B528" ca="1" si="21">_xlfn.NORM.INV(RAND(), $B$9, $B$10)</f>
        <v>0.46115571992331894</v>
      </c>
      <c r="C465" s="128">
        <f t="shared" ref="C465:C528" ca="1" si="22">IF(B465 &gt;= $B$11, 1, 0)</f>
        <v>0</v>
      </c>
    </row>
    <row r="466" spans="1:3" x14ac:dyDescent="0.25">
      <c r="A466" s="125">
        <f t="shared" ref="A466:A529" si="23">+A465+1</f>
        <v>451</v>
      </c>
      <c r="B466" s="121">
        <f t="shared" ca="1" si="21"/>
        <v>79.90041389229691</v>
      </c>
      <c r="C466" s="128">
        <f t="shared" ca="1" si="22"/>
        <v>1</v>
      </c>
    </row>
    <row r="467" spans="1:3" x14ac:dyDescent="0.25">
      <c r="A467" s="125">
        <f t="shared" si="23"/>
        <v>452</v>
      </c>
      <c r="B467" s="121">
        <f t="shared" ca="1" si="21"/>
        <v>96.683178763529114</v>
      </c>
      <c r="C467" s="128">
        <f t="shared" ca="1" si="22"/>
        <v>1</v>
      </c>
    </row>
    <row r="468" spans="1:3" x14ac:dyDescent="0.25">
      <c r="A468" s="125">
        <f t="shared" si="23"/>
        <v>453</v>
      </c>
      <c r="B468" s="121">
        <f t="shared" ca="1" si="21"/>
        <v>138.51978595445277</v>
      </c>
      <c r="C468" s="128">
        <f t="shared" ca="1" si="22"/>
        <v>1</v>
      </c>
    </row>
    <row r="469" spans="1:3" x14ac:dyDescent="0.25">
      <c r="A469" s="125">
        <f t="shared" si="23"/>
        <v>454</v>
      </c>
      <c r="B469" s="121">
        <f t="shared" ca="1" si="21"/>
        <v>81.915133505899348</v>
      </c>
      <c r="C469" s="128">
        <f t="shared" ca="1" si="22"/>
        <v>1</v>
      </c>
    </row>
    <row r="470" spans="1:3" x14ac:dyDescent="0.25">
      <c r="A470" s="125">
        <f t="shared" si="23"/>
        <v>455</v>
      </c>
      <c r="B470" s="121">
        <f t="shared" ca="1" si="21"/>
        <v>5.6084474774263597</v>
      </c>
      <c r="C470" s="128">
        <f t="shared" ca="1" si="22"/>
        <v>0</v>
      </c>
    </row>
    <row r="471" spans="1:3" x14ac:dyDescent="0.25">
      <c r="A471" s="125">
        <f t="shared" si="23"/>
        <v>456</v>
      </c>
      <c r="B471" s="121">
        <f t="shared" ca="1" si="21"/>
        <v>94.475856092927074</v>
      </c>
      <c r="C471" s="128">
        <f t="shared" ca="1" si="22"/>
        <v>1</v>
      </c>
    </row>
    <row r="472" spans="1:3" x14ac:dyDescent="0.25">
      <c r="A472" s="125">
        <f t="shared" si="23"/>
        <v>457</v>
      </c>
      <c r="B472" s="121">
        <f t="shared" ca="1" si="21"/>
        <v>92.769665375610316</v>
      </c>
      <c r="C472" s="128">
        <f t="shared" ca="1" si="22"/>
        <v>1</v>
      </c>
    </row>
    <row r="473" spans="1:3" x14ac:dyDescent="0.25">
      <c r="A473" s="125">
        <f t="shared" si="23"/>
        <v>458</v>
      </c>
      <c r="B473" s="121">
        <f t="shared" ca="1" si="21"/>
        <v>0.95150628105548662</v>
      </c>
      <c r="C473" s="128">
        <f t="shared" ca="1" si="22"/>
        <v>0</v>
      </c>
    </row>
    <row r="474" spans="1:3" x14ac:dyDescent="0.25">
      <c r="A474" s="125">
        <f t="shared" si="23"/>
        <v>459</v>
      </c>
      <c r="B474" s="121">
        <f t="shared" ca="1" si="21"/>
        <v>11.935594986063375</v>
      </c>
      <c r="C474" s="128">
        <f t="shared" ca="1" si="22"/>
        <v>0</v>
      </c>
    </row>
    <row r="475" spans="1:3" x14ac:dyDescent="0.25">
      <c r="A475" s="125">
        <f t="shared" si="23"/>
        <v>460</v>
      </c>
      <c r="B475" s="121">
        <f t="shared" ca="1" si="21"/>
        <v>46.693607375682589</v>
      </c>
      <c r="C475" s="128">
        <f t="shared" ca="1" si="22"/>
        <v>1</v>
      </c>
    </row>
    <row r="476" spans="1:3" x14ac:dyDescent="0.25">
      <c r="A476" s="125">
        <f t="shared" si="23"/>
        <v>461</v>
      </c>
      <c r="B476" s="121">
        <f t="shared" ca="1" si="21"/>
        <v>114.96772560025826</v>
      </c>
      <c r="C476" s="128">
        <f t="shared" ca="1" si="22"/>
        <v>1</v>
      </c>
    </row>
    <row r="477" spans="1:3" x14ac:dyDescent="0.25">
      <c r="A477" s="125">
        <f t="shared" si="23"/>
        <v>462</v>
      </c>
      <c r="B477" s="121">
        <f t="shared" ca="1" si="21"/>
        <v>62.857631803378027</v>
      </c>
      <c r="C477" s="128">
        <f t="shared" ca="1" si="22"/>
        <v>1</v>
      </c>
    </row>
    <row r="478" spans="1:3" x14ac:dyDescent="0.25">
      <c r="A478" s="125">
        <f t="shared" si="23"/>
        <v>463</v>
      </c>
      <c r="B478" s="121">
        <f t="shared" ca="1" si="21"/>
        <v>-6.4760418283386159</v>
      </c>
      <c r="C478" s="128">
        <f t="shared" ca="1" si="22"/>
        <v>0</v>
      </c>
    </row>
    <row r="479" spans="1:3" x14ac:dyDescent="0.25">
      <c r="A479" s="125">
        <f t="shared" si="23"/>
        <v>464</v>
      </c>
      <c r="B479" s="121">
        <f t="shared" ca="1" si="21"/>
        <v>52.762217931517625</v>
      </c>
      <c r="C479" s="128">
        <f t="shared" ca="1" si="22"/>
        <v>1</v>
      </c>
    </row>
    <row r="480" spans="1:3" x14ac:dyDescent="0.25">
      <c r="A480" s="125">
        <f t="shared" si="23"/>
        <v>465</v>
      </c>
      <c r="B480" s="121">
        <f t="shared" ca="1" si="21"/>
        <v>5.0035712411892064</v>
      </c>
      <c r="C480" s="128">
        <f t="shared" ca="1" si="22"/>
        <v>0</v>
      </c>
    </row>
    <row r="481" spans="1:3" x14ac:dyDescent="0.25">
      <c r="A481" s="125">
        <f t="shared" si="23"/>
        <v>466</v>
      </c>
      <c r="B481" s="121">
        <f t="shared" ca="1" si="21"/>
        <v>0.8084051462978934</v>
      </c>
      <c r="C481" s="128">
        <f t="shared" ca="1" si="22"/>
        <v>0</v>
      </c>
    </row>
    <row r="482" spans="1:3" x14ac:dyDescent="0.25">
      <c r="A482" s="125">
        <f t="shared" si="23"/>
        <v>467</v>
      </c>
      <c r="B482" s="121">
        <f t="shared" ca="1" si="21"/>
        <v>-9.7913555834343029</v>
      </c>
      <c r="C482" s="128">
        <f t="shared" ca="1" si="22"/>
        <v>0</v>
      </c>
    </row>
    <row r="483" spans="1:3" x14ac:dyDescent="0.25">
      <c r="A483" s="125">
        <f t="shared" si="23"/>
        <v>468</v>
      </c>
      <c r="B483" s="121">
        <f t="shared" ca="1" si="21"/>
        <v>64.41096790334565</v>
      </c>
      <c r="C483" s="128">
        <f t="shared" ca="1" si="22"/>
        <v>1</v>
      </c>
    </row>
    <row r="484" spans="1:3" x14ac:dyDescent="0.25">
      <c r="A484" s="125">
        <f t="shared" si="23"/>
        <v>469</v>
      </c>
      <c r="B484" s="121">
        <f t="shared" ca="1" si="21"/>
        <v>23.62940638179213</v>
      </c>
      <c r="C484" s="128">
        <f t="shared" ca="1" si="22"/>
        <v>0</v>
      </c>
    </row>
    <row r="485" spans="1:3" x14ac:dyDescent="0.25">
      <c r="A485" s="125">
        <f t="shared" si="23"/>
        <v>470</v>
      </c>
      <c r="B485" s="121">
        <f t="shared" ca="1" si="21"/>
        <v>108.15895444155385</v>
      </c>
      <c r="C485" s="128">
        <f t="shared" ca="1" si="22"/>
        <v>1</v>
      </c>
    </row>
    <row r="486" spans="1:3" x14ac:dyDescent="0.25">
      <c r="A486" s="125">
        <f t="shared" si="23"/>
        <v>471</v>
      </c>
      <c r="B486" s="121">
        <f t="shared" ca="1" si="21"/>
        <v>-74.337736886962318</v>
      </c>
      <c r="C486" s="128">
        <f t="shared" ca="1" si="22"/>
        <v>0</v>
      </c>
    </row>
    <row r="487" spans="1:3" x14ac:dyDescent="0.25">
      <c r="A487" s="125">
        <f t="shared" si="23"/>
        <v>472</v>
      </c>
      <c r="B487" s="121">
        <f t="shared" ca="1" si="21"/>
        <v>90.592641442590178</v>
      </c>
      <c r="C487" s="128">
        <f t="shared" ca="1" si="22"/>
        <v>1</v>
      </c>
    </row>
    <row r="488" spans="1:3" x14ac:dyDescent="0.25">
      <c r="A488" s="125">
        <f t="shared" si="23"/>
        <v>473</v>
      </c>
      <c r="B488" s="121">
        <f t="shared" ca="1" si="21"/>
        <v>39.276709656562083</v>
      </c>
      <c r="C488" s="128">
        <f t="shared" ca="1" si="22"/>
        <v>1</v>
      </c>
    </row>
    <row r="489" spans="1:3" x14ac:dyDescent="0.25">
      <c r="A489" s="125">
        <f t="shared" si="23"/>
        <v>474</v>
      </c>
      <c r="B489" s="121">
        <f t="shared" ca="1" si="21"/>
        <v>-54.630846032201433</v>
      </c>
      <c r="C489" s="128">
        <f t="shared" ca="1" si="22"/>
        <v>0</v>
      </c>
    </row>
    <row r="490" spans="1:3" x14ac:dyDescent="0.25">
      <c r="A490" s="125">
        <f t="shared" si="23"/>
        <v>475</v>
      </c>
      <c r="B490" s="121">
        <f t="shared" ca="1" si="21"/>
        <v>36.228722621334164</v>
      </c>
      <c r="C490" s="128">
        <f t="shared" ca="1" si="22"/>
        <v>1</v>
      </c>
    </row>
    <row r="491" spans="1:3" x14ac:dyDescent="0.25">
      <c r="A491" s="125">
        <f t="shared" si="23"/>
        <v>476</v>
      </c>
      <c r="B491" s="121">
        <f t="shared" ca="1" si="21"/>
        <v>-55.385518979895835</v>
      </c>
      <c r="C491" s="128">
        <f t="shared" ca="1" si="22"/>
        <v>0</v>
      </c>
    </row>
    <row r="492" spans="1:3" x14ac:dyDescent="0.25">
      <c r="A492" s="125">
        <f t="shared" si="23"/>
        <v>477</v>
      </c>
      <c r="B492" s="121">
        <f t="shared" ca="1" si="21"/>
        <v>112.45054658176643</v>
      </c>
      <c r="C492" s="128">
        <f t="shared" ca="1" si="22"/>
        <v>1</v>
      </c>
    </row>
    <row r="493" spans="1:3" x14ac:dyDescent="0.25">
      <c r="A493" s="125">
        <f t="shared" si="23"/>
        <v>478</v>
      </c>
      <c r="B493" s="121">
        <f t="shared" ca="1" si="21"/>
        <v>66.521235717169674</v>
      </c>
      <c r="C493" s="128">
        <f t="shared" ca="1" si="22"/>
        <v>1</v>
      </c>
    </row>
    <row r="494" spans="1:3" x14ac:dyDescent="0.25">
      <c r="A494" s="125">
        <f t="shared" si="23"/>
        <v>479</v>
      </c>
      <c r="B494" s="121">
        <f t="shared" ca="1" si="21"/>
        <v>-7.8903077780046331</v>
      </c>
      <c r="C494" s="128">
        <f t="shared" ca="1" si="22"/>
        <v>0</v>
      </c>
    </row>
    <row r="495" spans="1:3" x14ac:dyDescent="0.25">
      <c r="A495" s="125">
        <f t="shared" si="23"/>
        <v>480</v>
      </c>
      <c r="B495" s="121">
        <f t="shared" ca="1" si="21"/>
        <v>32.334882397821318</v>
      </c>
      <c r="C495" s="128">
        <f t="shared" ca="1" si="22"/>
        <v>1</v>
      </c>
    </row>
    <row r="496" spans="1:3" x14ac:dyDescent="0.25">
      <c r="A496" s="125">
        <f t="shared" si="23"/>
        <v>481</v>
      </c>
      <c r="B496" s="121">
        <f t="shared" ca="1" si="21"/>
        <v>-13.305260203372804</v>
      </c>
      <c r="C496" s="128">
        <f t="shared" ca="1" si="22"/>
        <v>0</v>
      </c>
    </row>
    <row r="497" spans="1:3" x14ac:dyDescent="0.25">
      <c r="A497" s="125">
        <f t="shared" si="23"/>
        <v>482</v>
      </c>
      <c r="B497" s="121">
        <f t="shared" ca="1" si="21"/>
        <v>78.7612598915631</v>
      </c>
      <c r="C497" s="128">
        <f t="shared" ca="1" si="22"/>
        <v>1</v>
      </c>
    </row>
    <row r="498" spans="1:3" x14ac:dyDescent="0.25">
      <c r="A498" s="125">
        <f t="shared" si="23"/>
        <v>483</v>
      </c>
      <c r="B498" s="121">
        <f t="shared" ca="1" si="21"/>
        <v>8.9697338371457356</v>
      </c>
      <c r="C498" s="128">
        <f t="shared" ca="1" si="22"/>
        <v>0</v>
      </c>
    </row>
    <row r="499" spans="1:3" x14ac:dyDescent="0.25">
      <c r="A499" s="125">
        <f t="shared" si="23"/>
        <v>484</v>
      </c>
      <c r="B499" s="121">
        <f t="shared" ca="1" si="21"/>
        <v>4.1295739135476985</v>
      </c>
      <c r="C499" s="128">
        <f t="shared" ca="1" si="22"/>
        <v>0</v>
      </c>
    </row>
    <row r="500" spans="1:3" x14ac:dyDescent="0.25">
      <c r="A500" s="125">
        <f t="shared" si="23"/>
        <v>485</v>
      </c>
      <c r="B500" s="121">
        <f t="shared" ca="1" si="21"/>
        <v>42.970989840290841</v>
      </c>
      <c r="C500" s="128">
        <f t="shared" ca="1" si="22"/>
        <v>1</v>
      </c>
    </row>
    <row r="501" spans="1:3" x14ac:dyDescent="0.25">
      <c r="A501" s="125">
        <f t="shared" si="23"/>
        <v>486</v>
      </c>
      <c r="B501" s="121">
        <f t="shared" ca="1" si="21"/>
        <v>-21.669209724584789</v>
      </c>
      <c r="C501" s="128">
        <f t="shared" ca="1" si="22"/>
        <v>0</v>
      </c>
    </row>
    <row r="502" spans="1:3" x14ac:dyDescent="0.25">
      <c r="A502" s="125">
        <f t="shared" si="23"/>
        <v>487</v>
      </c>
      <c r="B502" s="121">
        <f t="shared" ca="1" si="21"/>
        <v>15.001448853153416</v>
      </c>
      <c r="C502" s="128">
        <f t="shared" ca="1" si="22"/>
        <v>0</v>
      </c>
    </row>
    <row r="503" spans="1:3" x14ac:dyDescent="0.25">
      <c r="A503" s="125">
        <f t="shared" si="23"/>
        <v>488</v>
      </c>
      <c r="B503" s="121">
        <f t="shared" ca="1" si="21"/>
        <v>35.949496301210381</v>
      </c>
      <c r="C503" s="128">
        <f t="shared" ca="1" si="22"/>
        <v>1</v>
      </c>
    </row>
    <row r="504" spans="1:3" x14ac:dyDescent="0.25">
      <c r="A504" s="125">
        <f t="shared" si="23"/>
        <v>489</v>
      </c>
      <c r="B504" s="121">
        <f t="shared" ca="1" si="21"/>
        <v>72.310237228780011</v>
      </c>
      <c r="C504" s="128">
        <f t="shared" ca="1" si="22"/>
        <v>1</v>
      </c>
    </row>
    <row r="505" spans="1:3" x14ac:dyDescent="0.25">
      <c r="A505" s="125">
        <f t="shared" si="23"/>
        <v>490</v>
      </c>
      <c r="B505" s="121">
        <f t="shared" ca="1" si="21"/>
        <v>-54.522126592000845</v>
      </c>
      <c r="C505" s="128">
        <f t="shared" ca="1" si="22"/>
        <v>0</v>
      </c>
    </row>
    <row r="506" spans="1:3" x14ac:dyDescent="0.25">
      <c r="A506" s="125">
        <f t="shared" si="23"/>
        <v>491</v>
      </c>
      <c r="B506" s="121">
        <f t="shared" ca="1" si="21"/>
        <v>14.283881303984934</v>
      </c>
      <c r="C506" s="128">
        <f t="shared" ca="1" si="22"/>
        <v>0</v>
      </c>
    </row>
    <row r="507" spans="1:3" x14ac:dyDescent="0.25">
      <c r="A507" s="125">
        <f t="shared" si="23"/>
        <v>492</v>
      </c>
      <c r="B507" s="121">
        <f t="shared" ca="1" si="21"/>
        <v>-4.4465472842110643</v>
      </c>
      <c r="C507" s="128">
        <f t="shared" ca="1" si="22"/>
        <v>0</v>
      </c>
    </row>
    <row r="508" spans="1:3" x14ac:dyDescent="0.25">
      <c r="A508" s="125">
        <f t="shared" si="23"/>
        <v>493</v>
      </c>
      <c r="B508" s="121">
        <f t="shared" ca="1" si="21"/>
        <v>20.248788445938047</v>
      </c>
      <c r="C508" s="128">
        <f t="shared" ca="1" si="22"/>
        <v>0</v>
      </c>
    </row>
    <row r="509" spans="1:3" x14ac:dyDescent="0.25">
      <c r="A509" s="125">
        <f t="shared" si="23"/>
        <v>494</v>
      </c>
      <c r="B509" s="121">
        <f t="shared" ca="1" si="21"/>
        <v>-9.4564391518540845</v>
      </c>
      <c r="C509" s="128">
        <f t="shared" ca="1" si="22"/>
        <v>0</v>
      </c>
    </row>
    <row r="510" spans="1:3" x14ac:dyDescent="0.25">
      <c r="A510" s="125">
        <f t="shared" si="23"/>
        <v>495</v>
      </c>
      <c r="B510" s="121">
        <f t="shared" ca="1" si="21"/>
        <v>0.29078023351856075</v>
      </c>
      <c r="C510" s="128">
        <f t="shared" ca="1" si="22"/>
        <v>0</v>
      </c>
    </row>
    <row r="511" spans="1:3" x14ac:dyDescent="0.25">
      <c r="A511" s="125">
        <f t="shared" si="23"/>
        <v>496</v>
      </c>
      <c r="B511" s="121">
        <f t="shared" ca="1" si="21"/>
        <v>65.572078177072314</v>
      </c>
      <c r="C511" s="128">
        <f t="shared" ca="1" si="22"/>
        <v>1</v>
      </c>
    </row>
    <row r="512" spans="1:3" x14ac:dyDescent="0.25">
      <c r="A512" s="125">
        <f t="shared" si="23"/>
        <v>497</v>
      </c>
      <c r="B512" s="121">
        <f t="shared" ca="1" si="21"/>
        <v>32.886658963744061</v>
      </c>
      <c r="C512" s="128">
        <f t="shared" ca="1" si="22"/>
        <v>1</v>
      </c>
    </row>
    <row r="513" spans="1:3" x14ac:dyDescent="0.25">
      <c r="A513" s="125">
        <f t="shared" si="23"/>
        <v>498</v>
      </c>
      <c r="B513" s="121">
        <f t="shared" ca="1" si="21"/>
        <v>96.439050093631266</v>
      </c>
      <c r="C513" s="128">
        <f t="shared" ca="1" si="22"/>
        <v>1</v>
      </c>
    </row>
    <row r="514" spans="1:3" x14ac:dyDescent="0.25">
      <c r="A514" s="125">
        <f t="shared" si="23"/>
        <v>499</v>
      </c>
      <c r="B514" s="121">
        <f t="shared" ca="1" si="21"/>
        <v>-32.842431042276402</v>
      </c>
      <c r="C514" s="128">
        <f t="shared" ca="1" si="22"/>
        <v>0</v>
      </c>
    </row>
    <row r="515" spans="1:3" x14ac:dyDescent="0.25">
      <c r="A515" s="125">
        <f t="shared" si="23"/>
        <v>500</v>
      </c>
      <c r="B515" s="121">
        <f t="shared" ca="1" si="21"/>
        <v>-11.51727463560875</v>
      </c>
      <c r="C515" s="128">
        <f t="shared" ca="1" si="22"/>
        <v>0</v>
      </c>
    </row>
    <row r="516" spans="1:3" x14ac:dyDescent="0.25">
      <c r="A516" s="125">
        <f t="shared" si="23"/>
        <v>501</v>
      </c>
      <c r="B516" s="121">
        <f t="shared" ca="1" si="21"/>
        <v>100.48287363905209</v>
      </c>
      <c r="C516" s="128">
        <f t="shared" ca="1" si="22"/>
        <v>1</v>
      </c>
    </row>
    <row r="517" spans="1:3" x14ac:dyDescent="0.25">
      <c r="A517" s="125">
        <f t="shared" si="23"/>
        <v>502</v>
      </c>
      <c r="B517" s="121">
        <f t="shared" ca="1" si="21"/>
        <v>30.584659175212423</v>
      </c>
      <c r="C517" s="128">
        <f t="shared" ca="1" si="22"/>
        <v>1</v>
      </c>
    </row>
    <row r="518" spans="1:3" x14ac:dyDescent="0.25">
      <c r="A518" s="125">
        <f t="shared" si="23"/>
        <v>503</v>
      </c>
      <c r="B518" s="121">
        <f t="shared" ca="1" si="21"/>
        <v>76.025373370736673</v>
      </c>
      <c r="C518" s="128">
        <f t="shared" ca="1" si="22"/>
        <v>1</v>
      </c>
    </row>
    <row r="519" spans="1:3" x14ac:dyDescent="0.25">
      <c r="A519" s="125">
        <f t="shared" si="23"/>
        <v>504</v>
      </c>
      <c r="B519" s="121">
        <f t="shared" ca="1" si="21"/>
        <v>40.897220103524198</v>
      </c>
      <c r="C519" s="128">
        <f t="shared" ca="1" si="22"/>
        <v>1</v>
      </c>
    </row>
    <row r="520" spans="1:3" x14ac:dyDescent="0.25">
      <c r="A520" s="125">
        <f t="shared" si="23"/>
        <v>505</v>
      </c>
      <c r="B520" s="121">
        <f t="shared" ca="1" si="21"/>
        <v>72.904217548412987</v>
      </c>
      <c r="C520" s="128">
        <f t="shared" ca="1" si="22"/>
        <v>1</v>
      </c>
    </row>
    <row r="521" spans="1:3" x14ac:dyDescent="0.25">
      <c r="A521" s="125">
        <f t="shared" si="23"/>
        <v>506</v>
      </c>
      <c r="B521" s="121">
        <f t="shared" ca="1" si="21"/>
        <v>-26.641704346095224</v>
      </c>
      <c r="C521" s="128">
        <f t="shared" ca="1" si="22"/>
        <v>0</v>
      </c>
    </row>
    <row r="522" spans="1:3" x14ac:dyDescent="0.25">
      <c r="A522" s="125">
        <f t="shared" si="23"/>
        <v>507</v>
      </c>
      <c r="B522" s="121">
        <f t="shared" ca="1" si="21"/>
        <v>66.13237859347268</v>
      </c>
      <c r="C522" s="128">
        <f t="shared" ca="1" si="22"/>
        <v>1</v>
      </c>
    </row>
    <row r="523" spans="1:3" x14ac:dyDescent="0.25">
      <c r="A523" s="125">
        <f t="shared" si="23"/>
        <v>508</v>
      </c>
      <c r="B523" s="121">
        <f t="shared" ca="1" si="21"/>
        <v>55.352053158281549</v>
      </c>
      <c r="C523" s="128">
        <f t="shared" ca="1" si="22"/>
        <v>1</v>
      </c>
    </row>
    <row r="524" spans="1:3" x14ac:dyDescent="0.25">
      <c r="A524" s="125">
        <f t="shared" si="23"/>
        <v>509</v>
      </c>
      <c r="B524" s="121">
        <f t="shared" ca="1" si="21"/>
        <v>79.784196301728699</v>
      </c>
      <c r="C524" s="128">
        <f t="shared" ca="1" si="22"/>
        <v>1</v>
      </c>
    </row>
    <row r="525" spans="1:3" x14ac:dyDescent="0.25">
      <c r="A525" s="125">
        <f t="shared" si="23"/>
        <v>510</v>
      </c>
      <c r="B525" s="121">
        <f t="shared" ca="1" si="21"/>
        <v>-21.147623394710287</v>
      </c>
      <c r="C525" s="128">
        <f t="shared" ca="1" si="22"/>
        <v>0</v>
      </c>
    </row>
    <row r="526" spans="1:3" x14ac:dyDescent="0.25">
      <c r="A526" s="125">
        <f t="shared" si="23"/>
        <v>511</v>
      </c>
      <c r="B526" s="121">
        <f t="shared" ca="1" si="21"/>
        <v>96.680853987379606</v>
      </c>
      <c r="C526" s="128">
        <f t="shared" ca="1" si="22"/>
        <v>1</v>
      </c>
    </row>
    <row r="527" spans="1:3" x14ac:dyDescent="0.25">
      <c r="A527" s="125">
        <f t="shared" si="23"/>
        <v>512</v>
      </c>
      <c r="B527" s="121">
        <f t="shared" ca="1" si="21"/>
        <v>47.806174965627861</v>
      </c>
      <c r="C527" s="128">
        <f t="shared" ca="1" si="22"/>
        <v>1</v>
      </c>
    </row>
    <row r="528" spans="1:3" x14ac:dyDescent="0.25">
      <c r="A528" s="125">
        <f t="shared" si="23"/>
        <v>513</v>
      </c>
      <c r="B528" s="121">
        <f t="shared" ca="1" si="21"/>
        <v>57.092172203123241</v>
      </c>
      <c r="C528" s="128">
        <f t="shared" ca="1" si="22"/>
        <v>1</v>
      </c>
    </row>
    <row r="529" spans="1:3" x14ac:dyDescent="0.25">
      <c r="A529" s="125">
        <f t="shared" si="23"/>
        <v>514</v>
      </c>
      <c r="B529" s="121">
        <f t="shared" ref="B529:B592" ca="1" si="24">_xlfn.NORM.INV(RAND(), $B$9, $B$10)</f>
        <v>89.319885434432535</v>
      </c>
      <c r="C529" s="128">
        <f t="shared" ref="C529:C592" ca="1" si="25">IF(B529 &gt;= $B$11, 1, 0)</f>
        <v>1</v>
      </c>
    </row>
    <row r="530" spans="1:3" x14ac:dyDescent="0.25">
      <c r="A530" s="125">
        <f t="shared" ref="A530:A593" si="26">+A529+1</f>
        <v>515</v>
      </c>
      <c r="B530" s="121">
        <f t="shared" ca="1" si="24"/>
        <v>59.66108743745599</v>
      </c>
      <c r="C530" s="128">
        <f t="shared" ca="1" si="25"/>
        <v>1</v>
      </c>
    </row>
    <row r="531" spans="1:3" x14ac:dyDescent="0.25">
      <c r="A531" s="125">
        <f t="shared" si="26"/>
        <v>516</v>
      </c>
      <c r="B531" s="121">
        <f t="shared" ca="1" si="24"/>
        <v>49.821889734693521</v>
      </c>
      <c r="C531" s="128">
        <f t="shared" ca="1" si="25"/>
        <v>1</v>
      </c>
    </row>
    <row r="532" spans="1:3" x14ac:dyDescent="0.25">
      <c r="A532" s="125">
        <f t="shared" si="26"/>
        <v>517</v>
      </c>
      <c r="B532" s="121">
        <f t="shared" ca="1" si="24"/>
        <v>-44.045599272692641</v>
      </c>
      <c r="C532" s="128">
        <f t="shared" ca="1" si="25"/>
        <v>0</v>
      </c>
    </row>
    <row r="533" spans="1:3" x14ac:dyDescent="0.25">
      <c r="A533" s="125">
        <f t="shared" si="26"/>
        <v>518</v>
      </c>
      <c r="B533" s="121">
        <f t="shared" ca="1" si="24"/>
        <v>62.255951546957334</v>
      </c>
      <c r="C533" s="128">
        <f t="shared" ca="1" si="25"/>
        <v>1</v>
      </c>
    </row>
    <row r="534" spans="1:3" x14ac:dyDescent="0.25">
      <c r="A534" s="125">
        <f t="shared" si="26"/>
        <v>519</v>
      </c>
      <c r="B534" s="121">
        <f t="shared" ca="1" si="24"/>
        <v>-64.498170082928539</v>
      </c>
      <c r="C534" s="128">
        <f t="shared" ca="1" si="25"/>
        <v>0</v>
      </c>
    </row>
    <row r="535" spans="1:3" x14ac:dyDescent="0.25">
      <c r="A535" s="125">
        <f t="shared" si="26"/>
        <v>520</v>
      </c>
      <c r="B535" s="121">
        <f t="shared" ca="1" si="24"/>
        <v>118.14893951785578</v>
      </c>
      <c r="C535" s="128">
        <f t="shared" ca="1" si="25"/>
        <v>1</v>
      </c>
    </row>
    <row r="536" spans="1:3" x14ac:dyDescent="0.25">
      <c r="A536" s="125">
        <f t="shared" si="26"/>
        <v>521</v>
      </c>
      <c r="B536" s="121">
        <f t="shared" ca="1" si="24"/>
        <v>75.170871197696698</v>
      </c>
      <c r="C536" s="128">
        <f t="shared" ca="1" si="25"/>
        <v>1</v>
      </c>
    </row>
    <row r="537" spans="1:3" x14ac:dyDescent="0.25">
      <c r="A537" s="125">
        <f t="shared" si="26"/>
        <v>522</v>
      </c>
      <c r="B537" s="121">
        <f t="shared" ca="1" si="24"/>
        <v>45.045008631607537</v>
      </c>
      <c r="C537" s="128">
        <f t="shared" ca="1" si="25"/>
        <v>1</v>
      </c>
    </row>
    <row r="538" spans="1:3" x14ac:dyDescent="0.25">
      <c r="A538" s="125">
        <f t="shared" si="26"/>
        <v>523</v>
      </c>
      <c r="B538" s="121">
        <f t="shared" ca="1" si="24"/>
        <v>44.8530075330995</v>
      </c>
      <c r="C538" s="128">
        <f t="shared" ca="1" si="25"/>
        <v>1</v>
      </c>
    </row>
    <row r="539" spans="1:3" x14ac:dyDescent="0.25">
      <c r="A539" s="125">
        <f t="shared" si="26"/>
        <v>524</v>
      </c>
      <c r="B539" s="121">
        <f t="shared" ca="1" si="24"/>
        <v>56.833200992327868</v>
      </c>
      <c r="C539" s="128">
        <f t="shared" ca="1" si="25"/>
        <v>1</v>
      </c>
    </row>
    <row r="540" spans="1:3" x14ac:dyDescent="0.25">
      <c r="A540" s="125">
        <f t="shared" si="26"/>
        <v>525</v>
      </c>
      <c r="B540" s="121">
        <f t="shared" ca="1" si="24"/>
        <v>119.86131737271288</v>
      </c>
      <c r="C540" s="128">
        <f t="shared" ca="1" si="25"/>
        <v>1</v>
      </c>
    </row>
    <row r="541" spans="1:3" x14ac:dyDescent="0.25">
      <c r="A541" s="125">
        <f t="shared" si="26"/>
        <v>526</v>
      </c>
      <c r="B541" s="121">
        <f t="shared" ca="1" si="24"/>
        <v>110.40908167191276</v>
      </c>
      <c r="C541" s="128">
        <f t="shared" ca="1" si="25"/>
        <v>1</v>
      </c>
    </row>
    <row r="542" spans="1:3" x14ac:dyDescent="0.25">
      <c r="A542" s="125">
        <f t="shared" si="26"/>
        <v>527</v>
      </c>
      <c r="B542" s="121">
        <f t="shared" ca="1" si="24"/>
        <v>26.047078529193712</v>
      </c>
      <c r="C542" s="128">
        <f t="shared" ca="1" si="25"/>
        <v>1</v>
      </c>
    </row>
    <row r="543" spans="1:3" x14ac:dyDescent="0.25">
      <c r="A543" s="125">
        <f t="shared" si="26"/>
        <v>528</v>
      </c>
      <c r="B543" s="121">
        <f t="shared" ca="1" si="24"/>
        <v>44.357649426430456</v>
      </c>
      <c r="C543" s="128">
        <f t="shared" ca="1" si="25"/>
        <v>1</v>
      </c>
    </row>
    <row r="544" spans="1:3" x14ac:dyDescent="0.25">
      <c r="A544" s="125">
        <f t="shared" si="26"/>
        <v>529</v>
      </c>
      <c r="B544" s="121">
        <f t="shared" ca="1" si="24"/>
        <v>60.777727017040597</v>
      </c>
      <c r="C544" s="128">
        <f t="shared" ca="1" si="25"/>
        <v>1</v>
      </c>
    </row>
    <row r="545" spans="1:3" x14ac:dyDescent="0.25">
      <c r="A545" s="125">
        <f t="shared" si="26"/>
        <v>530</v>
      </c>
      <c r="B545" s="121">
        <f t="shared" ca="1" si="24"/>
        <v>36.788465268776143</v>
      </c>
      <c r="C545" s="128">
        <f t="shared" ca="1" si="25"/>
        <v>1</v>
      </c>
    </row>
    <row r="546" spans="1:3" x14ac:dyDescent="0.25">
      <c r="A546" s="125">
        <f t="shared" si="26"/>
        <v>531</v>
      </c>
      <c r="B546" s="121">
        <f t="shared" ca="1" si="24"/>
        <v>28.489652155659456</v>
      </c>
      <c r="C546" s="128">
        <f t="shared" ca="1" si="25"/>
        <v>1</v>
      </c>
    </row>
    <row r="547" spans="1:3" x14ac:dyDescent="0.25">
      <c r="A547" s="125">
        <f t="shared" si="26"/>
        <v>532</v>
      </c>
      <c r="B547" s="121">
        <f t="shared" ca="1" si="24"/>
        <v>-67.7462446664954</v>
      </c>
      <c r="C547" s="128">
        <f t="shared" ca="1" si="25"/>
        <v>0</v>
      </c>
    </row>
    <row r="548" spans="1:3" x14ac:dyDescent="0.25">
      <c r="A548" s="125">
        <f t="shared" si="26"/>
        <v>533</v>
      </c>
      <c r="B548" s="121">
        <f t="shared" ca="1" si="24"/>
        <v>51.251626889321045</v>
      </c>
      <c r="C548" s="128">
        <f t="shared" ca="1" si="25"/>
        <v>1</v>
      </c>
    </row>
    <row r="549" spans="1:3" x14ac:dyDescent="0.25">
      <c r="A549" s="125">
        <f t="shared" si="26"/>
        <v>534</v>
      </c>
      <c r="B549" s="121">
        <f t="shared" ca="1" si="24"/>
        <v>77.121090495560267</v>
      </c>
      <c r="C549" s="128">
        <f t="shared" ca="1" si="25"/>
        <v>1</v>
      </c>
    </row>
    <row r="550" spans="1:3" x14ac:dyDescent="0.25">
      <c r="A550" s="125">
        <f t="shared" si="26"/>
        <v>535</v>
      </c>
      <c r="B550" s="121">
        <f t="shared" ca="1" si="24"/>
        <v>3.805851053075461</v>
      </c>
      <c r="C550" s="128">
        <f t="shared" ca="1" si="25"/>
        <v>0</v>
      </c>
    </row>
    <row r="551" spans="1:3" x14ac:dyDescent="0.25">
      <c r="A551" s="125">
        <f t="shared" si="26"/>
        <v>536</v>
      </c>
      <c r="B551" s="121">
        <f t="shared" ca="1" si="24"/>
        <v>37.301431163580084</v>
      </c>
      <c r="C551" s="128">
        <f t="shared" ca="1" si="25"/>
        <v>1</v>
      </c>
    </row>
    <row r="552" spans="1:3" x14ac:dyDescent="0.25">
      <c r="A552" s="125">
        <f t="shared" si="26"/>
        <v>537</v>
      </c>
      <c r="B552" s="121">
        <f t="shared" ca="1" si="24"/>
        <v>23.387640469052613</v>
      </c>
      <c r="C552" s="128">
        <f t="shared" ca="1" si="25"/>
        <v>0</v>
      </c>
    </row>
    <row r="553" spans="1:3" x14ac:dyDescent="0.25">
      <c r="A553" s="125">
        <f t="shared" si="26"/>
        <v>538</v>
      </c>
      <c r="B553" s="121">
        <f t="shared" ca="1" si="24"/>
        <v>89.720825289035929</v>
      </c>
      <c r="C553" s="128">
        <f t="shared" ca="1" si="25"/>
        <v>1</v>
      </c>
    </row>
    <row r="554" spans="1:3" x14ac:dyDescent="0.25">
      <c r="A554" s="125">
        <f t="shared" si="26"/>
        <v>539</v>
      </c>
      <c r="B554" s="121">
        <f t="shared" ca="1" si="24"/>
        <v>-30.810476833180161</v>
      </c>
      <c r="C554" s="128">
        <f t="shared" ca="1" si="25"/>
        <v>0</v>
      </c>
    </row>
    <row r="555" spans="1:3" x14ac:dyDescent="0.25">
      <c r="A555" s="125">
        <f t="shared" si="26"/>
        <v>540</v>
      </c>
      <c r="B555" s="121">
        <f t="shared" ca="1" si="24"/>
        <v>122.60205037995837</v>
      </c>
      <c r="C555" s="128">
        <f t="shared" ca="1" si="25"/>
        <v>1</v>
      </c>
    </row>
    <row r="556" spans="1:3" x14ac:dyDescent="0.25">
      <c r="A556" s="125">
        <f t="shared" si="26"/>
        <v>541</v>
      </c>
      <c r="B556" s="121">
        <f t="shared" ca="1" si="24"/>
        <v>71.243024276640284</v>
      </c>
      <c r="C556" s="128">
        <f t="shared" ca="1" si="25"/>
        <v>1</v>
      </c>
    </row>
    <row r="557" spans="1:3" x14ac:dyDescent="0.25">
      <c r="A557" s="125">
        <f t="shared" si="26"/>
        <v>542</v>
      </c>
      <c r="B557" s="121">
        <f t="shared" ca="1" si="24"/>
        <v>23.469639065248334</v>
      </c>
      <c r="C557" s="128">
        <f t="shared" ca="1" si="25"/>
        <v>0</v>
      </c>
    </row>
    <row r="558" spans="1:3" x14ac:dyDescent="0.25">
      <c r="A558" s="125">
        <f t="shared" si="26"/>
        <v>543</v>
      </c>
      <c r="B558" s="121">
        <f t="shared" ca="1" si="24"/>
        <v>57.05628918209274</v>
      </c>
      <c r="C558" s="128">
        <f t="shared" ca="1" si="25"/>
        <v>1</v>
      </c>
    </row>
    <row r="559" spans="1:3" x14ac:dyDescent="0.25">
      <c r="A559" s="125">
        <f t="shared" si="26"/>
        <v>544</v>
      </c>
      <c r="B559" s="121">
        <f t="shared" ca="1" si="24"/>
        <v>-15.551239877282661</v>
      </c>
      <c r="C559" s="128">
        <f t="shared" ca="1" si="25"/>
        <v>0</v>
      </c>
    </row>
    <row r="560" spans="1:3" x14ac:dyDescent="0.25">
      <c r="A560" s="125">
        <f t="shared" si="26"/>
        <v>545</v>
      </c>
      <c r="B560" s="121">
        <f t="shared" ca="1" si="24"/>
        <v>56.204059750199903</v>
      </c>
      <c r="C560" s="128">
        <f t="shared" ca="1" si="25"/>
        <v>1</v>
      </c>
    </row>
    <row r="561" spans="1:3" x14ac:dyDescent="0.25">
      <c r="A561" s="125">
        <f t="shared" si="26"/>
        <v>546</v>
      </c>
      <c r="B561" s="121">
        <f t="shared" ca="1" si="24"/>
        <v>34.314661649286649</v>
      </c>
      <c r="C561" s="128">
        <f t="shared" ca="1" si="25"/>
        <v>1</v>
      </c>
    </row>
    <row r="562" spans="1:3" x14ac:dyDescent="0.25">
      <c r="A562" s="125">
        <f t="shared" si="26"/>
        <v>547</v>
      </c>
      <c r="B562" s="121">
        <f t="shared" ca="1" si="24"/>
        <v>58.184771025780471</v>
      </c>
      <c r="C562" s="128">
        <f t="shared" ca="1" si="25"/>
        <v>1</v>
      </c>
    </row>
    <row r="563" spans="1:3" x14ac:dyDescent="0.25">
      <c r="A563" s="125">
        <f t="shared" si="26"/>
        <v>548</v>
      </c>
      <c r="B563" s="121">
        <f t="shared" ca="1" si="24"/>
        <v>81.55988564596008</v>
      </c>
      <c r="C563" s="128">
        <f t="shared" ca="1" si="25"/>
        <v>1</v>
      </c>
    </row>
    <row r="564" spans="1:3" x14ac:dyDescent="0.25">
      <c r="A564" s="125">
        <f t="shared" si="26"/>
        <v>549</v>
      </c>
      <c r="B564" s="121">
        <f t="shared" ca="1" si="24"/>
        <v>-42.713544115296372</v>
      </c>
      <c r="C564" s="128">
        <f t="shared" ca="1" si="25"/>
        <v>0</v>
      </c>
    </row>
    <row r="565" spans="1:3" x14ac:dyDescent="0.25">
      <c r="A565" s="125">
        <f t="shared" si="26"/>
        <v>550</v>
      </c>
      <c r="B565" s="121">
        <f t="shared" ca="1" si="24"/>
        <v>26.635173554519483</v>
      </c>
      <c r="C565" s="128">
        <f t="shared" ca="1" si="25"/>
        <v>1</v>
      </c>
    </row>
    <row r="566" spans="1:3" x14ac:dyDescent="0.25">
      <c r="A566" s="125">
        <f t="shared" si="26"/>
        <v>551</v>
      </c>
      <c r="B566" s="121">
        <f t="shared" ca="1" si="24"/>
        <v>-4.8950090560633654</v>
      </c>
      <c r="C566" s="128">
        <f t="shared" ca="1" si="25"/>
        <v>0</v>
      </c>
    </row>
    <row r="567" spans="1:3" x14ac:dyDescent="0.25">
      <c r="A567" s="125">
        <f t="shared" si="26"/>
        <v>552</v>
      </c>
      <c r="B567" s="121">
        <f t="shared" ca="1" si="24"/>
        <v>56.406911794848654</v>
      </c>
      <c r="C567" s="128">
        <f t="shared" ca="1" si="25"/>
        <v>1</v>
      </c>
    </row>
    <row r="568" spans="1:3" x14ac:dyDescent="0.25">
      <c r="A568" s="125">
        <f t="shared" si="26"/>
        <v>553</v>
      </c>
      <c r="B568" s="121">
        <f t="shared" ca="1" si="24"/>
        <v>7.5180799567806069</v>
      </c>
      <c r="C568" s="128">
        <f t="shared" ca="1" si="25"/>
        <v>0</v>
      </c>
    </row>
    <row r="569" spans="1:3" x14ac:dyDescent="0.25">
      <c r="A569" s="125">
        <f t="shared" si="26"/>
        <v>554</v>
      </c>
      <c r="B569" s="121">
        <f t="shared" ca="1" si="24"/>
        <v>47.89302976789228</v>
      </c>
      <c r="C569" s="128">
        <f t="shared" ca="1" si="25"/>
        <v>1</v>
      </c>
    </row>
    <row r="570" spans="1:3" x14ac:dyDescent="0.25">
      <c r="A570" s="125">
        <f t="shared" si="26"/>
        <v>555</v>
      </c>
      <c r="B570" s="121">
        <f t="shared" ca="1" si="24"/>
        <v>117.00551038446974</v>
      </c>
      <c r="C570" s="128">
        <f t="shared" ca="1" si="25"/>
        <v>1</v>
      </c>
    </row>
    <row r="571" spans="1:3" x14ac:dyDescent="0.25">
      <c r="A571" s="125">
        <f t="shared" si="26"/>
        <v>556</v>
      </c>
      <c r="B571" s="121">
        <f t="shared" ca="1" si="24"/>
        <v>-38.506084289089657</v>
      </c>
      <c r="C571" s="128">
        <f t="shared" ca="1" si="25"/>
        <v>0</v>
      </c>
    </row>
    <row r="572" spans="1:3" x14ac:dyDescent="0.25">
      <c r="A572" s="125">
        <f t="shared" si="26"/>
        <v>557</v>
      </c>
      <c r="B572" s="121">
        <f t="shared" ca="1" si="24"/>
        <v>104.0873390203077</v>
      </c>
      <c r="C572" s="128">
        <f t="shared" ca="1" si="25"/>
        <v>1</v>
      </c>
    </row>
    <row r="573" spans="1:3" x14ac:dyDescent="0.25">
      <c r="A573" s="125">
        <f t="shared" si="26"/>
        <v>558</v>
      </c>
      <c r="B573" s="121">
        <f t="shared" ca="1" si="24"/>
        <v>30.495136694402163</v>
      </c>
      <c r="C573" s="128">
        <f t="shared" ca="1" si="25"/>
        <v>1</v>
      </c>
    </row>
    <row r="574" spans="1:3" x14ac:dyDescent="0.25">
      <c r="A574" s="125">
        <f t="shared" si="26"/>
        <v>559</v>
      </c>
      <c r="B574" s="121">
        <f t="shared" ca="1" si="24"/>
        <v>30.815769814734921</v>
      </c>
      <c r="C574" s="128">
        <f t="shared" ca="1" si="25"/>
        <v>1</v>
      </c>
    </row>
    <row r="575" spans="1:3" x14ac:dyDescent="0.25">
      <c r="A575" s="125">
        <f t="shared" si="26"/>
        <v>560</v>
      </c>
      <c r="B575" s="121">
        <f t="shared" ca="1" si="24"/>
        <v>58.501605309800809</v>
      </c>
      <c r="C575" s="128">
        <f t="shared" ca="1" si="25"/>
        <v>1</v>
      </c>
    </row>
    <row r="576" spans="1:3" x14ac:dyDescent="0.25">
      <c r="A576" s="125">
        <f t="shared" si="26"/>
        <v>561</v>
      </c>
      <c r="B576" s="121">
        <f t="shared" ca="1" si="24"/>
        <v>112.63068888682766</v>
      </c>
      <c r="C576" s="128">
        <f t="shared" ca="1" si="25"/>
        <v>1</v>
      </c>
    </row>
    <row r="577" spans="1:3" x14ac:dyDescent="0.25">
      <c r="A577" s="125">
        <f t="shared" si="26"/>
        <v>562</v>
      </c>
      <c r="B577" s="121">
        <f t="shared" ca="1" si="24"/>
        <v>34.323932588914133</v>
      </c>
      <c r="C577" s="128">
        <f t="shared" ca="1" si="25"/>
        <v>1</v>
      </c>
    </row>
    <row r="578" spans="1:3" x14ac:dyDescent="0.25">
      <c r="A578" s="125">
        <f t="shared" si="26"/>
        <v>563</v>
      </c>
      <c r="B578" s="121">
        <f t="shared" ca="1" si="24"/>
        <v>49.212159132034927</v>
      </c>
      <c r="C578" s="128">
        <f t="shared" ca="1" si="25"/>
        <v>1</v>
      </c>
    </row>
    <row r="579" spans="1:3" x14ac:dyDescent="0.25">
      <c r="A579" s="125">
        <f t="shared" si="26"/>
        <v>564</v>
      </c>
      <c r="B579" s="121">
        <f t="shared" ca="1" si="24"/>
        <v>2.5238214236534162</v>
      </c>
      <c r="C579" s="128">
        <f t="shared" ca="1" si="25"/>
        <v>0</v>
      </c>
    </row>
    <row r="580" spans="1:3" x14ac:dyDescent="0.25">
      <c r="A580" s="125">
        <f t="shared" si="26"/>
        <v>565</v>
      </c>
      <c r="B580" s="121">
        <f t="shared" ca="1" si="24"/>
        <v>-18.517248379106142</v>
      </c>
      <c r="C580" s="128">
        <f t="shared" ca="1" si="25"/>
        <v>0</v>
      </c>
    </row>
    <row r="581" spans="1:3" x14ac:dyDescent="0.25">
      <c r="A581" s="125">
        <f t="shared" si="26"/>
        <v>566</v>
      </c>
      <c r="B581" s="121">
        <f t="shared" ca="1" si="24"/>
        <v>25.095565201669075</v>
      </c>
      <c r="C581" s="128">
        <f t="shared" ca="1" si="25"/>
        <v>1</v>
      </c>
    </row>
    <row r="582" spans="1:3" x14ac:dyDescent="0.25">
      <c r="A582" s="125">
        <f t="shared" si="26"/>
        <v>567</v>
      </c>
      <c r="B582" s="121">
        <f t="shared" ca="1" si="24"/>
        <v>-12.826477872581975</v>
      </c>
      <c r="C582" s="128">
        <f t="shared" ca="1" si="25"/>
        <v>0</v>
      </c>
    </row>
    <row r="583" spans="1:3" x14ac:dyDescent="0.25">
      <c r="A583" s="125">
        <f t="shared" si="26"/>
        <v>568</v>
      </c>
      <c r="B583" s="121">
        <f t="shared" ca="1" si="24"/>
        <v>2.4396260484419372</v>
      </c>
      <c r="C583" s="128">
        <f t="shared" ca="1" si="25"/>
        <v>0</v>
      </c>
    </row>
    <row r="584" spans="1:3" x14ac:dyDescent="0.25">
      <c r="A584" s="125">
        <f t="shared" si="26"/>
        <v>569</v>
      </c>
      <c r="B584" s="121">
        <f t="shared" ca="1" si="24"/>
        <v>31.876851768356467</v>
      </c>
      <c r="C584" s="128">
        <f t="shared" ca="1" si="25"/>
        <v>1</v>
      </c>
    </row>
    <row r="585" spans="1:3" x14ac:dyDescent="0.25">
      <c r="A585" s="125">
        <f t="shared" si="26"/>
        <v>570</v>
      </c>
      <c r="B585" s="121">
        <f t="shared" ca="1" si="24"/>
        <v>29.572615165970547</v>
      </c>
      <c r="C585" s="128">
        <f t="shared" ca="1" si="25"/>
        <v>1</v>
      </c>
    </row>
    <row r="586" spans="1:3" x14ac:dyDescent="0.25">
      <c r="A586" s="125">
        <f t="shared" si="26"/>
        <v>571</v>
      </c>
      <c r="B586" s="121">
        <f t="shared" ca="1" si="24"/>
        <v>21.309076857048524</v>
      </c>
      <c r="C586" s="128">
        <f t="shared" ca="1" si="25"/>
        <v>0</v>
      </c>
    </row>
    <row r="587" spans="1:3" x14ac:dyDescent="0.25">
      <c r="A587" s="125">
        <f t="shared" si="26"/>
        <v>572</v>
      </c>
      <c r="B587" s="121">
        <f t="shared" ca="1" si="24"/>
        <v>-16.196482971833156</v>
      </c>
      <c r="C587" s="128">
        <f t="shared" ca="1" si="25"/>
        <v>0</v>
      </c>
    </row>
    <row r="588" spans="1:3" x14ac:dyDescent="0.25">
      <c r="A588" s="125">
        <f t="shared" si="26"/>
        <v>573</v>
      </c>
      <c r="B588" s="121">
        <f t="shared" ca="1" si="24"/>
        <v>33.630248211963703</v>
      </c>
      <c r="C588" s="128">
        <f t="shared" ca="1" si="25"/>
        <v>1</v>
      </c>
    </row>
    <row r="589" spans="1:3" x14ac:dyDescent="0.25">
      <c r="A589" s="125">
        <f t="shared" si="26"/>
        <v>574</v>
      </c>
      <c r="B589" s="121">
        <f t="shared" ca="1" si="24"/>
        <v>-23.199321365987032</v>
      </c>
      <c r="C589" s="128">
        <f t="shared" ca="1" si="25"/>
        <v>0</v>
      </c>
    </row>
    <row r="590" spans="1:3" x14ac:dyDescent="0.25">
      <c r="A590" s="125">
        <f t="shared" si="26"/>
        <v>575</v>
      </c>
      <c r="B590" s="121">
        <f t="shared" ca="1" si="24"/>
        <v>43.431807735420328</v>
      </c>
      <c r="C590" s="128">
        <f t="shared" ca="1" si="25"/>
        <v>1</v>
      </c>
    </row>
    <row r="591" spans="1:3" x14ac:dyDescent="0.25">
      <c r="A591" s="125">
        <f t="shared" si="26"/>
        <v>576</v>
      </c>
      <c r="B591" s="121">
        <f t="shared" ca="1" si="24"/>
        <v>-8.0824396245372156</v>
      </c>
      <c r="C591" s="128">
        <f t="shared" ca="1" si="25"/>
        <v>0</v>
      </c>
    </row>
    <row r="592" spans="1:3" x14ac:dyDescent="0.25">
      <c r="A592" s="125">
        <f t="shared" si="26"/>
        <v>577</v>
      </c>
      <c r="B592" s="121">
        <f t="shared" ca="1" si="24"/>
        <v>17.765276413669937</v>
      </c>
      <c r="C592" s="128">
        <f t="shared" ca="1" si="25"/>
        <v>0</v>
      </c>
    </row>
    <row r="593" spans="1:3" x14ac:dyDescent="0.25">
      <c r="A593" s="125">
        <f t="shared" si="26"/>
        <v>578</v>
      </c>
      <c r="B593" s="121">
        <f t="shared" ref="B593:B656" ca="1" si="27">_xlfn.NORM.INV(RAND(), $B$9, $B$10)</f>
        <v>35.194169268041477</v>
      </c>
      <c r="C593" s="128">
        <f t="shared" ref="C593:C656" ca="1" si="28">IF(B593 &gt;= $B$11, 1, 0)</f>
        <v>1</v>
      </c>
    </row>
    <row r="594" spans="1:3" x14ac:dyDescent="0.25">
      <c r="A594" s="125">
        <f t="shared" ref="A594:A657" si="29">+A593+1</f>
        <v>579</v>
      </c>
      <c r="B594" s="121">
        <f t="shared" ca="1" si="27"/>
        <v>70.79831458701463</v>
      </c>
      <c r="C594" s="128">
        <f t="shared" ca="1" si="28"/>
        <v>1</v>
      </c>
    </row>
    <row r="595" spans="1:3" x14ac:dyDescent="0.25">
      <c r="A595" s="125">
        <f t="shared" si="29"/>
        <v>580</v>
      </c>
      <c r="B595" s="121">
        <f t="shared" ca="1" si="27"/>
        <v>-44.724043489043325</v>
      </c>
      <c r="C595" s="128">
        <f t="shared" ca="1" si="28"/>
        <v>0</v>
      </c>
    </row>
    <row r="596" spans="1:3" x14ac:dyDescent="0.25">
      <c r="A596" s="125">
        <f t="shared" si="29"/>
        <v>581</v>
      </c>
      <c r="B596" s="121">
        <f t="shared" ca="1" si="27"/>
        <v>-31.135783911772378</v>
      </c>
      <c r="C596" s="128">
        <f t="shared" ca="1" si="28"/>
        <v>0</v>
      </c>
    </row>
    <row r="597" spans="1:3" x14ac:dyDescent="0.25">
      <c r="A597" s="125">
        <f t="shared" si="29"/>
        <v>582</v>
      </c>
      <c r="B597" s="121">
        <f t="shared" ca="1" si="27"/>
        <v>87.643554251162612</v>
      </c>
      <c r="C597" s="128">
        <f t="shared" ca="1" si="28"/>
        <v>1</v>
      </c>
    </row>
    <row r="598" spans="1:3" x14ac:dyDescent="0.25">
      <c r="A598" s="125">
        <f t="shared" si="29"/>
        <v>583</v>
      </c>
      <c r="B598" s="121">
        <f t="shared" ca="1" si="27"/>
        <v>59.341912623793462</v>
      </c>
      <c r="C598" s="128">
        <f t="shared" ca="1" si="28"/>
        <v>1</v>
      </c>
    </row>
    <row r="599" spans="1:3" x14ac:dyDescent="0.25">
      <c r="A599" s="125">
        <f t="shared" si="29"/>
        <v>584</v>
      </c>
      <c r="B599" s="121">
        <f t="shared" ca="1" si="27"/>
        <v>2.3279983242405891</v>
      </c>
      <c r="C599" s="128">
        <f t="shared" ca="1" si="28"/>
        <v>0</v>
      </c>
    </row>
    <row r="600" spans="1:3" x14ac:dyDescent="0.25">
      <c r="A600" s="125">
        <f t="shared" si="29"/>
        <v>585</v>
      </c>
      <c r="B600" s="121">
        <f t="shared" ca="1" si="27"/>
        <v>108.98667954607997</v>
      </c>
      <c r="C600" s="128">
        <f t="shared" ca="1" si="28"/>
        <v>1</v>
      </c>
    </row>
    <row r="601" spans="1:3" x14ac:dyDescent="0.25">
      <c r="A601" s="125">
        <f t="shared" si="29"/>
        <v>586</v>
      </c>
      <c r="B601" s="121">
        <f t="shared" ca="1" si="27"/>
        <v>98.963387325956234</v>
      </c>
      <c r="C601" s="128">
        <f t="shared" ca="1" si="28"/>
        <v>1</v>
      </c>
    </row>
    <row r="602" spans="1:3" x14ac:dyDescent="0.25">
      <c r="A602" s="125">
        <f t="shared" si="29"/>
        <v>587</v>
      </c>
      <c r="B602" s="121">
        <f t="shared" ca="1" si="27"/>
        <v>80.773825746123478</v>
      </c>
      <c r="C602" s="128">
        <f t="shared" ca="1" si="28"/>
        <v>1</v>
      </c>
    </row>
    <row r="603" spans="1:3" x14ac:dyDescent="0.25">
      <c r="A603" s="125">
        <f t="shared" si="29"/>
        <v>588</v>
      </c>
      <c r="B603" s="121">
        <f t="shared" ca="1" si="27"/>
        <v>-22.296314427827419</v>
      </c>
      <c r="C603" s="128">
        <f t="shared" ca="1" si="28"/>
        <v>0</v>
      </c>
    </row>
    <row r="604" spans="1:3" x14ac:dyDescent="0.25">
      <c r="A604" s="125">
        <f t="shared" si="29"/>
        <v>589</v>
      </c>
      <c r="B604" s="121">
        <f t="shared" ca="1" si="27"/>
        <v>66.648923645580496</v>
      </c>
      <c r="C604" s="128">
        <f t="shared" ca="1" si="28"/>
        <v>1</v>
      </c>
    </row>
    <row r="605" spans="1:3" x14ac:dyDescent="0.25">
      <c r="A605" s="125">
        <f t="shared" si="29"/>
        <v>590</v>
      </c>
      <c r="B605" s="121">
        <f t="shared" ca="1" si="27"/>
        <v>32.139217068642552</v>
      </c>
      <c r="C605" s="128">
        <f t="shared" ca="1" si="28"/>
        <v>1</v>
      </c>
    </row>
    <row r="606" spans="1:3" x14ac:dyDescent="0.25">
      <c r="A606" s="125">
        <f t="shared" si="29"/>
        <v>591</v>
      </c>
      <c r="B606" s="121">
        <f t="shared" ca="1" si="27"/>
        <v>57.649878348777968</v>
      </c>
      <c r="C606" s="128">
        <f t="shared" ca="1" si="28"/>
        <v>1</v>
      </c>
    </row>
    <row r="607" spans="1:3" x14ac:dyDescent="0.25">
      <c r="A607" s="125">
        <f t="shared" si="29"/>
        <v>592</v>
      </c>
      <c r="B607" s="121">
        <f t="shared" ca="1" si="27"/>
        <v>27.873894328637405</v>
      </c>
      <c r="C607" s="128">
        <f t="shared" ca="1" si="28"/>
        <v>1</v>
      </c>
    </row>
    <row r="608" spans="1:3" x14ac:dyDescent="0.25">
      <c r="A608" s="125">
        <f t="shared" si="29"/>
        <v>593</v>
      </c>
      <c r="B608" s="121">
        <f t="shared" ca="1" si="27"/>
        <v>-14.574501450080803</v>
      </c>
      <c r="C608" s="128">
        <f t="shared" ca="1" si="28"/>
        <v>0</v>
      </c>
    </row>
    <row r="609" spans="1:3" x14ac:dyDescent="0.25">
      <c r="A609" s="125">
        <f t="shared" si="29"/>
        <v>594</v>
      </c>
      <c r="B609" s="121">
        <f t="shared" ca="1" si="27"/>
        <v>10.896792526701542</v>
      </c>
      <c r="C609" s="128">
        <f t="shared" ca="1" si="28"/>
        <v>0</v>
      </c>
    </row>
    <row r="610" spans="1:3" x14ac:dyDescent="0.25">
      <c r="A610" s="125">
        <f t="shared" si="29"/>
        <v>595</v>
      </c>
      <c r="B610" s="121">
        <f t="shared" ca="1" si="27"/>
        <v>18.087556713683831</v>
      </c>
      <c r="C610" s="128">
        <f t="shared" ca="1" si="28"/>
        <v>0</v>
      </c>
    </row>
    <row r="611" spans="1:3" x14ac:dyDescent="0.25">
      <c r="A611" s="125">
        <f t="shared" si="29"/>
        <v>596</v>
      </c>
      <c r="B611" s="121">
        <f t="shared" ca="1" si="27"/>
        <v>64.594314416472571</v>
      </c>
      <c r="C611" s="128">
        <f t="shared" ca="1" si="28"/>
        <v>1</v>
      </c>
    </row>
    <row r="612" spans="1:3" x14ac:dyDescent="0.25">
      <c r="A612" s="125">
        <f t="shared" si="29"/>
        <v>597</v>
      </c>
      <c r="B612" s="121">
        <f t="shared" ca="1" si="27"/>
        <v>53.57154046550437</v>
      </c>
      <c r="C612" s="128">
        <f t="shared" ca="1" si="28"/>
        <v>1</v>
      </c>
    </row>
    <row r="613" spans="1:3" x14ac:dyDescent="0.25">
      <c r="A613" s="125">
        <f t="shared" si="29"/>
        <v>598</v>
      </c>
      <c r="B613" s="121">
        <f t="shared" ca="1" si="27"/>
        <v>45.314238369227205</v>
      </c>
      <c r="C613" s="128">
        <f t="shared" ca="1" si="28"/>
        <v>1</v>
      </c>
    </row>
    <row r="614" spans="1:3" x14ac:dyDescent="0.25">
      <c r="A614" s="125">
        <f t="shared" si="29"/>
        <v>599</v>
      </c>
      <c r="B614" s="121">
        <f t="shared" ca="1" si="27"/>
        <v>52.725235950661393</v>
      </c>
      <c r="C614" s="128">
        <f t="shared" ca="1" si="28"/>
        <v>1</v>
      </c>
    </row>
    <row r="615" spans="1:3" x14ac:dyDescent="0.25">
      <c r="A615" s="125">
        <f t="shared" si="29"/>
        <v>600</v>
      </c>
      <c r="B615" s="121">
        <f t="shared" ca="1" si="27"/>
        <v>49.394131787470243</v>
      </c>
      <c r="C615" s="128">
        <f t="shared" ca="1" si="28"/>
        <v>1</v>
      </c>
    </row>
    <row r="616" spans="1:3" x14ac:dyDescent="0.25">
      <c r="A616" s="125">
        <f t="shared" si="29"/>
        <v>601</v>
      </c>
      <c r="B616" s="121">
        <f t="shared" ca="1" si="27"/>
        <v>-78.70692047584356</v>
      </c>
      <c r="C616" s="128">
        <f t="shared" ca="1" si="28"/>
        <v>0</v>
      </c>
    </row>
    <row r="617" spans="1:3" x14ac:dyDescent="0.25">
      <c r="A617" s="125">
        <f t="shared" si="29"/>
        <v>602</v>
      </c>
      <c r="B617" s="121">
        <f t="shared" ca="1" si="27"/>
        <v>112.26221518583213</v>
      </c>
      <c r="C617" s="128">
        <f t="shared" ca="1" si="28"/>
        <v>1</v>
      </c>
    </row>
    <row r="618" spans="1:3" x14ac:dyDescent="0.25">
      <c r="A618" s="125">
        <f t="shared" si="29"/>
        <v>603</v>
      </c>
      <c r="B618" s="121">
        <f t="shared" ca="1" si="27"/>
        <v>-25.233634131350179</v>
      </c>
      <c r="C618" s="128">
        <f t="shared" ca="1" si="28"/>
        <v>0</v>
      </c>
    </row>
    <row r="619" spans="1:3" x14ac:dyDescent="0.25">
      <c r="A619" s="125">
        <f t="shared" si="29"/>
        <v>604</v>
      </c>
      <c r="B619" s="121">
        <f t="shared" ca="1" si="27"/>
        <v>19.148880598267198</v>
      </c>
      <c r="C619" s="128">
        <f t="shared" ca="1" si="28"/>
        <v>0</v>
      </c>
    </row>
    <row r="620" spans="1:3" x14ac:dyDescent="0.25">
      <c r="A620" s="125">
        <f t="shared" si="29"/>
        <v>605</v>
      </c>
      <c r="B620" s="121">
        <f t="shared" ca="1" si="27"/>
        <v>76.674352188834462</v>
      </c>
      <c r="C620" s="128">
        <f t="shared" ca="1" si="28"/>
        <v>1</v>
      </c>
    </row>
    <row r="621" spans="1:3" x14ac:dyDescent="0.25">
      <c r="A621" s="125">
        <f t="shared" si="29"/>
        <v>606</v>
      </c>
      <c r="B621" s="121">
        <f t="shared" ca="1" si="27"/>
        <v>15.54716383515192</v>
      </c>
      <c r="C621" s="128">
        <f t="shared" ca="1" si="28"/>
        <v>0</v>
      </c>
    </row>
    <row r="622" spans="1:3" x14ac:dyDescent="0.25">
      <c r="A622" s="125">
        <f t="shared" si="29"/>
        <v>607</v>
      </c>
      <c r="B622" s="121">
        <f t="shared" ca="1" si="27"/>
        <v>57.6595202291725</v>
      </c>
      <c r="C622" s="128">
        <f t="shared" ca="1" si="28"/>
        <v>1</v>
      </c>
    </row>
    <row r="623" spans="1:3" x14ac:dyDescent="0.25">
      <c r="A623" s="125">
        <f t="shared" si="29"/>
        <v>608</v>
      </c>
      <c r="B623" s="121">
        <f t="shared" ca="1" si="27"/>
        <v>14.716373188530394</v>
      </c>
      <c r="C623" s="128">
        <f t="shared" ca="1" si="28"/>
        <v>0</v>
      </c>
    </row>
    <row r="624" spans="1:3" x14ac:dyDescent="0.25">
      <c r="A624" s="125">
        <f t="shared" si="29"/>
        <v>609</v>
      </c>
      <c r="B624" s="121">
        <f t="shared" ca="1" si="27"/>
        <v>33.16300909752637</v>
      </c>
      <c r="C624" s="128">
        <f t="shared" ca="1" si="28"/>
        <v>1</v>
      </c>
    </row>
    <row r="625" spans="1:3" x14ac:dyDescent="0.25">
      <c r="A625" s="125">
        <f t="shared" si="29"/>
        <v>610</v>
      </c>
      <c r="B625" s="121">
        <f t="shared" ca="1" si="27"/>
        <v>58.835231563803333</v>
      </c>
      <c r="C625" s="128">
        <f t="shared" ca="1" si="28"/>
        <v>1</v>
      </c>
    </row>
    <row r="626" spans="1:3" x14ac:dyDescent="0.25">
      <c r="A626" s="125">
        <f t="shared" si="29"/>
        <v>611</v>
      </c>
      <c r="B626" s="121">
        <f t="shared" ca="1" si="27"/>
        <v>5.004558725539102</v>
      </c>
      <c r="C626" s="128">
        <f t="shared" ca="1" si="28"/>
        <v>0</v>
      </c>
    </row>
    <row r="627" spans="1:3" x14ac:dyDescent="0.25">
      <c r="A627" s="125">
        <f t="shared" si="29"/>
        <v>612</v>
      </c>
      <c r="B627" s="121">
        <f t="shared" ca="1" si="27"/>
        <v>121.60909965296139</v>
      </c>
      <c r="C627" s="128">
        <f t="shared" ca="1" si="28"/>
        <v>1</v>
      </c>
    </row>
    <row r="628" spans="1:3" x14ac:dyDescent="0.25">
      <c r="A628" s="125">
        <f t="shared" si="29"/>
        <v>613</v>
      </c>
      <c r="B628" s="121">
        <f t="shared" ca="1" si="27"/>
        <v>-37.263993620103932</v>
      </c>
      <c r="C628" s="128">
        <f t="shared" ca="1" si="28"/>
        <v>0</v>
      </c>
    </row>
    <row r="629" spans="1:3" x14ac:dyDescent="0.25">
      <c r="A629" s="125">
        <f t="shared" si="29"/>
        <v>614</v>
      </c>
      <c r="B629" s="121">
        <f t="shared" ca="1" si="27"/>
        <v>54.099444964172733</v>
      </c>
      <c r="C629" s="128">
        <f t="shared" ca="1" si="28"/>
        <v>1</v>
      </c>
    </row>
    <row r="630" spans="1:3" x14ac:dyDescent="0.25">
      <c r="A630" s="125">
        <f t="shared" si="29"/>
        <v>615</v>
      </c>
      <c r="B630" s="121">
        <f t="shared" ca="1" si="27"/>
        <v>109.87422035044307</v>
      </c>
      <c r="C630" s="128">
        <f t="shared" ca="1" si="28"/>
        <v>1</v>
      </c>
    </row>
    <row r="631" spans="1:3" x14ac:dyDescent="0.25">
      <c r="A631" s="125">
        <f t="shared" si="29"/>
        <v>616</v>
      </c>
      <c r="B631" s="121">
        <f t="shared" ca="1" si="27"/>
        <v>13.788903712817891</v>
      </c>
      <c r="C631" s="128">
        <f t="shared" ca="1" si="28"/>
        <v>0</v>
      </c>
    </row>
    <row r="632" spans="1:3" x14ac:dyDescent="0.25">
      <c r="A632" s="125">
        <f t="shared" si="29"/>
        <v>617</v>
      </c>
      <c r="B632" s="121">
        <f t="shared" ca="1" si="27"/>
        <v>26.68175297828833</v>
      </c>
      <c r="C632" s="128">
        <f t="shared" ca="1" si="28"/>
        <v>1</v>
      </c>
    </row>
    <row r="633" spans="1:3" x14ac:dyDescent="0.25">
      <c r="A633" s="125">
        <f t="shared" si="29"/>
        <v>618</v>
      </c>
      <c r="B633" s="121">
        <f t="shared" ca="1" si="27"/>
        <v>121.80786026662417</v>
      </c>
      <c r="C633" s="128">
        <f t="shared" ca="1" si="28"/>
        <v>1</v>
      </c>
    </row>
    <row r="634" spans="1:3" x14ac:dyDescent="0.25">
      <c r="A634" s="125">
        <f t="shared" si="29"/>
        <v>619</v>
      </c>
      <c r="B634" s="121">
        <f t="shared" ca="1" si="27"/>
        <v>12.591609324086068</v>
      </c>
      <c r="C634" s="128">
        <f t="shared" ca="1" si="28"/>
        <v>0</v>
      </c>
    </row>
    <row r="635" spans="1:3" x14ac:dyDescent="0.25">
      <c r="A635" s="125">
        <f t="shared" si="29"/>
        <v>620</v>
      </c>
      <c r="B635" s="121">
        <f t="shared" ca="1" si="27"/>
        <v>15.627807130837663</v>
      </c>
      <c r="C635" s="128">
        <f t="shared" ca="1" si="28"/>
        <v>0</v>
      </c>
    </row>
    <row r="636" spans="1:3" x14ac:dyDescent="0.25">
      <c r="A636" s="125">
        <f t="shared" si="29"/>
        <v>621</v>
      </c>
      <c r="B636" s="121">
        <f t="shared" ca="1" si="27"/>
        <v>28.626001545876097</v>
      </c>
      <c r="C636" s="128">
        <f t="shared" ca="1" si="28"/>
        <v>1</v>
      </c>
    </row>
    <row r="637" spans="1:3" x14ac:dyDescent="0.25">
      <c r="A637" s="125">
        <f t="shared" si="29"/>
        <v>622</v>
      </c>
      <c r="B637" s="121">
        <f t="shared" ca="1" si="27"/>
        <v>103.72228689742134</v>
      </c>
      <c r="C637" s="128">
        <f t="shared" ca="1" si="28"/>
        <v>1</v>
      </c>
    </row>
    <row r="638" spans="1:3" x14ac:dyDescent="0.25">
      <c r="A638" s="125">
        <f t="shared" si="29"/>
        <v>623</v>
      </c>
      <c r="B638" s="121">
        <f t="shared" ca="1" si="27"/>
        <v>26.637366434092698</v>
      </c>
      <c r="C638" s="128">
        <f t="shared" ca="1" si="28"/>
        <v>1</v>
      </c>
    </row>
    <row r="639" spans="1:3" x14ac:dyDescent="0.25">
      <c r="A639" s="125">
        <f t="shared" si="29"/>
        <v>624</v>
      </c>
      <c r="B639" s="121">
        <f t="shared" ca="1" si="27"/>
        <v>92.210799587254485</v>
      </c>
      <c r="C639" s="128">
        <f t="shared" ca="1" si="28"/>
        <v>1</v>
      </c>
    </row>
    <row r="640" spans="1:3" x14ac:dyDescent="0.25">
      <c r="A640" s="125">
        <f t="shared" si="29"/>
        <v>625</v>
      </c>
      <c r="B640" s="121">
        <f t="shared" ca="1" si="27"/>
        <v>35.645682813216901</v>
      </c>
      <c r="C640" s="128">
        <f t="shared" ca="1" si="28"/>
        <v>1</v>
      </c>
    </row>
    <row r="641" spans="1:3" x14ac:dyDescent="0.25">
      <c r="A641" s="125">
        <f t="shared" si="29"/>
        <v>626</v>
      </c>
      <c r="B641" s="121">
        <f t="shared" ca="1" si="27"/>
        <v>27.190102113571662</v>
      </c>
      <c r="C641" s="128">
        <f t="shared" ca="1" si="28"/>
        <v>1</v>
      </c>
    </row>
    <row r="642" spans="1:3" x14ac:dyDescent="0.25">
      <c r="A642" s="125">
        <f t="shared" si="29"/>
        <v>627</v>
      </c>
      <c r="B642" s="121">
        <f t="shared" ca="1" si="27"/>
        <v>-18.674748824868459</v>
      </c>
      <c r="C642" s="128">
        <f t="shared" ca="1" si="28"/>
        <v>0</v>
      </c>
    </row>
    <row r="643" spans="1:3" x14ac:dyDescent="0.25">
      <c r="A643" s="125">
        <f t="shared" si="29"/>
        <v>628</v>
      </c>
      <c r="B643" s="121">
        <f t="shared" ca="1" si="27"/>
        <v>41.24201622029419</v>
      </c>
      <c r="C643" s="128">
        <f t="shared" ca="1" si="28"/>
        <v>1</v>
      </c>
    </row>
    <row r="644" spans="1:3" x14ac:dyDescent="0.25">
      <c r="A644" s="125">
        <f t="shared" si="29"/>
        <v>629</v>
      </c>
      <c r="B644" s="121">
        <f t="shared" ca="1" si="27"/>
        <v>62.553980014902656</v>
      </c>
      <c r="C644" s="128">
        <f t="shared" ca="1" si="28"/>
        <v>1</v>
      </c>
    </row>
    <row r="645" spans="1:3" x14ac:dyDescent="0.25">
      <c r="A645" s="125">
        <f t="shared" si="29"/>
        <v>630</v>
      </c>
      <c r="B645" s="121">
        <f t="shared" ca="1" si="27"/>
        <v>-6.4798395127507789</v>
      </c>
      <c r="C645" s="128">
        <f t="shared" ca="1" si="28"/>
        <v>0</v>
      </c>
    </row>
    <row r="646" spans="1:3" x14ac:dyDescent="0.25">
      <c r="A646" s="125">
        <f t="shared" si="29"/>
        <v>631</v>
      </c>
      <c r="B646" s="121">
        <f t="shared" ca="1" si="27"/>
        <v>43.083723492706326</v>
      </c>
      <c r="C646" s="128">
        <f t="shared" ca="1" si="28"/>
        <v>1</v>
      </c>
    </row>
    <row r="647" spans="1:3" x14ac:dyDescent="0.25">
      <c r="A647" s="125">
        <f t="shared" si="29"/>
        <v>632</v>
      </c>
      <c r="B647" s="121">
        <f t="shared" ca="1" si="27"/>
        <v>29.876053609146854</v>
      </c>
      <c r="C647" s="128">
        <f t="shared" ca="1" si="28"/>
        <v>1</v>
      </c>
    </row>
    <row r="648" spans="1:3" x14ac:dyDescent="0.25">
      <c r="A648" s="125">
        <f t="shared" si="29"/>
        <v>633</v>
      </c>
      <c r="B648" s="121">
        <f t="shared" ca="1" si="27"/>
        <v>14.974659973912061</v>
      </c>
      <c r="C648" s="128">
        <f t="shared" ca="1" si="28"/>
        <v>0</v>
      </c>
    </row>
    <row r="649" spans="1:3" x14ac:dyDescent="0.25">
      <c r="A649" s="125">
        <f t="shared" si="29"/>
        <v>634</v>
      </c>
      <c r="B649" s="121">
        <f t="shared" ca="1" si="27"/>
        <v>-77.514293366721873</v>
      </c>
      <c r="C649" s="128">
        <f t="shared" ca="1" si="28"/>
        <v>0</v>
      </c>
    </row>
    <row r="650" spans="1:3" x14ac:dyDescent="0.25">
      <c r="A650" s="125">
        <f t="shared" si="29"/>
        <v>635</v>
      </c>
      <c r="B650" s="121">
        <f t="shared" ca="1" si="27"/>
        <v>110.74736545481952</v>
      </c>
      <c r="C650" s="128">
        <f t="shared" ca="1" si="28"/>
        <v>1</v>
      </c>
    </row>
    <row r="651" spans="1:3" x14ac:dyDescent="0.25">
      <c r="A651" s="125">
        <f t="shared" si="29"/>
        <v>636</v>
      </c>
      <c r="B651" s="121">
        <f t="shared" ca="1" si="27"/>
        <v>59.383164810683148</v>
      </c>
      <c r="C651" s="128">
        <f t="shared" ca="1" si="28"/>
        <v>1</v>
      </c>
    </row>
    <row r="652" spans="1:3" x14ac:dyDescent="0.25">
      <c r="A652" s="125">
        <f t="shared" si="29"/>
        <v>637</v>
      </c>
      <c r="B652" s="121">
        <f t="shared" ca="1" si="27"/>
        <v>-9.1049595056752111</v>
      </c>
      <c r="C652" s="128">
        <f t="shared" ca="1" si="28"/>
        <v>0</v>
      </c>
    </row>
    <row r="653" spans="1:3" x14ac:dyDescent="0.25">
      <c r="A653" s="125">
        <f t="shared" si="29"/>
        <v>638</v>
      </c>
      <c r="B653" s="121">
        <f t="shared" ca="1" si="27"/>
        <v>115.37625952947063</v>
      </c>
      <c r="C653" s="128">
        <f t="shared" ca="1" si="28"/>
        <v>1</v>
      </c>
    </row>
    <row r="654" spans="1:3" x14ac:dyDescent="0.25">
      <c r="A654" s="125">
        <f t="shared" si="29"/>
        <v>639</v>
      </c>
      <c r="B654" s="121">
        <f t="shared" ca="1" si="27"/>
        <v>-31.596361574524821</v>
      </c>
      <c r="C654" s="128">
        <f t="shared" ca="1" si="28"/>
        <v>0</v>
      </c>
    </row>
    <row r="655" spans="1:3" x14ac:dyDescent="0.25">
      <c r="A655" s="125">
        <f t="shared" si="29"/>
        <v>640</v>
      </c>
      <c r="B655" s="121">
        <f t="shared" ca="1" si="27"/>
        <v>25.739407161678521</v>
      </c>
      <c r="C655" s="128">
        <f t="shared" ca="1" si="28"/>
        <v>1</v>
      </c>
    </row>
    <row r="656" spans="1:3" x14ac:dyDescent="0.25">
      <c r="A656" s="125">
        <f t="shared" si="29"/>
        <v>641</v>
      </c>
      <c r="B656" s="121">
        <f t="shared" ca="1" si="27"/>
        <v>-52.663310858956393</v>
      </c>
      <c r="C656" s="128">
        <f t="shared" ca="1" si="28"/>
        <v>0</v>
      </c>
    </row>
    <row r="657" spans="1:3" x14ac:dyDescent="0.25">
      <c r="A657" s="125">
        <f t="shared" si="29"/>
        <v>642</v>
      </c>
      <c r="B657" s="121">
        <f t="shared" ref="B657:B720" ca="1" si="30">_xlfn.NORM.INV(RAND(), $B$9, $B$10)</f>
        <v>66.193249411719549</v>
      </c>
      <c r="C657" s="128">
        <f t="shared" ref="C657:C720" ca="1" si="31">IF(B657 &gt;= $B$11, 1, 0)</f>
        <v>1</v>
      </c>
    </row>
    <row r="658" spans="1:3" x14ac:dyDescent="0.25">
      <c r="A658" s="125">
        <f t="shared" ref="A658:A721" si="32">+A657+1</f>
        <v>643</v>
      </c>
      <c r="B658" s="121">
        <f t="shared" ca="1" si="30"/>
        <v>34.846227429772881</v>
      </c>
      <c r="C658" s="128">
        <f t="shared" ca="1" si="31"/>
        <v>1</v>
      </c>
    </row>
    <row r="659" spans="1:3" x14ac:dyDescent="0.25">
      <c r="A659" s="125">
        <f t="shared" si="32"/>
        <v>644</v>
      </c>
      <c r="B659" s="121">
        <f t="shared" ca="1" si="30"/>
        <v>16.912026520545663</v>
      </c>
      <c r="C659" s="128">
        <f t="shared" ca="1" si="31"/>
        <v>0</v>
      </c>
    </row>
    <row r="660" spans="1:3" x14ac:dyDescent="0.25">
      <c r="A660" s="125">
        <f t="shared" si="32"/>
        <v>645</v>
      </c>
      <c r="B660" s="121">
        <f t="shared" ca="1" si="30"/>
        <v>31.901503394348538</v>
      </c>
      <c r="C660" s="128">
        <f t="shared" ca="1" si="31"/>
        <v>1</v>
      </c>
    </row>
    <row r="661" spans="1:3" x14ac:dyDescent="0.25">
      <c r="A661" s="125">
        <f t="shared" si="32"/>
        <v>646</v>
      </c>
      <c r="B661" s="121">
        <f t="shared" ca="1" si="30"/>
        <v>44.35620475197036</v>
      </c>
      <c r="C661" s="128">
        <f t="shared" ca="1" si="31"/>
        <v>1</v>
      </c>
    </row>
    <row r="662" spans="1:3" x14ac:dyDescent="0.25">
      <c r="A662" s="125">
        <f t="shared" si="32"/>
        <v>647</v>
      </c>
      <c r="B662" s="121">
        <f t="shared" ca="1" si="30"/>
        <v>156.42498123583189</v>
      </c>
      <c r="C662" s="128">
        <f t="shared" ca="1" si="31"/>
        <v>1</v>
      </c>
    </row>
    <row r="663" spans="1:3" x14ac:dyDescent="0.25">
      <c r="A663" s="125">
        <f t="shared" si="32"/>
        <v>648</v>
      </c>
      <c r="B663" s="121">
        <f t="shared" ca="1" si="30"/>
        <v>80.338880849557796</v>
      </c>
      <c r="C663" s="128">
        <f t="shared" ca="1" si="31"/>
        <v>1</v>
      </c>
    </row>
    <row r="664" spans="1:3" x14ac:dyDescent="0.25">
      <c r="A664" s="125">
        <f t="shared" si="32"/>
        <v>649</v>
      </c>
      <c r="B664" s="121">
        <f t="shared" ca="1" si="30"/>
        <v>126.53214039347884</v>
      </c>
      <c r="C664" s="128">
        <f t="shared" ca="1" si="31"/>
        <v>1</v>
      </c>
    </row>
    <row r="665" spans="1:3" x14ac:dyDescent="0.25">
      <c r="A665" s="125">
        <f t="shared" si="32"/>
        <v>650</v>
      </c>
      <c r="B665" s="121">
        <f t="shared" ca="1" si="30"/>
        <v>30.153179279087983</v>
      </c>
      <c r="C665" s="128">
        <f t="shared" ca="1" si="31"/>
        <v>1</v>
      </c>
    </row>
    <row r="666" spans="1:3" x14ac:dyDescent="0.25">
      <c r="A666" s="125">
        <f t="shared" si="32"/>
        <v>651</v>
      </c>
      <c r="B666" s="121">
        <f t="shared" ca="1" si="30"/>
        <v>-37.116705852353661</v>
      </c>
      <c r="C666" s="128">
        <f t="shared" ca="1" si="31"/>
        <v>0</v>
      </c>
    </row>
    <row r="667" spans="1:3" x14ac:dyDescent="0.25">
      <c r="A667" s="125">
        <f t="shared" si="32"/>
        <v>652</v>
      </c>
      <c r="B667" s="121">
        <f t="shared" ca="1" si="30"/>
        <v>159.60818085966159</v>
      </c>
      <c r="C667" s="128">
        <f t="shared" ca="1" si="31"/>
        <v>1</v>
      </c>
    </row>
    <row r="668" spans="1:3" x14ac:dyDescent="0.25">
      <c r="A668" s="125">
        <f t="shared" si="32"/>
        <v>653</v>
      </c>
      <c r="B668" s="121">
        <f t="shared" ca="1" si="30"/>
        <v>106.06205423097921</v>
      </c>
      <c r="C668" s="128">
        <f t="shared" ca="1" si="31"/>
        <v>1</v>
      </c>
    </row>
    <row r="669" spans="1:3" x14ac:dyDescent="0.25">
      <c r="A669" s="125">
        <f t="shared" si="32"/>
        <v>654</v>
      </c>
      <c r="B669" s="121">
        <f t="shared" ca="1" si="30"/>
        <v>41.052354367521062</v>
      </c>
      <c r="C669" s="128">
        <f t="shared" ca="1" si="31"/>
        <v>1</v>
      </c>
    </row>
    <row r="670" spans="1:3" x14ac:dyDescent="0.25">
      <c r="A670" s="125">
        <f t="shared" si="32"/>
        <v>655</v>
      </c>
      <c r="B670" s="121">
        <f t="shared" ca="1" si="30"/>
        <v>75.793892506066229</v>
      </c>
      <c r="C670" s="128">
        <f t="shared" ca="1" si="31"/>
        <v>1</v>
      </c>
    </row>
    <row r="671" spans="1:3" x14ac:dyDescent="0.25">
      <c r="A671" s="125">
        <f t="shared" si="32"/>
        <v>656</v>
      </c>
      <c r="B671" s="121">
        <f t="shared" ca="1" si="30"/>
        <v>-12.498718512239556</v>
      </c>
      <c r="C671" s="128">
        <f t="shared" ca="1" si="31"/>
        <v>0</v>
      </c>
    </row>
    <row r="672" spans="1:3" x14ac:dyDescent="0.25">
      <c r="A672" s="125">
        <f t="shared" si="32"/>
        <v>657</v>
      </c>
      <c r="B672" s="121">
        <f t="shared" ca="1" si="30"/>
        <v>81.92433684352396</v>
      </c>
      <c r="C672" s="128">
        <f t="shared" ca="1" si="31"/>
        <v>1</v>
      </c>
    </row>
    <row r="673" spans="1:3" x14ac:dyDescent="0.25">
      <c r="A673" s="125">
        <f t="shared" si="32"/>
        <v>658</v>
      </c>
      <c r="B673" s="121">
        <f t="shared" ca="1" si="30"/>
        <v>109.60359386792415</v>
      </c>
      <c r="C673" s="128">
        <f t="shared" ca="1" si="31"/>
        <v>1</v>
      </c>
    </row>
    <row r="674" spans="1:3" x14ac:dyDescent="0.25">
      <c r="A674" s="125">
        <f t="shared" si="32"/>
        <v>659</v>
      </c>
      <c r="B674" s="121">
        <f t="shared" ca="1" si="30"/>
        <v>115.33045419787886</v>
      </c>
      <c r="C674" s="128">
        <f t="shared" ca="1" si="31"/>
        <v>1</v>
      </c>
    </row>
    <row r="675" spans="1:3" x14ac:dyDescent="0.25">
      <c r="A675" s="125">
        <f t="shared" si="32"/>
        <v>660</v>
      </c>
      <c r="B675" s="121">
        <f t="shared" ca="1" si="30"/>
        <v>-44.837739999940922</v>
      </c>
      <c r="C675" s="128">
        <f t="shared" ca="1" si="31"/>
        <v>0</v>
      </c>
    </row>
    <row r="676" spans="1:3" x14ac:dyDescent="0.25">
      <c r="A676" s="125">
        <f t="shared" si="32"/>
        <v>661</v>
      </c>
      <c r="B676" s="121">
        <f t="shared" ca="1" si="30"/>
        <v>14.988556243588267</v>
      </c>
      <c r="C676" s="128">
        <f t="shared" ca="1" si="31"/>
        <v>0</v>
      </c>
    </row>
    <row r="677" spans="1:3" x14ac:dyDescent="0.25">
      <c r="A677" s="125">
        <f t="shared" si="32"/>
        <v>662</v>
      </c>
      <c r="B677" s="121">
        <f t="shared" ca="1" si="30"/>
        <v>68.53401091147731</v>
      </c>
      <c r="C677" s="128">
        <f t="shared" ca="1" si="31"/>
        <v>1</v>
      </c>
    </row>
    <row r="678" spans="1:3" x14ac:dyDescent="0.25">
      <c r="A678" s="125">
        <f t="shared" si="32"/>
        <v>663</v>
      </c>
      <c r="B678" s="121">
        <f t="shared" ca="1" si="30"/>
        <v>100.04439547205344</v>
      </c>
      <c r="C678" s="128">
        <f t="shared" ca="1" si="31"/>
        <v>1</v>
      </c>
    </row>
    <row r="679" spans="1:3" x14ac:dyDescent="0.25">
      <c r="A679" s="125">
        <f t="shared" si="32"/>
        <v>664</v>
      </c>
      <c r="B679" s="121">
        <f t="shared" ca="1" si="30"/>
        <v>117.25025144167535</v>
      </c>
      <c r="C679" s="128">
        <f t="shared" ca="1" si="31"/>
        <v>1</v>
      </c>
    </row>
    <row r="680" spans="1:3" x14ac:dyDescent="0.25">
      <c r="A680" s="125">
        <f t="shared" si="32"/>
        <v>665</v>
      </c>
      <c r="B680" s="121">
        <f t="shared" ca="1" si="30"/>
        <v>97.081729177211685</v>
      </c>
      <c r="C680" s="128">
        <f t="shared" ca="1" si="31"/>
        <v>1</v>
      </c>
    </row>
    <row r="681" spans="1:3" x14ac:dyDescent="0.25">
      <c r="A681" s="125">
        <f t="shared" si="32"/>
        <v>666</v>
      </c>
      <c r="B681" s="121">
        <f t="shared" ca="1" si="30"/>
        <v>21.342619567600249</v>
      </c>
      <c r="C681" s="128">
        <f t="shared" ca="1" si="31"/>
        <v>0</v>
      </c>
    </row>
    <row r="682" spans="1:3" x14ac:dyDescent="0.25">
      <c r="A682" s="125">
        <f t="shared" si="32"/>
        <v>667</v>
      </c>
      <c r="B682" s="121">
        <f t="shared" ca="1" si="30"/>
        <v>35.393416566036954</v>
      </c>
      <c r="C682" s="128">
        <f t="shared" ca="1" si="31"/>
        <v>1</v>
      </c>
    </row>
    <row r="683" spans="1:3" x14ac:dyDescent="0.25">
      <c r="A683" s="125">
        <f t="shared" si="32"/>
        <v>668</v>
      </c>
      <c r="B683" s="121">
        <f t="shared" ca="1" si="30"/>
        <v>34.72103917717353</v>
      </c>
      <c r="C683" s="128">
        <f t="shared" ca="1" si="31"/>
        <v>1</v>
      </c>
    </row>
    <row r="684" spans="1:3" x14ac:dyDescent="0.25">
      <c r="A684" s="125">
        <f t="shared" si="32"/>
        <v>669</v>
      </c>
      <c r="B684" s="121">
        <f t="shared" ca="1" si="30"/>
        <v>35.365184013368442</v>
      </c>
      <c r="C684" s="128">
        <f t="shared" ca="1" si="31"/>
        <v>1</v>
      </c>
    </row>
    <row r="685" spans="1:3" x14ac:dyDescent="0.25">
      <c r="A685" s="125">
        <f t="shared" si="32"/>
        <v>670</v>
      </c>
      <c r="B685" s="121">
        <f t="shared" ca="1" si="30"/>
        <v>132.00702349973983</v>
      </c>
      <c r="C685" s="128">
        <f t="shared" ca="1" si="31"/>
        <v>1</v>
      </c>
    </row>
    <row r="686" spans="1:3" x14ac:dyDescent="0.25">
      <c r="A686" s="125">
        <f t="shared" si="32"/>
        <v>671</v>
      </c>
      <c r="B686" s="121">
        <f t="shared" ca="1" si="30"/>
        <v>105.00067608184912</v>
      </c>
      <c r="C686" s="128">
        <f t="shared" ca="1" si="31"/>
        <v>1</v>
      </c>
    </row>
    <row r="687" spans="1:3" x14ac:dyDescent="0.25">
      <c r="A687" s="125">
        <f t="shared" si="32"/>
        <v>672</v>
      </c>
      <c r="B687" s="121">
        <f t="shared" ca="1" si="30"/>
        <v>96.122033845609479</v>
      </c>
      <c r="C687" s="128">
        <f t="shared" ca="1" si="31"/>
        <v>1</v>
      </c>
    </row>
    <row r="688" spans="1:3" x14ac:dyDescent="0.25">
      <c r="A688" s="125">
        <f t="shared" si="32"/>
        <v>673</v>
      </c>
      <c r="B688" s="121">
        <f t="shared" ca="1" si="30"/>
        <v>130.58108369977563</v>
      </c>
      <c r="C688" s="128">
        <f t="shared" ca="1" si="31"/>
        <v>1</v>
      </c>
    </row>
    <row r="689" spans="1:3" x14ac:dyDescent="0.25">
      <c r="A689" s="125">
        <f t="shared" si="32"/>
        <v>674</v>
      </c>
      <c r="B689" s="121">
        <f t="shared" ca="1" si="30"/>
        <v>138.32972189181075</v>
      </c>
      <c r="C689" s="128">
        <f t="shared" ca="1" si="31"/>
        <v>1</v>
      </c>
    </row>
    <row r="690" spans="1:3" x14ac:dyDescent="0.25">
      <c r="A690" s="125">
        <f t="shared" si="32"/>
        <v>675</v>
      </c>
      <c r="B690" s="121">
        <f t="shared" ca="1" si="30"/>
        <v>60.489819220138116</v>
      </c>
      <c r="C690" s="128">
        <f t="shared" ca="1" si="31"/>
        <v>1</v>
      </c>
    </row>
    <row r="691" spans="1:3" x14ac:dyDescent="0.25">
      <c r="A691" s="125">
        <f t="shared" si="32"/>
        <v>676</v>
      </c>
      <c r="B691" s="121">
        <f t="shared" ca="1" si="30"/>
        <v>55.028575476380077</v>
      </c>
      <c r="C691" s="128">
        <f t="shared" ca="1" si="31"/>
        <v>1</v>
      </c>
    </row>
    <row r="692" spans="1:3" x14ac:dyDescent="0.25">
      <c r="A692" s="125">
        <f t="shared" si="32"/>
        <v>677</v>
      </c>
      <c r="B692" s="121">
        <f t="shared" ca="1" si="30"/>
        <v>133.70778221763487</v>
      </c>
      <c r="C692" s="128">
        <f t="shared" ca="1" si="31"/>
        <v>1</v>
      </c>
    </row>
    <row r="693" spans="1:3" x14ac:dyDescent="0.25">
      <c r="A693" s="125">
        <f t="shared" si="32"/>
        <v>678</v>
      </c>
      <c r="B693" s="121">
        <f t="shared" ca="1" si="30"/>
        <v>108.85080801079356</v>
      </c>
      <c r="C693" s="128">
        <f t="shared" ca="1" si="31"/>
        <v>1</v>
      </c>
    </row>
    <row r="694" spans="1:3" x14ac:dyDescent="0.25">
      <c r="A694" s="125">
        <f t="shared" si="32"/>
        <v>679</v>
      </c>
      <c r="B694" s="121">
        <f t="shared" ca="1" si="30"/>
        <v>63.152475571138623</v>
      </c>
      <c r="C694" s="128">
        <f t="shared" ca="1" si="31"/>
        <v>1</v>
      </c>
    </row>
    <row r="695" spans="1:3" x14ac:dyDescent="0.25">
      <c r="A695" s="125">
        <f t="shared" si="32"/>
        <v>680</v>
      </c>
      <c r="B695" s="121">
        <f t="shared" ca="1" si="30"/>
        <v>85.892125852903561</v>
      </c>
      <c r="C695" s="128">
        <f t="shared" ca="1" si="31"/>
        <v>1</v>
      </c>
    </row>
    <row r="696" spans="1:3" x14ac:dyDescent="0.25">
      <c r="A696" s="125">
        <f t="shared" si="32"/>
        <v>681</v>
      </c>
      <c r="B696" s="121">
        <f t="shared" ca="1" si="30"/>
        <v>108.62751427745924</v>
      </c>
      <c r="C696" s="128">
        <f t="shared" ca="1" si="31"/>
        <v>1</v>
      </c>
    </row>
    <row r="697" spans="1:3" x14ac:dyDescent="0.25">
      <c r="A697" s="125">
        <f t="shared" si="32"/>
        <v>682</v>
      </c>
      <c r="B697" s="121">
        <f t="shared" ca="1" si="30"/>
        <v>73.897719148291131</v>
      </c>
      <c r="C697" s="128">
        <f t="shared" ca="1" si="31"/>
        <v>1</v>
      </c>
    </row>
    <row r="698" spans="1:3" x14ac:dyDescent="0.25">
      <c r="A698" s="125">
        <f t="shared" si="32"/>
        <v>683</v>
      </c>
      <c r="B698" s="121">
        <f t="shared" ca="1" si="30"/>
        <v>65.04284792924733</v>
      </c>
      <c r="C698" s="128">
        <f t="shared" ca="1" si="31"/>
        <v>1</v>
      </c>
    </row>
    <row r="699" spans="1:3" x14ac:dyDescent="0.25">
      <c r="A699" s="125">
        <f t="shared" si="32"/>
        <v>684</v>
      </c>
      <c r="B699" s="121">
        <f t="shared" ca="1" si="30"/>
        <v>77.081708618169785</v>
      </c>
      <c r="C699" s="128">
        <f t="shared" ca="1" si="31"/>
        <v>1</v>
      </c>
    </row>
    <row r="700" spans="1:3" x14ac:dyDescent="0.25">
      <c r="A700" s="125">
        <f t="shared" si="32"/>
        <v>685</v>
      </c>
      <c r="B700" s="121">
        <f t="shared" ca="1" si="30"/>
        <v>124.12275034796654</v>
      </c>
      <c r="C700" s="128">
        <f t="shared" ca="1" si="31"/>
        <v>1</v>
      </c>
    </row>
    <row r="701" spans="1:3" x14ac:dyDescent="0.25">
      <c r="A701" s="125">
        <f t="shared" si="32"/>
        <v>686</v>
      </c>
      <c r="B701" s="121">
        <f t="shared" ca="1" si="30"/>
        <v>10.328718322652101</v>
      </c>
      <c r="C701" s="128">
        <f t="shared" ca="1" si="31"/>
        <v>0</v>
      </c>
    </row>
    <row r="702" spans="1:3" x14ac:dyDescent="0.25">
      <c r="A702" s="125">
        <f t="shared" si="32"/>
        <v>687</v>
      </c>
      <c r="B702" s="121">
        <f t="shared" ca="1" si="30"/>
        <v>19.694991319822488</v>
      </c>
      <c r="C702" s="128">
        <f t="shared" ca="1" si="31"/>
        <v>0</v>
      </c>
    </row>
    <row r="703" spans="1:3" x14ac:dyDescent="0.25">
      <c r="A703" s="125">
        <f t="shared" si="32"/>
        <v>688</v>
      </c>
      <c r="B703" s="121">
        <f t="shared" ca="1" si="30"/>
        <v>53.441415987682383</v>
      </c>
      <c r="C703" s="128">
        <f t="shared" ca="1" si="31"/>
        <v>1</v>
      </c>
    </row>
    <row r="704" spans="1:3" x14ac:dyDescent="0.25">
      <c r="A704" s="125">
        <f t="shared" si="32"/>
        <v>689</v>
      </c>
      <c r="B704" s="121">
        <f t="shared" ca="1" si="30"/>
        <v>137.40119496277282</v>
      </c>
      <c r="C704" s="128">
        <f t="shared" ca="1" si="31"/>
        <v>1</v>
      </c>
    </row>
    <row r="705" spans="1:3" x14ac:dyDescent="0.25">
      <c r="A705" s="125">
        <f t="shared" si="32"/>
        <v>690</v>
      </c>
      <c r="B705" s="121">
        <f t="shared" ca="1" si="30"/>
        <v>-37.670245793392112</v>
      </c>
      <c r="C705" s="128">
        <f t="shared" ca="1" si="31"/>
        <v>0</v>
      </c>
    </row>
    <row r="706" spans="1:3" x14ac:dyDescent="0.25">
      <c r="A706" s="125">
        <f t="shared" si="32"/>
        <v>691</v>
      </c>
      <c r="B706" s="121">
        <f t="shared" ca="1" si="30"/>
        <v>13.505823854091091</v>
      </c>
      <c r="C706" s="128">
        <f t="shared" ca="1" si="31"/>
        <v>0</v>
      </c>
    </row>
    <row r="707" spans="1:3" x14ac:dyDescent="0.25">
      <c r="A707" s="125">
        <f t="shared" si="32"/>
        <v>692</v>
      </c>
      <c r="B707" s="121">
        <f t="shared" ca="1" si="30"/>
        <v>27.962538274152635</v>
      </c>
      <c r="C707" s="128">
        <f t="shared" ca="1" si="31"/>
        <v>1</v>
      </c>
    </row>
    <row r="708" spans="1:3" x14ac:dyDescent="0.25">
      <c r="A708" s="125">
        <f t="shared" si="32"/>
        <v>693</v>
      </c>
      <c r="B708" s="121">
        <f t="shared" ca="1" si="30"/>
        <v>-6.2960669957103192</v>
      </c>
      <c r="C708" s="128">
        <f t="shared" ca="1" si="31"/>
        <v>0</v>
      </c>
    </row>
    <row r="709" spans="1:3" x14ac:dyDescent="0.25">
      <c r="A709" s="125">
        <f t="shared" si="32"/>
        <v>694</v>
      </c>
      <c r="B709" s="121">
        <f t="shared" ca="1" si="30"/>
        <v>2.2088683100028916</v>
      </c>
      <c r="C709" s="128">
        <f t="shared" ca="1" si="31"/>
        <v>0</v>
      </c>
    </row>
    <row r="710" spans="1:3" x14ac:dyDescent="0.25">
      <c r="A710" s="125">
        <f t="shared" si="32"/>
        <v>695</v>
      </c>
      <c r="B710" s="121">
        <f t="shared" ca="1" si="30"/>
        <v>135.21462806695263</v>
      </c>
      <c r="C710" s="128">
        <f t="shared" ca="1" si="31"/>
        <v>1</v>
      </c>
    </row>
    <row r="711" spans="1:3" x14ac:dyDescent="0.25">
      <c r="A711" s="125">
        <f t="shared" si="32"/>
        <v>696</v>
      </c>
      <c r="B711" s="121">
        <f t="shared" ca="1" si="30"/>
        <v>15.48535574763708</v>
      </c>
      <c r="C711" s="128">
        <f t="shared" ca="1" si="31"/>
        <v>0</v>
      </c>
    </row>
    <row r="712" spans="1:3" x14ac:dyDescent="0.25">
      <c r="A712" s="125">
        <f t="shared" si="32"/>
        <v>697</v>
      </c>
      <c r="B712" s="121">
        <f t="shared" ca="1" si="30"/>
        <v>86.640543417692527</v>
      </c>
      <c r="C712" s="128">
        <f t="shared" ca="1" si="31"/>
        <v>1</v>
      </c>
    </row>
    <row r="713" spans="1:3" x14ac:dyDescent="0.25">
      <c r="A713" s="125">
        <f t="shared" si="32"/>
        <v>698</v>
      </c>
      <c r="B713" s="121">
        <f t="shared" ca="1" si="30"/>
        <v>-20.516361471790944</v>
      </c>
      <c r="C713" s="128">
        <f t="shared" ca="1" si="31"/>
        <v>0</v>
      </c>
    </row>
    <row r="714" spans="1:3" x14ac:dyDescent="0.25">
      <c r="A714" s="125">
        <f t="shared" si="32"/>
        <v>699</v>
      </c>
      <c r="B714" s="121">
        <f t="shared" ca="1" si="30"/>
        <v>24.49441108607736</v>
      </c>
      <c r="C714" s="128">
        <f t="shared" ca="1" si="31"/>
        <v>0</v>
      </c>
    </row>
    <row r="715" spans="1:3" x14ac:dyDescent="0.25">
      <c r="A715" s="125">
        <f t="shared" si="32"/>
        <v>700</v>
      </c>
      <c r="B715" s="121">
        <f t="shared" ca="1" si="30"/>
        <v>95.431298038992495</v>
      </c>
      <c r="C715" s="128">
        <f t="shared" ca="1" si="31"/>
        <v>1</v>
      </c>
    </row>
    <row r="716" spans="1:3" x14ac:dyDescent="0.25">
      <c r="A716" s="125">
        <f t="shared" si="32"/>
        <v>701</v>
      </c>
      <c r="B716" s="121">
        <f t="shared" ca="1" si="30"/>
        <v>50.923816146795275</v>
      </c>
      <c r="C716" s="128">
        <f t="shared" ca="1" si="31"/>
        <v>1</v>
      </c>
    </row>
    <row r="717" spans="1:3" x14ac:dyDescent="0.25">
      <c r="A717" s="125">
        <f t="shared" si="32"/>
        <v>702</v>
      </c>
      <c r="B717" s="121">
        <f t="shared" ca="1" si="30"/>
        <v>-12.909700146374384</v>
      </c>
      <c r="C717" s="128">
        <f t="shared" ca="1" si="31"/>
        <v>0</v>
      </c>
    </row>
    <row r="718" spans="1:3" x14ac:dyDescent="0.25">
      <c r="A718" s="125">
        <f t="shared" si="32"/>
        <v>703</v>
      </c>
      <c r="B718" s="121">
        <f t="shared" ca="1" si="30"/>
        <v>103.70922505950028</v>
      </c>
      <c r="C718" s="128">
        <f t="shared" ca="1" si="31"/>
        <v>1</v>
      </c>
    </row>
    <row r="719" spans="1:3" x14ac:dyDescent="0.25">
      <c r="A719" s="125">
        <f t="shared" si="32"/>
        <v>704</v>
      </c>
      <c r="B719" s="121">
        <f t="shared" ca="1" si="30"/>
        <v>-30.753417167637494</v>
      </c>
      <c r="C719" s="128">
        <f t="shared" ca="1" si="31"/>
        <v>0</v>
      </c>
    </row>
    <row r="720" spans="1:3" x14ac:dyDescent="0.25">
      <c r="A720" s="125">
        <f t="shared" si="32"/>
        <v>705</v>
      </c>
      <c r="B720" s="121">
        <f t="shared" ca="1" si="30"/>
        <v>89.643460186091843</v>
      </c>
      <c r="C720" s="128">
        <f t="shared" ca="1" si="31"/>
        <v>1</v>
      </c>
    </row>
    <row r="721" spans="1:3" x14ac:dyDescent="0.25">
      <c r="A721" s="125">
        <f t="shared" si="32"/>
        <v>706</v>
      </c>
      <c r="B721" s="121">
        <f t="shared" ref="B721:B784" ca="1" si="33">_xlfn.NORM.INV(RAND(), $B$9, $B$10)</f>
        <v>81.461724712223315</v>
      </c>
      <c r="C721" s="128">
        <f t="shared" ref="C721:C784" ca="1" si="34">IF(B721 &gt;= $B$11, 1, 0)</f>
        <v>1</v>
      </c>
    </row>
    <row r="722" spans="1:3" x14ac:dyDescent="0.25">
      <c r="A722" s="125">
        <f t="shared" ref="A722:A785" si="35">+A721+1</f>
        <v>707</v>
      </c>
      <c r="B722" s="121">
        <f t="shared" ca="1" si="33"/>
        <v>-79.485954629774156</v>
      </c>
      <c r="C722" s="128">
        <f t="shared" ca="1" si="34"/>
        <v>0</v>
      </c>
    </row>
    <row r="723" spans="1:3" x14ac:dyDescent="0.25">
      <c r="A723" s="125">
        <f t="shared" si="35"/>
        <v>708</v>
      </c>
      <c r="B723" s="121">
        <f t="shared" ca="1" si="33"/>
        <v>92.213561056107565</v>
      </c>
      <c r="C723" s="128">
        <f t="shared" ca="1" si="34"/>
        <v>1</v>
      </c>
    </row>
    <row r="724" spans="1:3" x14ac:dyDescent="0.25">
      <c r="A724" s="125">
        <f t="shared" si="35"/>
        <v>709</v>
      </c>
      <c r="B724" s="121">
        <f t="shared" ca="1" si="33"/>
        <v>-45.573086316444446</v>
      </c>
      <c r="C724" s="128">
        <f t="shared" ca="1" si="34"/>
        <v>0</v>
      </c>
    </row>
    <row r="725" spans="1:3" x14ac:dyDescent="0.25">
      <c r="A725" s="125">
        <f t="shared" si="35"/>
        <v>710</v>
      </c>
      <c r="B725" s="121">
        <f t="shared" ca="1" si="33"/>
        <v>152.55715148868697</v>
      </c>
      <c r="C725" s="128">
        <f t="shared" ca="1" si="34"/>
        <v>1</v>
      </c>
    </row>
    <row r="726" spans="1:3" x14ac:dyDescent="0.25">
      <c r="A726" s="125">
        <f t="shared" si="35"/>
        <v>711</v>
      </c>
      <c r="B726" s="121">
        <f t="shared" ca="1" si="33"/>
        <v>40.200811586662539</v>
      </c>
      <c r="C726" s="128">
        <f t="shared" ca="1" si="34"/>
        <v>1</v>
      </c>
    </row>
    <row r="727" spans="1:3" x14ac:dyDescent="0.25">
      <c r="A727" s="125">
        <f t="shared" si="35"/>
        <v>712</v>
      </c>
      <c r="B727" s="121">
        <f t="shared" ca="1" si="33"/>
        <v>38.757039307163851</v>
      </c>
      <c r="C727" s="128">
        <f t="shared" ca="1" si="34"/>
        <v>1</v>
      </c>
    </row>
    <row r="728" spans="1:3" x14ac:dyDescent="0.25">
      <c r="A728" s="125">
        <f t="shared" si="35"/>
        <v>713</v>
      </c>
      <c r="B728" s="121">
        <f t="shared" ca="1" si="33"/>
        <v>57.088590780210652</v>
      </c>
      <c r="C728" s="128">
        <f t="shared" ca="1" si="34"/>
        <v>1</v>
      </c>
    </row>
    <row r="729" spans="1:3" x14ac:dyDescent="0.25">
      <c r="A729" s="125">
        <f t="shared" si="35"/>
        <v>714</v>
      </c>
      <c r="B729" s="121">
        <f t="shared" ca="1" si="33"/>
        <v>47.597177759012361</v>
      </c>
      <c r="C729" s="128">
        <f t="shared" ca="1" si="34"/>
        <v>1</v>
      </c>
    </row>
    <row r="730" spans="1:3" x14ac:dyDescent="0.25">
      <c r="A730" s="125">
        <f t="shared" si="35"/>
        <v>715</v>
      </c>
      <c r="B730" s="121">
        <f t="shared" ca="1" si="33"/>
        <v>22.430817434933132</v>
      </c>
      <c r="C730" s="128">
        <f t="shared" ca="1" si="34"/>
        <v>0</v>
      </c>
    </row>
    <row r="731" spans="1:3" x14ac:dyDescent="0.25">
      <c r="A731" s="125">
        <f t="shared" si="35"/>
        <v>716</v>
      </c>
      <c r="B731" s="121">
        <f t="shared" ca="1" si="33"/>
        <v>43.504807538819591</v>
      </c>
      <c r="C731" s="128">
        <f t="shared" ca="1" si="34"/>
        <v>1</v>
      </c>
    </row>
    <row r="732" spans="1:3" x14ac:dyDescent="0.25">
      <c r="A732" s="125">
        <f t="shared" si="35"/>
        <v>717</v>
      </c>
      <c r="B732" s="121">
        <f t="shared" ca="1" si="33"/>
        <v>68.738000858938022</v>
      </c>
      <c r="C732" s="128">
        <f t="shared" ca="1" si="34"/>
        <v>1</v>
      </c>
    </row>
    <row r="733" spans="1:3" x14ac:dyDescent="0.25">
      <c r="A733" s="125">
        <f t="shared" si="35"/>
        <v>718</v>
      </c>
      <c r="B733" s="121">
        <f t="shared" ca="1" si="33"/>
        <v>1.0666523395920109</v>
      </c>
      <c r="C733" s="128">
        <f t="shared" ca="1" si="34"/>
        <v>0</v>
      </c>
    </row>
    <row r="734" spans="1:3" x14ac:dyDescent="0.25">
      <c r="A734" s="125">
        <f t="shared" si="35"/>
        <v>719</v>
      </c>
      <c r="B734" s="121">
        <f t="shared" ca="1" si="33"/>
        <v>33.426941748580965</v>
      </c>
      <c r="C734" s="128">
        <f t="shared" ca="1" si="34"/>
        <v>1</v>
      </c>
    </row>
    <row r="735" spans="1:3" x14ac:dyDescent="0.25">
      <c r="A735" s="125">
        <f t="shared" si="35"/>
        <v>720</v>
      </c>
      <c r="B735" s="121">
        <f t="shared" ca="1" si="33"/>
        <v>11.84736564890693</v>
      </c>
      <c r="C735" s="128">
        <f t="shared" ca="1" si="34"/>
        <v>0</v>
      </c>
    </row>
    <row r="736" spans="1:3" x14ac:dyDescent="0.25">
      <c r="A736" s="125">
        <f t="shared" si="35"/>
        <v>721</v>
      </c>
      <c r="B736" s="121">
        <f t="shared" ca="1" si="33"/>
        <v>69.899106851735695</v>
      </c>
      <c r="C736" s="128">
        <f t="shared" ca="1" si="34"/>
        <v>1</v>
      </c>
    </row>
    <row r="737" spans="1:3" x14ac:dyDescent="0.25">
      <c r="A737" s="125">
        <f t="shared" si="35"/>
        <v>722</v>
      </c>
      <c r="B737" s="121">
        <f t="shared" ca="1" si="33"/>
        <v>67.67780950910236</v>
      </c>
      <c r="C737" s="128">
        <f t="shared" ca="1" si="34"/>
        <v>1</v>
      </c>
    </row>
    <row r="738" spans="1:3" x14ac:dyDescent="0.25">
      <c r="A738" s="125">
        <f t="shared" si="35"/>
        <v>723</v>
      </c>
      <c r="B738" s="121">
        <f t="shared" ca="1" si="33"/>
        <v>9.7820797693190045</v>
      </c>
      <c r="C738" s="128">
        <f t="shared" ca="1" si="34"/>
        <v>0</v>
      </c>
    </row>
    <row r="739" spans="1:3" x14ac:dyDescent="0.25">
      <c r="A739" s="125">
        <f t="shared" si="35"/>
        <v>724</v>
      </c>
      <c r="B739" s="121">
        <f t="shared" ca="1" si="33"/>
        <v>128.88595258016582</v>
      </c>
      <c r="C739" s="128">
        <f t="shared" ca="1" si="34"/>
        <v>1</v>
      </c>
    </row>
    <row r="740" spans="1:3" x14ac:dyDescent="0.25">
      <c r="A740" s="125">
        <f t="shared" si="35"/>
        <v>725</v>
      </c>
      <c r="B740" s="121">
        <f t="shared" ca="1" si="33"/>
        <v>116.42045298725992</v>
      </c>
      <c r="C740" s="128">
        <f t="shared" ca="1" si="34"/>
        <v>1</v>
      </c>
    </row>
    <row r="741" spans="1:3" x14ac:dyDescent="0.25">
      <c r="A741" s="125">
        <f t="shared" si="35"/>
        <v>726</v>
      </c>
      <c r="B741" s="121">
        <f t="shared" ca="1" si="33"/>
        <v>42.002106406222445</v>
      </c>
      <c r="C741" s="128">
        <f t="shared" ca="1" si="34"/>
        <v>1</v>
      </c>
    </row>
    <row r="742" spans="1:3" x14ac:dyDescent="0.25">
      <c r="A742" s="125">
        <f t="shared" si="35"/>
        <v>727</v>
      </c>
      <c r="B742" s="121">
        <f t="shared" ca="1" si="33"/>
        <v>7.6272332075576799</v>
      </c>
      <c r="C742" s="128">
        <f t="shared" ca="1" si="34"/>
        <v>0</v>
      </c>
    </row>
    <row r="743" spans="1:3" x14ac:dyDescent="0.25">
      <c r="A743" s="125">
        <f t="shared" si="35"/>
        <v>728</v>
      </c>
      <c r="B743" s="121">
        <f t="shared" ca="1" si="33"/>
        <v>4.1409485653036597</v>
      </c>
      <c r="C743" s="128">
        <f t="shared" ca="1" si="34"/>
        <v>0</v>
      </c>
    </row>
    <row r="744" spans="1:3" x14ac:dyDescent="0.25">
      <c r="A744" s="125">
        <f t="shared" si="35"/>
        <v>729</v>
      </c>
      <c r="B744" s="121">
        <f t="shared" ca="1" si="33"/>
        <v>-6.5148619428463945</v>
      </c>
      <c r="C744" s="128">
        <f t="shared" ca="1" si="34"/>
        <v>0</v>
      </c>
    </row>
    <row r="745" spans="1:3" x14ac:dyDescent="0.25">
      <c r="A745" s="125">
        <f t="shared" si="35"/>
        <v>730</v>
      </c>
      <c r="B745" s="121">
        <f t="shared" ca="1" si="33"/>
        <v>54.76461038814837</v>
      </c>
      <c r="C745" s="128">
        <f t="shared" ca="1" si="34"/>
        <v>1</v>
      </c>
    </row>
    <row r="746" spans="1:3" x14ac:dyDescent="0.25">
      <c r="A746" s="125">
        <f t="shared" si="35"/>
        <v>731</v>
      </c>
      <c r="B746" s="121">
        <f t="shared" ca="1" si="33"/>
        <v>-44.689371797678788</v>
      </c>
      <c r="C746" s="128">
        <f t="shared" ca="1" si="34"/>
        <v>0</v>
      </c>
    </row>
    <row r="747" spans="1:3" x14ac:dyDescent="0.25">
      <c r="A747" s="125">
        <f t="shared" si="35"/>
        <v>732</v>
      </c>
      <c r="B747" s="121">
        <f t="shared" ca="1" si="33"/>
        <v>-31.597790047111303</v>
      </c>
      <c r="C747" s="128">
        <f t="shared" ca="1" si="34"/>
        <v>0</v>
      </c>
    </row>
    <row r="748" spans="1:3" x14ac:dyDescent="0.25">
      <c r="A748" s="125">
        <f t="shared" si="35"/>
        <v>733</v>
      </c>
      <c r="B748" s="121">
        <f t="shared" ca="1" si="33"/>
        <v>6.7411811009633738</v>
      </c>
      <c r="C748" s="128">
        <f t="shared" ca="1" si="34"/>
        <v>0</v>
      </c>
    </row>
    <row r="749" spans="1:3" x14ac:dyDescent="0.25">
      <c r="A749" s="125">
        <f t="shared" si="35"/>
        <v>734</v>
      </c>
      <c r="B749" s="121">
        <f t="shared" ca="1" si="33"/>
        <v>21.430475748932725</v>
      </c>
      <c r="C749" s="128">
        <f t="shared" ca="1" si="34"/>
        <v>0</v>
      </c>
    </row>
    <row r="750" spans="1:3" x14ac:dyDescent="0.25">
      <c r="A750" s="125">
        <f t="shared" si="35"/>
        <v>735</v>
      </c>
      <c r="B750" s="121">
        <f t="shared" ca="1" si="33"/>
        <v>35.1140184678816</v>
      </c>
      <c r="C750" s="128">
        <f t="shared" ca="1" si="34"/>
        <v>1</v>
      </c>
    </row>
    <row r="751" spans="1:3" x14ac:dyDescent="0.25">
      <c r="A751" s="125">
        <f t="shared" si="35"/>
        <v>736</v>
      </c>
      <c r="B751" s="121">
        <f t="shared" ca="1" si="33"/>
        <v>-38.305094200998553</v>
      </c>
      <c r="C751" s="128">
        <f t="shared" ca="1" si="34"/>
        <v>0</v>
      </c>
    </row>
    <row r="752" spans="1:3" x14ac:dyDescent="0.25">
      <c r="A752" s="125">
        <f t="shared" si="35"/>
        <v>737</v>
      </c>
      <c r="B752" s="121">
        <f t="shared" ca="1" si="33"/>
        <v>56.299863751149431</v>
      </c>
      <c r="C752" s="128">
        <f t="shared" ca="1" si="34"/>
        <v>1</v>
      </c>
    </row>
    <row r="753" spans="1:3" x14ac:dyDescent="0.25">
      <c r="A753" s="125">
        <f t="shared" si="35"/>
        <v>738</v>
      </c>
      <c r="B753" s="121">
        <f t="shared" ca="1" si="33"/>
        <v>50.944865854995768</v>
      </c>
      <c r="C753" s="128">
        <f t="shared" ca="1" si="34"/>
        <v>1</v>
      </c>
    </row>
    <row r="754" spans="1:3" x14ac:dyDescent="0.25">
      <c r="A754" s="125">
        <f t="shared" si="35"/>
        <v>739</v>
      </c>
      <c r="B754" s="121">
        <f t="shared" ca="1" si="33"/>
        <v>72.287972559425015</v>
      </c>
      <c r="C754" s="128">
        <f t="shared" ca="1" si="34"/>
        <v>1</v>
      </c>
    </row>
    <row r="755" spans="1:3" x14ac:dyDescent="0.25">
      <c r="A755" s="125">
        <f t="shared" si="35"/>
        <v>740</v>
      </c>
      <c r="B755" s="121">
        <f t="shared" ca="1" si="33"/>
        <v>51.420417635586759</v>
      </c>
      <c r="C755" s="128">
        <f t="shared" ca="1" si="34"/>
        <v>1</v>
      </c>
    </row>
    <row r="756" spans="1:3" x14ac:dyDescent="0.25">
      <c r="A756" s="125">
        <f t="shared" si="35"/>
        <v>741</v>
      </c>
      <c r="B756" s="121">
        <f t="shared" ca="1" si="33"/>
        <v>67.410305606434434</v>
      </c>
      <c r="C756" s="128">
        <f t="shared" ca="1" si="34"/>
        <v>1</v>
      </c>
    </row>
    <row r="757" spans="1:3" x14ac:dyDescent="0.25">
      <c r="A757" s="125">
        <f t="shared" si="35"/>
        <v>742</v>
      </c>
      <c r="B757" s="121">
        <f t="shared" ca="1" si="33"/>
        <v>-11.211900748299641</v>
      </c>
      <c r="C757" s="128">
        <f t="shared" ca="1" si="34"/>
        <v>0</v>
      </c>
    </row>
    <row r="758" spans="1:3" x14ac:dyDescent="0.25">
      <c r="A758" s="125">
        <f t="shared" si="35"/>
        <v>743</v>
      </c>
      <c r="B758" s="121">
        <f t="shared" ca="1" si="33"/>
        <v>-24.619570450381985</v>
      </c>
      <c r="C758" s="128">
        <f t="shared" ca="1" si="34"/>
        <v>0</v>
      </c>
    </row>
    <row r="759" spans="1:3" x14ac:dyDescent="0.25">
      <c r="A759" s="125">
        <f t="shared" si="35"/>
        <v>744</v>
      </c>
      <c r="B759" s="121">
        <f t="shared" ca="1" si="33"/>
        <v>70.09817365290769</v>
      </c>
      <c r="C759" s="128">
        <f t="shared" ca="1" si="34"/>
        <v>1</v>
      </c>
    </row>
    <row r="760" spans="1:3" x14ac:dyDescent="0.25">
      <c r="A760" s="125">
        <f t="shared" si="35"/>
        <v>745</v>
      </c>
      <c r="B760" s="121">
        <f t="shared" ca="1" si="33"/>
        <v>17.985290118695481</v>
      </c>
      <c r="C760" s="128">
        <f t="shared" ca="1" si="34"/>
        <v>0</v>
      </c>
    </row>
    <row r="761" spans="1:3" x14ac:dyDescent="0.25">
      <c r="A761" s="125">
        <f t="shared" si="35"/>
        <v>746</v>
      </c>
      <c r="B761" s="121">
        <f t="shared" ca="1" si="33"/>
        <v>69.963922771545967</v>
      </c>
      <c r="C761" s="128">
        <f t="shared" ca="1" si="34"/>
        <v>1</v>
      </c>
    </row>
    <row r="762" spans="1:3" x14ac:dyDescent="0.25">
      <c r="A762" s="125">
        <f t="shared" si="35"/>
        <v>747</v>
      </c>
      <c r="B762" s="121">
        <f t="shared" ca="1" si="33"/>
        <v>67.399020450191443</v>
      </c>
      <c r="C762" s="128">
        <f t="shared" ca="1" si="34"/>
        <v>1</v>
      </c>
    </row>
    <row r="763" spans="1:3" x14ac:dyDescent="0.25">
      <c r="A763" s="125">
        <f t="shared" si="35"/>
        <v>748</v>
      </c>
      <c r="B763" s="121">
        <f t="shared" ca="1" si="33"/>
        <v>42.665712152965533</v>
      </c>
      <c r="C763" s="128">
        <f t="shared" ca="1" si="34"/>
        <v>1</v>
      </c>
    </row>
    <row r="764" spans="1:3" x14ac:dyDescent="0.25">
      <c r="A764" s="125">
        <f t="shared" si="35"/>
        <v>749</v>
      </c>
      <c r="B764" s="121">
        <f t="shared" ca="1" si="33"/>
        <v>1.1159781075766873</v>
      </c>
      <c r="C764" s="128">
        <f t="shared" ca="1" si="34"/>
        <v>0</v>
      </c>
    </row>
    <row r="765" spans="1:3" x14ac:dyDescent="0.25">
      <c r="A765" s="125">
        <f t="shared" si="35"/>
        <v>750</v>
      </c>
      <c r="B765" s="121">
        <f t="shared" ca="1" si="33"/>
        <v>-11.864720552151518</v>
      </c>
      <c r="C765" s="128">
        <f t="shared" ca="1" si="34"/>
        <v>0</v>
      </c>
    </row>
    <row r="766" spans="1:3" x14ac:dyDescent="0.25">
      <c r="A766" s="125">
        <f t="shared" si="35"/>
        <v>751</v>
      </c>
      <c r="B766" s="121">
        <f t="shared" ca="1" si="33"/>
        <v>-33.323595250341228</v>
      </c>
      <c r="C766" s="128">
        <f t="shared" ca="1" si="34"/>
        <v>0</v>
      </c>
    </row>
    <row r="767" spans="1:3" x14ac:dyDescent="0.25">
      <c r="A767" s="125">
        <f t="shared" si="35"/>
        <v>752</v>
      </c>
      <c r="B767" s="121">
        <f t="shared" ca="1" si="33"/>
        <v>77.839778326557933</v>
      </c>
      <c r="C767" s="128">
        <f t="shared" ca="1" si="34"/>
        <v>1</v>
      </c>
    </row>
    <row r="768" spans="1:3" x14ac:dyDescent="0.25">
      <c r="A768" s="125">
        <f t="shared" si="35"/>
        <v>753</v>
      </c>
      <c r="B768" s="121">
        <f t="shared" ca="1" si="33"/>
        <v>72.626927784134182</v>
      </c>
      <c r="C768" s="128">
        <f t="shared" ca="1" si="34"/>
        <v>1</v>
      </c>
    </row>
    <row r="769" spans="1:3" x14ac:dyDescent="0.25">
      <c r="A769" s="125">
        <f t="shared" si="35"/>
        <v>754</v>
      </c>
      <c r="B769" s="121">
        <f t="shared" ca="1" si="33"/>
        <v>-61.027045766826575</v>
      </c>
      <c r="C769" s="128">
        <f t="shared" ca="1" si="34"/>
        <v>0</v>
      </c>
    </row>
    <row r="770" spans="1:3" x14ac:dyDescent="0.25">
      <c r="A770" s="125">
        <f t="shared" si="35"/>
        <v>755</v>
      </c>
      <c r="B770" s="121">
        <f t="shared" ca="1" si="33"/>
        <v>57.073235771233861</v>
      </c>
      <c r="C770" s="128">
        <f t="shared" ca="1" si="34"/>
        <v>1</v>
      </c>
    </row>
    <row r="771" spans="1:3" x14ac:dyDescent="0.25">
      <c r="A771" s="125">
        <f t="shared" si="35"/>
        <v>756</v>
      </c>
      <c r="B771" s="121">
        <f t="shared" ca="1" si="33"/>
        <v>21.4034463664265</v>
      </c>
      <c r="C771" s="128">
        <f t="shared" ca="1" si="34"/>
        <v>0</v>
      </c>
    </row>
    <row r="772" spans="1:3" x14ac:dyDescent="0.25">
      <c r="A772" s="125">
        <f t="shared" si="35"/>
        <v>757</v>
      </c>
      <c r="B772" s="121">
        <f t="shared" ca="1" si="33"/>
        <v>50.010494281468397</v>
      </c>
      <c r="C772" s="128">
        <f t="shared" ca="1" si="34"/>
        <v>1</v>
      </c>
    </row>
    <row r="773" spans="1:3" x14ac:dyDescent="0.25">
      <c r="A773" s="125">
        <f t="shared" si="35"/>
        <v>758</v>
      </c>
      <c r="B773" s="121">
        <f t="shared" ca="1" si="33"/>
        <v>-50.096543529014482</v>
      </c>
      <c r="C773" s="128">
        <f t="shared" ca="1" si="34"/>
        <v>0</v>
      </c>
    </row>
    <row r="774" spans="1:3" x14ac:dyDescent="0.25">
      <c r="A774" s="125">
        <f t="shared" si="35"/>
        <v>759</v>
      </c>
      <c r="B774" s="121">
        <f t="shared" ca="1" si="33"/>
        <v>-7.8223085053070633</v>
      </c>
      <c r="C774" s="128">
        <f t="shared" ca="1" si="34"/>
        <v>0</v>
      </c>
    </row>
    <row r="775" spans="1:3" x14ac:dyDescent="0.25">
      <c r="A775" s="125">
        <f t="shared" si="35"/>
        <v>760</v>
      </c>
      <c r="B775" s="121">
        <f t="shared" ca="1" si="33"/>
        <v>103.20008061090552</v>
      </c>
      <c r="C775" s="128">
        <f t="shared" ca="1" si="34"/>
        <v>1</v>
      </c>
    </row>
    <row r="776" spans="1:3" x14ac:dyDescent="0.25">
      <c r="A776" s="125">
        <f t="shared" si="35"/>
        <v>761</v>
      </c>
      <c r="B776" s="121">
        <f t="shared" ca="1" si="33"/>
        <v>13.084358571964355</v>
      </c>
      <c r="C776" s="128">
        <f t="shared" ca="1" si="34"/>
        <v>0</v>
      </c>
    </row>
    <row r="777" spans="1:3" x14ac:dyDescent="0.25">
      <c r="A777" s="125">
        <f t="shared" si="35"/>
        <v>762</v>
      </c>
      <c r="B777" s="121">
        <f t="shared" ca="1" si="33"/>
        <v>53.742405533945245</v>
      </c>
      <c r="C777" s="128">
        <f t="shared" ca="1" si="34"/>
        <v>1</v>
      </c>
    </row>
    <row r="778" spans="1:3" x14ac:dyDescent="0.25">
      <c r="A778" s="125">
        <f t="shared" si="35"/>
        <v>763</v>
      </c>
      <c r="B778" s="121">
        <f t="shared" ca="1" si="33"/>
        <v>-44.070129526544903</v>
      </c>
      <c r="C778" s="128">
        <f t="shared" ca="1" si="34"/>
        <v>0</v>
      </c>
    </row>
    <row r="779" spans="1:3" x14ac:dyDescent="0.25">
      <c r="A779" s="125">
        <f t="shared" si="35"/>
        <v>764</v>
      </c>
      <c r="B779" s="121">
        <f t="shared" ca="1" si="33"/>
        <v>57.837156860967838</v>
      </c>
      <c r="C779" s="128">
        <f t="shared" ca="1" si="34"/>
        <v>1</v>
      </c>
    </row>
    <row r="780" spans="1:3" x14ac:dyDescent="0.25">
      <c r="A780" s="125">
        <f t="shared" si="35"/>
        <v>765</v>
      </c>
      <c r="B780" s="121">
        <f t="shared" ca="1" si="33"/>
        <v>50.354154010690564</v>
      </c>
      <c r="C780" s="128">
        <f t="shared" ca="1" si="34"/>
        <v>1</v>
      </c>
    </row>
    <row r="781" spans="1:3" x14ac:dyDescent="0.25">
      <c r="A781" s="125">
        <f t="shared" si="35"/>
        <v>766</v>
      </c>
      <c r="B781" s="121">
        <f t="shared" ca="1" si="33"/>
        <v>30.211730213874496</v>
      </c>
      <c r="C781" s="128">
        <f t="shared" ca="1" si="34"/>
        <v>1</v>
      </c>
    </row>
    <row r="782" spans="1:3" x14ac:dyDescent="0.25">
      <c r="A782" s="125">
        <f t="shared" si="35"/>
        <v>767</v>
      </c>
      <c r="B782" s="121">
        <f t="shared" ca="1" si="33"/>
        <v>71.891390977768296</v>
      </c>
      <c r="C782" s="128">
        <f t="shared" ca="1" si="34"/>
        <v>1</v>
      </c>
    </row>
    <row r="783" spans="1:3" x14ac:dyDescent="0.25">
      <c r="A783" s="125">
        <f t="shared" si="35"/>
        <v>768</v>
      </c>
      <c r="B783" s="121">
        <f t="shared" ca="1" si="33"/>
        <v>114.45820091950331</v>
      </c>
      <c r="C783" s="128">
        <f t="shared" ca="1" si="34"/>
        <v>1</v>
      </c>
    </row>
    <row r="784" spans="1:3" x14ac:dyDescent="0.25">
      <c r="A784" s="125">
        <f t="shared" si="35"/>
        <v>769</v>
      </c>
      <c r="B784" s="121">
        <f t="shared" ca="1" si="33"/>
        <v>1.1556184487319712</v>
      </c>
      <c r="C784" s="128">
        <f t="shared" ca="1" si="34"/>
        <v>0</v>
      </c>
    </row>
    <row r="785" spans="1:3" x14ac:dyDescent="0.25">
      <c r="A785" s="125">
        <f t="shared" si="35"/>
        <v>770</v>
      </c>
      <c r="B785" s="121">
        <f t="shared" ref="B785:B848" ca="1" si="36">_xlfn.NORM.INV(RAND(), $B$9, $B$10)</f>
        <v>118.49993728991227</v>
      </c>
      <c r="C785" s="128">
        <f t="shared" ref="C785:C848" ca="1" si="37">IF(B785 &gt;= $B$11, 1, 0)</f>
        <v>1</v>
      </c>
    </row>
    <row r="786" spans="1:3" x14ac:dyDescent="0.25">
      <c r="A786" s="125">
        <f t="shared" ref="A786:A849" si="38">+A785+1</f>
        <v>771</v>
      </c>
      <c r="B786" s="121">
        <f t="shared" ca="1" si="36"/>
        <v>27.387759315614037</v>
      </c>
      <c r="C786" s="128">
        <f t="shared" ca="1" si="37"/>
        <v>1</v>
      </c>
    </row>
    <row r="787" spans="1:3" x14ac:dyDescent="0.25">
      <c r="A787" s="125">
        <f t="shared" si="38"/>
        <v>772</v>
      </c>
      <c r="B787" s="121">
        <f t="shared" ca="1" si="36"/>
        <v>22.402224562112892</v>
      </c>
      <c r="C787" s="128">
        <f t="shared" ca="1" si="37"/>
        <v>0</v>
      </c>
    </row>
    <row r="788" spans="1:3" x14ac:dyDescent="0.25">
      <c r="A788" s="125">
        <f t="shared" si="38"/>
        <v>773</v>
      </c>
      <c r="B788" s="121">
        <f t="shared" ca="1" si="36"/>
        <v>-48.118428504500258</v>
      </c>
      <c r="C788" s="128">
        <f t="shared" ca="1" si="37"/>
        <v>0</v>
      </c>
    </row>
    <row r="789" spans="1:3" x14ac:dyDescent="0.25">
      <c r="A789" s="125">
        <f t="shared" si="38"/>
        <v>774</v>
      </c>
      <c r="B789" s="121">
        <f t="shared" ca="1" si="36"/>
        <v>-88.188963969063494</v>
      </c>
      <c r="C789" s="128">
        <f t="shared" ca="1" si="37"/>
        <v>0</v>
      </c>
    </row>
    <row r="790" spans="1:3" x14ac:dyDescent="0.25">
      <c r="A790" s="125">
        <f t="shared" si="38"/>
        <v>775</v>
      </c>
      <c r="B790" s="121">
        <f t="shared" ca="1" si="36"/>
        <v>34.196095656298944</v>
      </c>
      <c r="C790" s="128">
        <f t="shared" ca="1" si="37"/>
        <v>1</v>
      </c>
    </row>
    <row r="791" spans="1:3" x14ac:dyDescent="0.25">
      <c r="A791" s="125">
        <f t="shared" si="38"/>
        <v>776</v>
      </c>
      <c r="B791" s="121">
        <f t="shared" ca="1" si="36"/>
        <v>58.039726648049587</v>
      </c>
      <c r="C791" s="128">
        <f t="shared" ca="1" si="37"/>
        <v>1</v>
      </c>
    </row>
    <row r="792" spans="1:3" x14ac:dyDescent="0.25">
      <c r="A792" s="125">
        <f t="shared" si="38"/>
        <v>777</v>
      </c>
      <c r="B792" s="121">
        <f t="shared" ca="1" si="36"/>
        <v>71.714498077172522</v>
      </c>
      <c r="C792" s="128">
        <f t="shared" ca="1" si="37"/>
        <v>1</v>
      </c>
    </row>
    <row r="793" spans="1:3" x14ac:dyDescent="0.25">
      <c r="A793" s="125">
        <f t="shared" si="38"/>
        <v>778</v>
      </c>
      <c r="B793" s="121">
        <f t="shared" ca="1" si="36"/>
        <v>31.61950633637576</v>
      </c>
      <c r="C793" s="128">
        <f t="shared" ca="1" si="37"/>
        <v>1</v>
      </c>
    </row>
    <row r="794" spans="1:3" x14ac:dyDescent="0.25">
      <c r="A794" s="125">
        <f t="shared" si="38"/>
        <v>779</v>
      </c>
      <c r="B794" s="121">
        <f t="shared" ca="1" si="36"/>
        <v>22.16998552715792</v>
      </c>
      <c r="C794" s="128">
        <f t="shared" ca="1" si="37"/>
        <v>0</v>
      </c>
    </row>
    <row r="795" spans="1:3" x14ac:dyDescent="0.25">
      <c r="A795" s="125">
        <f t="shared" si="38"/>
        <v>780</v>
      </c>
      <c r="B795" s="121">
        <f t="shared" ca="1" si="36"/>
        <v>48.774723764145506</v>
      </c>
      <c r="C795" s="128">
        <f t="shared" ca="1" si="37"/>
        <v>1</v>
      </c>
    </row>
    <row r="796" spans="1:3" x14ac:dyDescent="0.25">
      <c r="A796" s="125">
        <f t="shared" si="38"/>
        <v>781</v>
      </c>
      <c r="B796" s="121">
        <f t="shared" ca="1" si="36"/>
        <v>6.8534331450032191</v>
      </c>
      <c r="C796" s="128">
        <f t="shared" ca="1" si="37"/>
        <v>0</v>
      </c>
    </row>
    <row r="797" spans="1:3" x14ac:dyDescent="0.25">
      <c r="A797" s="125">
        <f t="shared" si="38"/>
        <v>782</v>
      </c>
      <c r="B797" s="121">
        <f t="shared" ca="1" si="36"/>
        <v>16.516599016946781</v>
      </c>
      <c r="C797" s="128">
        <f t="shared" ca="1" si="37"/>
        <v>0</v>
      </c>
    </row>
    <row r="798" spans="1:3" x14ac:dyDescent="0.25">
      <c r="A798" s="125">
        <f t="shared" si="38"/>
        <v>783</v>
      </c>
      <c r="B798" s="121">
        <f t="shared" ca="1" si="36"/>
        <v>86.73786032140049</v>
      </c>
      <c r="C798" s="128">
        <f t="shared" ca="1" si="37"/>
        <v>1</v>
      </c>
    </row>
    <row r="799" spans="1:3" x14ac:dyDescent="0.25">
      <c r="A799" s="125">
        <f t="shared" si="38"/>
        <v>784</v>
      </c>
      <c r="B799" s="121">
        <f t="shared" ca="1" si="36"/>
        <v>-38.083194738973063</v>
      </c>
      <c r="C799" s="128">
        <f t="shared" ca="1" si="37"/>
        <v>0</v>
      </c>
    </row>
    <row r="800" spans="1:3" x14ac:dyDescent="0.25">
      <c r="A800" s="125">
        <f t="shared" si="38"/>
        <v>785</v>
      </c>
      <c r="B800" s="121">
        <f t="shared" ca="1" si="36"/>
        <v>6.6367663893585842</v>
      </c>
      <c r="C800" s="128">
        <f t="shared" ca="1" si="37"/>
        <v>0</v>
      </c>
    </row>
    <row r="801" spans="1:3" x14ac:dyDescent="0.25">
      <c r="A801" s="125">
        <f t="shared" si="38"/>
        <v>786</v>
      </c>
      <c r="B801" s="121">
        <f t="shared" ca="1" si="36"/>
        <v>14.995373832535712</v>
      </c>
      <c r="C801" s="128">
        <f t="shared" ca="1" si="37"/>
        <v>0</v>
      </c>
    </row>
    <row r="802" spans="1:3" x14ac:dyDescent="0.25">
      <c r="A802" s="125">
        <f t="shared" si="38"/>
        <v>787</v>
      </c>
      <c r="B802" s="121">
        <f t="shared" ca="1" si="36"/>
        <v>-50.123033616070259</v>
      </c>
      <c r="C802" s="128">
        <f t="shared" ca="1" si="37"/>
        <v>0</v>
      </c>
    </row>
    <row r="803" spans="1:3" x14ac:dyDescent="0.25">
      <c r="A803" s="125">
        <f t="shared" si="38"/>
        <v>788</v>
      </c>
      <c r="B803" s="121">
        <f t="shared" ca="1" si="36"/>
        <v>38.299913972707067</v>
      </c>
      <c r="C803" s="128">
        <f t="shared" ca="1" si="37"/>
        <v>1</v>
      </c>
    </row>
    <row r="804" spans="1:3" x14ac:dyDescent="0.25">
      <c r="A804" s="125">
        <f t="shared" si="38"/>
        <v>789</v>
      </c>
      <c r="B804" s="121">
        <f t="shared" ca="1" si="36"/>
        <v>-3.6208967343973484</v>
      </c>
      <c r="C804" s="128">
        <f t="shared" ca="1" si="37"/>
        <v>0</v>
      </c>
    </row>
    <row r="805" spans="1:3" x14ac:dyDescent="0.25">
      <c r="A805" s="125">
        <f t="shared" si="38"/>
        <v>790</v>
      </c>
      <c r="B805" s="121">
        <f t="shared" ca="1" si="36"/>
        <v>1.2787419242816895</v>
      </c>
      <c r="C805" s="128">
        <f t="shared" ca="1" si="37"/>
        <v>0</v>
      </c>
    </row>
    <row r="806" spans="1:3" x14ac:dyDescent="0.25">
      <c r="A806" s="125">
        <f t="shared" si="38"/>
        <v>791</v>
      </c>
      <c r="B806" s="121">
        <f t="shared" ca="1" si="36"/>
        <v>43.914993745021341</v>
      </c>
      <c r="C806" s="128">
        <f t="shared" ca="1" si="37"/>
        <v>1</v>
      </c>
    </row>
    <row r="807" spans="1:3" x14ac:dyDescent="0.25">
      <c r="A807" s="125">
        <f t="shared" si="38"/>
        <v>792</v>
      </c>
      <c r="B807" s="121">
        <f t="shared" ca="1" si="36"/>
        <v>23.143108975773949</v>
      </c>
      <c r="C807" s="128">
        <f t="shared" ca="1" si="37"/>
        <v>0</v>
      </c>
    </row>
    <row r="808" spans="1:3" x14ac:dyDescent="0.25">
      <c r="A808" s="125">
        <f t="shared" si="38"/>
        <v>793</v>
      </c>
      <c r="B808" s="121">
        <f t="shared" ca="1" si="36"/>
        <v>74.583458574861368</v>
      </c>
      <c r="C808" s="128">
        <f t="shared" ca="1" si="37"/>
        <v>1</v>
      </c>
    </row>
    <row r="809" spans="1:3" x14ac:dyDescent="0.25">
      <c r="A809" s="125">
        <f t="shared" si="38"/>
        <v>794</v>
      </c>
      <c r="B809" s="121">
        <f t="shared" ca="1" si="36"/>
        <v>73.850833909786274</v>
      </c>
      <c r="C809" s="128">
        <f t="shared" ca="1" si="37"/>
        <v>1</v>
      </c>
    </row>
    <row r="810" spans="1:3" x14ac:dyDescent="0.25">
      <c r="A810" s="125">
        <f t="shared" si="38"/>
        <v>795</v>
      </c>
      <c r="B810" s="121">
        <f t="shared" ca="1" si="36"/>
        <v>-32.935394213457059</v>
      </c>
      <c r="C810" s="128">
        <f t="shared" ca="1" si="37"/>
        <v>0</v>
      </c>
    </row>
    <row r="811" spans="1:3" x14ac:dyDescent="0.25">
      <c r="A811" s="125">
        <f t="shared" si="38"/>
        <v>796</v>
      </c>
      <c r="B811" s="121">
        <f t="shared" ca="1" si="36"/>
        <v>110.91941783774807</v>
      </c>
      <c r="C811" s="128">
        <f t="shared" ca="1" si="37"/>
        <v>1</v>
      </c>
    </row>
    <row r="812" spans="1:3" x14ac:dyDescent="0.25">
      <c r="A812" s="125">
        <f t="shared" si="38"/>
        <v>797</v>
      </c>
      <c r="B812" s="121">
        <f t="shared" ca="1" si="36"/>
        <v>102.21044226678255</v>
      </c>
      <c r="C812" s="128">
        <f t="shared" ca="1" si="37"/>
        <v>1</v>
      </c>
    </row>
    <row r="813" spans="1:3" x14ac:dyDescent="0.25">
      <c r="A813" s="125">
        <f t="shared" si="38"/>
        <v>798</v>
      </c>
      <c r="B813" s="121">
        <f t="shared" ca="1" si="36"/>
        <v>1.7852949579345889</v>
      </c>
      <c r="C813" s="128">
        <f t="shared" ca="1" si="37"/>
        <v>0</v>
      </c>
    </row>
    <row r="814" spans="1:3" x14ac:dyDescent="0.25">
      <c r="A814" s="125">
        <f t="shared" si="38"/>
        <v>799</v>
      </c>
      <c r="B814" s="121">
        <f t="shared" ca="1" si="36"/>
        <v>109.90283007371644</v>
      </c>
      <c r="C814" s="128">
        <f t="shared" ca="1" si="37"/>
        <v>1</v>
      </c>
    </row>
    <row r="815" spans="1:3" x14ac:dyDescent="0.25">
      <c r="A815" s="125">
        <f t="shared" si="38"/>
        <v>800</v>
      </c>
      <c r="B815" s="121">
        <f t="shared" ca="1" si="36"/>
        <v>27.684345288078948</v>
      </c>
      <c r="C815" s="128">
        <f t="shared" ca="1" si="37"/>
        <v>1</v>
      </c>
    </row>
    <row r="816" spans="1:3" x14ac:dyDescent="0.25">
      <c r="A816" s="125">
        <f t="shared" si="38"/>
        <v>801</v>
      </c>
      <c r="B816" s="121">
        <f t="shared" ca="1" si="36"/>
        <v>56.610158531710745</v>
      </c>
      <c r="C816" s="128">
        <f t="shared" ca="1" si="37"/>
        <v>1</v>
      </c>
    </row>
    <row r="817" spans="1:3" x14ac:dyDescent="0.25">
      <c r="A817" s="125">
        <f t="shared" si="38"/>
        <v>802</v>
      </c>
      <c r="B817" s="121">
        <f t="shared" ca="1" si="36"/>
        <v>83.218917949961053</v>
      </c>
      <c r="C817" s="128">
        <f t="shared" ca="1" si="37"/>
        <v>1</v>
      </c>
    </row>
    <row r="818" spans="1:3" x14ac:dyDescent="0.25">
      <c r="A818" s="125">
        <f t="shared" si="38"/>
        <v>803</v>
      </c>
      <c r="B818" s="121">
        <f t="shared" ca="1" si="36"/>
        <v>57.706590838981967</v>
      </c>
      <c r="C818" s="128">
        <f t="shared" ca="1" si="37"/>
        <v>1</v>
      </c>
    </row>
    <row r="819" spans="1:3" x14ac:dyDescent="0.25">
      <c r="A819" s="125">
        <f t="shared" si="38"/>
        <v>804</v>
      </c>
      <c r="B819" s="121">
        <f t="shared" ca="1" si="36"/>
        <v>124.75431235936553</v>
      </c>
      <c r="C819" s="128">
        <f t="shared" ca="1" si="37"/>
        <v>1</v>
      </c>
    </row>
    <row r="820" spans="1:3" x14ac:dyDescent="0.25">
      <c r="A820" s="125">
        <f t="shared" si="38"/>
        <v>805</v>
      </c>
      <c r="B820" s="121">
        <f t="shared" ca="1" si="36"/>
        <v>-81.816677158704479</v>
      </c>
      <c r="C820" s="128">
        <f t="shared" ca="1" si="37"/>
        <v>0</v>
      </c>
    </row>
    <row r="821" spans="1:3" x14ac:dyDescent="0.25">
      <c r="A821" s="125">
        <f t="shared" si="38"/>
        <v>806</v>
      </c>
      <c r="B821" s="121">
        <f t="shared" ca="1" si="36"/>
        <v>-21.124840933736188</v>
      </c>
      <c r="C821" s="128">
        <f t="shared" ca="1" si="37"/>
        <v>0</v>
      </c>
    </row>
    <row r="822" spans="1:3" x14ac:dyDescent="0.25">
      <c r="A822" s="125">
        <f t="shared" si="38"/>
        <v>807</v>
      </c>
      <c r="B822" s="121">
        <f t="shared" ca="1" si="36"/>
        <v>29.403658217821423</v>
      </c>
      <c r="C822" s="128">
        <f t="shared" ca="1" si="37"/>
        <v>1</v>
      </c>
    </row>
    <row r="823" spans="1:3" x14ac:dyDescent="0.25">
      <c r="A823" s="125">
        <f t="shared" si="38"/>
        <v>808</v>
      </c>
      <c r="B823" s="121">
        <f t="shared" ca="1" si="36"/>
        <v>95.33077416897666</v>
      </c>
      <c r="C823" s="128">
        <f t="shared" ca="1" si="37"/>
        <v>1</v>
      </c>
    </row>
    <row r="824" spans="1:3" x14ac:dyDescent="0.25">
      <c r="A824" s="125">
        <f t="shared" si="38"/>
        <v>809</v>
      </c>
      <c r="B824" s="121">
        <f t="shared" ca="1" si="36"/>
        <v>79.91967398750981</v>
      </c>
      <c r="C824" s="128">
        <f t="shared" ca="1" si="37"/>
        <v>1</v>
      </c>
    </row>
    <row r="825" spans="1:3" x14ac:dyDescent="0.25">
      <c r="A825" s="125">
        <f t="shared" si="38"/>
        <v>810</v>
      </c>
      <c r="B825" s="121">
        <f t="shared" ca="1" si="36"/>
        <v>-68.255735369337515</v>
      </c>
      <c r="C825" s="128">
        <f t="shared" ca="1" si="37"/>
        <v>0</v>
      </c>
    </row>
    <row r="826" spans="1:3" x14ac:dyDescent="0.25">
      <c r="A826" s="125">
        <f t="shared" si="38"/>
        <v>811</v>
      </c>
      <c r="B826" s="121">
        <f t="shared" ca="1" si="36"/>
        <v>14.676307562014497</v>
      </c>
      <c r="C826" s="128">
        <f t="shared" ca="1" si="37"/>
        <v>0</v>
      </c>
    </row>
    <row r="827" spans="1:3" x14ac:dyDescent="0.25">
      <c r="A827" s="125">
        <f t="shared" si="38"/>
        <v>812</v>
      </c>
      <c r="B827" s="121">
        <f t="shared" ca="1" si="36"/>
        <v>15.968145079749341</v>
      </c>
      <c r="C827" s="128">
        <f t="shared" ca="1" si="37"/>
        <v>0</v>
      </c>
    </row>
    <row r="828" spans="1:3" x14ac:dyDescent="0.25">
      <c r="A828" s="125">
        <f t="shared" si="38"/>
        <v>813</v>
      </c>
      <c r="B828" s="121">
        <f t="shared" ca="1" si="36"/>
        <v>-11.068802395285928</v>
      </c>
      <c r="C828" s="128">
        <f t="shared" ca="1" si="37"/>
        <v>0</v>
      </c>
    </row>
    <row r="829" spans="1:3" x14ac:dyDescent="0.25">
      <c r="A829" s="125">
        <f t="shared" si="38"/>
        <v>814</v>
      </c>
      <c r="B829" s="121">
        <f t="shared" ca="1" si="36"/>
        <v>-48.540050477539637</v>
      </c>
      <c r="C829" s="128">
        <f t="shared" ca="1" si="37"/>
        <v>0</v>
      </c>
    </row>
    <row r="830" spans="1:3" x14ac:dyDescent="0.25">
      <c r="A830" s="125">
        <f t="shared" si="38"/>
        <v>815</v>
      </c>
      <c r="B830" s="121">
        <f t="shared" ca="1" si="36"/>
        <v>43.62502397540505</v>
      </c>
      <c r="C830" s="128">
        <f t="shared" ca="1" si="37"/>
        <v>1</v>
      </c>
    </row>
    <row r="831" spans="1:3" x14ac:dyDescent="0.25">
      <c r="A831" s="125">
        <f t="shared" si="38"/>
        <v>816</v>
      </c>
      <c r="B831" s="121">
        <f t="shared" ca="1" si="36"/>
        <v>30.940238245690225</v>
      </c>
      <c r="C831" s="128">
        <f t="shared" ca="1" si="37"/>
        <v>1</v>
      </c>
    </row>
    <row r="832" spans="1:3" x14ac:dyDescent="0.25">
      <c r="A832" s="125">
        <f t="shared" si="38"/>
        <v>817</v>
      </c>
      <c r="B832" s="121">
        <f t="shared" ca="1" si="36"/>
        <v>46.338281083681345</v>
      </c>
      <c r="C832" s="128">
        <f t="shared" ca="1" si="37"/>
        <v>1</v>
      </c>
    </row>
    <row r="833" spans="1:3" x14ac:dyDescent="0.25">
      <c r="A833" s="125">
        <f t="shared" si="38"/>
        <v>818</v>
      </c>
      <c r="B833" s="121">
        <f t="shared" ca="1" si="36"/>
        <v>-38.049706276974106</v>
      </c>
      <c r="C833" s="128">
        <f t="shared" ca="1" si="37"/>
        <v>0</v>
      </c>
    </row>
    <row r="834" spans="1:3" x14ac:dyDescent="0.25">
      <c r="A834" s="125">
        <f t="shared" si="38"/>
        <v>819</v>
      </c>
      <c r="B834" s="121">
        <f t="shared" ca="1" si="36"/>
        <v>115.63699500053345</v>
      </c>
      <c r="C834" s="128">
        <f t="shared" ca="1" si="37"/>
        <v>1</v>
      </c>
    </row>
    <row r="835" spans="1:3" x14ac:dyDescent="0.25">
      <c r="A835" s="125">
        <f t="shared" si="38"/>
        <v>820</v>
      </c>
      <c r="B835" s="121">
        <f t="shared" ca="1" si="36"/>
        <v>3.73765777038221</v>
      </c>
      <c r="C835" s="128">
        <f t="shared" ca="1" si="37"/>
        <v>0</v>
      </c>
    </row>
    <row r="836" spans="1:3" x14ac:dyDescent="0.25">
      <c r="A836" s="125">
        <f t="shared" si="38"/>
        <v>821</v>
      </c>
      <c r="B836" s="121">
        <f t="shared" ca="1" si="36"/>
        <v>66.540514146321158</v>
      </c>
      <c r="C836" s="128">
        <f t="shared" ca="1" si="37"/>
        <v>1</v>
      </c>
    </row>
    <row r="837" spans="1:3" x14ac:dyDescent="0.25">
      <c r="A837" s="125">
        <f t="shared" si="38"/>
        <v>822</v>
      </c>
      <c r="B837" s="121">
        <f t="shared" ca="1" si="36"/>
        <v>79.193128978915666</v>
      </c>
      <c r="C837" s="128">
        <f t="shared" ca="1" si="37"/>
        <v>1</v>
      </c>
    </row>
    <row r="838" spans="1:3" x14ac:dyDescent="0.25">
      <c r="A838" s="125">
        <f t="shared" si="38"/>
        <v>823</v>
      </c>
      <c r="B838" s="121">
        <f t="shared" ca="1" si="36"/>
        <v>56.025585330176042</v>
      </c>
      <c r="C838" s="128">
        <f t="shared" ca="1" si="37"/>
        <v>1</v>
      </c>
    </row>
    <row r="839" spans="1:3" x14ac:dyDescent="0.25">
      <c r="A839" s="125">
        <f t="shared" si="38"/>
        <v>824</v>
      </c>
      <c r="B839" s="121">
        <f t="shared" ca="1" si="36"/>
        <v>50.136490521613567</v>
      </c>
      <c r="C839" s="128">
        <f t="shared" ca="1" si="37"/>
        <v>1</v>
      </c>
    </row>
    <row r="840" spans="1:3" x14ac:dyDescent="0.25">
      <c r="A840" s="125">
        <f t="shared" si="38"/>
        <v>825</v>
      </c>
      <c r="B840" s="121">
        <f t="shared" ca="1" si="36"/>
        <v>45.130047415628312</v>
      </c>
      <c r="C840" s="128">
        <f t="shared" ca="1" si="37"/>
        <v>1</v>
      </c>
    </row>
    <row r="841" spans="1:3" x14ac:dyDescent="0.25">
      <c r="A841" s="125">
        <f t="shared" si="38"/>
        <v>826</v>
      </c>
      <c r="B841" s="121">
        <f t="shared" ca="1" si="36"/>
        <v>4.2266295689939923</v>
      </c>
      <c r="C841" s="128">
        <f t="shared" ca="1" si="37"/>
        <v>0</v>
      </c>
    </row>
    <row r="842" spans="1:3" x14ac:dyDescent="0.25">
      <c r="A842" s="125">
        <f t="shared" si="38"/>
        <v>827</v>
      </c>
      <c r="B842" s="121">
        <f t="shared" ca="1" si="36"/>
        <v>108.21366356618641</v>
      </c>
      <c r="C842" s="128">
        <f t="shared" ca="1" si="37"/>
        <v>1</v>
      </c>
    </row>
    <row r="843" spans="1:3" x14ac:dyDescent="0.25">
      <c r="A843" s="125">
        <f t="shared" si="38"/>
        <v>828</v>
      </c>
      <c r="B843" s="121">
        <f t="shared" ca="1" si="36"/>
        <v>35.751115644741439</v>
      </c>
      <c r="C843" s="128">
        <f t="shared" ca="1" si="37"/>
        <v>1</v>
      </c>
    </row>
    <row r="844" spans="1:3" x14ac:dyDescent="0.25">
      <c r="A844" s="125">
        <f t="shared" si="38"/>
        <v>829</v>
      </c>
      <c r="B844" s="121">
        <f t="shared" ca="1" si="36"/>
        <v>28.844159846064013</v>
      </c>
      <c r="C844" s="128">
        <f t="shared" ca="1" si="37"/>
        <v>1</v>
      </c>
    </row>
    <row r="845" spans="1:3" x14ac:dyDescent="0.25">
      <c r="A845" s="125">
        <f t="shared" si="38"/>
        <v>830</v>
      </c>
      <c r="B845" s="121">
        <f t="shared" ca="1" si="36"/>
        <v>32.152124165858012</v>
      </c>
      <c r="C845" s="128">
        <f t="shared" ca="1" si="37"/>
        <v>1</v>
      </c>
    </row>
    <row r="846" spans="1:3" x14ac:dyDescent="0.25">
      <c r="A846" s="125">
        <f t="shared" si="38"/>
        <v>831</v>
      </c>
      <c r="B846" s="121">
        <f t="shared" ca="1" si="36"/>
        <v>104.70332494264625</v>
      </c>
      <c r="C846" s="128">
        <f t="shared" ca="1" si="37"/>
        <v>1</v>
      </c>
    </row>
    <row r="847" spans="1:3" x14ac:dyDescent="0.25">
      <c r="A847" s="125">
        <f t="shared" si="38"/>
        <v>832</v>
      </c>
      <c r="B847" s="121">
        <f t="shared" ca="1" si="36"/>
        <v>17.842442960607528</v>
      </c>
      <c r="C847" s="128">
        <f t="shared" ca="1" si="37"/>
        <v>0</v>
      </c>
    </row>
    <row r="848" spans="1:3" x14ac:dyDescent="0.25">
      <c r="A848" s="125">
        <f t="shared" si="38"/>
        <v>833</v>
      </c>
      <c r="B848" s="121">
        <f t="shared" ca="1" si="36"/>
        <v>79.197516390121251</v>
      </c>
      <c r="C848" s="128">
        <f t="shared" ca="1" si="37"/>
        <v>1</v>
      </c>
    </row>
    <row r="849" spans="1:3" x14ac:dyDescent="0.25">
      <c r="A849" s="125">
        <f t="shared" si="38"/>
        <v>834</v>
      </c>
      <c r="B849" s="121">
        <f t="shared" ref="B849:B912" ca="1" si="39">_xlfn.NORM.INV(RAND(), $B$9, $B$10)</f>
        <v>-24.796751460784868</v>
      </c>
      <c r="C849" s="128">
        <f t="shared" ref="C849:C912" ca="1" si="40">IF(B849 &gt;= $B$11, 1, 0)</f>
        <v>0</v>
      </c>
    </row>
    <row r="850" spans="1:3" x14ac:dyDescent="0.25">
      <c r="A850" s="125">
        <f t="shared" ref="A850:A913" si="41">+A849+1</f>
        <v>835</v>
      </c>
      <c r="B850" s="121">
        <f t="shared" ca="1" si="39"/>
        <v>29.199362728852037</v>
      </c>
      <c r="C850" s="128">
        <f t="shared" ca="1" si="40"/>
        <v>1</v>
      </c>
    </row>
    <row r="851" spans="1:3" x14ac:dyDescent="0.25">
      <c r="A851" s="125">
        <f t="shared" si="41"/>
        <v>836</v>
      </c>
      <c r="B851" s="121">
        <f t="shared" ca="1" si="39"/>
        <v>64.507307755710087</v>
      </c>
      <c r="C851" s="128">
        <f t="shared" ca="1" si="40"/>
        <v>1</v>
      </c>
    </row>
    <row r="852" spans="1:3" x14ac:dyDescent="0.25">
      <c r="A852" s="125">
        <f t="shared" si="41"/>
        <v>837</v>
      </c>
      <c r="B852" s="121">
        <f t="shared" ca="1" si="39"/>
        <v>-35.493098173687102</v>
      </c>
      <c r="C852" s="128">
        <f t="shared" ca="1" si="40"/>
        <v>0</v>
      </c>
    </row>
    <row r="853" spans="1:3" x14ac:dyDescent="0.25">
      <c r="A853" s="125">
        <f t="shared" si="41"/>
        <v>838</v>
      </c>
      <c r="B853" s="121">
        <f t="shared" ca="1" si="39"/>
        <v>9.5863051570854125</v>
      </c>
      <c r="C853" s="128">
        <f t="shared" ca="1" si="40"/>
        <v>0</v>
      </c>
    </row>
    <row r="854" spans="1:3" x14ac:dyDescent="0.25">
      <c r="A854" s="125">
        <f t="shared" si="41"/>
        <v>839</v>
      </c>
      <c r="B854" s="121">
        <f t="shared" ca="1" si="39"/>
        <v>-17.917773073348798</v>
      </c>
      <c r="C854" s="128">
        <f t="shared" ca="1" si="40"/>
        <v>0</v>
      </c>
    </row>
    <row r="855" spans="1:3" x14ac:dyDescent="0.25">
      <c r="A855" s="125">
        <f t="shared" si="41"/>
        <v>840</v>
      </c>
      <c r="B855" s="121">
        <f t="shared" ca="1" si="39"/>
        <v>35.204108985143321</v>
      </c>
      <c r="C855" s="128">
        <f t="shared" ca="1" si="40"/>
        <v>1</v>
      </c>
    </row>
    <row r="856" spans="1:3" x14ac:dyDescent="0.25">
      <c r="A856" s="125">
        <f t="shared" si="41"/>
        <v>841</v>
      </c>
      <c r="B856" s="121">
        <f t="shared" ca="1" si="39"/>
        <v>127.40118174528918</v>
      </c>
      <c r="C856" s="128">
        <f t="shared" ca="1" si="40"/>
        <v>1</v>
      </c>
    </row>
    <row r="857" spans="1:3" x14ac:dyDescent="0.25">
      <c r="A857" s="125">
        <f t="shared" si="41"/>
        <v>842</v>
      </c>
      <c r="B857" s="121">
        <f t="shared" ca="1" si="39"/>
        <v>20.902494607511464</v>
      </c>
      <c r="C857" s="128">
        <f t="shared" ca="1" si="40"/>
        <v>0</v>
      </c>
    </row>
    <row r="858" spans="1:3" x14ac:dyDescent="0.25">
      <c r="A858" s="125">
        <f t="shared" si="41"/>
        <v>843</v>
      </c>
      <c r="B858" s="121">
        <f t="shared" ca="1" si="39"/>
        <v>-15.170426930602162</v>
      </c>
      <c r="C858" s="128">
        <f t="shared" ca="1" si="40"/>
        <v>0</v>
      </c>
    </row>
    <row r="859" spans="1:3" x14ac:dyDescent="0.25">
      <c r="A859" s="125">
        <f t="shared" si="41"/>
        <v>844</v>
      </c>
      <c r="B859" s="121">
        <f t="shared" ca="1" si="39"/>
        <v>25.718578920078642</v>
      </c>
      <c r="C859" s="128">
        <f t="shared" ca="1" si="40"/>
        <v>1</v>
      </c>
    </row>
    <row r="860" spans="1:3" x14ac:dyDescent="0.25">
      <c r="A860" s="125">
        <f t="shared" si="41"/>
        <v>845</v>
      </c>
      <c r="B860" s="121">
        <f t="shared" ca="1" si="39"/>
        <v>-3.2164376456916202</v>
      </c>
      <c r="C860" s="128">
        <f t="shared" ca="1" si="40"/>
        <v>0</v>
      </c>
    </row>
    <row r="861" spans="1:3" x14ac:dyDescent="0.25">
      <c r="A861" s="125">
        <f t="shared" si="41"/>
        <v>846</v>
      </c>
      <c r="B861" s="121">
        <f t="shared" ca="1" si="39"/>
        <v>29.932062682726716</v>
      </c>
      <c r="C861" s="128">
        <f t="shared" ca="1" si="40"/>
        <v>1</v>
      </c>
    </row>
    <row r="862" spans="1:3" x14ac:dyDescent="0.25">
      <c r="A862" s="125">
        <f t="shared" si="41"/>
        <v>847</v>
      </c>
      <c r="B862" s="121">
        <f t="shared" ca="1" si="39"/>
        <v>49.055629679598269</v>
      </c>
      <c r="C862" s="128">
        <f t="shared" ca="1" si="40"/>
        <v>1</v>
      </c>
    </row>
    <row r="863" spans="1:3" x14ac:dyDescent="0.25">
      <c r="A863" s="125">
        <f t="shared" si="41"/>
        <v>848</v>
      </c>
      <c r="B863" s="121">
        <f t="shared" ca="1" si="39"/>
        <v>72.454076926367563</v>
      </c>
      <c r="C863" s="128">
        <f t="shared" ca="1" si="40"/>
        <v>1</v>
      </c>
    </row>
    <row r="864" spans="1:3" x14ac:dyDescent="0.25">
      <c r="A864" s="125">
        <f t="shared" si="41"/>
        <v>849</v>
      </c>
      <c r="B864" s="121">
        <f t="shared" ca="1" si="39"/>
        <v>-12.124753954238727</v>
      </c>
      <c r="C864" s="128">
        <f t="shared" ca="1" si="40"/>
        <v>0</v>
      </c>
    </row>
    <row r="865" spans="1:3" x14ac:dyDescent="0.25">
      <c r="A865" s="125">
        <f t="shared" si="41"/>
        <v>850</v>
      </c>
      <c r="B865" s="121">
        <f t="shared" ca="1" si="39"/>
        <v>-8.7349776159973942</v>
      </c>
      <c r="C865" s="128">
        <f t="shared" ca="1" si="40"/>
        <v>0</v>
      </c>
    </row>
    <row r="866" spans="1:3" x14ac:dyDescent="0.25">
      <c r="A866" s="125">
        <f t="shared" si="41"/>
        <v>851</v>
      </c>
      <c r="B866" s="121">
        <f t="shared" ca="1" si="39"/>
        <v>-54.610856019029086</v>
      </c>
      <c r="C866" s="128">
        <f t="shared" ca="1" si="40"/>
        <v>0</v>
      </c>
    </row>
    <row r="867" spans="1:3" x14ac:dyDescent="0.25">
      <c r="A867" s="125">
        <f t="shared" si="41"/>
        <v>852</v>
      </c>
      <c r="B867" s="121">
        <f t="shared" ca="1" si="39"/>
        <v>31.744274644874888</v>
      </c>
      <c r="C867" s="128">
        <f t="shared" ca="1" si="40"/>
        <v>1</v>
      </c>
    </row>
    <row r="868" spans="1:3" x14ac:dyDescent="0.25">
      <c r="A868" s="125">
        <f t="shared" si="41"/>
        <v>853</v>
      </c>
      <c r="B868" s="121">
        <f t="shared" ca="1" si="39"/>
        <v>13.25416230514347</v>
      </c>
      <c r="C868" s="128">
        <f t="shared" ca="1" si="40"/>
        <v>0</v>
      </c>
    </row>
    <row r="869" spans="1:3" x14ac:dyDescent="0.25">
      <c r="A869" s="125">
        <f t="shared" si="41"/>
        <v>854</v>
      </c>
      <c r="B869" s="121">
        <f t="shared" ca="1" si="39"/>
        <v>86.78533338054072</v>
      </c>
      <c r="C869" s="128">
        <f t="shared" ca="1" si="40"/>
        <v>1</v>
      </c>
    </row>
    <row r="870" spans="1:3" x14ac:dyDescent="0.25">
      <c r="A870" s="125">
        <f t="shared" si="41"/>
        <v>855</v>
      </c>
      <c r="B870" s="121">
        <f t="shared" ca="1" si="39"/>
        <v>-23.168330748735521</v>
      </c>
      <c r="C870" s="128">
        <f t="shared" ca="1" si="40"/>
        <v>0</v>
      </c>
    </row>
    <row r="871" spans="1:3" x14ac:dyDescent="0.25">
      <c r="A871" s="125">
        <f t="shared" si="41"/>
        <v>856</v>
      </c>
      <c r="B871" s="121">
        <f t="shared" ca="1" si="39"/>
        <v>-17.043194777437293</v>
      </c>
      <c r="C871" s="128">
        <f t="shared" ca="1" si="40"/>
        <v>0</v>
      </c>
    </row>
    <row r="872" spans="1:3" x14ac:dyDescent="0.25">
      <c r="A872" s="125">
        <f t="shared" si="41"/>
        <v>857</v>
      </c>
      <c r="B872" s="121">
        <f t="shared" ca="1" si="39"/>
        <v>-30.871679921488237</v>
      </c>
      <c r="C872" s="128">
        <f t="shared" ca="1" si="40"/>
        <v>0</v>
      </c>
    </row>
    <row r="873" spans="1:3" x14ac:dyDescent="0.25">
      <c r="A873" s="125">
        <f t="shared" si="41"/>
        <v>858</v>
      </c>
      <c r="B873" s="121">
        <f t="shared" ca="1" si="39"/>
        <v>66.989875639049359</v>
      </c>
      <c r="C873" s="128">
        <f t="shared" ca="1" si="40"/>
        <v>1</v>
      </c>
    </row>
    <row r="874" spans="1:3" x14ac:dyDescent="0.25">
      <c r="A874" s="125">
        <f t="shared" si="41"/>
        <v>859</v>
      </c>
      <c r="B874" s="121">
        <f t="shared" ca="1" si="39"/>
        <v>42.447221491214378</v>
      </c>
      <c r="C874" s="128">
        <f t="shared" ca="1" si="40"/>
        <v>1</v>
      </c>
    </row>
    <row r="875" spans="1:3" x14ac:dyDescent="0.25">
      <c r="A875" s="125">
        <f t="shared" si="41"/>
        <v>860</v>
      </c>
      <c r="B875" s="121">
        <f t="shared" ca="1" si="39"/>
        <v>-29.435678133624634</v>
      </c>
      <c r="C875" s="128">
        <f t="shared" ca="1" si="40"/>
        <v>0</v>
      </c>
    </row>
    <row r="876" spans="1:3" x14ac:dyDescent="0.25">
      <c r="A876" s="125">
        <f t="shared" si="41"/>
        <v>861</v>
      </c>
      <c r="B876" s="121">
        <f t="shared" ca="1" si="39"/>
        <v>16.726488832495317</v>
      </c>
      <c r="C876" s="128">
        <f t="shared" ca="1" si="40"/>
        <v>0</v>
      </c>
    </row>
    <row r="877" spans="1:3" x14ac:dyDescent="0.25">
      <c r="A877" s="125">
        <f t="shared" si="41"/>
        <v>862</v>
      </c>
      <c r="B877" s="121">
        <f t="shared" ca="1" si="39"/>
        <v>65.302121254649734</v>
      </c>
      <c r="C877" s="128">
        <f t="shared" ca="1" si="40"/>
        <v>1</v>
      </c>
    </row>
    <row r="878" spans="1:3" x14ac:dyDescent="0.25">
      <c r="A878" s="125">
        <f t="shared" si="41"/>
        <v>863</v>
      </c>
      <c r="B878" s="121">
        <f t="shared" ca="1" si="39"/>
        <v>-5.6200178318719622</v>
      </c>
      <c r="C878" s="128">
        <f t="shared" ca="1" si="40"/>
        <v>0</v>
      </c>
    </row>
    <row r="879" spans="1:3" x14ac:dyDescent="0.25">
      <c r="A879" s="125">
        <f t="shared" si="41"/>
        <v>864</v>
      </c>
      <c r="B879" s="121">
        <f t="shared" ca="1" si="39"/>
        <v>58.775721848341774</v>
      </c>
      <c r="C879" s="128">
        <f t="shared" ca="1" si="40"/>
        <v>1</v>
      </c>
    </row>
    <row r="880" spans="1:3" x14ac:dyDescent="0.25">
      <c r="A880" s="125">
        <f t="shared" si="41"/>
        <v>865</v>
      </c>
      <c r="B880" s="121">
        <f t="shared" ca="1" si="39"/>
        <v>35.585663699525057</v>
      </c>
      <c r="C880" s="128">
        <f t="shared" ca="1" si="40"/>
        <v>1</v>
      </c>
    </row>
    <row r="881" spans="1:3" x14ac:dyDescent="0.25">
      <c r="A881" s="125">
        <f t="shared" si="41"/>
        <v>866</v>
      </c>
      <c r="B881" s="121">
        <f t="shared" ca="1" si="39"/>
        <v>36.378926996532385</v>
      </c>
      <c r="C881" s="128">
        <f t="shared" ca="1" si="40"/>
        <v>1</v>
      </c>
    </row>
    <row r="882" spans="1:3" x14ac:dyDescent="0.25">
      <c r="A882" s="125">
        <f t="shared" si="41"/>
        <v>867</v>
      </c>
      <c r="B882" s="121">
        <f t="shared" ca="1" si="39"/>
        <v>-23.877416125342599</v>
      </c>
      <c r="C882" s="128">
        <f t="shared" ca="1" si="40"/>
        <v>0</v>
      </c>
    </row>
    <row r="883" spans="1:3" x14ac:dyDescent="0.25">
      <c r="A883" s="125">
        <f t="shared" si="41"/>
        <v>868</v>
      </c>
      <c r="B883" s="121">
        <f t="shared" ca="1" si="39"/>
        <v>46.568276956367981</v>
      </c>
      <c r="C883" s="128">
        <f t="shared" ca="1" si="40"/>
        <v>1</v>
      </c>
    </row>
    <row r="884" spans="1:3" x14ac:dyDescent="0.25">
      <c r="A884" s="125">
        <f t="shared" si="41"/>
        <v>869</v>
      </c>
      <c r="B884" s="121">
        <f t="shared" ca="1" si="39"/>
        <v>73.377771713611594</v>
      </c>
      <c r="C884" s="128">
        <f t="shared" ca="1" si="40"/>
        <v>1</v>
      </c>
    </row>
    <row r="885" spans="1:3" x14ac:dyDescent="0.25">
      <c r="A885" s="125">
        <f t="shared" si="41"/>
        <v>870</v>
      </c>
      <c r="B885" s="121">
        <f t="shared" ca="1" si="39"/>
        <v>41.160457209608239</v>
      </c>
      <c r="C885" s="128">
        <f t="shared" ca="1" si="40"/>
        <v>1</v>
      </c>
    </row>
    <row r="886" spans="1:3" x14ac:dyDescent="0.25">
      <c r="A886" s="125">
        <f t="shared" si="41"/>
        <v>871</v>
      </c>
      <c r="B886" s="121">
        <f t="shared" ca="1" si="39"/>
        <v>105.7359598966647</v>
      </c>
      <c r="C886" s="128">
        <f t="shared" ca="1" si="40"/>
        <v>1</v>
      </c>
    </row>
    <row r="887" spans="1:3" x14ac:dyDescent="0.25">
      <c r="A887" s="125">
        <f t="shared" si="41"/>
        <v>872</v>
      </c>
      <c r="B887" s="121">
        <f t="shared" ca="1" si="39"/>
        <v>86.499894421713805</v>
      </c>
      <c r="C887" s="128">
        <f t="shared" ca="1" si="40"/>
        <v>1</v>
      </c>
    </row>
    <row r="888" spans="1:3" x14ac:dyDescent="0.25">
      <c r="A888" s="125">
        <f t="shared" si="41"/>
        <v>873</v>
      </c>
      <c r="B888" s="121">
        <f t="shared" ca="1" si="39"/>
        <v>0.45158133939288092</v>
      </c>
      <c r="C888" s="128">
        <f t="shared" ca="1" si="40"/>
        <v>0</v>
      </c>
    </row>
    <row r="889" spans="1:3" x14ac:dyDescent="0.25">
      <c r="A889" s="125">
        <f t="shared" si="41"/>
        <v>874</v>
      </c>
      <c r="B889" s="121">
        <f t="shared" ca="1" si="39"/>
        <v>41.16782498089345</v>
      </c>
      <c r="C889" s="128">
        <f t="shared" ca="1" si="40"/>
        <v>1</v>
      </c>
    </row>
    <row r="890" spans="1:3" x14ac:dyDescent="0.25">
      <c r="A890" s="125">
        <f t="shared" si="41"/>
        <v>875</v>
      </c>
      <c r="B890" s="121">
        <f t="shared" ca="1" si="39"/>
        <v>95.631061516210167</v>
      </c>
      <c r="C890" s="128">
        <f t="shared" ca="1" si="40"/>
        <v>1</v>
      </c>
    </row>
    <row r="891" spans="1:3" x14ac:dyDescent="0.25">
      <c r="A891" s="125">
        <f t="shared" si="41"/>
        <v>876</v>
      </c>
      <c r="B891" s="121">
        <f t="shared" ca="1" si="39"/>
        <v>-19.084607347799555</v>
      </c>
      <c r="C891" s="128">
        <f t="shared" ca="1" si="40"/>
        <v>0</v>
      </c>
    </row>
    <row r="892" spans="1:3" x14ac:dyDescent="0.25">
      <c r="A892" s="125">
        <f t="shared" si="41"/>
        <v>877</v>
      </c>
      <c r="B892" s="121">
        <f t="shared" ca="1" si="39"/>
        <v>37.853662177363695</v>
      </c>
      <c r="C892" s="128">
        <f t="shared" ca="1" si="40"/>
        <v>1</v>
      </c>
    </row>
    <row r="893" spans="1:3" x14ac:dyDescent="0.25">
      <c r="A893" s="125">
        <f t="shared" si="41"/>
        <v>878</v>
      </c>
      <c r="B893" s="121">
        <f t="shared" ca="1" si="39"/>
        <v>-6.0538608346061125</v>
      </c>
      <c r="C893" s="128">
        <f t="shared" ca="1" si="40"/>
        <v>0</v>
      </c>
    </row>
    <row r="894" spans="1:3" x14ac:dyDescent="0.25">
      <c r="A894" s="125">
        <f t="shared" si="41"/>
        <v>879</v>
      </c>
      <c r="B894" s="121">
        <f t="shared" ca="1" si="39"/>
        <v>18.090385990153774</v>
      </c>
      <c r="C894" s="128">
        <f t="shared" ca="1" si="40"/>
        <v>0</v>
      </c>
    </row>
    <row r="895" spans="1:3" x14ac:dyDescent="0.25">
      <c r="A895" s="125">
        <f t="shared" si="41"/>
        <v>880</v>
      </c>
      <c r="B895" s="121">
        <f t="shared" ca="1" si="39"/>
        <v>78.963579464199228</v>
      </c>
      <c r="C895" s="128">
        <f t="shared" ca="1" si="40"/>
        <v>1</v>
      </c>
    </row>
    <row r="896" spans="1:3" x14ac:dyDescent="0.25">
      <c r="A896" s="125">
        <f t="shared" si="41"/>
        <v>881</v>
      </c>
      <c r="B896" s="121">
        <f t="shared" ca="1" si="39"/>
        <v>116.24936754203816</v>
      </c>
      <c r="C896" s="128">
        <f t="shared" ca="1" si="40"/>
        <v>1</v>
      </c>
    </row>
    <row r="897" spans="1:3" x14ac:dyDescent="0.25">
      <c r="A897" s="125">
        <f t="shared" si="41"/>
        <v>882</v>
      </c>
      <c r="B897" s="121">
        <f t="shared" ca="1" si="39"/>
        <v>46.150671597341017</v>
      </c>
      <c r="C897" s="128">
        <f t="shared" ca="1" si="40"/>
        <v>1</v>
      </c>
    </row>
    <row r="898" spans="1:3" x14ac:dyDescent="0.25">
      <c r="A898" s="125">
        <f t="shared" si="41"/>
        <v>883</v>
      </c>
      <c r="B898" s="121">
        <f t="shared" ca="1" si="39"/>
        <v>20.309753696750235</v>
      </c>
      <c r="C898" s="128">
        <f t="shared" ca="1" si="40"/>
        <v>0</v>
      </c>
    </row>
    <row r="899" spans="1:3" x14ac:dyDescent="0.25">
      <c r="A899" s="125">
        <f t="shared" si="41"/>
        <v>884</v>
      </c>
      <c r="B899" s="121">
        <f t="shared" ca="1" si="39"/>
        <v>79.967267220536016</v>
      </c>
      <c r="C899" s="128">
        <f t="shared" ca="1" si="40"/>
        <v>1</v>
      </c>
    </row>
    <row r="900" spans="1:3" x14ac:dyDescent="0.25">
      <c r="A900" s="125">
        <f t="shared" si="41"/>
        <v>885</v>
      </c>
      <c r="B900" s="121">
        <f t="shared" ca="1" si="39"/>
        <v>59.159857876528619</v>
      </c>
      <c r="C900" s="128">
        <f t="shared" ca="1" si="40"/>
        <v>1</v>
      </c>
    </row>
    <row r="901" spans="1:3" x14ac:dyDescent="0.25">
      <c r="A901" s="125">
        <f t="shared" si="41"/>
        <v>886</v>
      </c>
      <c r="B901" s="121">
        <f t="shared" ca="1" si="39"/>
        <v>89.941408576075503</v>
      </c>
      <c r="C901" s="128">
        <f t="shared" ca="1" si="40"/>
        <v>1</v>
      </c>
    </row>
    <row r="902" spans="1:3" x14ac:dyDescent="0.25">
      <c r="A902" s="125">
        <f t="shared" si="41"/>
        <v>887</v>
      </c>
      <c r="B902" s="121">
        <f t="shared" ca="1" si="39"/>
        <v>-69.285471161539789</v>
      </c>
      <c r="C902" s="128">
        <f t="shared" ca="1" si="40"/>
        <v>0</v>
      </c>
    </row>
    <row r="903" spans="1:3" x14ac:dyDescent="0.25">
      <c r="A903" s="125">
        <f t="shared" si="41"/>
        <v>888</v>
      </c>
      <c r="B903" s="121">
        <f t="shared" ca="1" si="39"/>
        <v>33.90481240502853</v>
      </c>
      <c r="C903" s="128">
        <f t="shared" ca="1" si="40"/>
        <v>1</v>
      </c>
    </row>
    <row r="904" spans="1:3" x14ac:dyDescent="0.25">
      <c r="A904" s="125">
        <f t="shared" si="41"/>
        <v>889</v>
      </c>
      <c r="B904" s="121">
        <f t="shared" ca="1" si="39"/>
        <v>91.434044441465943</v>
      </c>
      <c r="C904" s="128">
        <f t="shared" ca="1" si="40"/>
        <v>1</v>
      </c>
    </row>
    <row r="905" spans="1:3" x14ac:dyDescent="0.25">
      <c r="A905" s="125">
        <f t="shared" si="41"/>
        <v>890</v>
      </c>
      <c r="B905" s="121">
        <f t="shared" ca="1" si="39"/>
        <v>-6.3801570841771138</v>
      </c>
      <c r="C905" s="128">
        <f t="shared" ca="1" si="40"/>
        <v>0</v>
      </c>
    </row>
    <row r="906" spans="1:3" x14ac:dyDescent="0.25">
      <c r="A906" s="125">
        <f t="shared" si="41"/>
        <v>891</v>
      </c>
      <c r="B906" s="121">
        <f t="shared" ca="1" si="39"/>
        <v>81.986912954157006</v>
      </c>
      <c r="C906" s="128">
        <f t="shared" ca="1" si="40"/>
        <v>1</v>
      </c>
    </row>
    <row r="907" spans="1:3" x14ac:dyDescent="0.25">
      <c r="A907" s="125">
        <f t="shared" si="41"/>
        <v>892</v>
      </c>
      <c r="B907" s="121">
        <f t="shared" ca="1" si="39"/>
        <v>91.487786657457619</v>
      </c>
      <c r="C907" s="128">
        <f t="shared" ca="1" si="40"/>
        <v>1</v>
      </c>
    </row>
    <row r="908" spans="1:3" x14ac:dyDescent="0.25">
      <c r="A908" s="125">
        <f t="shared" si="41"/>
        <v>893</v>
      </c>
      <c r="B908" s="121">
        <f t="shared" ca="1" si="39"/>
        <v>124.11651470514046</v>
      </c>
      <c r="C908" s="128">
        <f t="shared" ca="1" si="40"/>
        <v>1</v>
      </c>
    </row>
    <row r="909" spans="1:3" x14ac:dyDescent="0.25">
      <c r="A909" s="125">
        <f t="shared" si="41"/>
        <v>894</v>
      </c>
      <c r="B909" s="121">
        <f t="shared" ca="1" si="39"/>
        <v>121.59256286970354</v>
      </c>
      <c r="C909" s="128">
        <f t="shared" ca="1" si="40"/>
        <v>1</v>
      </c>
    </row>
    <row r="910" spans="1:3" x14ac:dyDescent="0.25">
      <c r="A910" s="125">
        <f t="shared" si="41"/>
        <v>895</v>
      </c>
      <c r="B910" s="121">
        <f t="shared" ca="1" si="39"/>
        <v>90.832628132831559</v>
      </c>
      <c r="C910" s="128">
        <f t="shared" ca="1" si="40"/>
        <v>1</v>
      </c>
    </row>
    <row r="911" spans="1:3" x14ac:dyDescent="0.25">
      <c r="A911" s="125">
        <f t="shared" si="41"/>
        <v>896</v>
      </c>
      <c r="B911" s="121">
        <f t="shared" ca="1" si="39"/>
        <v>1.19535597172964</v>
      </c>
      <c r="C911" s="128">
        <f t="shared" ca="1" si="40"/>
        <v>0</v>
      </c>
    </row>
    <row r="912" spans="1:3" x14ac:dyDescent="0.25">
      <c r="A912" s="125">
        <f t="shared" si="41"/>
        <v>897</v>
      </c>
      <c r="B912" s="121">
        <f t="shared" ca="1" si="39"/>
        <v>75.15205451835115</v>
      </c>
      <c r="C912" s="128">
        <f t="shared" ca="1" si="40"/>
        <v>1</v>
      </c>
    </row>
    <row r="913" spans="1:3" x14ac:dyDescent="0.25">
      <c r="A913" s="125">
        <f t="shared" si="41"/>
        <v>898</v>
      </c>
      <c r="B913" s="121">
        <f t="shared" ref="B913:B976" ca="1" si="42">_xlfn.NORM.INV(RAND(), $B$9, $B$10)</f>
        <v>-53.534402211567169</v>
      </c>
      <c r="C913" s="128">
        <f t="shared" ref="C913:C976" ca="1" si="43">IF(B913 &gt;= $B$11, 1, 0)</f>
        <v>0</v>
      </c>
    </row>
    <row r="914" spans="1:3" x14ac:dyDescent="0.25">
      <c r="A914" s="125">
        <f t="shared" ref="A914:A977" si="44">+A913+1</f>
        <v>899</v>
      </c>
      <c r="B914" s="121">
        <f t="shared" ca="1" si="42"/>
        <v>17.06794409692812</v>
      </c>
      <c r="C914" s="128">
        <f t="shared" ca="1" si="43"/>
        <v>0</v>
      </c>
    </row>
    <row r="915" spans="1:3" x14ac:dyDescent="0.25">
      <c r="A915" s="125">
        <f t="shared" si="44"/>
        <v>900</v>
      </c>
      <c r="B915" s="121">
        <f t="shared" ca="1" si="42"/>
        <v>-68.609238437930017</v>
      </c>
      <c r="C915" s="128">
        <f t="shared" ca="1" si="43"/>
        <v>0</v>
      </c>
    </row>
    <row r="916" spans="1:3" x14ac:dyDescent="0.25">
      <c r="A916" s="125">
        <f t="shared" si="44"/>
        <v>901</v>
      </c>
      <c r="B916" s="121">
        <f t="shared" ca="1" si="42"/>
        <v>-16.877910311158217</v>
      </c>
      <c r="C916" s="128">
        <f t="shared" ca="1" si="43"/>
        <v>0</v>
      </c>
    </row>
    <row r="917" spans="1:3" x14ac:dyDescent="0.25">
      <c r="A917" s="125">
        <f t="shared" si="44"/>
        <v>902</v>
      </c>
      <c r="B917" s="121">
        <f t="shared" ca="1" si="42"/>
        <v>29.536873026045047</v>
      </c>
      <c r="C917" s="128">
        <f t="shared" ca="1" si="43"/>
        <v>1</v>
      </c>
    </row>
    <row r="918" spans="1:3" x14ac:dyDescent="0.25">
      <c r="A918" s="125">
        <f t="shared" si="44"/>
        <v>903</v>
      </c>
      <c r="B918" s="121">
        <f t="shared" ca="1" si="42"/>
        <v>99.086819560747472</v>
      </c>
      <c r="C918" s="128">
        <f t="shared" ca="1" si="43"/>
        <v>1</v>
      </c>
    </row>
    <row r="919" spans="1:3" x14ac:dyDescent="0.25">
      <c r="A919" s="125">
        <f t="shared" si="44"/>
        <v>904</v>
      </c>
      <c r="B919" s="121">
        <f t="shared" ca="1" si="42"/>
        <v>86.359169566749173</v>
      </c>
      <c r="C919" s="128">
        <f t="shared" ca="1" si="43"/>
        <v>1</v>
      </c>
    </row>
    <row r="920" spans="1:3" x14ac:dyDescent="0.25">
      <c r="A920" s="125">
        <f t="shared" si="44"/>
        <v>905</v>
      </c>
      <c r="B920" s="121">
        <f t="shared" ca="1" si="42"/>
        <v>14.779045397768673</v>
      </c>
      <c r="C920" s="128">
        <f t="shared" ca="1" si="43"/>
        <v>0</v>
      </c>
    </row>
    <row r="921" spans="1:3" x14ac:dyDescent="0.25">
      <c r="A921" s="125">
        <f t="shared" si="44"/>
        <v>906</v>
      </c>
      <c r="B921" s="121">
        <f t="shared" ca="1" si="42"/>
        <v>18.38359663522078</v>
      </c>
      <c r="C921" s="128">
        <f t="shared" ca="1" si="43"/>
        <v>0</v>
      </c>
    </row>
    <row r="922" spans="1:3" x14ac:dyDescent="0.25">
      <c r="A922" s="125">
        <f t="shared" si="44"/>
        <v>907</v>
      </c>
      <c r="B922" s="121">
        <f t="shared" ca="1" si="42"/>
        <v>75.607403081872746</v>
      </c>
      <c r="C922" s="128">
        <f t="shared" ca="1" si="43"/>
        <v>1</v>
      </c>
    </row>
    <row r="923" spans="1:3" x14ac:dyDescent="0.25">
      <c r="A923" s="125">
        <f t="shared" si="44"/>
        <v>908</v>
      </c>
      <c r="B923" s="121">
        <f t="shared" ca="1" si="42"/>
        <v>43.327406226921802</v>
      </c>
      <c r="C923" s="128">
        <f t="shared" ca="1" si="43"/>
        <v>1</v>
      </c>
    </row>
    <row r="924" spans="1:3" x14ac:dyDescent="0.25">
      <c r="A924" s="125">
        <f t="shared" si="44"/>
        <v>909</v>
      </c>
      <c r="B924" s="121">
        <f t="shared" ca="1" si="42"/>
        <v>10.049237278318213</v>
      </c>
      <c r="C924" s="128">
        <f t="shared" ca="1" si="43"/>
        <v>0</v>
      </c>
    </row>
    <row r="925" spans="1:3" x14ac:dyDescent="0.25">
      <c r="A925" s="125">
        <f t="shared" si="44"/>
        <v>910</v>
      </c>
      <c r="B925" s="121">
        <f t="shared" ca="1" si="42"/>
        <v>-37.254770225425588</v>
      </c>
      <c r="C925" s="128">
        <f t="shared" ca="1" si="43"/>
        <v>0</v>
      </c>
    </row>
    <row r="926" spans="1:3" x14ac:dyDescent="0.25">
      <c r="A926" s="125">
        <f t="shared" si="44"/>
        <v>911</v>
      </c>
      <c r="B926" s="121">
        <f t="shared" ca="1" si="42"/>
        <v>-40.796675721703096</v>
      </c>
      <c r="C926" s="128">
        <f t="shared" ca="1" si="43"/>
        <v>0</v>
      </c>
    </row>
    <row r="927" spans="1:3" x14ac:dyDescent="0.25">
      <c r="A927" s="125">
        <f t="shared" si="44"/>
        <v>912</v>
      </c>
      <c r="B927" s="121">
        <f t="shared" ca="1" si="42"/>
        <v>61.109589284109617</v>
      </c>
      <c r="C927" s="128">
        <f t="shared" ca="1" si="43"/>
        <v>1</v>
      </c>
    </row>
    <row r="928" spans="1:3" x14ac:dyDescent="0.25">
      <c r="A928" s="125">
        <f t="shared" si="44"/>
        <v>913</v>
      </c>
      <c r="B928" s="121">
        <f t="shared" ca="1" si="42"/>
        <v>11.846510775030001</v>
      </c>
      <c r="C928" s="128">
        <f t="shared" ca="1" si="43"/>
        <v>0</v>
      </c>
    </row>
    <row r="929" spans="1:3" x14ac:dyDescent="0.25">
      <c r="A929" s="125">
        <f t="shared" si="44"/>
        <v>914</v>
      </c>
      <c r="B929" s="121">
        <f t="shared" ca="1" si="42"/>
        <v>77.158941841669616</v>
      </c>
      <c r="C929" s="128">
        <f t="shared" ca="1" si="43"/>
        <v>1</v>
      </c>
    </row>
    <row r="930" spans="1:3" x14ac:dyDescent="0.25">
      <c r="A930" s="125">
        <f t="shared" si="44"/>
        <v>915</v>
      </c>
      <c r="B930" s="121">
        <f t="shared" ca="1" si="42"/>
        <v>61.056705146391529</v>
      </c>
      <c r="C930" s="128">
        <f t="shared" ca="1" si="43"/>
        <v>1</v>
      </c>
    </row>
    <row r="931" spans="1:3" x14ac:dyDescent="0.25">
      <c r="A931" s="125">
        <f t="shared" si="44"/>
        <v>916</v>
      </c>
      <c r="B931" s="121">
        <f t="shared" ca="1" si="42"/>
        <v>-27.488102340941531</v>
      </c>
      <c r="C931" s="128">
        <f t="shared" ca="1" si="43"/>
        <v>0</v>
      </c>
    </row>
    <row r="932" spans="1:3" x14ac:dyDescent="0.25">
      <c r="A932" s="125">
        <f t="shared" si="44"/>
        <v>917</v>
      </c>
      <c r="B932" s="121">
        <f t="shared" ca="1" si="42"/>
        <v>94.958295566382347</v>
      </c>
      <c r="C932" s="128">
        <f t="shared" ca="1" si="43"/>
        <v>1</v>
      </c>
    </row>
    <row r="933" spans="1:3" x14ac:dyDescent="0.25">
      <c r="A933" s="125">
        <f t="shared" si="44"/>
        <v>918</v>
      </c>
      <c r="B933" s="121">
        <f t="shared" ca="1" si="42"/>
        <v>-0.16744702195979499</v>
      </c>
      <c r="C933" s="128">
        <f t="shared" ca="1" si="43"/>
        <v>0</v>
      </c>
    </row>
    <row r="934" spans="1:3" x14ac:dyDescent="0.25">
      <c r="A934" s="125">
        <f t="shared" si="44"/>
        <v>919</v>
      </c>
      <c r="B934" s="121">
        <f t="shared" ca="1" si="42"/>
        <v>117.77810305740789</v>
      </c>
      <c r="C934" s="128">
        <f t="shared" ca="1" si="43"/>
        <v>1</v>
      </c>
    </row>
    <row r="935" spans="1:3" x14ac:dyDescent="0.25">
      <c r="A935" s="125">
        <f t="shared" si="44"/>
        <v>920</v>
      </c>
      <c r="B935" s="121">
        <f t="shared" ca="1" si="42"/>
        <v>75.661983850774362</v>
      </c>
      <c r="C935" s="128">
        <f t="shared" ca="1" si="43"/>
        <v>1</v>
      </c>
    </row>
    <row r="936" spans="1:3" x14ac:dyDescent="0.25">
      <c r="A936" s="125">
        <f t="shared" si="44"/>
        <v>921</v>
      </c>
      <c r="B936" s="121">
        <f t="shared" ca="1" si="42"/>
        <v>108.26135580734451</v>
      </c>
      <c r="C936" s="128">
        <f t="shared" ca="1" si="43"/>
        <v>1</v>
      </c>
    </row>
    <row r="937" spans="1:3" x14ac:dyDescent="0.25">
      <c r="A937" s="125">
        <f t="shared" si="44"/>
        <v>922</v>
      </c>
      <c r="B937" s="121">
        <f t="shared" ca="1" si="42"/>
        <v>138.18958966104367</v>
      </c>
      <c r="C937" s="128">
        <f t="shared" ca="1" si="43"/>
        <v>1</v>
      </c>
    </row>
    <row r="938" spans="1:3" x14ac:dyDescent="0.25">
      <c r="A938" s="125">
        <f t="shared" si="44"/>
        <v>923</v>
      </c>
      <c r="B938" s="121">
        <f t="shared" ca="1" si="42"/>
        <v>56.64330892415628</v>
      </c>
      <c r="C938" s="128">
        <f t="shared" ca="1" si="43"/>
        <v>1</v>
      </c>
    </row>
    <row r="939" spans="1:3" x14ac:dyDescent="0.25">
      <c r="A939" s="125">
        <f t="shared" si="44"/>
        <v>924</v>
      </c>
      <c r="B939" s="121">
        <f t="shared" ca="1" si="42"/>
        <v>163.45874447678446</v>
      </c>
      <c r="C939" s="128">
        <f t="shared" ca="1" si="43"/>
        <v>1</v>
      </c>
    </row>
    <row r="940" spans="1:3" x14ac:dyDescent="0.25">
      <c r="A940" s="125">
        <f t="shared" si="44"/>
        <v>925</v>
      </c>
      <c r="B940" s="121">
        <f t="shared" ca="1" si="42"/>
        <v>142.38533849249868</v>
      </c>
      <c r="C940" s="128">
        <f t="shared" ca="1" si="43"/>
        <v>1</v>
      </c>
    </row>
    <row r="941" spans="1:3" x14ac:dyDescent="0.25">
      <c r="A941" s="125">
        <f t="shared" si="44"/>
        <v>926</v>
      </c>
      <c r="B941" s="121">
        <f t="shared" ca="1" si="42"/>
        <v>10.919709560987837</v>
      </c>
      <c r="C941" s="128">
        <f t="shared" ca="1" si="43"/>
        <v>0</v>
      </c>
    </row>
    <row r="942" spans="1:3" x14ac:dyDescent="0.25">
      <c r="A942" s="125">
        <f t="shared" si="44"/>
        <v>927</v>
      </c>
      <c r="B942" s="121">
        <f t="shared" ca="1" si="42"/>
        <v>-29.439743083617643</v>
      </c>
      <c r="C942" s="128">
        <f t="shared" ca="1" si="43"/>
        <v>0</v>
      </c>
    </row>
    <row r="943" spans="1:3" x14ac:dyDescent="0.25">
      <c r="A943" s="125">
        <f t="shared" si="44"/>
        <v>928</v>
      </c>
      <c r="B943" s="121">
        <f t="shared" ca="1" si="42"/>
        <v>33.612775209995981</v>
      </c>
      <c r="C943" s="128">
        <f t="shared" ca="1" si="43"/>
        <v>1</v>
      </c>
    </row>
    <row r="944" spans="1:3" x14ac:dyDescent="0.25">
      <c r="A944" s="125">
        <f t="shared" si="44"/>
        <v>929</v>
      </c>
      <c r="B944" s="121">
        <f t="shared" ca="1" si="42"/>
        <v>27.610329590344303</v>
      </c>
      <c r="C944" s="128">
        <f t="shared" ca="1" si="43"/>
        <v>1</v>
      </c>
    </row>
    <row r="945" spans="1:3" x14ac:dyDescent="0.25">
      <c r="A945" s="125">
        <f t="shared" si="44"/>
        <v>930</v>
      </c>
      <c r="B945" s="121">
        <f t="shared" ca="1" si="42"/>
        <v>-35.913467543465885</v>
      </c>
      <c r="C945" s="128">
        <f t="shared" ca="1" si="43"/>
        <v>0</v>
      </c>
    </row>
    <row r="946" spans="1:3" x14ac:dyDescent="0.25">
      <c r="A946" s="125">
        <f t="shared" si="44"/>
        <v>931</v>
      </c>
      <c r="B946" s="121">
        <f t="shared" ca="1" si="42"/>
        <v>82.218512147441658</v>
      </c>
      <c r="C946" s="128">
        <f t="shared" ca="1" si="43"/>
        <v>1</v>
      </c>
    </row>
    <row r="947" spans="1:3" x14ac:dyDescent="0.25">
      <c r="A947" s="125">
        <f t="shared" si="44"/>
        <v>932</v>
      </c>
      <c r="B947" s="121">
        <f t="shared" ca="1" si="42"/>
        <v>94.796430773745954</v>
      </c>
      <c r="C947" s="128">
        <f t="shared" ca="1" si="43"/>
        <v>1</v>
      </c>
    </row>
    <row r="948" spans="1:3" x14ac:dyDescent="0.25">
      <c r="A948" s="125">
        <f t="shared" si="44"/>
        <v>933</v>
      </c>
      <c r="B948" s="121">
        <f t="shared" ca="1" si="42"/>
        <v>70.756764046355897</v>
      </c>
      <c r="C948" s="128">
        <f t="shared" ca="1" si="43"/>
        <v>1</v>
      </c>
    </row>
    <row r="949" spans="1:3" x14ac:dyDescent="0.25">
      <c r="A949" s="125">
        <f t="shared" si="44"/>
        <v>934</v>
      </c>
      <c r="B949" s="121">
        <f t="shared" ca="1" si="42"/>
        <v>-11.452645851792859</v>
      </c>
      <c r="C949" s="128">
        <f t="shared" ca="1" si="43"/>
        <v>0</v>
      </c>
    </row>
    <row r="950" spans="1:3" x14ac:dyDescent="0.25">
      <c r="A950" s="125">
        <f t="shared" si="44"/>
        <v>935</v>
      </c>
      <c r="B950" s="121">
        <f t="shared" ca="1" si="42"/>
        <v>20.784652402073291</v>
      </c>
      <c r="C950" s="128">
        <f t="shared" ca="1" si="43"/>
        <v>0</v>
      </c>
    </row>
    <row r="951" spans="1:3" x14ac:dyDescent="0.25">
      <c r="A951" s="125">
        <f t="shared" si="44"/>
        <v>936</v>
      </c>
      <c r="B951" s="121">
        <f t="shared" ca="1" si="42"/>
        <v>46.736601325043011</v>
      </c>
      <c r="C951" s="128">
        <f t="shared" ca="1" si="43"/>
        <v>1</v>
      </c>
    </row>
    <row r="952" spans="1:3" x14ac:dyDescent="0.25">
      <c r="A952" s="125">
        <f t="shared" si="44"/>
        <v>937</v>
      </c>
      <c r="B952" s="121">
        <f t="shared" ca="1" si="42"/>
        <v>54.38592147349393</v>
      </c>
      <c r="C952" s="128">
        <f t="shared" ca="1" si="43"/>
        <v>1</v>
      </c>
    </row>
    <row r="953" spans="1:3" x14ac:dyDescent="0.25">
      <c r="A953" s="125">
        <f t="shared" si="44"/>
        <v>938</v>
      </c>
      <c r="B953" s="121">
        <f t="shared" ca="1" si="42"/>
        <v>96.196754012770583</v>
      </c>
      <c r="C953" s="128">
        <f t="shared" ca="1" si="43"/>
        <v>1</v>
      </c>
    </row>
    <row r="954" spans="1:3" x14ac:dyDescent="0.25">
      <c r="A954" s="125">
        <f t="shared" si="44"/>
        <v>939</v>
      </c>
      <c r="B954" s="121">
        <f t="shared" ca="1" si="42"/>
        <v>65.087972594970637</v>
      </c>
      <c r="C954" s="128">
        <f t="shared" ca="1" si="43"/>
        <v>1</v>
      </c>
    </row>
    <row r="955" spans="1:3" x14ac:dyDescent="0.25">
      <c r="A955" s="125">
        <f t="shared" si="44"/>
        <v>940</v>
      </c>
      <c r="B955" s="121">
        <f t="shared" ca="1" si="42"/>
        <v>62.86375485648729</v>
      </c>
      <c r="C955" s="128">
        <f t="shared" ca="1" si="43"/>
        <v>1</v>
      </c>
    </row>
    <row r="956" spans="1:3" x14ac:dyDescent="0.25">
      <c r="A956" s="125">
        <f t="shared" si="44"/>
        <v>941</v>
      </c>
      <c r="B956" s="121">
        <f t="shared" ca="1" si="42"/>
        <v>49.452915953455786</v>
      </c>
      <c r="C956" s="128">
        <f t="shared" ca="1" si="43"/>
        <v>1</v>
      </c>
    </row>
    <row r="957" spans="1:3" x14ac:dyDescent="0.25">
      <c r="A957" s="125">
        <f t="shared" si="44"/>
        <v>942</v>
      </c>
      <c r="B957" s="121">
        <f t="shared" ca="1" si="42"/>
        <v>93.271348388697234</v>
      </c>
      <c r="C957" s="128">
        <f t="shared" ca="1" si="43"/>
        <v>1</v>
      </c>
    </row>
    <row r="958" spans="1:3" x14ac:dyDescent="0.25">
      <c r="A958" s="125">
        <f t="shared" si="44"/>
        <v>943</v>
      </c>
      <c r="B958" s="121">
        <f t="shared" ca="1" si="42"/>
        <v>-11.27238755140646</v>
      </c>
      <c r="C958" s="128">
        <f t="shared" ca="1" si="43"/>
        <v>0</v>
      </c>
    </row>
    <row r="959" spans="1:3" x14ac:dyDescent="0.25">
      <c r="A959" s="125">
        <f t="shared" si="44"/>
        <v>944</v>
      </c>
      <c r="B959" s="121">
        <f t="shared" ca="1" si="42"/>
        <v>119.71875424724141</v>
      </c>
      <c r="C959" s="128">
        <f t="shared" ca="1" si="43"/>
        <v>1</v>
      </c>
    </row>
    <row r="960" spans="1:3" x14ac:dyDescent="0.25">
      <c r="A960" s="125">
        <f t="shared" si="44"/>
        <v>945</v>
      </c>
      <c r="B960" s="121">
        <f t="shared" ca="1" si="42"/>
        <v>38.683324241628874</v>
      </c>
      <c r="C960" s="128">
        <f t="shared" ca="1" si="43"/>
        <v>1</v>
      </c>
    </row>
    <row r="961" spans="1:3" x14ac:dyDescent="0.25">
      <c r="A961" s="125">
        <f t="shared" si="44"/>
        <v>946</v>
      </c>
      <c r="B961" s="121">
        <f t="shared" ca="1" si="42"/>
        <v>-50.200197938793906</v>
      </c>
      <c r="C961" s="128">
        <f t="shared" ca="1" si="43"/>
        <v>0</v>
      </c>
    </row>
    <row r="962" spans="1:3" x14ac:dyDescent="0.25">
      <c r="A962" s="125">
        <f t="shared" si="44"/>
        <v>947</v>
      </c>
      <c r="B962" s="121">
        <f t="shared" ca="1" si="42"/>
        <v>-20.902569616887675</v>
      </c>
      <c r="C962" s="128">
        <f t="shared" ca="1" si="43"/>
        <v>0</v>
      </c>
    </row>
    <row r="963" spans="1:3" x14ac:dyDescent="0.25">
      <c r="A963" s="125">
        <f t="shared" si="44"/>
        <v>948</v>
      </c>
      <c r="B963" s="121">
        <f t="shared" ca="1" si="42"/>
        <v>71.613997239252654</v>
      </c>
      <c r="C963" s="128">
        <f t="shared" ca="1" si="43"/>
        <v>1</v>
      </c>
    </row>
    <row r="964" spans="1:3" x14ac:dyDescent="0.25">
      <c r="A964" s="125">
        <f t="shared" si="44"/>
        <v>949</v>
      </c>
      <c r="B964" s="121">
        <f t="shared" ca="1" si="42"/>
        <v>66.502188804570864</v>
      </c>
      <c r="C964" s="128">
        <f t="shared" ca="1" si="43"/>
        <v>1</v>
      </c>
    </row>
    <row r="965" spans="1:3" x14ac:dyDescent="0.25">
      <c r="A965" s="125">
        <f t="shared" si="44"/>
        <v>950</v>
      </c>
      <c r="B965" s="121">
        <f t="shared" ca="1" si="42"/>
        <v>-60.014645604538401</v>
      </c>
      <c r="C965" s="128">
        <f t="shared" ca="1" si="43"/>
        <v>0</v>
      </c>
    </row>
    <row r="966" spans="1:3" x14ac:dyDescent="0.25">
      <c r="A966" s="125">
        <f t="shared" si="44"/>
        <v>951</v>
      </c>
      <c r="B966" s="121">
        <f t="shared" ca="1" si="42"/>
        <v>-19.830286860268949</v>
      </c>
      <c r="C966" s="128">
        <f t="shared" ca="1" si="43"/>
        <v>0</v>
      </c>
    </row>
    <row r="967" spans="1:3" x14ac:dyDescent="0.25">
      <c r="A967" s="125">
        <f t="shared" si="44"/>
        <v>952</v>
      </c>
      <c r="B967" s="121">
        <f t="shared" ca="1" si="42"/>
        <v>-21.146017153222552</v>
      </c>
      <c r="C967" s="128">
        <f t="shared" ca="1" si="43"/>
        <v>0</v>
      </c>
    </row>
    <row r="968" spans="1:3" x14ac:dyDescent="0.25">
      <c r="A968" s="125">
        <f t="shared" si="44"/>
        <v>953</v>
      </c>
      <c r="B968" s="121">
        <f t="shared" ca="1" si="42"/>
        <v>29.112865445664973</v>
      </c>
      <c r="C968" s="128">
        <f t="shared" ca="1" si="43"/>
        <v>1</v>
      </c>
    </row>
    <row r="969" spans="1:3" x14ac:dyDescent="0.25">
      <c r="A969" s="125">
        <f t="shared" si="44"/>
        <v>954</v>
      </c>
      <c r="B969" s="121">
        <f t="shared" ca="1" si="42"/>
        <v>0.57785630508373487</v>
      </c>
      <c r="C969" s="128">
        <f t="shared" ca="1" si="43"/>
        <v>0</v>
      </c>
    </row>
    <row r="970" spans="1:3" x14ac:dyDescent="0.25">
      <c r="A970" s="125">
        <f t="shared" si="44"/>
        <v>955</v>
      </c>
      <c r="B970" s="121">
        <f t="shared" ca="1" si="42"/>
        <v>20.848065995847683</v>
      </c>
      <c r="C970" s="128">
        <f t="shared" ca="1" si="43"/>
        <v>0</v>
      </c>
    </row>
    <row r="971" spans="1:3" x14ac:dyDescent="0.25">
      <c r="A971" s="125">
        <f t="shared" si="44"/>
        <v>956</v>
      </c>
      <c r="B971" s="121">
        <f t="shared" ca="1" si="42"/>
        <v>14.001948255040144</v>
      </c>
      <c r="C971" s="128">
        <f t="shared" ca="1" si="43"/>
        <v>0</v>
      </c>
    </row>
    <row r="972" spans="1:3" x14ac:dyDescent="0.25">
      <c r="A972" s="125">
        <f t="shared" si="44"/>
        <v>957</v>
      </c>
      <c r="B972" s="121">
        <f t="shared" ca="1" si="42"/>
        <v>-2.2727959155380688</v>
      </c>
      <c r="C972" s="128">
        <f t="shared" ca="1" si="43"/>
        <v>0</v>
      </c>
    </row>
    <row r="973" spans="1:3" x14ac:dyDescent="0.25">
      <c r="A973" s="125">
        <f t="shared" si="44"/>
        <v>958</v>
      </c>
      <c r="B973" s="121">
        <f t="shared" ca="1" si="42"/>
        <v>10.359647401518636</v>
      </c>
      <c r="C973" s="128">
        <f t="shared" ca="1" si="43"/>
        <v>0</v>
      </c>
    </row>
    <row r="974" spans="1:3" x14ac:dyDescent="0.25">
      <c r="A974" s="125">
        <f t="shared" si="44"/>
        <v>959</v>
      </c>
      <c r="B974" s="121">
        <f t="shared" ca="1" si="42"/>
        <v>25.611836928146289</v>
      </c>
      <c r="C974" s="128">
        <f t="shared" ca="1" si="43"/>
        <v>1</v>
      </c>
    </row>
    <row r="975" spans="1:3" x14ac:dyDescent="0.25">
      <c r="A975" s="125">
        <f t="shared" si="44"/>
        <v>960</v>
      </c>
      <c r="B975" s="121">
        <f t="shared" ca="1" si="42"/>
        <v>33.457066490095968</v>
      </c>
      <c r="C975" s="128">
        <f t="shared" ca="1" si="43"/>
        <v>1</v>
      </c>
    </row>
    <row r="976" spans="1:3" x14ac:dyDescent="0.25">
      <c r="A976" s="125">
        <f t="shared" si="44"/>
        <v>961</v>
      </c>
      <c r="B976" s="121">
        <f t="shared" ca="1" si="42"/>
        <v>51.187838951505427</v>
      </c>
      <c r="C976" s="128">
        <f t="shared" ca="1" si="43"/>
        <v>1</v>
      </c>
    </row>
    <row r="977" spans="1:3" x14ac:dyDescent="0.25">
      <c r="A977" s="125">
        <f t="shared" si="44"/>
        <v>962</v>
      </c>
      <c r="B977" s="121">
        <f t="shared" ref="B977:B1015" ca="1" si="45">_xlfn.NORM.INV(RAND(), $B$9, $B$10)</f>
        <v>5.4147215683088348</v>
      </c>
      <c r="C977" s="128">
        <f t="shared" ref="C977:C1015" ca="1" si="46">IF(B977 &gt;= $B$11, 1, 0)</f>
        <v>0</v>
      </c>
    </row>
    <row r="978" spans="1:3" x14ac:dyDescent="0.25">
      <c r="A978" s="125">
        <f t="shared" ref="A978:A1015" si="47">+A977+1</f>
        <v>963</v>
      </c>
      <c r="B978" s="121">
        <f t="shared" ca="1" si="45"/>
        <v>70.914131329326267</v>
      </c>
      <c r="C978" s="128">
        <f t="shared" ca="1" si="46"/>
        <v>1</v>
      </c>
    </row>
    <row r="979" spans="1:3" x14ac:dyDescent="0.25">
      <c r="A979" s="125">
        <f t="shared" si="47"/>
        <v>964</v>
      </c>
      <c r="B979" s="121">
        <f t="shared" ca="1" si="45"/>
        <v>40.159231857826505</v>
      </c>
      <c r="C979" s="128">
        <f t="shared" ca="1" si="46"/>
        <v>1</v>
      </c>
    </row>
    <row r="980" spans="1:3" x14ac:dyDescent="0.25">
      <c r="A980" s="125">
        <f t="shared" si="47"/>
        <v>965</v>
      </c>
      <c r="B980" s="121">
        <f t="shared" ca="1" si="45"/>
        <v>-17.026739823542798</v>
      </c>
      <c r="C980" s="128">
        <f t="shared" ca="1" si="46"/>
        <v>0</v>
      </c>
    </row>
    <row r="981" spans="1:3" x14ac:dyDescent="0.25">
      <c r="A981" s="125">
        <f t="shared" si="47"/>
        <v>966</v>
      </c>
      <c r="B981" s="121">
        <f t="shared" ca="1" si="45"/>
        <v>69.885262224569743</v>
      </c>
      <c r="C981" s="128">
        <f t="shared" ca="1" si="46"/>
        <v>1</v>
      </c>
    </row>
    <row r="982" spans="1:3" x14ac:dyDescent="0.25">
      <c r="A982" s="125">
        <f t="shared" si="47"/>
        <v>967</v>
      </c>
      <c r="B982" s="121">
        <f t="shared" ca="1" si="45"/>
        <v>98.156518351980424</v>
      </c>
      <c r="C982" s="128">
        <f t="shared" ca="1" si="46"/>
        <v>1</v>
      </c>
    </row>
    <row r="983" spans="1:3" x14ac:dyDescent="0.25">
      <c r="A983" s="125">
        <f t="shared" si="47"/>
        <v>968</v>
      </c>
      <c r="B983" s="121">
        <f t="shared" ca="1" si="45"/>
        <v>99.398147703846504</v>
      </c>
      <c r="C983" s="128">
        <f t="shared" ca="1" si="46"/>
        <v>1</v>
      </c>
    </row>
    <row r="984" spans="1:3" x14ac:dyDescent="0.25">
      <c r="A984" s="125">
        <f t="shared" si="47"/>
        <v>969</v>
      </c>
      <c r="B984" s="121">
        <f t="shared" ca="1" si="45"/>
        <v>96.124090557570341</v>
      </c>
      <c r="C984" s="128">
        <f t="shared" ca="1" si="46"/>
        <v>1</v>
      </c>
    </row>
    <row r="985" spans="1:3" x14ac:dyDescent="0.25">
      <c r="A985" s="125">
        <f t="shared" si="47"/>
        <v>970</v>
      </c>
      <c r="B985" s="121">
        <f t="shared" ca="1" si="45"/>
        <v>52.282334349826904</v>
      </c>
      <c r="C985" s="128">
        <f t="shared" ca="1" si="46"/>
        <v>1</v>
      </c>
    </row>
    <row r="986" spans="1:3" x14ac:dyDescent="0.25">
      <c r="A986" s="125">
        <f t="shared" si="47"/>
        <v>971</v>
      </c>
      <c r="B986" s="121">
        <f t="shared" ca="1" si="45"/>
        <v>-23.17178024161835</v>
      </c>
      <c r="C986" s="128">
        <f t="shared" ca="1" si="46"/>
        <v>0</v>
      </c>
    </row>
    <row r="987" spans="1:3" x14ac:dyDescent="0.25">
      <c r="A987" s="125">
        <f t="shared" si="47"/>
        <v>972</v>
      </c>
      <c r="B987" s="121">
        <f t="shared" ca="1" si="45"/>
        <v>32.015752320829307</v>
      </c>
      <c r="C987" s="128">
        <f t="shared" ca="1" si="46"/>
        <v>1</v>
      </c>
    </row>
    <row r="988" spans="1:3" x14ac:dyDescent="0.25">
      <c r="A988" s="125">
        <f t="shared" si="47"/>
        <v>973</v>
      </c>
      <c r="B988" s="121">
        <f t="shared" ca="1" si="45"/>
        <v>39.70109006391445</v>
      </c>
      <c r="C988" s="128">
        <f t="shared" ca="1" si="46"/>
        <v>1</v>
      </c>
    </row>
    <row r="989" spans="1:3" x14ac:dyDescent="0.25">
      <c r="A989" s="125">
        <f t="shared" si="47"/>
        <v>974</v>
      </c>
      <c r="B989" s="121">
        <f t="shared" ca="1" si="45"/>
        <v>-17.389327918875161</v>
      </c>
      <c r="C989" s="128">
        <f t="shared" ca="1" si="46"/>
        <v>0</v>
      </c>
    </row>
    <row r="990" spans="1:3" x14ac:dyDescent="0.25">
      <c r="A990" s="125">
        <f t="shared" si="47"/>
        <v>975</v>
      </c>
      <c r="B990" s="121">
        <f t="shared" ca="1" si="45"/>
        <v>49.16296583056608</v>
      </c>
      <c r="C990" s="128">
        <f t="shared" ca="1" si="46"/>
        <v>1</v>
      </c>
    </row>
    <row r="991" spans="1:3" x14ac:dyDescent="0.25">
      <c r="A991" s="125">
        <f t="shared" si="47"/>
        <v>976</v>
      </c>
      <c r="B991" s="121">
        <f t="shared" ca="1" si="45"/>
        <v>50.158323203004954</v>
      </c>
      <c r="C991" s="128">
        <f t="shared" ca="1" si="46"/>
        <v>1</v>
      </c>
    </row>
    <row r="992" spans="1:3" x14ac:dyDescent="0.25">
      <c r="A992" s="125">
        <f t="shared" si="47"/>
        <v>977</v>
      </c>
      <c r="B992" s="121">
        <f t="shared" ca="1" si="45"/>
        <v>120.22672974381796</v>
      </c>
      <c r="C992" s="128">
        <f t="shared" ca="1" si="46"/>
        <v>1</v>
      </c>
    </row>
    <row r="993" spans="1:3" x14ac:dyDescent="0.25">
      <c r="A993" s="125">
        <f t="shared" si="47"/>
        <v>978</v>
      </c>
      <c r="B993" s="121">
        <f t="shared" ca="1" si="45"/>
        <v>10.08524536014065</v>
      </c>
      <c r="C993" s="128">
        <f t="shared" ca="1" si="46"/>
        <v>0</v>
      </c>
    </row>
    <row r="994" spans="1:3" x14ac:dyDescent="0.25">
      <c r="A994" s="125">
        <f t="shared" si="47"/>
        <v>979</v>
      </c>
      <c r="B994" s="121">
        <f t="shared" ca="1" si="45"/>
        <v>-37.913555357878707</v>
      </c>
      <c r="C994" s="128">
        <f t="shared" ca="1" si="46"/>
        <v>0</v>
      </c>
    </row>
    <row r="995" spans="1:3" x14ac:dyDescent="0.25">
      <c r="A995" s="125">
        <f t="shared" si="47"/>
        <v>980</v>
      </c>
      <c r="B995" s="121">
        <f t="shared" ca="1" si="45"/>
        <v>57.422682748466102</v>
      </c>
      <c r="C995" s="128">
        <f t="shared" ca="1" si="46"/>
        <v>1</v>
      </c>
    </row>
    <row r="996" spans="1:3" x14ac:dyDescent="0.25">
      <c r="A996" s="125">
        <f t="shared" si="47"/>
        <v>981</v>
      </c>
      <c r="B996" s="121">
        <f t="shared" ca="1" si="45"/>
        <v>88.928670449311738</v>
      </c>
      <c r="C996" s="128">
        <f t="shared" ca="1" si="46"/>
        <v>1</v>
      </c>
    </row>
    <row r="997" spans="1:3" x14ac:dyDescent="0.25">
      <c r="A997" s="125">
        <f t="shared" si="47"/>
        <v>982</v>
      </c>
      <c r="B997" s="121">
        <f t="shared" ca="1" si="45"/>
        <v>156.76217398022922</v>
      </c>
      <c r="C997" s="128">
        <f t="shared" ca="1" si="46"/>
        <v>1</v>
      </c>
    </row>
    <row r="998" spans="1:3" x14ac:dyDescent="0.25">
      <c r="A998" s="125">
        <f t="shared" si="47"/>
        <v>983</v>
      </c>
      <c r="B998" s="121">
        <f t="shared" ca="1" si="45"/>
        <v>33.684257032371264</v>
      </c>
      <c r="C998" s="128">
        <f t="shared" ca="1" si="46"/>
        <v>1</v>
      </c>
    </row>
    <row r="999" spans="1:3" x14ac:dyDescent="0.25">
      <c r="A999" s="125">
        <f t="shared" si="47"/>
        <v>984</v>
      </c>
      <c r="B999" s="121">
        <f t="shared" ca="1" si="45"/>
        <v>11.320733788404546</v>
      </c>
      <c r="C999" s="128">
        <f t="shared" ca="1" si="46"/>
        <v>0</v>
      </c>
    </row>
    <row r="1000" spans="1:3" x14ac:dyDescent="0.25">
      <c r="A1000" s="125">
        <f t="shared" si="47"/>
        <v>985</v>
      </c>
      <c r="B1000" s="121">
        <f t="shared" ca="1" si="45"/>
        <v>63.765838169302434</v>
      </c>
      <c r="C1000" s="128">
        <f t="shared" ca="1" si="46"/>
        <v>1</v>
      </c>
    </row>
    <row r="1001" spans="1:3" x14ac:dyDescent="0.25">
      <c r="A1001" s="125">
        <f t="shared" si="47"/>
        <v>986</v>
      </c>
      <c r="B1001" s="121">
        <f t="shared" ca="1" si="45"/>
        <v>-33.516422287135796</v>
      </c>
      <c r="C1001" s="128">
        <f t="shared" ca="1" si="46"/>
        <v>0</v>
      </c>
    </row>
    <row r="1002" spans="1:3" x14ac:dyDescent="0.25">
      <c r="A1002" s="125">
        <f t="shared" si="47"/>
        <v>987</v>
      </c>
      <c r="B1002" s="121">
        <f t="shared" ca="1" si="45"/>
        <v>-54.159278049836004</v>
      </c>
      <c r="C1002" s="128">
        <f t="shared" ca="1" si="46"/>
        <v>0</v>
      </c>
    </row>
    <row r="1003" spans="1:3" x14ac:dyDescent="0.25">
      <c r="A1003" s="125">
        <f t="shared" si="47"/>
        <v>988</v>
      </c>
      <c r="B1003" s="121">
        <f t="shared" ca="1" si="45"/>
        <v>6.353404886227441</v>
      </c>
      <c r="C1003" s="128">
        <f t="shared" ca="1" si="46"/>
        <v>0</v>
      </c>
    </row>
    <row r="1004" spans="1:3" x14ac:dyDescent="0.25">
      <c r="A1004" s="125">
        <f t="shared" si="47"/>
        <v>989</v>
      </c>
      <c r="B1004" s="121">
        <f t="shared" ca="1" si="45"/>
        <v>37.753431074428718</v>
      </c>
      <c r="C1004" s="128">
        <f t="shared" ca="1" si="46"/>
        <v>1</v>
      </c>
    </row>
    <row r="1005" spans="1:3" x14ac:dyDescent="0.25">
      <c r="A1005" s="125">
        <f t="shared" si="47"/>
        <v>990</v>
      </c>
      <c r="B1005" s="121">
        <f t="shared" ca="1" si="45"/>
        <v>59.126644577713876</v>
      </c>
      <c r="C1005" s="128">
        <f t="shared" ca="1" si="46"/>
        <v>1</v>
      </c>
    </row>
    <row r="1006" spans="1:3" x14ac:dyDescent="0.25">
      <c r="A1006" s="125">
        <f t="shared" si="47"/>
        <v>991</v>
      </c>
      <c r="B1006" s="121">
        <f t="shared" ca="1" si="45"/>
        <v>99.815700633417123</v>
      </c>
      <c r="C1006" s="128">
        <f t="shared" ca="1" si="46"/>
        <v>1</v>
      </c>
    </row>
    <row r="1007" spans="1:3" x14ac:dyDescent="0.25">
      <c r="A1007" s="125">
        <f t="shared" si="47"/>
        <v>992</v>
      </c>
      <c r="B1007" s="121">
        <f t="shared" ca="1" si="45"/>
        <v>27.541741238306567</v>
      </c>
      <c r="C1007" s="128">
        <f t="shared" ca="1" si="46"/>
        <v>1</v>
      </c>
    </row>
    <row r="1008" spans="1:3" x14ac:dyDescent="0.25">
      <c r="A1008" s="125">
        <f t="shared" si="47"/>
        <v>993</v>
      </c>
      <c r="B1008" s="121">
        <f t="shared" ca="1" si="45"/>
        <v>11.880385126600341</v>
      </c>
      <c r="C1008" s="128">
        <f t="shared" ca="1" si="46"/>
        <v>0</v>
      </c>
    </row>
    <row r="1009" spans="1:3" x14ac:dyDescent="0.25">
      <c r="A1009" s="125">
        <f t="shared" si="47"/>
        <v>994</v>
      </c>
      <c r="B1009" s="121">
        <f t="shared" ca="1" si="45"/>
        <v>62.044660919956883</v>
      </c>
      <c r="C1009" s="128">
        <f t="shared" ca="1" si="46"/>
        <v>1</v>
      </c>
    </row>
    <row r="1010" spans="1:3" x14ac:dyDescent="0.25">
      <c r="A1010" s="125">
        <f t="shared" si="47"/>
        <v>995</v>
      </c>
      <c r="B1010" s="121">
        <f t="shared" ca="1" si="45"/>
        <v>-55.48795656144992</v>
      </c>
      <c r="C1010" s="128">
        <f t="shared" ca="1" si="46"/>
        <v>0</v>
      </c>
    </row>
    <row r="1011" spans="1:3" x14ac:dyDescent="0.25">
      <c r="A1011" s="125">
        <f t="shared" si="47"/>
        <v>996</v>
      </c>
      <c r="B1011" s="121">
        <f t="shared" ca="1" si="45"/>
        <v>16.824649966055716</v>
      </c>
      <c r="C1011" s="128">
        <f t="shared" ca="1" si="46"/>
        <v>0</v>
      </c>
    </row>
    <row r="1012" spans="1:3" x14ac:dyDescent="0.25">
      <c r="A1012" s="125">
        <f t="shared" si="47"/>
        <v>997</v>
      </c>
      <c r="B1012" s="121">
        <f t="shared" ca="1" si="45"/>
        <v>45.615458953770364</v>
      </c>
      <c r="C1012" s="128">
        <f t="shared" ca="1" si="46"/>
        <v>1</v>
      </c>
    </row>
    <row r="1013" spans="1:3" x14ac:dyDescent="0.25">
      <c r="A1013" s="125">
        <f t="shared" si="47"/>
        <v>998</v>
      </c>
      <c r="B1013" s="121">
        <f t="shared" ca="1" si="45"/>
        <v>61.283709326833481</v>
      </c>
      <c r="C1013" s="128">
        <f t="shared" ca="1" si="46"/>
        <v>1</v>
      </c>
    </row>
    <row r="1014" spans="1:3" x14ac:dyDescent="0.25">
      <c r="A1014" s="125">
        <f t="shared" si="47"/>
        <v>999</v>
      </c>
      <c r="B1014" s="121">
        <f t="shared" ca="1" si="45"/>
        <v>143.91957418506823</v>
      </c>
      <c r="C1014" s="128">
        <f t="shared" ca="1" si="46"/>
        <v>1</v>
      </c>
    </row>
    <row r="1015" spans="1:3" ht="15.75" thickBot="1" x14ac:dyDescent="0.3">
      <c r="A1015" s="126">
        <f t="shared" si="47"/>
        <v>1000</v>
      </c>
      <c r="B1015" s="123">
        <f t="shared" ca="1" si="45"/>
        <v>39.946468345655902</v>
      </c>
      <c r="C1015" s="129">
        <f t="shared" ca="1" si="46"/>
        <v>1</v>
      </c>
    </row>
  </sheetData>
  <mergeCells count="4">
    <mergeCell ref="A1:G1"/>
    <mergeCell ref="A2:G2"/>
    <mergeCell ref="A6:B6"/>
    <mergeCell ref="F6:G6"/>
  </mergeCells>
  <conditionalFormatting sqref="A16:C1015">
    <cfRule type="expression" dxfId="1" priority="1">
      <formula>MOD(ROW(),2)=0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7E04B-E389-4688-805E-9554A26CAE02}">
  <dimension ref="A1:I1015"/>
  <sheetViews>
    <sheetView showGridLines="0" workbookViewId="0">
      <selection activeCell="E33" sqref="E33"/>
    </sheetView>
  </sheetViews>
  <sheetFormatPr defaultRowHeight="15" x14ac:dyDescent="0.25"/>
  <cols>
    <col min="1" max="1" width="10.42578125" customWidth="1"/>
    <col min="2" max="2" width="15.28515625" customWidth="1"/>
    <col min="3" max="3" width="17.140625" customWidth="1"/>
    <col min="4" max="5" width="15.28515625" customWidth="1"/>
    <col min="6" max="6" width="24.7109375" customWidth="1"/>
    <col min="7" max="7" width="15.28515625" customWidth="1"/>
  </cols>
  <sheetData>
    <row r="1" spans="1:9" ht="32.1" customHeight="1" x14ac:dyDescent="0.35">
      <c r="A1" s="290" t="s">
        <v>62</v>
      </c>
      <c r="B1" s="290"/>
      <c r="C1" s="290"/>
      <c r="D1" s="290"/>
      <c r="E1" s="290"/>
      <c r="F1" s="290"/>
      <c r="G1" s="290"/>
    </row>
    <row r="2" spans="1:9" ht="18" customHeight="1" x14ac:dyDescent="0.25">
      <c r="A2" s="284" t="s">
        <v>166</v>
      </c>
      <c r="B2" s="268"/>
      <c r="C2" s="268"/>
      <c r="D2" s="268"/>
      <c r="E2" s="268"/>
      <c r="F2" s="268"/>
      <c r="G2" s="268"/>
    </row>
    <row r="3" spans="1:9" ht="8.1" customHeight="1" x14ac:dyDescent="0.25"/>
    <row r="4" spans="1:9" ht="6" customHeight="1" x14ac:dyDescent="0.25"/>
    <row r="5" spans="1:9" ht="6" customHeight="1" thickBot="1" x14ac:dyDescent="0.3"/>
    <row r="6" spans="1:9" ht="20.100000000000001" customHeight="1" x14ac:dyDescent="0.25">
      <c r="A6" s="291" t="s">
        <v>63</v>
      </c>
      <c r="B6" s="292"/>
      <c r="F6" s="293" t="s">
        <v>69</v>
      </c>
      <c r="G6" s="294"/>
    </row>
    <row r="7" spans="1:9" ht="18.95" customHeight="1" x14ac:dyDescent="0.25">
      <c r="A7" s="109" t="s">
        <v>64</v>
      </c>
      <c r="B7" s="110">
        <v>1000</v>
      </c>
      <c r="F7" s="113" t="s">
        <v>70</v>
      </c>
      <c r="G7" s="114">
        <f ca="1">AVERAGE(B16:B1015)</f>
        <v>35.581390349959243</v>
      </c>
    </row>
    <row r="8" spans="1:9" ht="18.95" customHeight="1" x14ac:dyDescent="0.25">
      <c r="A8" s="109" t="s">
        <v>65</v>
      </c>
      <c r="B8" s="110">
        <v>115</v>
      </c>
      <c r="F8" s="113" t="s">
        <v>71</v>
      </c>
      <c r="G8" s="114">
        <f ca="1">PERCENTILE(B16:B1015, 0.025)</f>
        <v>-14.620281533637137</v>
      </c>
    </row>
    <row r="9" spans="1:9" ht="18.95" customHeight="1" x14ac:dyDescent="0.25">
      <c r="A9" s="109" t="s">
        <v>66</v>
      </c>
      <c r="B9" s="110">
        <v>35</v>
      </c>
      <c r="F9" s="113" t="s">
        <v>72</v>
      </c>
      <c r="G9" s="114">
        <f ca="1">PERCENTILE(B16:B1015, 0.975)</f>
        <v>84.226611552057719</v>
      </c>
    </row>
    <row r="10" spans="1:9" ht="24" customHeight="1" x14ac:dyDescent="0.25">
      <c r="A10" s="109" t="s">
        <v>67</v>
      </c>
      <c r="B10" s="110">
        <v>25</v>
      </c>
      <c r="F10" s="115" t="s">
        <v>36</v>
      </c>
      <c r="G10" s="116">
        <f ca="1">AVERAGE(C16:C1015)</f>
        <v>0.66600000000000004</v>
      </c>
    </row>
    <row r="11" spans="1:9" ht="18.95" customHeight="1" thickBot="1" x14ac:dyDescent="0.3">
      <c r="A11" s="111" t="s">
        <v>68</v>
      </c>
      <c r="B11" s="112">
        <v>25</v>
      </c>
      <c r="F11" s="113" t="s">
        <v>73</v>
      </c>
      <c r="G11" s="117">
        <v>25</v>
      </c>
    </row>
    <row r="12" spans="1:9" ht="18.95" customHeight="1" thickBot="1" x14ac:dyDescent="0.3">
      <c r="F12" s="118" t="s">
        <v>74</v>
      </c>
      <c r="G12" s="119">
        <v>1000</v>
      </c>
    </row>
    <row r="14" spans="1:9" ht="15.75" thickBot="1" x14ac:dyDescent="0.3"/>
    <row r="15" spans="1:9" ht="21.95" customHeight="1" x14ac:dyDescent="0.25">
      <c r="A15" s="124" t="s">
        <v>12</v>
      </c>
      <c r="B15" s="122" t="s">
        <v>75</v>
      </c>
      <c r="C15" s="127" t="s">
        <v>11</v>
      </c>
      <c r="D15" s="130" t="s">
        <v>76</v>
      </c>
      <c r="E15" s="130" t="s">
        <v>77</v>
      </c>
      <c r="F15" s="120"/>
      <c r="G15" s="120"/>
      <c r="H15" s="120"/>
      <c r="I15" s="120"/>
    </row>
    <row r="16" spans="1:9" x14ac:dyDescent="0.25">
      <c r="A16" s="125">
        <v>1</v>
      </c>
      <c r="B16" s="121">
        <f ca="1">_xlfn.NORM.INV(RAND(), $B$9, $B$10)</f>
        <v>30.304495538301559</v>
      </c>
      <c r="C16" s="128">
        <f ca="1">IF(B16 &gt;= $B$11, 1, 0)</f>
        <v>1</v>
      </c>
      <c r="D16" s="132" t="s">
        <v>78</v>
      </c>
      <c r="E16" s="132">
        <f ca="1">COUNTIFS(B16:B1015,"&gt;=-75",B16:B1015,"&lt;-50")</f>
        <v>0</v>
      </c>
    </row>
    <row r="17" spans="1:5" x14ac:dyDescent="0.25">
      <c r="A17" s="125">
        <f>+A16+1</f>
        <v>2</v>
      </c>
      <c r="B17" s="121">
        <f t="shared" ref="B17:B80" ca="1" si="0">_xlfn.NORM.INV(RAND(), $B$9, $B$10)</f>
        <v>52.981336575207848</v>
      </c>
      <c r="C17" s="128">
        <f t="shared" ref="C17:C80" ca="1" si="1">IF(B17 &gt;= $B$11, 1, 0)</f>
        <v>1</v>
      </c>
      <c r="D17" s="132" t="s">
        <v>79</v>
      </c>
      <c r="E17" s="132">
        <f ca="1">COUNTIFS(B16:B1015,"&gt;=-50",B16:B1015,"&lt;-25")</f>
        <v>10</v>
      </c>
    </row>
    <row r="18" spans="1:5" x14ac:dyDescent="0.25">
      <c r="A18" s="125">
        <f t="shared" ref="A18:A81" si="2">+A17+1</f>
        <v>3</v>
      </c>
      <c r="B18" s="121">
        <f t="shared" ca="1" si="0"/>
        <v>41.250978414150175</v>
      </c>
      <c r="C18" s="128">
        <f t="shared" ca="1" si="1"/>
        <v>1</v>
      </c>
      <c r="D18" s="132" t="s">
        <v>80</v>
      </c>
      <c r="E18" s="132">
        <f ca="1">COUNTIFS(B16:B1015,"&gt;=-25",B16:B1015,"&lt;0")</f>
        <v>64</v>
      </c>
    </row>
    <row r="19" spans="1:5" x14ac:dyDescent="0.25">
      <c r="A19" s="125">
        <f t="shared" si="2"/>
        <v>4</v>
      </c>
      <c r="B19" s="121">
        <f t="shared" ca="1" si="0"/>
        <v>48.080154936612274</v>
      </c>
      <c r="C19" s="128">
        <f t="shared" ca="1" si="1"/>
        <v>1</v>
      </c>
      <c r="D19" s="132" t="s">
        <v>81</v>
      </c>
      <c r="E19" s="132">
        <f ca="1">COUNTIFS(B16:B1015,"&gt;=0",B16:B1015,"&lt;25")</f>
        <v>260</v>
      </c>
    </row>
    <row r="20" spans="1:5" x14ac:dyDescent="0.25">
      <c r="A20" s="125">
        <f t="shared" si="2"/>
        <v>5</v>
      </c>
      <c r="B20" s="121">
        <f t="shared" ca="1" si="0"/>
        <v>39.462139672962749</v>
      </c>
      <c r="C20" s="128">
        <f t="shared" ca="1" si="1"/>
        <v>1</v>
      </c>
      <c r="D20" s="131" t="s">
        <v>82</v>
      </c>
      <c r="E20" s="131">
        <f ca="1">COUNTIFS(B16:B1015,"&gt;=25",B16:B1015,"&lt;50")</f>
        <v>381</v>
      </c>
    </row>
    <row r="21" spans="1:5" x14ac:dyDescent="0.25">
      <c r="A21" s="125">
        <f t="shared" si="2"/>
        <v>6</v>
      </c>
      <c r="B21" s="121">
        <f t="shared" ca="1" si="0"/>
        <v>38.074434149588093</v>
      </c>
      <c r="C21" s="128">
        <f t="shared" ca="1" si="1"/>
        <v>1</v>
      </c>
      <c r="D21" s="131" t="s">
        <v>83</v>
      </c>
      <c r="E21" s="131">
        <f ca="1">COUNTIFS(B16:B1015,"&gt;=50",B16:B1015,"&lt;75")</f>
        <v>232</v>
      </c>
    </row>
    <row r="22" spans="1:5" x14ac:dyDescent="0.25">
      <c r="A22" s="125">
        <f t="shared" si="2"/>
        <v>7</v>
      </c>
      <c r="B22" s="121">
        <f t="shared" ca="1" si="0"/>
        <v>29.160018164423082</v>
      </c>
      <c r="C22" s="128">
        <f t="shared" ca="1" si="1"/>
        <v>1</v>
      </c>
      <c r="D22" s="131" t="s">
        <v>84</v>
      </c>
      <c r="E22" s="131">
        <f ca="1">COUNTIFS(B16:B1015,"&gt;=75",B16:B1015,"&lt;100")</f>
        <v>50</v>
      </c>
    </row>
    <row r="23" spans="1:5" x14ac:dyDescent="0.25">
      <c r="A23" s="125">
        <f t="shared" si="2"/>
        <v>8</v>
      </c>
      <c r="B23" s="121">
        <f t="shared" ca="1" si="0"/>
        <v>84.816807269275742</v>
      </c>
      <c r="C23" s="128">
        <f t="shared" ca="1" si="1"/>
        <v>1</v>
      </c>
      <c r="D23" s="131" t="s">
        <v>85</v>
      </c>
      <c r="E23" s="131">
        <f ca="1">COUNTIFS(B16:B1015,"&gt;=100",B16:B1015,"&lt;125")</f>
        <v>3</v>
      </c>
    </row>
    <row r="24" spans="1:5" x14ac:dyDescent="0.25">
      <c r="A24" s="125">
        <f t="shared" si="2"/>
        <v>9</v>
      </c>
      <c r="B24" s="121">
        <f t="shared" ca="1" si="0"/>
        <v>44.396315290037151</v>
      </c>
      <c r="C24" s="128">
        <f t="shared" ca="1" si="1"/>
        <v>1</v>
      </c>
    </row>
    <row r="25" spans="1:5" x14ac:dyDescent="0.25">
      <c r="A25" s="125">
        <f t="shared" si="2"/>
        <v>10</v>
      </c>
      <c r="B25" s="121">
        <f t="shared" ca="1" si="0"/>
        <v>50.595826178086185</v>
      </c>
      <c r="C25" s="128">
        <f t="shared" ca="1" si="1"/>
        <v>1</v>
      </c>
    </row>
    <row r="26" spans="1:5" x14ac:dyDescent="0.25">
      <c r="A26" s="125">
        <f t="shared" si="2"/>
        <v>11</v>
      </c>
      <c r="B26" s="121">
        <f t="shared" ca="1" si="0"/>
        <v>52.295080361008239</v>
      </c>
      <c r="C26" s="128">
        <f t="shared" ca="1" si="1"/>
        <v>1</v>
      </c>
    </row>
    <row r="27" spans="1:5" x14ac:dyDescent="0.25">
      <c r="A27" s="125">
        <f t="shared" si="2"/>
        <v>12</v>
      </c>
      <c r="B27" s="121">
        <f t="shared" ca="1" si="0"/>
        <v>38.604418418774323</v>
      </c>
      <c r="C27" s="128">
        <f t="shared" ca="1" si="1"/>
        <v>1</v>
      </c>
    </row>
    <row r="28" spans="1:5" x14ac:dyDescent="0.25">
      <c r="A28" s="125">
        <f t="shared" si="2"/>
        <v>13</v>
      </c>
      <c r="B28" s="121">
        <f t="shared" ca="1" si="0"/>
        <v>8.4094969543974685</v>
      </c>
      <c r="C28" s="128">
        <f t="shared" ca="1" si="1"/>
        <v>0</v>
      </c>
    </row>
    <row r="29" spans="1:5" x14ac:dyDescent="0.25">
      <c r="A29" s="125">
        <f t="shared" si="2"/>
        <v>14</v>
      </c>
      <c r="B29" s="121">
        <f t="shared" ca="1" si="0"/>
        <v>10.053397605432071</v>
      </c>
      <c r="C29" s="128">
        <f t="shared" ca="1" si="1"/>
        <v>0</v>
      </c>
    </row>
    <row r="30" spans="1:5" x14ac:dyDescent="0.25">
      <c r="A30" s="125">
        <f t="shared" si="2"/>
        <v>15</v>
      </c>
      <c r="B30" s="121">
        <f t="shared" ca="1" si="0"/>
        <v>41.683219654186146</v>
      </c>
      <c r="C30" s="128">
        <f t="shared" ca="1" si="1"/>
        <v>1</v>
      </c>
    </row>
    <row r="31" spans="1:5" x14ac:dyDescent="0.25">
      <c r="A31" s="125">
        <f t="shared" si="2"/>
        <v>16</v>
      </c>
      <c r="B31" s="121">
        <f t="shared" ca="1" si="0"/>
        <v>29.903246816546549</v>
      </c>
      <c r="C31" s="128">
        <f t="shared" ca="1" si="1"/>
        <v>1</v>
      </c>
    </row>
    <row r="32" spans="1:5" x14ac:dyDescent="0.25">
      <c r="A32" s="125">
        <f t="shared" si="2"/>
        <v>17</v>
      </c>
      <c r="B32" s="121">
        <f t="shared" ca="1" si="0"/>
        <v>18.820183720239061</v>
      </c>
      <c r="C32" s="128">
        <f t="shared" ca="1" si="1"/>
        <v>0</v>
      </c>
    </row>
    <row r="33" spans="1:3" x14ac:dyDescent="0.25">
      <c r="A33" s="125">
        <f t="shared" si="2"/>
        <v>18</v>
      </c>
      <c r="B33" s="121">
        <f t="shared" ca="1" si="0"/>
        <v>11.180395396973122</v>
      </c>
      <c r="C33" s="128">
        <f t="shared" ca="1" si="1"/>
        <v>0</v>
      </c>
    </row>
    <row r="34" spans="1:3" x14ac:dyDescent="0.25">
      <c r="A34" s="125">
        <f t="shared" si="2"/>
        <v>19</v>
      </c>
      <c r="B34" s="121">
        <f t="shared" ca="1" si="0"/>
        <v>58.271773945275541</v>
      </c>
      <c r="C34" s="128">
        <f t="shared" ca="1" si="1"/>
        <v>1</v>
      </c>
    </row>
    <row r="35" spans="1:3" x14ac:dyDescent="0.25">
      <c r="A35" s="125">
        <f t="shared" si="2"/>
        <v>20</v>
      </c>
      <c r="B35" s="121">
        <f t="shared" ca="1" si="0"/>
        <v>41.499374271975242</v>
      </c>
      <c r="C35" s="128">
        <f t="shared" ca="1" si="1"/>
        <v>1</v>
      </c>
    </row>
    <row r="36" spans="1:3" x14ac:dyDescent="0.25">
      <c r="A36" s="125">
        <f t="shared" si="2"/>
        <v>21</v>
      </c>
      <c r="B36" s="121">
        <f t="shared" ca="1" si="0"/>
        <v>24.998562391845404</v>
      </c>
      <c r="C36" s="128">
        <f t="shared" ca="1" si="1"/>
        <v>0</v>
      </c>
    </row>
    <row r="37" spans="1:3" x14ac:dyDescent="0.25">
      <c r="A37" s="125">
        <f t="shared" si="2"/>
        <v>22</v>
      </c>
      <c r="B37" s="121">
        <f t="shared" ca="1" si="0"/>
        <v>3.2501072843917385</v>
      </c>
      <c r="C37" s="128">
        <f t="shared" ca="1" si="1"/>
        <v>0</v>
      </c>
    </row>
    <row r="38" spans="1:3" x14ac:dyDescent="0.25">
      <c r="A38" s="125">
        <f t="shared" si="2"/>
        <v>23</v>
      </c>
      <c r="B38" s="121">
        <f t="shared" ca="1" si="0"/>
        <v>89.364382686390385</v>
      </c>
      <c r="C38" s="128">
        <f t="shared" ca="1" si="1"/>
        <v>1</v>
      </c>
    </row>
    <row r="39" spans="1:3" x14ac:dyDescent="0.25">
      <c r="A39" s="125">
        <f t="shared" si="2"/>
        <v>24</v>
      </c>
      <c r="B39" s="121">
        <f t="shared" ca="1" si="0"/>
        <v>39.43080498171048</v>
      </c>
      <c r="C39" s="128">
        <f t="shared" ca="1" si="1"/>
        <v>1</v>
      </c>
    </row>
    <row r="40" spans="1:3" x14ac:dyDescent="0.25">
      <c r="A40" s="125">
        <f t="shared" si="2"/>
        <v>25</v>
      </c>
      <c r="B40" s="121">
        <f t="shared" ca="1" si="0"/>
        <v>54.66575335255277</v>
      </c>
      <c r="C40" s="128">
        <f t="shared" ca="1" si="1"/>
        <v>1</v>
      </c>
    </row>
    <row r="41" spans="1:3" x14ac:dyDescent="0.25">
      <c r="A41" s="125">
        <f t="shared" si="2"/>
        <v>26</v>
      </c>
      <c r="B41" s="121">
        <f t="shared" ca="1" si="0"/>
        <v>54.984696129061149</v>
      </c>
      <c r="C41" s="128">
        <f t="shared" ca="1" si="1"/>
        <v>1</v>
      </c>
    </row>
    <row r="42" spans="1:3" x14ac:dyDescent="0.25">
      <c r="A42" s="125">
        <f t="shared" si="2"/>
        <v>27</v>
      </c>
      <c r="B42" s="121">
        <f t="shared" ca="1" si="0"/>
        <v>60.783810434666407</v>
      </c>
      <c r="C42" s="128">
        <f t="shared" ca="1" si="1"/>
        <v>1</v>
      </c>
    </row>
    <row r="43" spans="1:3" x14ac:dyDescent="0.25">
      <c r="A43" s="125">
        <f t="shared" si="2"/>
        <v>28</v>
      </c>
      <c r="B43" s="121">
        <f t="shared" ca="1" si="0"/>
        <v>35.552263180714348</v>
      </c>
      <c r="C43" s="128">
        <f t="shared" ca="1" si="1"/>
        <v>1</v>
      </c>
    </row>
    <row r="44" spans="1:3" x14ac:dyDescent="0.25">
      <c r="A44" s="125">
        <f t="shared" si="2"/>
        <v>29</v>
      </c>
      <c r="B44" s="121">
        <f t="shared" ca="1" si="0"/>
        <v>37.232599883409257</v>
      </c>
      <c r="C44" s="128">
        <f t="shared" ca="1" si="1"/>
        <v>1</v>
      </c>
    </row>
    <row r="45" spans="1:3" x14ac:dyDescent="0.25">
      <c r="A45" s="125">
        <f t="shared" si="2"/>
        <v>30</v>
      </c>
      <c r="B45" s="121">
        <f t="shared" ca="1" si="0"/>
        <v>26.134017659095683</v>
      </c>
      <c r="C45" s="128">
        <f t="shared" ca="1" si="1"/>
        <v>1</v>
      </c>
    </row>
    <row r="46" spans="1:3" x14ac:dyDescent="0.25">
      <c r="A46" s="125">
        <f t="shared" si="2"/>
        <v>31</v>
      </c>
      <c r="B46" s="121">
        <f t="shared" ca="1" si="0"/>
        <v>6.4591872034684208</v>
      </c>
      <c r="C46" s="128">
        <f t="shared" ca="1" si="1"/>
        <v>0</v>
      </c>
    </row>
    <row r="47" spans="1:3" x14ac:dyDescent="0.25">
      <c r="A47" s="125">
        <f t="shared" si="2"/>
        <v>32</v>
      </c>
      <c r="B47" s="121">
        <f t="shared" ca="1" si="0"/>
        <v>5.3250352130513114</v>
      </c>
      <c r="C47" s="128">
        <f t="shared" ca="1" si="1"/>
        <v>0</v>
      </c>
    </row>
    <row r="48" spans="1:3" x14ac:dyDescent="0.25">
      <c r="A48" s="125">
        <f t="shared" si="2"/>
        <v>33</v>
      </c>
      <c r="B48" s="121">
        <f t="shared" ca="1" si="0"/>
        <v>48.969402190883088</v>
      </c>
      <c r="C48" s="128">
        <f t="shared" ca="1" si="1"/>
        <v>1</v>
      </c>
    </row>
    <row r="49" spans="1:3" x14ac:dyDescent="0.25">
      <c r="A49" s="125">
        <f t="shared" si="2"/>
        <v>34</v>
      </c>
      <c r="B49" s="121">
        <f t="shared" ca="1" si="0"/>
        <v>19.666173974993541</v>
      </c>
      <c r="C49" s="128">
        <f t="shared" ca="1" si="1"/>
        <v>0</v>
      </c>
    </row>
    <row r="50" spans="1:3" x14ac:dyDescent="0.25">
      <c r="A50" s="125">
        <f t="shared" si="2"/>
        <v>35</v>
      </c>
      <c r="B50" s="121">
        <f t="shared" ca="1" si="0"/>
        <v>34.590851078413309</v>
      </c>
      <c r="C50" s="128">
        <f t="shared" ca="1" si="1"/>
        <v>1</v>
      </c>
    </row>
    <row r="51" spans="1:3" x14ac:dyDescent="0.25">
      <c r="A51" s="125">
        <f t="shared" si="2"/>
        <v>36</v>
      </c>
      <c r="B51" s="121">
        <f t="shared" ca="1" si="0"/>
        <v>-4.3272832584699614</v>
      </c>
      <c r="C51" s="128">
        <f t="shared" ca="1" si="1"/>
        <v>0</v>
      </c>
    </row>
    <row r="52" spans="1:3" x14ac:dyDescent="0.25">
      <c r="A52" s="125">
        <f t="shared" si="2"/>
        <v>37</v>
      </c>
      <c r="B52" s="121">
        <f t="shared" ca="1" si="0"/>
        <v>70.786022454145197</v>
      </c>
      <c r="C52" s="128">
        <f t="shared" ca="1" si="1"/>
        <v>1</v>
      </c>
    </row>
    <row r="53" spans="1:3" x14ac:dyDescent="0.25">
      <c r="A53" s="125">
        <f t="shared" si="2"/>
        <v>38</v>
      </c>
      <c r="B53" s="121">
        <f t="shared" ca="1" si="0"/>
        <v>69.647648620523086</v>
      </c>
      <c r="C53" s="128">
        <f t="shared" ca="1" si="1"/>
        <v>1</v>
      </c>
    </row>
    <row r="54" spans="1:3" x14ac:dyDescent="0.25">
      <c r="A54" s="125">
        <f t="shared" si="2"/>
        <v>39</v>
      </c>
      <c r="B54" s="121">
        <f t="shared" ca="1" si="0"/>
        <v>35.316727794872072</v>
      </c>
      <c r="C54" s="128">
        <f t="shared" ca="1" si="1"/>
        <v>1</v>
      </c>
    </row>
    <row r="55" spans="1:3" x14ac:dyDescent="0.25">
      <c r="A55" s="125">
        <f t="shared" si="2"/>
        <v>40</v>
      </c>
      <c r="B55" s="121">
        <f t="shared" ca="1" si="0"/>
        <v>13.486226604939553</v>
      </c>
      <c r="C55" s="128">
        <f t="shared" ca="1" si="1"/>
        <v>0</v>
      </c>
    </row>
    <row r="56" spans="1:3" x14ac:dyDescent="0.25">
      <c r="A56" s="125">
        <f t="shared" si="2"/>
        <v>41</v>
      </c>
      <c r="B56" s="121">
        <f t="shared" ca="1" si="0"/>
        <v>0.16375153033403933</v>
      </c>
      <c r="C56" s="128">
        <f t="shared" ca="1" si="1"/>
        <v>0</v>
      </c>
    </row>
    <row r="57" spans="1:3" x14ac:dyDescent="0.25">
      <c r="A57" s="125">
        <f t="shared" si="2"/>
        <v>42</v>
      </c>
      <c r="B57" s="121">
        <f t="shared" ca="1" si="0"/>
        <v>29.038212041020344</v>
      </c>
      <c r="C57" s="128">
        <f t="shared" ca="1" si="1"/>
        <v>1</v>
      </c>
    </row>
    <row r="58" spans="1:3" x14ac:dyDescent="0.25">
      <c r="A58" s="125">
        <f t="shared" si="2"/>
        <v>43</v>
      </c>
      <c r="B58" s="121">
        <f t="shared" ca="1" si="0"/>
        <v>3.2532101169053824</v>
      </c>
      <c r="C58" s="128">
        <f t="shared" ca="1" si="1"/>
        <v>0</v>
      </c>
    </row>
    <row r="59" spans="1:3" x14ac:dyDescent="0.25">
      <c r="A59" s="125">
        <f t="shared" si="2"/>
        <v>44</v>
      </c>
      <c r="B59" s="121">
        <f t="shared" ca="1" si="0"/>
        <v>63.22093007911171</v>
      </c>
      <c r="C59" s="128">
        <f t="shared" ca="1" si="1"/>
        <v>1</v>
      </c>
    </row>
    <row r="60" spans="1:3" x14ac:dyDescent="0.25">
      <c r="A60" s="125">
        <f t="shared" si="2"/>
        <v>45</v>
      </c>
      <c r="B60" s="121">
        <f t="shared" ca="1" si="0"/>
        <v>30.998590824935398</v>
      </c>
      <c r="C60" s="128">
        <f t="shared" ca="1" si="1"/>
        <v>1</v>
      </c>
    </row>
    <row r="61" spans="1:3" x14ac:dyDescent="0.25">
      <c r="A61" s="125">
        <f t="shared" si="2"/>
        <v>46</v>
      </c>
      <c r="B61" s="121">
        <f t="shared" ca="1" si="0"/>
        <v>26.937336054891794</v>
      </c>
      <c r="C61" s="128">
        <f t="shared" ca="1" si="1"/>
        <v>1</v>
      </c>
    </row>
    <row r="62" spans="1:3" x14ac:dyDescent="0.25">
      <c r="A62" s="125">
        <f t="shared" si="2"/>
        <v>47</v>
      </c>
      <c r="B62" s="121">
        <f t="shared" ca="1" si="0"/>
        <v>27.192200892413279</v>
      </c>
      <c r="C62" s="128">
        <f t="shared" ca="1" si="1"/>
        <v>1</v>
      </c>
    </row>
    <row r="63" spans="1:3" x14ac:dyDescent="0.25">
      <c r="A63" s="125">
        <f t="shared" si="2"/>
        <v>48</v>
      </c>
      <c r="B63" s="121">
        <f t="shared" ca="1" si="0"/>
        <v>-9.560482885887744</v>
      </c>
      <c r="C63" s="128">
        <f t="shared" ca="1" si="1"/>
        <v>0</v>
      </c>
    </row>
    <row r="64" spans="1:3" x14ac:dyDescent="0.25">
      <c r="A64" s="125">
        <f t="shared" si="2"/>
        <v>49</v>
      </c>
      <c r="B64" s="121">
        <f t="shared" ca="1" si="0"/>
        <v>33.988542691450412</v>
      </c>
      <c r="C64" s="128">
        <f t="shared" ca="1" si="1"/>
        <v>1</v>
      </c>
    </row>
    <row r="65" spans="1:3" x14ac:dyDescent="0.25">
      <c r="A65" s="125">
        <f t="shared" si="2"/>
        <v>50</v>
      </c>
      <c r="B65" s="121">
        <f t="shared" ca="1" si="0"/>
        <v>36.062274715215366</v>
      </c>
      <c r="C65" s="128">
        <f t="shared" ca="1" si="1"/>
        <v>1</v>
      </c>
    </row>
    <row r="66" spans="1:3" x14ac:dyDescent="0.25">
      <c r="A66" s="125">
        <f t="shared" si="2"/>
        <v>51</v>
      </c>
      <c r="B66" s="121">
        <f t="shared" ca="1" si="0"/>
        <v>15.994077043418308</v>
      </c>
      <c r="C66" s="128">
        <f t="shared" ca="1" si="1"/>
        <v>0</v>
      </c>
    </row>
    <row r="67" spans="1:3" x14ac:dyDescent="0.25">
      <c r="A67" s="125">
        <f t="shared" si="2"/>
        <v>52</v>
      </c>
      <c r="B67" s="121">
        <f t="shared" ca="1" si="0"/>
        <v>54.356574795980542</v>
      </c>
      <c r="C67" s="128">
        <f t="shared" ca="1" si="1"/>
        <v>1</v>
      </c>
    </row>
    <row r="68" spans="1:3" x14ac:dyDescent="0.25">
      <c r="A68" s="125">
        <f t="shared" si="2"/>
        <v>53</v>
      </c>
      <c r="B68" s="121">
        <f t="shared" ca="1" si="0"/>
        <v>21.138089370593526</v>
      </c>
      <c r="C68" s="128">
        <f t="shared" ca="1" si="1"/>
        <v>0</v>
      </c>
    </row>
    <row r="69" spans="1:3" x14ac:dyDescent="0.25">
      <c r="A69" s="125">
        <f t="shared" si="2"/>
        <v>54</v>
      </c>
      <c r="B69" s="121">
        <f t="shared" ca="1" si="0"/>
        <v>-6.3023306845298634</v>
      </c>
      <c r="C69" s="128">
        <f t="shared" ca="1" si="1"/>
        <v>0</v>
      </c>
    </row>
    <row r="70" spans="1:3" x14ac:dyDescent="0.25">
      <c r="A70" s="125">
        <f t="shared" si="2"/>
        <v>55</v>
      </c>
      <c r="B70" s="121">
        <f t="shared" ca="1" si="0"/>
        <v>34.334784573420201</v>
      </c>
      <c r="C70" s="128">
        <f t="shared" ca="1" si="1"/>
        <v>1</v>
      </c>
    </row>
    <row r="71" spans="1:3" x14ac:dyDescent="0.25">
      <c r="A71" s="125">
        <f t="shared" si="2"/>
        <v>56</v>
      </c>
      <c r="B71" s="121">
        <f t="shared" ca="1" si="0"/>
        <v>48.646963288877416</v>
      </c>
      <c r="C71" s="128">
        <f t="shared" ca="1" si="1"/>
        <v>1</v>
      </c>
    </row>
    <row r="72" spans="1:3" x14ac:dyDescent="0.25">
      <c r="A72" s="125">
        <f t="shared" si="2"/>
        <v>57</v>
      </c>
      <c r="B72" s="121">
        <f t="shared" ca="1" si="0"/>
        <v>54.930136363431473</v>
      </c>
      <c r="C72" s="128">
        <f t="shared" ca="1" si="1"/>
        <v>1</v>
      </c>
    </row>
    <row r="73" spans="1:3" x14ac:dyDescent="0.25">
      <c r="A73" s="125">
        <f t="shared" si="2"/>
        <v>58</v>
      </c>
      <c r="B73" s="121">
        <f t="shared" ca="1" si="0"/>
        <v>27.107846708024024</v>
      </c>
      <c r="C73" s="128">
        <f t="shared" ca="1" si="1"/>
        <v>1</v>
      </c>
    </row>
    <row r="74" spans="1:3" x14ac:dyDescent="0.25">
      <c r="A74" s="125">
        <f t="shared" si="2"/>
        <v>59</v>
      </c>
      <c r="B74" s="121">
        <f t="shared" ca="1" si="0"/>
        <v>107.78380946693798</v>
      </c>
      <c r="C74" s="128">
        <f t="shared" ca="1" si="1"/>
        <v>1</v>
      </c>
    </row>
    <row r="75" spans="1:3" x14ac:dyDescent="0.25">
      <c r="A75" s="125">
        <f t="shared" si="2"/>
        <v>60</v>
      </c>
      <c r="B75" s="121">
        <f t="shared" ca="1" si="0"/>
        <v>35.62020942739165</v>
      </c>
      <c r="C75" s="128">
        <f t="shared" ca="1" si="1"/>
        <v>1</v>
      </c>
    </row>
    <row r="76" spans="1:3" x14ac:dyDescent="0.25">
      <c r="A76" s="125">
        <f t="shared" si="2"/>
        <v>61</v>
      </c>
      <c r="B76" s="121">
        <f t="shared" ca="1" si="0"/>
        <v>9.4936847044643464</v>
      </c>
      <c r="C76" s="128">
        <f t="shared" ca="1" si="1"/>
        <v>0</v>
      </c>
    </row>
    <row r="77" spans="1:3" x14ac:dyDescent="0.25">
      <c r="A77" s="125">
        <f t="shared" si="2"/>
        <v>62</v>
      </c>
      <c r="B77" s="121">
        <f t="shared" ca="1" si="0"/>
        <v>37.504637576837517</v>
      </c>
      <c r="C77" s="128">
        <f t="shared" ca="1" si="1"/>
        <v>1</v>
      </c>
    </row>
    <row r="78" spans="1:3" x14ac:dyDescent="0.25">
      <c r="A78" s="125">
        <f t="shared" si="2"/>
        <v>63</v>
      </c>
      <c r="B78" s="121">
        <f t="shared" ca="1" si="0"/>
        <v>28.261742097459759</v>
      </c>
      <c r="C78" s="128">
        <f t="shared" ca="1" si="1"/>
        <v>1</v>
      </c>
    </row>
    <row r="79" spans="1:3" x14ac:dyDescent="0.25">
      <c r="A79" s="125">
        <f t="shared" si="2"/>
        <v>64</v>
      </c>
      <c r="B79" s="121">
        <f t="shared" ca="1" si="0"/>
        <v>32.513923282016648</v>
      </c>
      <c r="C79" s="128">
        <f t="shared" ca="1" si="1"/>
        <v>1</v>
      </c>
    </row>
    <row r="80" spans="1:3" x14ac:dyDescent="0.25">
      <c r="A80" s="125">
        <f t="shared" si="2"/>
        <v>65</v>
      </c>
      <c r="B80" s="121">
        <f t="shared" ca="1" si="0"/>
        <v>19.522196216570684</v>
      </c>
      <c r="C80" s="128">
        <f t="shared" ca="1" si="1"/>
        <v>0</v>
      </c>
    </row>
    <row r="81" spans="1:3" x14ac:dyDescent="0.25">
      <c r="A81" s="125">
        <f t="shared" si="2"/>
        <v>66</v>
      </c>
      <c r="B81" s="121">
        <f t="shared" ref="B81:B144" ca="1" si="3">_xlfn.NORM.INV(RAND(), $B$9, $B$10)</f>
        <v>-28.904640793920329</v>
      </c>
      <c r="C81" s="128">
        <f t="shared" ref="C81:C144" ca="1" si="4">IF(B81 &gt;= $B$11, 1, 0)</f>
        <v>0</v>
      </c>
    </row>
    <row r="82" spans="1:3" x14ac:dyDescent="0.25">
      <c r="A82" s="125">
        <f t="shared" ref="A82:A145" si="5">+A81+1</f>
        <v>67</v>
      </c>
      <c r="B82" s="121">
        <f t="shared" ca="1" si="3"/>
        <v>61.140178980370493</v>
      </c>
      <c r="C82" s="128">
        <f t="shared" ca="1" si="4"/>
        <v>1</v>
      </c>
    </row>
    <row r="83" spans="1:3" x14ac:dyDescent="0.25">
      <c r="A83" s="125">
        <f t="shared" si="5"/>
        <v>68</v>
      </c>
      <c r="B83" s="121">
        <f t="shared" ca="1" si="3"/>
        <v>15.737037409109778</v>
      </c>
      <c r="C83" s="128">
        <f t="shared" ca="1" si="4"/>
        <v>0</v>
      </c>
    </row>
    <row r="84" spans="1:3" x14ac:dyDescent="0.25">
      <c r="A84" s="125">
        <f t="shared" si="5"/>
        <v>69</v>
      </c>
      <c r="B84" s="121">
        <f t="shared" ca="1" si="3"/>
        <v>-7.3218101437874026</v>
      </c>
      <c r="C84" s="128">
        <f t="shared" ca="1" si="4"/>
        <v>0</v>
      </c>
    </row>
    <row r="85" spans="1:3" x14ac:dyDescent="0.25">
      <c r="A85" s="125">
        <f t="shared" si="5"/>
        <v>70</v>
      </c>
      <c r="B85" s="121">
        <f t="shared" ca="1" si="3"/>
        <v>40.527209614616631</v>
      </c>
      <c r="C85" s="128">
        <f t="shared" ca="1" si="4"/>
        <v>1</v>
      </c>
    </row>
    <row r="86" spans="1:3" x14ac:dyDescent="0.25">
      <c r="A86" s="125">
        <f t="shared" si="5"/>
        <v>71</v>
      </c>
      <c r="B86" s="121">
        <f t="shared" ca="1" si="3"/>
        <v>54.920145816241259</v>
      </c>
      <c r="C86" s="128">
        <f t="shared" ca="1" si="4"/>
        <v>1</v>
      </c>
    </row>
    <row r="87" spans="1:3" x14ac:dyDescent="0.25">
      <c r="A87" s="125">
        <f t="shared" si="5"/>
        <v>72</v>
      </c>
      <c r="B87" s="121">
        <f t="shared" ca="1" si="3"/>
        <v>54.138129028110328</v>
      </c>
      <c r="C87" s="128">
        <f t="shared" ca="1" si="4"/>
        <v>1</v>
      </c>
    </row>
    <row r="88" spans="1:3" x14ac:dyDescent="0.25">
      <c r="A88" s="125">
        <f t="shared" si="5"/>
        <v>73</v>
      </c>
      <c r="B88" s="121">
        <f t="shared" ca="1" si="3"/>
        <v>31.208774901549091</v>
      </c>
      <c r="C88" s="128">
        <f t="shared" ca="1" si="4"/>
        <v>1</v>
      </c>
    </row>
    <row r="89" spans="1:3" x14ac:dyDescent="0.25">
      <c r="A89" s="125">
        <f t="shared" si="5"/>
        <v>74</v>
      </c>
      <c r="B89" s="121">
        <f t="shared" ca="1" si="3"/>
        <v>-2.3561310320747353</v>
      </c>
      <c r="C89" s="128">
        <f t="shared" ca="1" si="4"/>
        <v>0</v>
      </c>
    </row>
    <row r="90" spans="1:3" x14ac:dyDescent="0.25">
      <c r="A90" s="125">
        <f t="shared" si="5"/>
        <v>75</v>
      </c>
      <c r="B90" s="121">
        <f t="shared" ca="1" si="3"/>
        <v>16.579172616780703</v>
      </c>
      <c r="C90" s="128">
        <f t="shared" ca="1" si="4"/>
        <v>0</v>
      </c>
    </row>
    <row r="91" spans="1:3" x14ac:dyDescent="0.25">
      <c r="A91" s="125">
        <f t="shared" si="5"/>
        <v>76</v>
      </c>
      <c r="B91" s="121">
        <f t="shared" ca="1" si="3"/>
        <v>10.93838000359435</v>
      </c>
      <c r="C91" s="128">
        <f t="shared" ca="1" si="4"/>
        <v>0</v>
      </c>
    </row>
    <row r="92" spans="1:3" x14ac:dyDescent="0.25">
      <c r="A92" s="125">
        <f t="shared" si="5"/>
        <v>77</v>
      </c>
      <c r="B92" s="121">
        <f t="shared" ca="1" si="3"/>
        <v>9.214950043489825</v>
      </c>
      <c r="C92" s="128">
        <f t="shared" ca="1" si="4"/>
        <v>0</v>
      </c>
    </row>
    <row r="93" spans="1:3" x14ac:dyDescent="0.25">
      <c r="A93" s="125">
        <f t="shared" si="5"/>
        <v>78</v>
      </c>
      <c r="B93" s="121">
        <f t="shared" ca="1" si="3"/>
        <v>63.574375902954557</v>
      </c>
      <c r="C93" s="128">
        <f t="shared" ca="1" si="4"/>
        <v>1</v>
      </c>
    </row>
    <row r="94" spans="1:3" x14ac:dyDescent="0.25">
      <c r="A94" s="125">
        <f t="shared" si="5"/>
        <v>79</v>
      </c>
      <c r="B94" s="121">
        <f t="shared" ca="1" si="3"/>
        <v>44.782531499879838</v>
      </c>
      <c r="C94" s="128">
        <f t="shared" ca="1" si="4"/>
        <v>1</v>
      </c>
    </row>
    <row r="95" spans="1:3" x14ac:dyDescent="0.25">
      <c r="A95" s="125">
        <f t="shared" si="5"/>
        <v>80</v>
      </c>
      <c r="B95" s="121">
        <f t="shared" ca="1" si="3"/>
        <v>74.27902810311403</v>
      </c>
      <c r="C95" s="128">
        <f t="shared" ca="1" si="4"/>
        <v>1</v>
      </c>
    </row>
    <row r="96" spans="1:3" x14ac:dyDescent="0.25">
      <c r="A96" s="125">
        <f t="shared" si="5"/>
        <v>81</v>
      </c>
      <c r="B96" s="121">
        <f t="shared" ca="1" si="3"/>
        <v>18.909975733732516</v>
      </c>
      <c r="C96" s="128">
        <f t="shared" ca="1" si="4"/>
        <v>0</v>
      </c>
    </row>
    <row r="97" spans="1:3" x14ac:dyDescent="0.25">
      <c r="A97" s="125">
        <f t="shared" si="5"/>
        <v>82</v>
      </c>
      <c r="B97" s="121">
        <f t="shared" ca="1" si="3"/>
        <v>2.8612594627368324</v>
      </c>
      <c r="C97" s="128">
        <f t="shared" ca="1" si="4"/>
        <v>0</v>
      </c>
    </row>
    <row r="98" spans="1:3" x14ac:dyDescent="0.25">
      <c r="A98" s="125">
        <f t="shared" si="5"/>
        <v>83</v>
      </c>
      <c r="B98" s="121">
        <f t="shared" ca="1" si="3"/>
        <v>60.400263200436711</v>
      </c>
      <c r="C98" s="128">
        <f t="shared" ca="1" si="4"/>
        <v>1</v>
      </c>
    </row>
    <row r="99" spans="1:3" x14ac:dyDescent="0.25">
      <c r="A99" s="125">
        <f t="shared" si="5"/>
        <v>84</v>
      </c>
      <c r="B99" s="121">
        <f t="shared" ca="1" si="3"/>
        <v>27.671220596627847</v>
      </c>
      <c r="C99" s="128">
        <f t="shared" ca="1" si="4"/>
        <v>1</v>
      </c>
    </row>
    <row r="100" spans="1:3" x14ac:dyDescent="0.25">
      <c r="A100" s="125">
        <f t="shared" si="5"/>
        <v>85</v>
      </c>
      <c r="B100" s="121">
        <f t="shared" ca="1" si="3"/>
        <v>68.523350550375824</v>
      </c>
      <c r="C100" s="128">
        <f t="shared" ca="1" si="4"/>
        <v>1</v>
      </c>
    </row>
    <row r="101" spans="1:3" x14ac:dyDescent="0.25">
      <c r="A101" s="125">
        <f t="shared" si="5"/>
        <v>86</v>
      </c>
      <c r="B101" s="121">
        <f t="shared" ca="1" si="3"/>
        <v>47.957699704847734</v>
      </c>
      <c r="C101" s="128">
        <f t="shared" ca="1" si="4"/>
        <v>1</v>
      </c>
    </row>
    <row r="102" spans="1:3" x14ac:dyDescent="0.25">
      <c r="A102" s="125">
        <f t="shared" si="5"/>
        <v>87</v>
      </c>
      <c r="B102" s="121">
        <f t="shared" ca="1" si="3"/>
        <v>65.5952454618525</v>
      </c>
      <c r="C102" s="128">
        <f t="shared" ca="1" si="4"/>
        <v>1</v>
      </c>
    </row>
    <row r="103" spans="1:3" x14ac:dyDescent="0.25">
      <c r="A103" s="125">
        <f t="shared" si="5"/>
        <v>88</v>
      </c>
      <c r="B103" s="121">
        <f t="shared" ca="1" si="3"/>
        <v>11.942389251110868</v>
      </c>
      <c r="C103" s="128">
        <f t="shared" ca="1" si="4"/>
        <v>0</v>
      </c>
    </row>
    <row r="104" spans="1:3" x14ac:dyDescent="0.25">
      <c r="A104" s="125">
        <f t="shared" si="5"/>
        <v>89</v>
      </c>
      <c r="B104" s="121">
        <f t="shared" ca="1" si="3"/>
        <v>79.94206393580518</v>
      </c>
      <c r="C104" s="128">
        <f t="shared" ca="1" si="4"/>
        <v>1</v>
      </c>
    </row>
    <row r="105" spans="1:3" x14ac:dyDescent="0.25">
      <c r="A105" s="125">
        <f t="shared" si="5"/>
        <v>90</v>
      </c>
      <c r="B105" s="121">
        <f t="shared" ca="1" si="3"/>
        <v>48.758328553711699</v>
      </c>
      <c r="C105" s="128">
        <f t="shared" ca="1" si="4"/>
        <v>1</v>
      </c>
    </row>
    <row r="106" spans="1:3" x14ac:dyDescent="0.25">
      <c r="A106" s="125">
        <f t="shared" si="5"/>
        <v>91</v>
      </c>
      <c r="B106" s="121">
        <f t="shared" ca="1" si="3"/>
        <v>64.380689192839441</v>
      </c>
      <c r="C106" s="128">
        <f t="shared" ca="1" si="4"/>
        <v>1</v>
      </c>
    </row>
    <row r="107" spans="1:3" x14ac:dyDescent="0.25">
      <c r="A107" s="125">
        <f t="shared" si="5"/>
        <v>92</v>
      </c>
      <c r="B107" s="121">
        <f t="shared" ca="1" si="3"/>
        <v>71.467347333843207</v>
      </c>
      <c r="C107" s="128">
        <f t="shared" ca="1" si="4"/>
        <v>1</v>
      </c>
    </row>
    <row r="108" spans="1:3" x14ac:dyDescent="0.25">
      <c r="A108" s="125">
        <f t="shared" si="5"/>
        <v>93</v>
      </c>
      <c r="B108" s="121">
        <f t="shared" ca="1" si="3"/>
        <v>3.4991339576933456E-2</v>
      </c>
      <c r="C108" s="128">
        <f t="shared" ca="1" si="4"/>
        <v>0</v>
      </c>
    </row>
    <row r="109" spans="1:3" x14ac:dyDescent="0.25">
      <c r="A109" s="125">
        <f t="shared" si="5"/>
        <v>94</v>
      </c>
      <c r="B109" s="121">
        <f t="shared" ca="1" si="3"/>
        <v>29.008098917460469</v>
      </c>
      <c r="C109" s="128">
        <f t="shared" ca="1" si="4"/>
        <v>1</v>
      </c>
    </row>
    <row r="110" spans="1:3" x14ac:dyDescent="0.25">
      <c r="A110" s="125">
        <f t="shared" si="5"/>
        <v>95</v>
      </c>
      <c r="B110" s="121">
        <f t="shared" ca="1" si="3"/>
        <v>40.083054267816145</v>
      </c>
      <c r="C110" s="128">
        <f t="shared" ca="1" si="4"/>
        <v>1</v>
      </c>
    </row>
    <row r="111" spans="1:3" x14ac:dyDescent="0.25">
      <c r="A111" s="125">
        <f t="shared" si="5"/>
        <v>96</v>
      </c>
      <c r="B111" s="121">
        <f t="shared" ca="1" si="3"/>
        <v>-20.703992773188475</v>
      </c>
      <c r="C111" s="128">
        <f t="shared" ca="1" si="4"/>
        <v>0</v>
      </c>
    </row>
    <row r="112" spans="1:3" x14ac:dyDescent="0.25">
      <c r="A112" s="125">
        <f t="shared" si="5"/>
        <v>97</v>
      </c>
      <c r="B112" s="121">
        <f t="shared" ca="1" si="3"/>
        <v>25.586494468222327</v>
      </c>
      <c r="C112" s="128">
        <f t="shared" ca="1" si="4"/>
        <v>1</v>
      </c>
    </row>
    <row r="113" spans="1:3" x14ac:dyDescent="0.25">
      <c r="A113" s="125">
        <f t="shared" si="5"/>
        <v>98</v>
      </c>
      <c r="B113" s="121">
        <f t="shared" ca="1" si="3"/>
        <v>55.87017887701753</v>
      </c>
      <c r="C113" s="128">
        <f t="shared" ca="1" si="4"/>
        <v>1</v>
      </c>
    </row>
    <row r="114" spans="1:3" x14ac:dyDescent="0.25">
      <c r="A114" s="125">
        <f t="shared" si="5"/>
        <v>99</v>
      </c>
      <c r="B114" s="121">
        <f t="shared" ca="1" si="3"/>
        <v>17.036845100539814</v>
      </c>
      <c r="C114" s="128">
        <f t="shared" ca="1" si="4"/>
        <v>0</v>
      </c>
    </row>
    <row r="115" spans="1:3" x14ac:dyDescent="0.25">
      <c r="A115" s="125">
        <f t="shared" si="5"/>
        <v>100</v>
      </c>
      <c r="B115" s="121">
        <f t="shared" ca="1" si="3"/>
        <v>61.058392013038272</v>
      </c>
      <c r="C115" s="128">
        <f t="shared" ca="1" si="4"/>
        <v>1</v>
      </c>
    </row>
    <row r="116" spans="1:3" x14ac:dyDescent="0.25">
      <c r="A116" s="125">
        <f t="shared" si="5"/>
        <v>101</v>
      </c>
      <c r="B116" s="121">
        <f t="shared" ca="1" si="3"/>
        <v>74.243352234638678</v>
      </c>
      <c r="C116" s="128">
        <f t="shared" ca="1" si="4"/>
        <v>1</v>
      </c>
    </row>
    <row r="117" spans="1:3" x14ac:dyDescent="0.25">
      <c r="A117" s="125">
        <f t="shared" si="5"/>
        <v>102</v>
      </c>
      <c r="B117" s="121">
        <f t="shared" ca="1" si="3"/>
        <v>71.292096175950945</v>
      </c>
      <c r="C117" s="128">
        <f t="shared" ca="1" si="4"/>
        <v>1</v>
      </c>
    </row>
    <row r="118" spans="1:3" x14ac:dyDescent="0.25">
      <c r="A118" s="125">
        <f t="shared" si="5"/>
        <v>103</v>
      </c>
      <c r="B118" s="121">
        <f t="shared" ca="1" si="3"/>
        <v>22.788487162544957</v>
      </c>
      <c r="C118" s="128">
        <f t="shared" ca="1" si="4"/>
        <v>0</v>
      </c>
    </row>
    <row r="119" spans="1:3" x14ac:dyDescent="0.25">
      <c r="A119" s="125">
        <f t="shared" si="5"/>
        <v>104</v>
      </c>
      <c r="B119" s="121">
        <f t="shared" ca="1" si="3"/>
        <v>4.736343216541897</v>
      </c>
      <c r="C119" s="128">
        <f t="shared" ca="1" si="4"/>
        <v>0</v>
      </c>
    </row>
    <row r="120" spans="1:3" x14ac:dyDescent="0.25">
      <c r="A120" s="125">
        <f t="shared" si="5"/>
        <v>105</v>
      </c>
      <c r="B120" s="121">
        <f t="shared" ca="1" si="3"/>
        <v>-29.690126450430114</v>
      </c>
      <c r="C120" s="128">
        <f t="shared" ca="1" si="4"/>
        <v>0</v>
      </c>
    </row>
    <row r="121" spans="1:3" x14ac:dyDescent="0.25">
      <c r="A121" s="125">
        <f t="shared" si="5"/>
        <v>106</v>
      </c>
      <c r="B121" s="121">
        <f t="shared" ca="1" si="3"/>
        <v>38.25533913019396</v>
      </c>
      <c r="C121" s="128">
        <f t="shared" ca="1" si="4"/>
        <v>1</v>
      </c>
    </row>
    <row r="122" spans="1:3" x14ac:dyDescent="0.25">
      <c r="A122" s="125">
        <f t="shared" si="5"/>
        <v>107</v>
      </c>
      <c r="B122" s="121">
        <f t="shared" ca="1" si="3"/>
        <v>43.216362206973578</v>
      </c>
      <c r="C122" s="128">
        <f t="shared" ca="1" si="4"/>
        <v>1</v>
      </c>
    </row>
    <row r="123" spans="1:3" x14ac:dyDescent="0.25">
      <c r="A123" s="125">
        <f t="shared" si="5"/>
        <v>108</v>
      </c>
      <c r="B123" s="121">
        <f t="shared" ca="1" si="3"/>
        <v>56.921131035630737</v>
      </c>
      <c r="C123" s="128">
        <f t="shared" ca="1" si="4"/>
        <v>1</v>
      </c>
    </row>
    <row r="124" spans="1:3" x14ac:dyDescent="0.25">
      <c r="A124" s="125">
        <f t="shared" si="5"/>
        <v>109</v>
      </c>
      <c r="B124" s="121">
        <f t="shared" ca="1" si="3"/>
        <v>15.713412623475552</v>
      </c>
      <c r="C124" s="128">
        <f t="shared" ca="1" si="4"/>
        <v>0</v>
      </c>
    </row>
    <row r="125" spans="1:3" x14ac:dyDescent="0.25">
      <c r="A125" s="125">
        <f t="shared" si="5"/>
        <v>110</v>
      </c>
      <c r="B125" s="121">
        <f t="shared" ca="1" si="3"/>
        <v>11.260130504665693</v>
      </c>
      <c r="C125" s="128">
        <f t="shared" ca="1" si="4"/>
        <v>0</v>
      </c>
    </row>
    <row r="126" spans="1:3" x14ac:dyDescent="0.25">
      <c r="A126" s="125">
        <f t="shared" si="5"/>
        <v>111</v>
      </c>
      <c r="B126" s="121">
        <f t="shared" ca="1" si="3"/>
        <v>25.795266500664262</v>
      </c>
      <c r="C126" s="128">
        <f t="shared" ca="1" si="4"/>
        <v>1</v>
      </c>
    </row>
    <row r="127" spans="1:3" x14ac:dyDescent="0.25">
      <c r="A127" s="125">
        <f t="shared" si="5"/>
        <v>112</v>
      </c>
      <c r="B127" s="121">
        <f t="shared" ca="1" si="3"/>
        <v>62.650388946385746</v>
      </c>
      <c r="C127" s="128">
        <f t="shared" ca="1" si="4"/>
        <v>1</v>
      </c>
    </row>
    <row r="128" spans="1:3" x14ac:dyDescent="0.25">
      <c r="A128" s="125">
        <f t="shared" si="5"/>
        <v>113</v>
      </c>
      <c r="B128" s="121">
        <f t="shared" ca="1" si="3"/>
        <v>65.596962284077904</v>
      </c>
      <c r="C128" s="128">
        <f t="shared" ca="1" si="4"/>
        <v>1</v>
      </c>
    </row>
    <row r="129" spans="1:3" x14ac:dyDescent="0.25">
      <c r="A129" s="125">
        <f t="shared" si="5"/>
        <v>114</v>
      </c>
      <c r="B129" s="121">
        <f t="shared" ca="1" si="3"/>
        <v>26.989231623555636</v>
      </c>
      <c r="C129" s="128">
        <f t="shared" ca="1" si="4"/>
        <v>1</v>
      </c>
    </row>
    <row r="130" spans="1:3" x14ac:dyDescent="0.25">
      <c r="A130" s="125">
        <f t="shared" si="5"/>
        <v>115</v>
      </c>
      <c r="B130" s="121">
        <f t="shared" ca="1" si="3"/>
        <v>25.385619325254215</v>
      </c>
      <c r="C130" s="128">
        <f t="shared" ca="1" si="4"/>
        <v>1</v>
      </c>
    </row>
    <row r="131" spans="1:3" x14ac:dyDescent="0.25">
      <c r="A131" s="125">
        <f t="shared" si="5"/>
        <v>116</v>
      </c>
      <c r="B131" s="121">
        <f t="shared" ca="1" si="3"/>
        <v>26.302152620911329</v>
      </c>
      <c r="C131" s="128">
        <f t="shared" ca="1" si="4"/>
        <v>1</v>
      </c>
    </row>
    <row r="132" spans="1:3" x14ac:dyDescent="0.25">
      <c r="A132" s="125">
        <f t="shared" si="5"/>
        <v>117</v>
      </c>
      <c r="B132" s="121">
        <f t="shared" ca="1" si="3"/>
        <v>28.107015940822677</v>
      </c>
      <c r="C132" s="128">
        <f t="shared" ca="1" si="4"/>
        <v>1</v>
      </c>
    </row>
    <row r="133" spans="1:3" x14ac:dyDescent="0.25">
      <c r="A133" s="125">
        <f t="shared" si="5"/>
        <v>118</v>
      </c>
      <c r="B133" s="121">
        <f t="shared" ca="1" si="3"/>
        <v>15.523892324965257</v>
      </c>
      <c r="C133" s="128">
        <f t="shared" ca="1" si="4"/>
        <v>0</v>
      </c>
    </row>
    <row r="134" spans="1:3" x14ac:dyDescent="0.25">
      <c r="A134" s="125">
        <f t="shared" si="5"/>
        <v>119</v>
      </c>
      <c r="B134" s="121">
        <f t="shared" ca="1" si="3"/>
        <v>45.761864162777222</v>
      </c>
      <c r="C134" s="128">
        <f t="shared" ca="1" si="4"/>
        <v>1</v>
      </c>
    </row>
    <row r="135" spans="1:3" x14ac:dyDescent="0.25">
      <c r="A135" s="125">
        <f t="shared" si="5"/>
        <v>120</v>
      </c>
      <c r="B135" s="121">
        <f t="shared" ca="1" si="3"/>
        <v>34.519627419544349</v>
      </c>
      <c r="C135" s="128">
        <f t="shared" ca="1" si="4"/>
        <v>1</v>
      </c>
    </row>
    <row r="136" spans="1:3" x14ac:dyDescent="0.25">
      <c r="A136" s="125">
        <f t="shared" si="5"/>
        <v>121</v>
      </c>
      <c r="B136" s="121">
        <f t="shared" ca="1" si="3"/>
        <v>17.176488686068691</v>
      </c>
      <c r="C136" s="128">
        <f t="shared" ca="1" si="4"/>
        <v>0</v>
      </c>
    </row>
    <row r="137" spans="1:3" x14ac:dyDescent="0.25">
      <c r="A137" s="125">
        <f t="shared" si="5"/>
        <v>122</v>
      </c>
      <c r="B137" s="121">
        <f t="shared" ca="1" si="3"/>
        <v>-12.731724934955452</v>
      </c>
      <c r="C137" s="128">
        <f t="shared" ca="1" si="4"/>
        <v>0</v>
      </c>
    </row>
    <row r="138" spans="1:3" x14ac:dyDescent="0.25">
      <c r="A138" s="125">
        <f t="shared" si="5"/>
        <v>123</v>
      </c>
      <c r="B138" s="121">
        <f t="shared" ca="1" si="3"/>
        <v>67.572435626522605</v>
      </c>
      <c r="C138" s="128">
        <f t="shared" ca="1" si="4"/>
        <v>1</v>
      </c>
    </row>
    <row r="139" spans="1:3" x14ac:dyDescent="0.25">
      <c r="A139" s="125">
        <f t="shared" si="5"/>
        <v>124</v>
      </c>
      <c r="B139" s="121">
        <f t="shared" ca="1" si="3"/>
        <v>66.047035732513621</v>
      </c>
      <c r="C139" s="128">
        <f t="shared" ca="1" si="4"/>
        <v>1</v>
      </c>
    </row>
    <row r="140" spans="1:3" x14ac:dyDescent="0.25">
      <c r="A140" s="125">
        <f t="shared" si="5"/>
        <v>125</v>
      </c>
      <c r="B140" s="121">
        <f t="shared" ca="1" si="3"/>
        <v>41.801963559994292</v>
      </c>
      <c r="C140" s="128">
        <f t="shared" ca="1" si="4"/>
        <v>1</v>
      </c>
    </row>
    <row r="141" spans="1:3" x14ac:dyDescent="0.25">
      <c r="A141" s="125">
        <f t="shared" si="5"/>
        <v>126</v>
      </c>
      <c r="B141" s="121">
        <f t="shared" ca="1" si="3"/>
        <v>25.237034382717823</v>
      </c>
      <c r="C141" s="128">
        <f t="shared" ca="1" si="4"/>
        <v>1</v>
      </c>
    </row>
    <row r="142" spans="1:3" x14ac:dyDescent="0.25">
      <c r="A142" s="125">
        <f t="shared" si="5"/>
        <v>127</v>
      </c>
      <c r="B142" s="121">
        <f t="shared" ca="1" si="3"/>
        <v>21.672553797594318</v>
      </c>
      <c r="C142" s="128">
        <f t="shared" ca="1" si="4"/>
        <v>0</v>
      </c>
    </row>
    <row r="143" spans="1:3" x14ac:dyDescent="0.25">
      <c r="A143" s="125">
        <f t="shared" si="5"/>
        <v>128</v>
      </c>
      <c r="B143" s="121">
        <f t="shared" ca="1" si="3"/>
        <v>25.407784483078409</v>
      </c>
      <c r="C143" s="128">
        <f t="shared" ca="1" si="4"/>
        <v>1</v>
      </c>
    </row>
    <row r="144" spans="1:3" x14ac:dyDescent="0.25">
      <c r="A144" s="125">
        <f t="shared" si="5"/>
        <v>129</v>
      </c>
      <c r="B144" s="121">
        <f t="shared" ca="1" si="3"/>
        <v>23.092016954768699</v>
      </c>
      <c r="C144" s="128">
        <f t="shared" ca="1" si="4"/>
        <v>0</v>
      </c>
    </row>
    <row r="145" spans="1:3" x14ac:dyDescent="0.25">
      <c r="A145" s="125">
        <f t="shared" si="5"/>
        <v>130</v>
      </c>
      <c r="B145" s="121">
        <f t="shared" ref="B145:B208" ca="1" si="6">_xlfn.NORM.INV(RAND(), $B$9, $B$10)</f>
        <v>-19.105166699987237</v>
      </c>
      <c r="C145" s="128">
        <f t="shared" ref="C145:C208" ca="1" si="7">IF(B145 &gt;= $B$11, 1, 0)</f>
        <v>0</v>
      </c>
    </row>
    <row r="146" spans="1:3" x14ac:dyDescent="0.25">
      <c r="A146" s="125">
        <f t="shared" ref="A146:A209" si="8">+A145+1</f>
        <v>131</v>
      </c>
      <c r="B146" s="121">
        <f t="shared" ca="1" si="6"/>
        <v>38.809945875806257</v>
      </c>
      <c r="C146" s="128">
        <f t="shared" ca="1" si="7"/>
        <v>1</v>
      </c>
    </row>
    <row r="147" spans="1:3" x14ac:dyDescent="0.25">
      <c r="A147" s="125">
        <f t="shared" si="8"/>
        <v>132</v>
      </c>
      <c r="B147" s="121">
        <f t="shared" ca="1" si="6"/>
        <v>31.033823526742562</v>
      </c>
      <c r="C147" s="128">
        <f t="shared" ca="1" si="7"/>
        <v>1</v>
      </c>
    </row>
    <row r="148" spans="1:3" x14ac:dyDescent="0.25">
      <c r="A148" s="125">
        <f t="shared" si="8"/>
        <v>133</v>
      </c>
      <c r="B148" s="121">
        <f t="shared" ca="1" si="6"/>
        <v>53.176397933119766</v>
      </c>
      <c r="C148" s="128">
        <f t="shared" ca="1" si="7"/>
        <v>1</v>
      </c>
    </row>
    <row r="149" spans="1:3" x14ac:dyDescent="0.25">
      <c r="A149" s="125">
        <f t="shared" si="8"/>
        <v>134</v>
      </c>
      <c r="B149" s="121">
        <f t="shared" ca="1" si="6"/>
        <v>99.947489485794861</v>
      </c>
      <c r="C149" s="128">
        <f t="shared" ca="1" si="7"/>
        <v>1</v>
      </c>
    </row>
    <row r="150" spans="1:3" x14ac:dyDescent="0.25">
      <c r="A150" s="125">
        <f t="shared" si="8"/>
        <v>135</v>
      </c>
      <c r="B150" s="121">
        <f t="shared" ca="1" si="6"/>
        <v>24.128817180709852</v>
      </c>
      <c r="C150" s="128">
        <f t="shared" ca="1" si="7"/>
        <v>0</v>
      </c>
    </row>
    <row r="151" spans="1:3" x14ac:dyDescent="0.25">
      <c r="A151" s="125">
        <f t="shared" si="8"/>
        <v>136</v>
      </c>
      <c r="B151" s="121">
        <f t="shared" ca="1" si="6"/>
        <v>-7.573433592308632</v>
      </c>
      <c r="C151" s="128">
        <f t="shared" ca="1" si="7"/>
        <v>0</v>
      </c>
    </row>
    <row r="152" spans="1:3" x14ac:dyDescent="0.25">
      <c r="A152" s="125">
        <f t="shared" si="8"/>
        <v>137</v>
      </c>
      <c r="B152" s="121">
        <f t="shared" ca="1" si="6"/>
        <v>61.955910237961824</v>
      </c>
      <c r="C152" s="128">
        <f t="shared" ca="1" si="7"/>
        <v>1</v>
      </c>
    </row>
    <row r="153" spans="1:3" x14ac:dyDescent="0.25">
      <c r="A153" s="125">
        <f t="shared" si="8"/>
        <v>138</v>
      </c>
      <c r="B153" s="121">
        <f t="shared" ca="1" si="6"/>
        <v>19.574964906247651</v>
      </c>
      <c r="C153" s="128">
        <f t="shared" ca="1" si="7"/>
        <v>0</v>
      </c>
    </row>
    <row r="154" spans="1:3" x14ac:dyDescent="0.25">
      <c r="A154" s="125">
        <f t="shared" si="8"/>
        <v>139</v>
      </c>
      <c r="B154" s="121">
        <f t="shared" ca="1" si="6"/>
        <v>49.96805985661512</v>
      </c>
      <c r="C154" s="128">
        <f t="shared" ca="1" si="7"/>
        <v>1</v>
      </c>
    </row>
    <row r="155" spans="1:3" x14ac:dyDescent="0.25">
      <c r="A155" s="125">
        <f t="shared" si="8"/>
        <v>140</v>
      </c>
      <c r="B155" s="121">
        <f t="shared" ca="1" si="6"/>
        <v>49.723791364035392</v>
      </c>
      <c r="C155" s="128">
        <f t="shared" ca="1" si="7"/>
        <v>1</v>
      </c>
    </row>
    <row r="156" spans="1:3" x14ac:dyDescent="0.25">
      <c r="A156" s="125">
        <f t="shared" si="8"/>
        <v>141</v>
      </c>
      <c r="B156" s="121">
        <f t="shared" ca="1" si="6"/>
        <v>46.535861958274623</v>
      </c>
      <c r="C156" s="128">
        <f t="shared" ca="1" si="7"/>
        <v>1</v>
      </c>
    </row>
    <row r="157" spans="1:3" x14ac:dyDescent="0.25">
      <c r="A157" s="125">
        <f t="shared" si="8"/>
        <v>142</v>
      </c>
      <c r="B157" s="121">
        <f t="shared" ca="1" si="6"/>
        <v>12.272541067864552</v>
      </c>
      <c r="C157" s="128">
        <f t="shared" ca="1" si="7"/>
        <v>0</v>
      </c>
    </row>
    <row r="158" spans="1:3" x14ac:dyDescent="0.25">
      <c r="A158" s="125">
        <f t="shared" si="8"/>
        <v>143</v>
      </c>
      <c r="B158" s="121">
        <f t="shared" ca="1" si="6"/>
        <v>37.430425422031483</v>
      </c>
      <c r="C158" s="128">
        <f t="shared" ca="1" si="7"/>
        <v>1</v>
      </c>
    </row>
    <row r="159" spans="1:3" x14ac:dyDescent="0.25">
      <c r="A159" s="125">
        <f t="shared" si="8"/>
        <v>144</v>
      </c>
      <c r="B159" s="121">
        <f t="shared" ca="1" si="6"/>
        <v>53.791528038693166</v>
      </c>
      <c r="C159" s="128">
        <f t="shared" ca="1" si="7"/>
        <v>1</v>
      </c>
    </row>
    <row r="160" spans="1:3" x14ac:dyDescent="0.25">
      <c r="A160" s="125">
        <f t="shared" si="8"/>
        <v>145</v>
      </c>
      <c r="B160" s="121">
        <f t="shared" ca="1" si="6"/>
        <v>29.888036477293731</v>
      </c>
      <c r="C160" s="128">
        <f t="shared" ca="1" si="7"/>
        <v>1</v>
      </c>
    </row>
    <row r="161" spans="1:3" x14ac:dyDescent="0.25">
      <c r="A161" s="125">
        <f t="shared" si="8"/>
        <v>146</v>
      </c>
      <c r="B161" s="121">
        <f t="shared" ca="1" si="6"/>
        <v>38.231011048030105</v>
      </c>
      <c r="C161" s="128">
        <f t="shared" ca="1" si="7"/>
        <v>1</v>
      </c>
    </row>
    <row r="162" spans="1:3" x14ac:dyDescent="0.25">
      <c r="A162" s="125">
        <f t="shared" si="8"/>
        <v>147</v>
      </c>
      <c r="B162" s="121">
        <f t="shared" ca="1" si="6"/>
        <v>19.308238389884298</v>
      </c>
      <c r="C162" s="128">
        <f t="shared" ca="1" si="7"/>
        <v>0</v>
      </c>
    </row>
    <row r="163" spans="1:3" x14ac:dyDescent="0.25">
      <c r="A163" s="125">
        <f t="shared" si="8"/>
        <v>148</v>
      </c>
      <c r="B163" s="121">
        <f t="shared" ca="1" si="6"/>
        <v>68.069313575255578</v>
      </c>
      <c r="C163" s="128">
        <f t="shared" ca="1" si="7"/>
        <v>1</v>
      </c>
    </row>
    <row r="164" spans="1:3" x14ac:dyDescent="0.25">
      <c r="A164" s="125">
        <f t="shared" si="8"/>
        <v>149</v>
      </c>
      <c r="B164" s="121">
        <f t="shared" ca="1" si="6"/>
        <v>27.080093898643611</v>
      </c>
      <c r="C164" s="128">
        <f t="shared" ca="1" si="7"/>
        <v>1</v>
      </c>
    </row>
    <row r="165" spans="1:3" x14ac:dyDescent="0.25">
      <c r="A165" s="125">
        <f t="shared" si="8"/>
        <v>150</v>
      </c>
      <c r="B165" s="121">
        <f t="shared" ca="1" si="6"/>
        <v>27.753615184719685</v>
      </c>
      <c r="C165" s="128">
        <f t="shared" ca="1" si="7"/>
        <v>1</v>
      </c>
    </row>
    <row r="166" spans="1:3" x14ac:dyDescent="0.25">
      <c r="A166" s="125">
        <f t="shared" si="8"/>
        <v>151</v>
      </c>
      <c r="B166" s="121">
        <f t="shared" ca="1" si="6"/>
        <v>67.248652455925679</v>
      </c>
      <c r="C166" s="128">
        <f t="shared" ca="1" si="7"/>
        <v>1</v>
      </c>
    </row>
    <row r="167" spans="1:3" x14ac:dyDescent="0.25">
      <c r="A167" s="125">
        <f t="shared" si="8"/>
        <v>152</v>
      </c>
      <c r="B167" s="121">
        <f t="shared" ca="1" si="6"/>
        <v>35.099453131395059</v>
      </c>
      <c r="C167" s="128">
        <f t="shared" ca="1" si="7"/>
        <v>1</v>
      </c>
    </row>
    <row r="168" spans="1:3" x14ac:dyDescent="0.25">
      <c r="A168" s="125">
        <f t="shared" si="8"/>
        <v>153</v>
      </c>
      <c r="B168" s="121">
        <f t="shared" ca="1" si="6"/>
        <v>36.537479469549289</v>
      </c>
      <c r="C168" s="128">
        <f t="shared" ca="1" si="7"/>
        <v>1</v>
      </c>
    </row>
    <row r="169" spans="1:3" x14ac:dyDescent="0.25">
      <c r="A169" s="125">
        <f t="shared" si="8"/>
        <v>154</v>
      </c>
      <c r="B169" s="121">
        <f t="shared" ca="1" si="6"/>
        <v>50.614723903879032</v>
      </c>
      <c r="C169" s="128">
        <f t="shared" ca="1" si="7"/>
        <v>1</v>
      </c>
    </row>
    <row r="170" spans="1:3" x14ac:dyDescent="0.25">
      <c r="A170" s="125">
        <f t="shared" si="8"/>
        <v>155</v>
      </c>
      <c r="B170" s="121">
        <f t="shared" ca="1" si="6"/>
        <v>56.386423251101832</v>
      </c>
      <c r="C170" s="128">
        <f t="shared" ca="1" si="7"/>
        <v>1</v>
      </c>
    </row>
    <row r="171" spans="1:3" x14ac:dyDescent="0.25">
      <c r="A171" s="125">
        <f t="shared" si="8"/>
        <v>156</v>
      </c>
      <c r="B171" s="121">
        <f t="shared" ca="1" si="6"/>
        <v>72.150490374183889</v>
      </c>
      <c r="C171" s="128">
        <f t="shared" ca="1" si="7"/>
        <v>1</v>
      </c>
    </row>
    <row r="172" spans="1:3" x14ac:dyDescent="0.25">
      <c r="A172" s="125">
        <f t="shared" si="8"/>
        <v>157</v>
      </c>
      <c r="B172" s="121">
        <f t="shared" ca="1" si="6"/>
        <v>45.123443002923914</v>
      </c>
      <c r="C172" s="128">
        <f t="shared" ca="1" si="7"/>
        <v>1</v>
      </c>
    </row>
    <row r="173" spans="1:3" x14ac:dyDescent="0.25">
      <c r="A173" s="125">
        <f t="shared" si="8"/>
        <v>158</v>
      </c>
      <c r="B173" s="121">
        <f t="shared" ca="1" si="6"/>
        <v>66.129066681789027</v>
      </c>
      <c r="C173" s="128">
        <f t="shared" ca="1" si="7"/>
        <v>1</v>
      </c>
    </row>
    <row r="174" spans="1:3" x14ac:dyDescent="0.25">
      <c r="A174" s="125">
        <f t="shared" si="8"/>
        <v>159</v>
      </c>
      <c r="B174" s="121">
        <f t="shared" ca="1" si="6"/>
        <v>44.161727729950634</v>
      </c>
      <c r="C174" s="128">
        <f t="shared" ca="1" si="7"/>
        <v>1</v>
      </c>
    </row>
    <row r="175" spans="1:3" x14ac:dyDescent="0.25">
      <c r="A175" s="125">
        <f t="shared" si="8"/>
        <v>160</v>
      </c>
      <c r="B175" s="121">
        <f t="shared" ca="1" si="6"/>
        <v>28.674183093537515</v>
      </c>
      <c r="C175" s="128">
        <f t="shared" ca="1" si="7"/>
        <v>1</v>
      </c>
    </row>
    <row r="176" spans="1:3" x14ac:dyDescent="0.25">
      <c r="A176" s="125">
        <f t="shared" si="8"/>
        <v>161</v>
      </c>
      <c r="B176" s="121">
        <f t="shared" ca="1" si="6"/>
        <v>38.455967252604751</v>
      </c>
      <c r="C176" s="128">
        <f t="shared" ca="1" si="7"/>
        <v>1</v>
      </c>
    </row>
    <row r="177" spans="1:3" x14ac:dyDescent="0.25">
      <c r="A177" s="125">
        <f t="shared" si="8"/>
        <v>162</v>
      </c>
      <c r="B177" s="121">
        <f t="shared" ca="1" si="6"/>
        <v>48.970541837979745</v>
      </c>
      <c r="C177" s="128">
        <f t="shared" ca="1" si="7"/>
        <v>1</v>
      </c>
    </row>
    <row r="178" spans="1:3" x14ac:dyDescent="0.25">
      <c r="A178" s="125">
        <f t="shared" si="8"/>
        <v>163</v>
      </c>
      <c r="B178" s="121">
        <f t="shared" ca="1" si="6"/>
        <v>83.815484994817638</v>
      </c>
      <c r="C178" s="128">
        <f t="shared" ca="1" si="7"/>
        <v>1</v>
      </c>
    </row>
    <row r="179" spans="1:3" x14ac:dyDescent="0.25">
      <c r="A179" s="125">
        <f t="shared" si="8"/>
        <v>164</v>
      </c>
      <c r="B179" s="121">
        <f t="shared" ca="1" si="6"/>
        <v>17.08943803057846</v>
      </c>
      <c r="C179" s="128">
        <f t="shared" ca="1" si="7"/>
        <v>0</v>
      </c>
    </row>
    <row r="180" spans="1:3" x14ac:dyDescent="0.25">
      <c r="A180" s="125">
        <f t="shared" si="8"/>
        <v>165</v>
      </c>
      <c r="B180" s="121">
        <f t="shared" ca="1" si="6"/>
        <v>22.150715735296458</v>
      </c>
      <c r="C180" s="128">
        <f t="shared" ca="1" si="7"/>
        <v>0</v>
      </c>
    </row>
    <row r="181" spans="1:3" x14ac:dyDescent="0.25">
      <c r="A181" s="125">
        <f t="shared" si="8"/>
        <v>166</v>
      </c>
      <c r="B181" s="121">
        <f t="shared" ca="1" si="6"/>
        <v>54.695144818851759</v>
      </c>
      <c r="C181" s="128">
        <f t="shared" ca="1" si="7"/>
        <v>1</v>
      </c>
    </row>
    <row r="182" spans="1:3" x14ac:dyDescent="0.25">
      <c r="A182" s="125">
        <f t="shared" si="8"/>
        <v>167</v>
      </c>
      <c r="B182" s="121">
        <f t="shared" ca="1" si="6"/>
        <v>38.069170306210154</v>
      </c>
      <c r="C182" s="128">
        <f t="shared" ca="1" si="7"/>
        <v>1</v>
      </c>
    </row>
    <row r="183" spans="1:3" x14ac:dyDescent="0.25">
      <c r="A183" s="125">
        <f t="shared" si="8"/>
        <v>168</v>
      </c>
      <c r="B183" s="121">
        <f t="shared" ca="1" si="6"/>
        <v>40.300250710213071</v>
      </c>
      <c r="C183" s="128">
        <f t="shared" ca="1" si="7"/>
        <v>1</v>
      </c>
    </row>
    <row r="184" spans="1:3" x14ac:dyDescent="0.25">
      <c r="A184" s="125">
        <f t="shared" si="8"/>
        <v>169</v>
      </c>
      <c r="B184" s="121">
        <f t="shared" ca="1" si="6"/>
        <v>74.506749547284954</v>
      </c>
      <c r="C184" s="128">
        <f t="shared" ca="1" si="7"/>
        <v>1</v>
      </c>
    </row>
    <row r="185" spans="1:3" x14ac:dyDescent="0.25">
      <c r="A185" s="125">
        <f t="shared" si="8"/>
        <v>170</v>
      </c>
      <c r="B185" s="121">
        <f t="shared" ca="1" si="6"/>
        <v>52.441887278839005</v>
      </c>
      <c r="C185" s="128">
        <f t="shared" ca="1" si="7"/>
        <v>1</v>
      </c>
    </row>
    <row r="186" spans="1:3" x14ac:dyDescent="0.25">
      <c r="A186" s="125">
        <f t="shared" si="8"/>
        <v>171</v>
      </c>
      <c r="B186" s="121">
        <f t="shared" ca="1" si="6"/>
        <v>25.336875670266306</v>
      </c>
      <c r="C186" s="128">
        <f t="shared" ca="1" si="7"/>
        <v>1</v>
      </c>
    </row>
    <row r="187" spans="1:3" x14ac:dyDescent="0.25">
      <c r="A187" s="125">
        <f t="shared" si="8"/>
        <v>172</v>
      </c>
      <c r="B187" s="121">
        <f t="shared" ca="1" si="6"/>
        <v>21.750079804157757</v>
      </c>
      <c r="C187" s="128">
        <f t="shared" ca="1" si="7"/>
        <v>0</v>
      </c>
    </row>
    <row r="188" spans="1:3" x14ac:dyDescent="0.25">
      <c r="A188" s="125">
        <f t="shared" si="8"/>
        <v>173</v>
      </c>
      <c r="B188" s="121">
        <f t="shared" ca="1" si="6"/>
        <v>54.922637740836215</v>
      </c>
      <c r="C188" s="128">
        <f t="shared" ca="1" si="7"/>
        <v>1</v>
      </c>
    </row>
    <row r="189" spans="1:3" x14ac:dyDescent="0.25">
      <c r="A189" s="125">
        <f t="shared" si="8"/>
        <v>174</v>
      </c>
      <c r="B189" s="121">
        <f t="shared" ca="1" si="6"/>
        <v>54.789078378969876</v>
      </c>
      <c r="C189" s="128">
        <f t="shared" ca="1" si="7"/>
        <v>1</v>
      </c>
    </row>
    <row r="190" spans="1:3" x14ac:dyDescent="0.25">
      <c r="A190" s="125">
        <f t="shared" si="8"/>
        <v>175</v>
      </c>
      <c r="B190" s="121">
        <f t="shared" ca="1" si="6"/>
        <v>50.946944374568737</v>
      </c>
      <c r="C190" s="128">
        <f t="shared" ca="1" si="7"/>
        <v>1</v>
      </c>
    </row>
    <row r="191" spans="1:3" x14ac:dyDescent="0.25">
      <c r="A191" s="125">
        <f t="shared" si="8"/>
        <v>176</v>
      </c>
      <c r="B191" s="121">
        <f t="shared" ca="1" si="6"/>
        <v>65.265787824216204</v>
      </c>
      <c r="C191" s="128">
        <f t="shared" ca="1" si="7"/>
        <v>1</v>
      </c>
    </row>
    <row r="192" spans="1:3" x14ac:dyDescent="0.25">
      <c r="A192" s="125">
        <f t="shared" si="8"/>
        <v>177</v>
      </c>
      <c r="B192" s="121">
        <f t="shared" ca="1" si="6"/>
        <v>16.556436115270788</v>
      </c>
      <c r="C192" s="128">
        <f t="shared" ca="1" si="7"/>
        <v>0</v>
      </c>
    </row>
    <row r="193" spans="1:3" x14ac:dyDescent="0.25">
      <c r="A193" s="125">
        <f t="shared" si="8"/>
        <v>178</v>
      </c>
      <c r="B193" s="121">
        <f t="shared" ca="1" si="6"/>
        <v>39.101365576614413</v>
      </c>
      <c r="C193" s="128">
        <f t="shared" ca="1" si="7"/>
        <v>1</v>
      </c>
    </row>
    <row r="194" spans="1:3" x14ac:dyDescent="0.25">
      <c r="A194" s="125">
        <f t="shared" si="8"/>
        <v>179</v>
      </c>
      <c r="B194" s="121">
        <f t="shared" ca="1" si="6"/>
        <v>52.338069858879635</v>
      </c>
      <c r="C194" s="128">
        <f t="shared" ca="1" si="7"/>
        <v>1</v>
      </c>
    </row>
    <row r="195" spans="1:3" x14ac:dyDescent="0.25">
      <c r="A195" s="125">
        <f t="shared" si="8"/>
        <v>180</v>
      </c>
      <c r="B195" s="121">
        <f t="shared" ca="1" si="6"/>
        <v>40.546947484571554</v>
      </c>
      <c r="C195" s="128">
        <f t="shared" ca="1" si="7"/>
        <v>1</v>
      </c>
    </row>
    <row r="196" spans="1:3" x14ac:dyDescent="0.25">
      <c r="A196" s="125">
        <f t="shared" si="8"/>
        <v>181</v>
      </c>
      <c r="B196" s="121">
        <f t="shared" ca="1" si="6"/>
        <v>45.034578279451786</v>
      </c>
      <c r="C196" s="128">
        <f t="shared" ca="1" si="7"/>
        <v>1</v>
      </c>
    </row>
    <row r="197" spans="1:3" x14ac:dyDescent="0.25">
      <c r="A197" s="125">
        <f t="shared" si="8"/>
        <v>182</v>
      </c>
      <c r="B197" s="121">
        <f t="shared" ca="1" si="6"/>
        <v>51.960368267854747</v>
      </c>
      <c r="C197" s="128">
        <f t="shared" ca="1" si="7"/>
        <v>1</v>
      </c>
    </row>
    <row r="198" spans="1:3" x14ac:dyDescent="0.25">
      <c r="A198" s="125">
        <f t="shared" si="8"/>
        <v>183</v>
      </c>
      <c r="B198" s="121">
        <f t="shared" ca="1" si="6"/>
        <v>1.0767646029669891</v>
      </c>
      <c r="C198" s="128">
        <f t="shared" ca="1" si="7"/>
        <v>0</v>
      </c>
    </row>
    <row r="199" spans="1:3" x14ac:dyDescent="0.25">
      <c r="A199" s="125">
        <f t="shared" si="8"/>
        <v>184</v>
      </c>
      <c r="B199" s="121">
        <f t="shared" ca="1" si="6"/>
        <v>23.377081016835021</v>
      </c>
      <c r="C199" s="128">
        <f t="shared" ca="1" si="7"/>
        <v>0</v>
      </c>
    </row>
    <row r="200" spans="1:3" x14ac:dyDescent="0.25">
      <c r="A200" s="125">
        <f t="shared" si="8"/>
        <v>185</v>
      </c>
      <c r="B200" s="121">
        <f t="shared" ca="1" si="6"/>
        <v>27.790459615891898</v>
      </c>
      <c r="C200" s="128">
        <f t="shared" ca="1" si="7"/>
        <v>1</v>
      </c>
    </row>
    <row r="201" spans="1:3" x14ac:dyDescent="0.25">
      <c r="A201" s="125">
        <f t="shared" si="8"/>
        <v>186</v>
      </c>
      <c r="B201" s="121">
        <f t="shared" ca="1" si="6"/>
        <v>68.091053576117162</v>
      </c>
      <c r="C201" s="128">
        <f t="shared" ca="1" si="7"/>
        <v>1</v>
      </c>
    </row>
    <row r="202" spans="1:3" x14ac:dyDescent="0.25">
      <c r="A202" s="125">
        <f t="shared" si="8"/>
        <v>187</v>
      </c>
      <c r="B202" s="121">
        <f t="shared" ca="1" si="6"/>
        <v>51.065957855002068</v>
      </c>
      <c r="C202" s="128">
        <f t="shared" ca="1" si="7"/>
        <v>1</v>
      </c>
    </row>
    <row r="203" spans="1:3" x14ac:dyDescent="0.25">
      <c r="A203" s="125">
        <f t="shared" si="8"/>
        <v>188</v>
      </c>
      <c r="B203" s="121">
        <f t="shared" ca="1" si="6"/>
        <v>35.344008271016364</v>
      </c>
      <c r="C203" s="128">
        <f t="shared" ca="1" si="7"/>
        <v>1</v>
      </c>
    </row>
    <row r="204" spans="1:3" x14ac:dyDescent="0.25">
      <c r="A204" s="125">
        <f t="shared" si="8"/>
        <v>189</v>
      </c>
      <c r="B204" s="121">
        <f t="shared" ca="1" si="6"/>
        <v>16.239041330829235</v>
      </c>
      <c r="C204" s="128">
        <f t="shared" ca="1" si="7"/>
        <v>0</v>
      </c>
    </row>
    <row r="205" spans="1:3" x14ac:dyDescent="0.25">
      <c r="A205" s="125">
        <f t="shared" si="8"/>
        <v>190</v>
      </c>
      <c r="B205" s="121">
        <f t="shared" ca="1" si="6"/>
        <v>3.360079852726841</v>
      </c>
      <c r="C205" s="128">
        <f t="shared" ca="1" si="7"/>
        <v>0</v>
      </c>
    </row>
    <row r="206" spans="1:3" x14ac:dyDescent="0.25">
      <c r="A206" s="125">
        <f t="shared" si="8"/>
        <v>191</v>
      </c>
      <c r="B206" s="121">
        <f t="shared" ca="1" si="6"/>
        <v>7.1227541740194447</v>
      </c>
      <c r="C206" s="128">
        <f t="shared" ca="1" si="7"/>
        <v>0</v>
      </c>
    </row>
    <row r="207" spans="1:3" x14ac:dyDescent="0.25">
      <c r="A207" s="125">
        <f t="shared" si="8"/>
        <v>192</v>
      </c>
      <c r="B207" s="121">
        <f t="shared" ca="1" si="6"/>
        <v>55.036740951140899</v>
      </c>
      <c r="C207" s="128">
        <f t="shared" ca="1" si="7"/>
        <v>1</v>
      </c>
    </row>
    <row r="208" spans="1:3" x14ac:dyDescent="0.25">
      <c r="A208" s="125">
        <f t="shared" si="8"/>
        <v>193</v>
      </c>
      <c r="B208" s="121">
        <f t="shared" ca="1" si="6"/>
        <v>32.06402877402158</v>
      </c>
      <c r="C208" s="128">
        <f t="shared" ca="1" si="7"/>
        <v>1</v>
      </c>
    </row>
    <row r="209" spans="1:3" x14ac:dyDescent="0.25">
      <c r="A209" s="125">
        <f t="shared" si="8"/>
        <v>194</v>
      </c>
      <c r="B209" s="121">
        <f t="shared" ref="B209:B272" ca="1" si="9">_xlfn.NORM.INV(RAND(), $B$9, $B$10)</f>
        <v>23.31933654030858</v>
      </c>
      <c r="C209" s="128">
        <f t="shared" ref="C209:C272" ca="1" si="10">IF(B209 &gt;= $B$11, 1, 0)</f>
        <v>0</v>
      </c>
    </row>
    <row r="210" spans="1:3" x14ac:dyDescent="0.25">
      <c r="A210" s="125">
        <f t="shared" ref="A210:A273" si="11">+A209+1</f>
        <v>195</v>
      </c>
      <c r="B210" s="121">
        <f t="shared" ca="1" si="9"/>
        <v>51.973926948813322</v>
      </c>
      <c r="C210" s="128">
        <f t="shared" ca="1" si="10"/>
        <v>1</v>
      </c>
    </row>
    <row r="211" spans="1:3" x14ac:dyDescent="0.25">
      <c r="A211" s="125">
        <f t="shared" si="11"/>
        <v>196</v>
      </c>
      <c r="B211" s="121">
        <f t="shared" ca="1" si="9"/>
        <v>28.681596326499477</v>
      </c>
      <c r="C211" s="128">
        <f t="shared" ca="1" si="10"/>
        <v>1</v>
      </c>
    </row>
    <row r="212" spans="1:3" x14ac:dyDescent="0.25">
      <c r="A212" s="125">
        <f t="shared" si="11"/>
        <v>197</v>
      </c>
      <c r="B212" s="121">
        <f t="shared" ca="1" si="9"/>
        <v>27.057921234192456</v>
      </c>
      <c r="C212" s="128">
        <f t="shared" ca="1" si="10"/>
        <v>1</v>
      </c>
    </row>
    <row r="213" spans="1:3" x14ac:dyDescent="0.25">
      <c r="A213" s="125">
        <f t="shared" si="11"/>
        <v>198</v>
      </c>
      <c r="B213" s="121">
        <f t="shared" ca="1" si="9"/>
        <v>40.993766129410297</v>
      </c>
      <c r="C213" s="128">
        <f t="shared" ca="1" si="10"/>
        <v>1</v>
      </c>
    </row>
    <row r="214" spans="1:3" x14ac:dyDescent="0.25">
      <c r="A214" s="125">
        <f t="shared" si="11"/>
        <v>199</v>
      </c>
      <c r="B214" s="121">
        <f t="shared" ca="1" si="9"/>
        <v>26.729965040284902</v>
      </c>
      <c r="C214" s="128">
        <f t="shared" ca="1" si="10"/>
        <v>1</v>
      </c>
    </row>
    <row r="215" spans="1:3" x14ac:dyDescent="0.25">
      <c r="A215" s="125">
        <f t="shared" si="11"/>
        <v>200</v>
      </c>
      <c r="B215" s="121">
        <f t="shared" ca="1" si="9"/>
        <v>29.761599732400427</v>
      </c>
      <c r="C215" s="128">
        <f t="shared" ca="1" si="10"/>
        <v>1</v>
      </c>
    </row>
    <row r="216" spans="1:3" x14ac:dyDescent="0.25">
      <c r="A216" s="125">
        <f t="shared" si="11"/>
        <v>201</v>
      </c>
      <c r="B216" s="121">
        <f t="shared" ca="1" si="9"/>
        <v>10.915980214849782</v>
      </c>
      <c r="C216" s="128">
        <f t="shared" ca="1" si="10"/>
        <v>0</v>
      </c>
    </row>
    <row r="217" spans="1:3" x14ac:dyDescent="0.25">
      <c r="A217" s="125">
        <f t="shared" si="11"/>
        <v>202</v>
      </c>
      <c r="B217" s="121">
        <f t="shared" ca="1" si="9"/>
        <v>27.173691780736227</v>
      </c>
      <c r="C217" s="128">
        <f t="shared" ca="1" si="10"/>
        <v>1</v>
      </c>
    </row>
    <row r="218" spans="1:3" x14ac:dyDescent="0.25">
      <c r="A218" s="125">
        <f t="shared" si="11"/>
        <v>203</v>
      </c>
      <c r="B218" s="121">
        <f t="shared" ca="1" si="9"/>
        <v>25.054007883339466</v>
      </c>
      <c r="C218" s="128">
        <f t="shared" ca="1" si="10"/>
        <v>1</v>
      </c>
    </row>
    <row r="219" spans="1:3" x14ac:dyDescent="0.25">
      <c r="A219" s="125">
        <f t="shared" si="11"/>
        <v>204</v>
      </c>
      <c r="B219" s="121">
        <f t="shared" ca="1" si="9"/>
        <v>39.077586687362746</v>
      </c>
      <c r="C219" s="128">
        <f t="shared" ca="1" si="10"/>
        <v>1</v>
      </c>
    </row>
    <row r="220" spans="1:3" x14ac:dyDescent="0.25">
      <c r="A220" s="125">
        <f t="shared" si="11"/>
        <v>205</v>
      </c>
      <c r="B220" s="121">
        <f t="shared" ca="1" si="9"/>
        <v>8.4506945273314997</v>
      </c>
      <c r="C220" s="128">
        <f t="shared" ca="1" si="10"/>
        <v>0</v>
      </c>
    </row>
    <row r="221" spans="1:3" x14ac:dyDescent="0.25">
      <c r="A221" s="125">
        <f t="shared" si="11"/>
        <v>206</v>
      </c>
      <c r="B221" s="121">
        <f t="shared" ca="1" si="9"/>
        <v>67.86531437684107</v>
      </c>
      <c r="C221" s="128">
        <f t="shared" ca="1" si="10"/>
        <v>1</v>
      </c>
    </row>
    <row r="222" spans="1:3" x14ac:dyDescent="0.25">
      <c r="A222" s="125">
        <f t="shared" si="11"/>
        <v>207</v>
      </c>
      <c r="B222" s="121">
        <f t="shared" ca="1" si="9"/>
        <v>79.293591279671389</v>
      </c>
      <c r="C222" s="128">
        <f t="shared" ca="1" si="10"/>
        <v>1</v>
      </c>
    </row>
    <row r="223" spans="1:3" x14ac:dyDescent="0.25">
      <c r="A223" s="125">
        <f t="shared" si="11"/>
        <v>208</v>
      </c>
      <c r="B223" s="121">
        <f t="shared" ca="1" si="9"/>
        <v>61.180878789253086</v>
      </c>
      <c r="C223" s="128">
        <f t="shared" ca="1" si="10"/>
        <v>1</v>
      </c>
    </row>
    <row r="224" spans="1:3" x14ac:dyDescent="0.25">
      <c r="A224" s="125">
        <f t="shared" si="11"/>
        <v>209</v>
      </c>
      <c r="B224" s="121">
        <f t="shared" ca="1" si="9"/>
        <v>56.138884079412406</v>
      </c>
      <c r="C224" s="128">
        <f t="shared" ca="1" si="10"/>
        <v>1</v>
      </c>
    </row>
    <row r="225" spans="1:3" x14ac:dyDescent="0.25">
      <c r="A225" s="125">
        <f t="shared" si="11"/>
        <v>210</v>
      </c>
      <c r="B225" s="121">
        <f t="shared" ca="1" si="9"/>
        <v>59.617189960594899</v>
      </c>
      <c r="C225" s="128">
        <f t="shared" ca="1" si="10"/>
        <v>1</v>
      </c>
    </row>
    <row r="226" spans="1:3" x14ac:dyDescent="0.25">
      <c r="A226" s="125">
        <f t="shared" si="11"/>
        <v>211</v>
      </c>
      <c r="B226" s="121">
        <f t="shared" ca="1" si="9"/>
        <v>78.954836656906139</v>
      </c>
      <c r="C226" s="128">
        <f t="shared" ca="1" si="10"/>
        <v>1</v>
      </c>
    </row>
    <row r="227" spans="1:3" x14ac:dyDescent="0.25">
      <c r="A227" s="125">
        <f t="shared" si="11"/>
        <v>212</v>
      </c>
      <c r="B227" s="121">
        <f t="shared" ca="1" si="9"/>
        <v>23.563503834442351</v>
      </c>
      <c r="C227" s="128">
        <f t="shared" ca="1" si="10"/>
        <v>0</v>
      </c>
    </row>
    <row r="228" spans="1:3" x14ac:dyDescent="0.25">
      <c r="A228" s="125">
        <f t="shared" si="11"/>
        <v>213</v>
      </c>
      <c r="B228" s="121">
        <f t="shared" ca="1" si="9"/>
        <v>28.044809932300875</v>
      </c>
      <c r="C228" s="128">
        <f t="shared" ca="1" si="10"/>
        <v>1</v>
      </c>
    </row>
    <row r="229" spans="1:3" x14ac:dyDescent="0.25">
      <c r="A229" s="125">
        <f t="shared" si="11"/>
        <v>214</v>
      </c>
      <c r="B229" s="121">
        <f t="shared" ca="1" si="9"/>
        <v>11.54041992950512</v>
      </c>
      <c r="C229" s="128">
        <f t="shared" ca="1" si="10"/>
        <v>0</v>
      </c>
    </row>
    <row r="230" spans="1:3" x14ac:dyDescent="0.25">
      <c r="A230" s="125">
        <f t="shared" si="11"/>
        <v>215</v>
      </c>
      <c r="B230" s="121">
        <f t="shared" ca="1" si="9"/>
        <v>39.361160277827111</v>
      </c>
      <c r="C230" s="128">
        <f t="shared" ca="1" si="10"/>
        <v>1</v>
      </c>
    </row>
    <row r="231" spans="1:3" x14ac:dyDescent="0.25">
      <c r="A231" s="125">
        <f t="shared" si="11"/>
        <v>216</v>
      </c>
      <c r="B231" s="121">
        <f t="shared" ca="1" si="9"/>
        <v>19.005893186091487</v>
      </c>
      <c r="C231" s="128">
        <f t="shared" ca="1" si="10"/>
        <v>0</v>
      </c>
    </row>
    <row r="232" spans="1:3" x14ac:dyDescent="0.25">
      <c r="A232" s="125">
        <f t="shared" si="11"/>
        <v>217</v>
      </c>
      <c r="B232" s="121">
        <f t="shared" ca="1" si="9"/>
        <v>43.925622584539823</v>
      </c>
      <c r="C232" s="128">
        <f t="shared" ca="1" si="10"/>
        <v>1</v>
      </c>
    </row>
    <row r="233" spans="1:3" x14ac:dyDescent="0.25">
      <c r="A233" s="125">
        <f t="shared" si="11"/>
        <v>218</v>
      </c>
      <c r="B233" s="121">
        <f t="shared" ca="1" si="9"/>
        <v>9.6059022626043884</v>
      </c>
      <c r="C233" s="128">
        <f t="shared" ca="1" si="10"/>
        <v>0</v>
      </c>
    </row>
    <row r="234" spans="1:3" x14ac:dyDescent="0.25">
      <c r="A234" s="125">
        <f t="shared" si="11"/>
        <v>219</v>
      </c>
      <c r="B234" s="121">
        <f t="shared" ca="1" si="9"/>
        <v>15.64784585989532</v>
      </c>
      <c r="C234" s="128">
        <f t="shared" ca="1" si="10"/>
        <v>0</v>
      </c>
    </row>
    <row r="235" spans="1:3" x14ac:dyDescent="0.25">
      <c r="A235" s="125">
        <f t="shared" si="11"/>
        <v>220</v>
      </c>
      <c r="B235" s="121">
        <f t="shared" ca="1" si="9"/>
        <v>54.183751519758431</v>
      </c>
      <c r="C235" s="128">
        <f t="shared" ca="1" si="10"/>
        <v>1</v>
      </c>
    </row>
    <row r="236" spans="1:3" x14ac:dyDescent="0.25">
      <c r="A236" s="125">
        <f t="shared" si="11"/>
        <v>221</v>
      </c>
      <c r="B236" s="121">
        <f t="shared" ca="1" si="9"/>
        <v>49.313511107370473</v>
      </c>
      <c r="C236" s="128">
        <f t="shared" ca="1" si="10"/>
        <v>1</v>
      </c>
    </row>
    <row r="237" spans="1:3" x14ac:dyDescent="0.25">
      <c r="A237" s="125">
        <f t="shared" si="11"/>
        <v>222</v>
      </c>
      <c r="B237" s="121">
        <f t="shared" ca="1" si="9"/>
        <v>37.943406855769339</v>
      </c>
      <c r="C237" s="128">
        <f t="shared" ca="1" si="10"/>
        <v>1</v>
      </c>
    </row>
    <row r="238" spans="1:3" x14ac:dyDescent="0.25">
      <c r="A238" s="125">
        <f t="shared" si="11"/>
        <v>223</v>
      </c>
      <c r="B238" s="121">
        <f t="shared" ca="1" si="9"/>
        <v>20.939772058522845</v>
      </c>
      <c r="C238" s="128">
        <f t="shared" ca="1" si="10"/>
        <v>0</v>
      </c>
    </row>
    <row r="239" spans="1:3" x14ac:dyDescent="0.25">
      <c r="A239" s="125">
        <f t="shared" si="11"/>
        <v>224</v>
      </c>
      <c r="B239" s="121">
        <f t="shared" ca="1" si="9"/>
        <v>55.302826794007643</v>
      </c>
      <c r="C239" s="128">
        <f t="shared" ca="1" si="10"/>
        <v>1</v>
      </c>
    </row>
    <row r="240" spans="1:3" x14ac:dyDescent="0.25">
      <c r="A240" s="125">
        <f t="shared" si="11"/>
        <v>225</v>
      </c>
      <c r="B240" s="121">
        <f t="shared" ca="1" si="9"/>
        <v>18.985288354554662</v>
      </c>
      <c r="C240" s="128">
        <f t="shared" ca="1" si="10"/>
        <v>0</v>
      </c>
    </row>
    <row r="241" spans="1:3" x14ac:dyDescent="0.25">
      <c r="A241" s="125">
        <f t="shared" si="11"/>
        <v>226</v>
      </c>
      <c r="B241" s="121">
        <f t="shared" ca="1" si="9"/>
        <v>7.7324823148704844</v>
      </c>
      <c r="C241" s="128">
        <f t="shared" ca="1" si="10"/>
        <v>0</v>
      </c>
    </row>
    <row r="242" spans="1:3" x14ac:dyDescent="0.25">
      <c r="A242" s="125">
        <f t="shared" si="11"/>
        <v>227</v>
      </c>
      <c r="B242" s="121">
        <f t="shared" ca="1" si="9"/>
        <v>58.606776407100241</v>
      </c>
      <c r="C242" s="128">
        <f t="shared" ca="1" si="10"/>
        <v>1</v>
      </c>
    </row>
    <row r="243" spans="1:3" x14ac:dyDescent="0.25">
      <c r="A243" s="125">
        <f t="shared" si="11"/>
        <v>228</v>
      </c>
      <c r="B243" s="121">
        <f t="shared" ca="1" si="9"/>
        <v>37.183809454153121</v>
      </c>
      <c r="C243" s="128">
        <f t="shared" ca="1" si="10"/>
        <v>1</v>
      </c>
    </row>
    <row r="244" spans="1:3" x14ac:dyDescent="0.25">
      <c r="A244" s="125">
        <f t="shared" si="11"/>
        <v>229</v>
      </c>
      <c r="B244" s="121">
        <f t="shared" ca="1" si="9"/>
        <v>73.466020312632438</v>
      </c>
      <c r="C244" s="128">
        <f t="shared" ca="1" si="10"/>
        <v>1</v>
      </c>
    </row>
    <row r="245" spans="1:3" x14ac:dyDescent="0.25">
      <c r="A245" s="125">
        <f t="shared" si="11"/>
        <v>230</v>
      </c>
      <c r="B245" s="121">
        <f t="shared" ca="1" si="9"/>
        <v>1.4754515579544005</v>
      </c>
      <c r="C245" s="128">
        <f t="shared" ca="1" si="10"/>
        <v>0</v>
      </c>
    </row>
    <row r="246" spans="1:3" x14ac:dyDescent="0.25">
      <c r="A246" s="125">
        <f t="shared" si="11"/>
        <v>231</v>
      </c>
      <c r="B246" s="121">
        <f t="shared" ca="1" si="9"/>
        <v>55.700343701793372</v>
      </c>
      <c r="C246" s="128">
        <f t="shared" ca="1" si="10"/>
        <v>1</v>
      </c>
    </row>
    <row r="247" spans="1:3" x14ac:dyDescent="0.25">
      <c r="A247" s="125">
        <f t="shared" si="11"/>
        <v>232</v>
      </c>
      <c r="B247" s="121">
        <f t="shared" ca="1" si="9"/>
        <v>-15.919897183623817</v>
      </c>
      <c r="C247" s="128">
        <f t="shared" ca="1" si="10"/>
        <v>0</v>
      </c>
    </row>
    <row r="248" spans="1:3" x14ac:dyDescent="0.25">
      <c r="A248" s="125">
        <f t="shared" si="11"/>
        <v>233</v>
      </c>
      <c r="B248" s="121">
        <f t="shared" ca="1" si="9"/>
        <v>42.860691072438833</v>
      </c>
      <c r="C248" s="128">
        <f t="shared" ca="1" si="10"/>
        <v>1</v>
      </c>
    </row>
    <row r="249" spans="1:3" x14ac:dyDescent="0.25">
      <c r="A249" s="125">
        <f t="shared" si="11"/>
        <v>234</v>
      </c>
      <c r="B249" s="121">
        <f t="shared" ca="1" si="9"/>
        <v>3.927079906574761</v>
      </c>
      <c r="C249" s="128">
        <f t="shared" ca="1" si="10"/>
        <v>0</v>
      </c>
    </row>
    <row r="250" spans="1:3" x14ac:dyDescent="0.25">
      <c r="A250" s="125">
        <f t="shared" si="11"/>
        <v>235</v>
      </c>
      <c r="B250" s="121">
        <f t="shared" ca="1" si="9"/>
        <v>24.417740427706089</v>
      </c>
      <c r="C250" s="128">
        <f t="shared" ca="1" si="10"/>
        <v>0</v>
      </c>
    </row>
    <row r="251" spans="1:3" x14ac:dyDescent="0.25">
      <c r="A251" s="125">
        <f t="shared" si="11"/>
        <v>236</v>
      </c>
      <c r="B251" s="121">
        <f t="shared" ca="1" si="9"/>
        <v>25.834361518151709</v>
      </c>
      <c r="C251" s="128">
        <f t="shared" ca="1" si="10"/>
        <v>1</v>
      </c>
    </row>
    <row r="252" spans="1:3" x14ac:dyDescent="0.25">
      <c r="A252" s="125">
        <f t="shared" si="11"/>
        <v>237</v>
      </c>
      <c r="B252" s="121">
        <f t="shared" ca="1" si="9"/>
        <v>72.737982403855838</v>
      </c>
      <c r="C252" s="128">
        <f t="shared" ca="1" si="10"/>
        <v>1</v>
      </c>
    </row>
    <row r="253" spans="1:3" x14ac:dyDescent="0.25">
      <c r="A253" s="125">
        <f t="shared" si="11"/>
        <v>238</v>
      </c>
      <c r="B253" s="121">
        <f t="shared" ca="1" si="9"/>
        <v>53.274748834255647</v>
      </c>
      <c r="C253" s="128">
        <f t="shared" ca="1" si="10"/>
        <v>1</v>
      </c>
    </row>
    <row r="254" spans="1:3" x14ac:dyDescent="0.25">
      <c r="A254" s="125">
        <f t="shared" si="11"/>
        <v>239</v>
      </c>
      <c r="B254" s="121">
        <f t="shared" ca="1" si="9"/>
        <v>20.738553964839205</v>
      </c>
      <c r="C254" s="128">
        <f t="shared" ca="1" si="10"/>
        <v>0</v>
      </c>
    </row>
    <row r="255" spans="1:3" x14ac:dyDescent="0.25">
      <c r="A255" s="125">
        <f t="shared" si="11"/>
        <v>240</v>
      </c>
      <c r="B255" s="121">
        <f t="shared" ca="1" si="9"/>
        <v>28.660877506425908</v>
      </c>
      <c r="C255" s="128">
        <f t="shared" ca="1" si="10"/>
        <v>1</v>
      </c>
    </row>
    <row r="256" spans="1:3" x14ac:dyDescent="0.25">
      <c r="A256" s="125">
        <f t="shared" si="11"/>
        <v>241</v>
      </c>
      <c r="B256" s="121">
        <f t="shared" ca="1" si="9"/>
        <v>22.486531527683432</v>
      </c>
      <c r="C256" s="128">
        <f t="shared" ca="1" si="10"/>
        <v>0</v>
      </c>
    </row>
    <row r="257" spans="1:3" x14ac:dyDescent="0.25">
      <c r="A257" s="125">
        <f t="shared" si="11"/>
        <v>242</v>
      </c>
      <c r="B257" s="121">
        <f t="shared" ca="1" si="9"/>
        <v>12.845630960473102</v>
      </c>
      <c r="C257" s="128">
        <f t="shared" ca="1" si="10"/>
        <v>0</v>
      </c>
    </row>
    <row r="258" spans="1:3" x14ac:dyDescent="0.25">
      <c r="A258" s="125">
        <f t="shared" si="11"/>
        <v>243</v>
      </c>
      <c r="B258" s="121">
        <f t="shared" ca="1" si="9"/>
        <v>50.415228554350684</v>
      </c>
      <c r="C258" s="128">
        <f t="shared" ca="1" si="10"/>
        <v>1</v>
      </c>
    </row>
    <row r="259" spans="1:3" x14ac:dyDescent="0.25">
      <c r="A259" s="125">
        <f t="shared" si="11"/>
        <v>244</v>
      </c>
      <c r="B259" s="121">
        <f t="shared" ca="1" si="9"/>
        <v>38.530862753368545</v>
      </c>
      <c r="C259" s="128">
        <f t="shared" ca="1" si="10"/>
        <v>1</v>
      </c>
    </row>
    <row r="260" spans="1:3" x14ac:dyDescent="0.25">
      <c r="A260" s="125">
        <f t="shared" si="11"/>
        <v>245</v>
      </c>
      <c r="B260" s="121">
        <f t="shared" ca="1" si="9"/>
        <v>42.989208035528179</v>
      </c>
      <c r="C260" s="128">
        <f t="shared" ca="1" si="10"/>
        <v>1</v>
      </c>
    </row>
    <row r="261" spans="1:3" x14ac:dyDescent="0.25">
      <c r="A261" s="125">
        <f t="shared" si="11"/>
        <v>246</v>
      </c>
      <c r="B261" s="121">
        <f t="shared" ca="1" si="9"/>
        <v>79.865677658036475</v>
      </c>
      <c r="C261" s="128">
        <f t="shared" ca="1" si="10"/>
        <v>1</v>
      </c>
    </row>
    <row r="262" spans="1:3" x14ac:dyDescent="0.25">
      <c r="A262" s="125">
        <f t="shared" si="11"/>
        <v>247</v>
      </c>
      <c r="B262" s="121">
        <f t="shared" ca="1" si="9"/>
        <v>53.153194240232693</v>
      </c>
      <c r="C262" s="128">
        <f t="shared" ca="1" si="10"/>
        <v>1</v>
      </c>
    </row>
    <row r="263" spans="1:3" x14ac:dyDescent="0.25">
      <c r="A263" s="125">
        <f t="shared" si="11"/>
        <v>248</v>
      </c>
      <c r="B263" s="121">
        <f t="shared" ca="1" si="9"/>
        <v>45.737914095479198</v>
      </c>
      <c r="C263" s="128">
        <f t="shared" ca="1" si="10"/>
        <v>1</v>
      </c>
    </row>
    <row r="264" spans="1:3" x14ac:dyDescent="0.25">
      <c r="A264" s="125">
        <f t="shared" si="11"/>
        <v>249</v>
      </c>
      <c r="B264" s="121">
        <f t="shared" ca="1" si="9"/>
        <v>-31.220069164474566</v>
      </c>
      <c r="C264" s="128">
        <f t="shared" ca="1" si="10"/>
        <v>0</v>
      </c>
    </row>
    <row r="265" spans="1:3" x14ac:dyDescent="0.25">
      <c r="A265" s="125">
        <f t="shared" si="11"/>
        <v>250</v>
      </c>
      <c r="B265" s="121">
        <f t="shared" ca="1" si="9"/>
        <v>35.411304523590502</v>
      </c>
      <c r="C265" s="128">
        <f t="shared" ca="1" si="10"/>
        <v>1</v>
      </c>
    </row>
    <row r="266" spans="1:3" x14ac:dyDescent="0.25">
      <c r="A266" s="125">
        <f t="shared" si="11"/>
        <v>251</v>
      </c>
      <c r="B266" s="121">
        <f t="shared" ca="1" si="9"/>
        <v>24.485366370214685</v>
      </c>
      <c r="C266" s="128">
        <f t="shared" ca="1" si="10"/>
        <v>0</v>
      </c>
    </row>
    <row r="267" spans="1:3" x14ac:dyDescent="0.25">
      <c r="A267" s="125">
        <f t="shared" si="11"/>
        <v>252</v>
      </c>
      <c r="B267" s="121">
        <f t="shared" ca="1" si="9"/>
        <v>72.998751481970686</v>
      </c>
      <c r="C267" s="128">
        <f t="shared" ca="1" si="10"/>
        <v>1</v>
      </c>
    </row>
    <row r="268" spans="1:3" x14ac:dyDescent="0.25">
      <c r="A268" s="125">
        <f t="shared" si="11"/>
        <v>253</v>
      </c>
      <c r="B268" s="121">
        <f t="shared" ca="1" si="9"/>
        <v>12.59235621855359</v>
      </c>
      <c r="C268" s="128">
        <f t="shared" ca="1" si="10"/>
        <v>0</v>
      </c>
    </row>
    <row r="269" spans="1:3" x14ac:dyDescent="0.25">
      <c r="A269" s="125">
        <f t="shared" si="11"/>
        <v>254</v>
      </c>
      <c r="B269" s="121">
        <f t="shared" ca="1" si="9"/>
        <v>33.994540494242088</v>
      </c>
      <c r="C269" s="128">
        <f t="shared" ca="1" si="10"/>
        <v>1</v>
      </c>
    </row>
    <row r="270" spans="1:3" x14ac:dyDescent="0.25">
      <c r="A270" s="125">
        <f t="shared" si="11"/>
        <v>255</v>
      </c>
      <c r="B270" s="121">
        <f t="shared" ca="1" si="9"/>
        <v>6.1879947824999419</v>
      </c>
      <c r="C270" s="128">
        <f t="shared" ca="1" si="10"/>
        <v>0</v>
      </c>
    </row>
    <row r="271" spans="1:3" x14ac:dyDescent="0.25">
      <c r="A271" s="125">
        <f t="shared" si="11"/>
        <v>256</v>
      </c>
      <c r="B271" s="121">
        <f t="shared" ca="1" si="9"/>
        <v>42.808917276878688</v>
      </c>
      <c r="C271" s="128">
        <f t="shared" ca="1" si="10"/>
        <v>1</v>
      </c>
    </row>
    <row r="272" spans="1:3" x14ac:dyDescent="0.25">
      <c r="A272" s="125">
        <f t="shared" si="11"/>
        <v>257</v>
      </c>
      <c r="B272" s="121">
        <f t="shared" ca="1" si="9"/>
        <v>30.061713659737485</v>
      </c>
      <c r="C272" s="128">
        <f t="shared" ca="1" si="10"/>
        <v>1</v>
      </c>
    </row>
    <row r="273" spans="1:3" x14ac:dyDescent="0.25">
      <c r="A273" s="125">
        <f t="shared" si="11"/>
        <v>258</v>
      </c>
      <c r="B273" s="121">
        <f t="shared" ref="B273:B336" ca="1" si="12">_xlfn.NORM.INV(RAND(), $B$9, $B$10)</f>
        <v>26.331665705377546</v>
      </c>
      <c r="C273" s="128">
        <f t="shared" ref="C273:C336" ca="1" si="13">IF(B273 &gt;= $B$11, 1, 0)</f>
        <v>1</v>
      </c>
    </row>
    <row r="274" spans="1:3" x14ac:dyDescent="0.25">
      <c r="A274" s="125">
        <f t="shared" ref="A274:A337" si="14">+A273+1</f>
        <v>259</v>
      </c>
      <c r="B274" s="121">
        <f t="shared" ca="1" si="12"/>
        <v>65.181386992049227</v>
      </c>
      <c r="C274" s="128">
        <f t="shared" ca="1" si="13"/>
        <v>1</v>
      </c>
    </row>
    <row r="275" spans="1:3" x14ac:dyDescent="0.25">
      <c r="A275" s="125">
        <f t="shared" si="14"/>
        <v>260</v>
      </c>
      <c r="B275" s="121">
        <f t="shared" ca="1" si="12"/>
        <v>54.14315859207953</v>
      </c>
      <c r="C275" s="128">
        <f t="shared" ca="1" si="13"/>
        <v>1</v>
      </c>
    </row>
    <row r="276" spans="1:3" x14ac:dyDescent="0.25">
      <c r="A276" s="125">
        <f t="shared" si="14"/>
        <v>261</v>
      </c>
      <c r="B276" s="121">
        <f t="shared" ca="1" si="12"/>
        <v>52.181658745707161</v>
      </c>
      <c r="C276" s="128">
        <f t="shared" ca="1" si="13"/>
        <v>1</v>
      </c>
    </row>
    <row r="277" spans="1:3" x14ac:dyDescent="0.25">
      <c r="A277" s="125">
        <f t="shared" si="14"/>
        <v>262</v>
      </c>
      <c r="B277" s="121">
        <f t="shared" ca="1" si="12"/>
        <v>47.382408304116829</v>
      </c>
      <c r="C277" s="128">
        <f t="shared" ca="1" si="13"/>
        <v>1</v>
      </c>
    </row>
    <row r="278" spans="1:3" x14ac:dyDescent="0.25">
      <c r="A278" s="125">
        <f t="shared" si="14"/>
        <v>263</v>
      </c>
      <c r="B278" s="121">
        <f t="shared" ca="1" si="12"/>
        <v>106.95160977709875</v>
      </c>
      <c r="C278" s="128">
        <f t="shared" ca="1" si="13"/>
        <v>1</v>
      </c>
    </row>
    <row r="279" spans="1:3" x14ac:dyDescent="0.25">
      <c r="A279" s="125">
        <f t="shared" si="14"/>
        <v>264</v>
      </c>
      <c r="B279" s="121">
        <f t="shared" ca="1" si="12"/>
        <v>15.452311757516483</v>
      </c>
      <c r="C279" s="128">
        <f t="shared" ca="1" si="13"/>
        <v>0</v>
      </c>
    </row>
    <row r="280" spans="1:3" x14ac:dyDescent="0.25">
      <c r="A280" s="125">
        <f t="shared" si="14"/>
        <v>265</v>
      </c>
      <c r="B280" s="121">
        <f t="shared" ca="1" si="12"/>
        <v>3.5832753488950608</v>
      </c>
      <c r="C280" s="128">
        <f t="shared" ca="1" si="13"/>
        <v>0</v>
      </c>
    </row>
    <row r="281" spans="1:3" x14ac:dyDescent="0.25">
      <c r="A281" s="125">
        <f t="shared" si="14"/>
        <v>266</v>
      </c>
      <c r="B281" s="121">
        <f t="shared" ca="1" si="12"/>
        <v>70.993472144362244</v>
      </c>
      <c r="C281" s="128">
        <f t="shared" ca="1" si="13"/>
        <v>1</v>
      </c>
    </row>
    <row r="282" spans="1:3" x14ac:dyDescent="0.25">
      <c r="A282" s="125">
        <f t="shared" si="14"/>
        <v>267</v>
      </c>
      <c r="B282" s="121">
        <f t="shared" ca="1" si="12"/>
        <v>42.100600585935751</v>
      </c>
      <c r="C282" s="128">
        <f t="shared" ca="1" si="13"/>
        <v>1</v>
      </c>
    </row>
    <row r="283" spans="1:3" x14ac:dyDescent="0.25">
      <c r="A283" s="125">
        <f t="shared" si="14"/>
        <v>268</v>
      </c>
      <c r="B283" s="121">
        <f t="shared" ca="1" si="12"/>
        <v>61.312236279837848</v>
      </c>
      <c r="C283" s="128">
        <f t="shared" ca="1" si="13"/>
        <v>1</v>
      </c>
    </row>
    <row r="284" spans="1:3" x14ac:dyDescent="0.25">
      <c r="A284" s="125">
        <f t="shared" si="14"/>
        <v>269</v>
      </c>
      <c r="B284" s="121">
        <f t="shared" ca="1" si="12"/>
        <v>-2.8757355727054019</v>
      </c>
      <c r="C284" s="128">
        <f t="shared" ca="1" si="13"/>
        <v>0</v>
      </c>
    </row>
    <row r="285" spans="1:3" x14ac:dyDescent="0.25">
      <c r="A285" s="125">
        <f t="shared" si="14"/>
        <v>270</v>
      </c>
      <c r="B285" s="121">
        <f t="shared" ca="1" si="12"/>
        <v>35.729870325577188</v>
      </c>
      <c r="C285" s="128">
        <f t="shared" ca="1" si="13"/>
        <v>1</v>
      </c>
    </row>
    <row r="286" spans="1:3" x14ac:dyDescent="0.25">
      <c r="A286" s="125">
        <f t="shared" si="14"/>
        <v>271</v>
      </c>
      <c r="B286" s="121">
        <f t="shared" ca="1" si="12"/>
        <v>18.597184431764727</v>
      </c>
      <c r="C286" s="128">
        <f t="shared" ca="1" si="13"/>
        <v>0</v>
      </c>
    </row>
    <row r="287" spans="1:3" x14ac:dyDescent="0.25">
      <c r="A287" s="125">
        <f t="shared" si="14"/>
        <v>272</v>
      </c>
      <c r="B287" s="121">
        <f t="shared" ca="1" si="12"/>
        <v>41.10278498118312</v>
      </c>
      <c r="C287" s="128">
        <f t="shared" ca="1" si="13"/>
        <v>1</v>
      </c>
    </row>
    <row r="288" spans="1:3" x14ac:dyDescent="0.25">
      <c r="A288" s="125">
        <f t="shared" si="14"/>
        <v>273</v>
      </c>
      <c r="B288" s="121">
        <f t="shared" ca="1" si="12"/>
        <v>26.289708293096957</v>
      </c>
      <c r="C288" s="128">
        <f t="shared" ca="1" si="13"/>
        <v>1</v>
      </c>
    </row>
    <row r="289" spans="1:3" x14ac:dyDescent="0.25">
      <c r="A289" s="125">
        <f t="shared" si="14"/>
        <v>274</v>
      </c>
      <c r="B289" s="121">
        <f t="shared" ca="1" si="12"/>
        <v>36.333086278684824</v>
      </c>
      <c r="C289" s="128">
        <f t="shared" ca="1" si="13"/>
        <v>1</v>
      </c>
    </row>
    <row r="290" spans="1:3" x14ac:dyDescent="0.25">
      <c r="A290" s="125">
        <f t="shared" si="14"/>
        <v>275</v>
      </c>
      <c r="B290" s="121">
        <f t="shared" ca="1" si="12"/>
        <v>55.208902122852329</v>
      </c>
      <c r="C290" s="128">
        <f t="shared" ca="1" si="13"/>
        <v>1</v>
      </c>
    </row>
    <row r="291" spans="1:3" x14ac:dyDescent="0.25">
      <c r="A291" s="125">
        <f t="shared" si="14"/>
        <v>276</v>
      </c>
      <c r="B291" s="121">
        <f t="shared" ca="1" si="12"/>
        <v>48.144654348659188</v>
      </c>
      <c r="C291" s="128">
        <f t="shared" ca="1" si="13"/>
        <v>1</v>
      </c>
    </row>
    <row r="292" spans="1:3" x14ac:dyDescent="0.25">
      <c r="A292" s="125">
        <f t="shared" si="14"/>
        <v>277</v>
      </c>
      <c r="B292" s="121">
        <f t="shared" ca="1" si="12"/>
        <v>6.3104924553967123</v>
      </c>
      <c r="C292" s="128">
        <f t="shared" ca="1" si="13"/>
        <v>0</v>
      </c>
    </row>
    <row r="293" spans="1:3" x14ac:dyDescent="0.25">
      <c r="A293" s="125">
        <f t="shared" si="14"/>
        <v>278</v>
      </c>
      <c r="B293" s="121">
        <f t="shared" ca="1" si="12"/>
        <v>6.9969726300623876</v>
      </c>
      <c r="C293" s="128">
        <f t="shared" ca="1" si="13"/>
        <v>0</v>
      </c>
    </row>
    <row r="294" spans="1:3" x14ac:dyDescent="0.25">
      <c r="A294" s="125">
        <f t="shared" si="14"/>
        <v>279</v>
      </c>
      <c r="B294" s="121">
        <f t="shared" ca="1" si="12"/>
        <v>59.349103487746888</v>
      </c>
      <c r="C294" s="128">
        <f t="shared" ca="1" si="13"/>
        <v>1</v>
      </c>
    </row>
    <row r="295" spans="1:3" x14ac:dyDescent="0.25">
      <c r="A295" s="125">
        <f t="shared" si="14"/>
        <v>280</v>
      </c>
      <c r="B295" s="121">
        <f t="shared" ca="1" si="12"/>
        <v>75.691921901710202</v>
      </c>
      <c r="C295" s="128">
        <f t="shared" ca="1" si="13"/>
        <v>1</v>
      </c>
    </row>
    <row r="296" spans="1:3" x14ac:dyDescent="0.25">
      <c r="A296" s="125">
        <f t="shared" si="14"/>
        <v>281</v>
      </c>
      <c r="B296" s="121">
        <f t="shared" ca="1" si="12"/>
        <v>23.693162817280854</v>
      </c>
      <c r="C296" s="128">
        <f t="shared" ca="1" si="13"/>
        <v>0</v>
      </c>
    </row>
    <row r="297" spans="1:3" x14ac:dyDescent="0.25">
      <c r="A297" s="125">
        <f t="shared" si="14"/>
        <v>282</v>
      </c>
      <c r="B297" s="121">
        <f t="shared" ca="1" si="12"/>
        <v>40.550848877955218</v>
      </c>
      <c r="C297" s="128">
        <f t="shared" ca="1" si="13"/>
        <v>1</v>
      </c>
    </row>
    <row r="298" spans="1:3" x14ac:dyDescent="0.25">
      <c r="A298" s="125">
        <f t="shared" si="14"/>
        <v>283</v>
      </c>
      <c r="B298" s="121">
        <f t="shared" ca="1" si="12"/>
        <v>1.0078618324619129</v>
      </c>
      <c r="C298" s="128">
        <f t="shared" ca="1" si="13"/>
        <v>0</v>
      </c>
    </row>
    <row r="299" spans="1:3" x14ac:dyDescent="0.25">
      <c r="A299" s="125">
        <f t="shared" si="14"/>
        <v>284</v>
      </c>
      <c r="B299" s="121">
        <f t="shared" ca="1" si="12"/>
        <v>44.018188695998212</v>
      </c>
      <c r="C299" s="128">
        <f t="shared" ca="1" si="13"/>
        <v>1</v>
      </c>
    </row>
    <row r="300" spans="1:3" x14ac:dyDescent="0.25">
      <c r="A300" s="125">
        <f t="shared" si="14"/>
        <v>285</v>
      </c>
      <c r="B300" s="121">
        <f t="shared" ca="1" si="12"/>
        <v>14.767277707751582</v>
      </c>
      <c r="C300" s="128">
        <f t="shared" ca="1" si="13"/>
        <v>0</v>
      </c>
    </row>
    <row r="301" spans="1:3" x14ac:dyDescent="0.25">
      <c r="A301" s="125">
        <f t="shared" si="14"/>
        <v>286</v>
      </c>
      <c r="B301" s="121">
        <f t="shared" ca="1" si="12"/>
        <v>27.773373909031221</v>
      </c>
      <c r="C301" s="128">
        <f t="shared" ca="1" si="13"/>
        <v>1</v>
      </c>
    </row>
    <row r="302" spans="1:3" x14ac:dyDescent="0.25">
      <c r="A302" s="125">
        <f t="shared" si="14"/>
        <v>287</v>
      </c>
      <c r="B302" s="121">
        <f t="shared" ca="1" si="12"/>
        <v>8.5997367432295668</v>
      </c>
      <c r="C302" s="128">
        <f t="shared" ca="1" si="13"/>
        <v>0</v>
      </c>
    </row>
    <row r="303" spans="1:3" x14ac:dyDescent="0.25">
      <c r="A303" s="125">
        <f t="shared" si="14"/>
        <v>288</v>
      </c>
      <c r="B303" s="121">
        <f t="shared" ca="1" si="12"/>
        <v>49.513857831032595</v>
      </c>
      <c r="C303" s="128">
        <f t="shared" ca="1" si="13"/>
        <v>1</v>
      </c>
    </row>
    <row r="304" spans="1:3" x14ac:dyDescent="0.25">
      <c r="A304" s="125">
        <f t="shared" si="14"/>
        <v>289</v>
      </c>
      <c r="B304" s="121">
        <f t="shared" ca="1" si="12"/>
        <v>30.514708465173321</v>
      </c>
      <c r="C304" s="128">
        <f t="shared" ca="1" si="13"/>
        <v>1</v>
      </c>
    </row>
    <row r="305" spans="1:3" x14ac:dyDescent="0.25">
      <c r="A305" s="125">
        <f t="shared" si="14"/>
        <v>290</v>
      </c>
      <c r="B305" s="121">
        <f t="shared" ca="1" si="12"/>
        <v>38.702998609281828</v>
      </c>
      <c r="C305" s="128">
        <f t="shared" ca="1" si="13"/>
        <v>1</v>
      </c>
    </row>
    <row r="306" spans="1:3" x14ac:dyDescent="0.25">
      <c r="A306" s="125">
        <f t="shared" si="14"/>
        <v>291</v>
      </c>
      <c r="B306" s="121">
        <f t="shared" ca="1" si="12"/>
        <v>25.8239058691907</v>
      </c>
      <c r="C306" s="128">
        <f t="shared" ca="1" si="13"/>
        <v>1</v>
      </c>
    </row>
    <row r="307" spans="1:3" x14ac:dyDescent="0.25">
      <c r="A307" s="125">
        <f t="shared" si="14"/>
        <v>292</v>
      </c>
      <c r="B307" s="121">
        <f t="shared" ca="1" si="12"/>
        <v>73.963791366435643</v>
      </c>
      <c r="C307" s="128">
        <f t="shared" ca="1" si="13"/>
        <v>1</v>
      </c>
    </row>
    <row r="308" spans="1:3" x14ac:dyDescent="0.25">
      <c r="A308" s="125">
        <f t="shared" si="14"/>
        <v>293</v>
      </c>
      <c r="B308" s="121">
        <f t="shared" ca="1" si="12"/>
        <v>14.796264782915241</v>
      </c>
      <c r="C308" s="128">
        <f t="shared" ca="1" si="13"/>
        <v>0</v>
      </c>
    </row>
    <row r="309" spans="1:3" x14ac:dyDescent="0.25">
      <c r="A309" s="125">
        <f t="shared" si="14"/>
        <v>294</v>
      </c>
      <c r="B309" s="121">
        <f t="shared" ca="1" si="12"/>
        <v>43.714012750381656</v>
      </c>
      <c r="C309" s="128">
        <f t="shared" ca="1" si="13"/>
        <v>1</v>
      </c>
    </row>
    <row r="310" spans="1:3" x14ac:dyDescent="0.25">
      <c r="A310" s="125">
        <f t="shared" si="14"/>
        <v>295</v>
      </c>
      <c r="B310" s="121">
        <f t="shared" ca="1" si="12"/>
        <v>21.607756889129512</v>
      </c>
      <c r="C310" s="128">
        <f t="shared" ca="1" si="13"/>
        <v>0</v>
      </c>
    </row>
    <row r="311" spans="1:3" x14ac:dyDescent="0.25">
      <c r="A311" s="125">
        <f t="shared" si="14"/>
        <v>296</v>
      </c>
      <c r="B311" s="121">
        <f t="shared" ca="1" si="12"/>
        <v>47.810190295047079</v>
      </c>
      <c r="C311" s="128">
        <f t="shared" ca="1" si="13"/>
        <v>1</v>
      </c>
    </row>
    <row r="312" spans="1:3" x14ac:dyDescent="0.25">
      <c r="A312" s="125">
        <f t="shared" si="14"/>
        <v>297</v>
      </c>
      <c r="B312" s="121">
        <f t="shared" ca="1" si="12"/>
        <v>40.23511613124392</v>
      </c>
      <c r="C312" s="128">
        <f t="shared" ca="1" si="13"/>
        <v>1</v>
      </c>
    </row>
    <row r="313" spans="1:3" x14ac:dyDescent="0.25">
      <c r="A313" s="125">
        <f t="shared" si="14"/>
        <v>298</v>
      </c>
      <c r="B313" s="121">
        <f t="shared" ca="1" si="12"/>
        <v>49.56413102212715</v>
      </c>
      <c r="C313" s="128">
        <f t="shared" ca="1" si="13"/>
        <v>1</v>
      </c>
    </row>
    <row r="314" spans="1:3" x14ac:dyDescent="0.25">
      <c r="A314" s="125">
        <f t="shared" si="14"/>
        <v>299</v>
      </c>
      <c r="B314" s="121">
        <f t="shared" ca="1" si="12"/>
        <v>50.130835089377229</v>
      </c>
      <c r="C314" s="128">
        <f t="shared" ca="1" si="13"/>
        <v>1</v>
      </c>
    </row>
    <row r="315" spans="1:3" x14ac:dyDescent="0.25">
      <c r="A315" s="125">
        <f t="shared" si="14"/>
        <v>300</v>
      </c>
      <c r="B315" s="121">
        <f t="shared" ca="1" si="12"/>
        <v>50.661985839645787</v>
      </c>
      <c r="C315" s="128">
        <f t="shared" ca="1" si="13"/>
        <v>1</v>
      </c>
    </row>
    <row r="316" spans="1:3" x14ac:dyDescent="0.25">
      <c r="A316" s="125">
        <f t="shared" si="14"/>
        <v>301</v>
      </c>
      <c r="B316" s="121">
        <f t="shared" ca="1" si="12"/>
        <v>43.695881146248617</v>
      </c>
      <c r="C316" s="128">
        <f t="shared" ca="1" si="13"/>
        <v>1</v>
      </c>
    </row>
    <row r="317" spans="1:3" x14ac:dyDescent="0.25">
      <c r="A317" s="125">
        <f t="shared" si="14"/>
        <v>302</v>
      </c>
      <c r="B317" s="121">
        <f t="shared" ca="1" si="12"/>
        <v>61.092905720784913</v>
      </c>
      <c r="C317" s="128">
        <f t="shared" ca="1" si="13"/>
        <v>1</v>
      </c>
    </row>
    <row r="318" spans="1:3" x14ac:dyDescent="0.25">
      <c r="A318" s="125">
        <f t="shared" si="14"/>
        <v>303</v>
      </c>
      <c r="B318" s="121">
        <f t="shared" ca="1" si="12"/>
        <v>34.387374913533037</v>
      </c>
      <c r="C318" s="128">
        <f t="shared" ca="1" si="13"/>
        <v>1</v>
      </c>
    </row>
    <row r="319" spans="1:3" x14ac:dyDescent="0.25">
      <c r="A319" s="125">
        <f t="shared" si="14"/>
        <v>304</v>
      </c>
      <c r="B319" s="121">
        <f t="shared" ca="1" si="12"/>
        <v>13.393913634119393</v>
      </c>
      <c r="C319" s="128">
        <f t="shared" ca="1" si="13"/>
        <v>0</v>
      </c>
    </row>
    <row r="320" spans="1:3" x14ac:dyDescent="0.25">
      <c r="A320" s="125">
        <f t="shared" si="14"/>
        <v>305</v>
      </c>
      <c r="B320" s="121">
        <f t="shared" ca="1" si="12"/>
        <v>-19.008290626277891</v>
      </c>
      <c r="C320" s="128">
        <f t="shared" ca="1" si="13"/>
        <v>0</v>
      </c>
    </row>
    <row r="321" spans="1:3" x14ac:dyDescent="0.25">
      <c r="A321" s="125">
        <f t="shared" si="14"/>
        <v>306</v>
      </c>
      <c r="B321" s="121">
        <f t="shared" ca="1" si="12"/>
        <v>31.60323947972747</v>
      </c>
      <c r="C321" s="128">
        <f t="shared" ca="1" si="13"/>
        <v>1</v>
      </c>
    </row>
    <row r="322" spans="1:3" x14ac:dyDescent="0.25">
      <c r="A322" s="125">
        <f t="shared" si="14"/>
        <v>307</v>
      </c>
      <c r="B322" s="121">
        <f t="shared" ca="1" si="12"/>
        <v>17.239944188882546</v>
      </c>
      <c r="C322" s="128">
        <f t="shared" ca="1" si="13"/>
        <v>0</v>
      </c>
    </row>
    <row r="323" spans="1:3" x14ac:dyDescent="0.25">
      <c r="A323" s="125">
        <f t="shared" si="14"/>
        <v>308</v>
      </c>
      <c r="B323" s="121">
        <f t="shared" ca="1" si="12"/>
        <v>18.930348915076628</v>
      </c>
      <c r="C323" s="128">
        <f t="shared" ca="1" si="13"/>
        <v>0</v>
      </c>
    </row>
    <row r="324" spans="1:3" x14ac:dyDescent="0.25">
      <c r="A324" s="125">
        <f t="shared" si="14"/>
        <v>309</v>
      </c>
      <c r="B324" s="121">
        <f t="shared" ca="1" si="12"/>
        <v>82.370790129783188</v>
      </c>
      <c r="C324" s="128">
        <f t="shared" ca="1" si="13"/>
        <v>1</v>
      </c>
    </row>
    <row r="325" spans="1:3" x14ac:dyDescent="0.25">
      <c r="A325" s="125">
        <f t="shared" si="14"/>
        <v>310</v>
      </c>
      <c r="B325" s="121">
        <f t="shared" ca="1" si="12"/>
        <v>-1.3031712670119262</v>
      </c>
      <c r="C325" s="128">
        <f t="shared" ca="1" si="13"/>
        <v>0</v>
      </c>
    </row>
    <row r="326" spans="1:3" x14ac:dyDescent="0.25">
      <c r="A326" s="125">
        <f t="shared" si="14"/>
        <v>311</v>
      </c>
      <c r="B326" s="121">
        <f t="shared" ca="1" si="12"/>
        <v>32.497919981049812</v>
      </c>
      <c r="C326" s="128">
        <f t="shared" ca="1" si="13"/>
        <v>1</v>
      </c>
    </row>
    <row r="327" spans="1:3" x14ac:dyDescent="0.25">
      <c r="A327" s="125">
        <f t="shared" si="14"/>
        <v>312</v>
      </c>
      <c r="B327" s="121">
        <f t="shared" ca="1" si="12"/>
        <v>85.017908485989523</v>
      </c>
      <c r="C327" s="128">
        <f t="shared" ca="1" si="13"/>
        <v>1</v>
      </c>
    </row>
    <row r="328" spans="1:3" x14ac:dyDescent="0.25">
      <c r="A328" s="125">
        <f t="shared" si="14"/>
        <v>313</v>
      </c>
      <c r="B328" s="121">
        <f t="shared" ca="1" si="12"/>
        <v>57.729254763433616</v>
      </c>
      <c r="C328" s="128">
        <f t="shared" ca="1" si="13"/>
        <v>1</v>
      </c>
    </row>
    <row r="329" spans="1:3" x14ac:dyDescent="0.25">
      <c r="A329" s="125">
        <f t="shared" si="14"/>
        <v>314</v>
      </c>
      <c r="B329" s="121">
        <f t="shared" ca="1" si="12"/>
        <v>36.305580805626569</v>
      </c>
      <c r="C329" s="128">
        <f t="shared" ca="1" si="13"/>
        <v>1</v>
      </c>
    </row>
    <row r="330" spans="1:3" x14ac:dyDescent="0.25">
      <c r="A330" s="125">
        <f t="shared" si="14"/>
        <v>315</v>
      </c>
      <c r="B330" s="121">
        <f t="shared" ca="1" si="12"/>
        <v>94.981362908514114</v>
      </c>
      <c r="C330" s="128">
        <f t="shared" ca="1" si="13"/>
        <v>1</v>
      </c>
    </row>
    <row r="331" spans="1:3" x14ac:dyDescent="0.25">
      <c r="A331" s="125">
        <f t="shared" si="14"/>
        <v>316</v>
      </c>
      <c r="B331" s="121">
        <f t="shared" ca="1" si="12"/>
        <v>25.2349613546182</v>
      </c>
      <c r="C331" s="128">
        <f t="shared" ca="1" si="13"/>
        <v>1</v>
      </c>
    </row>
    <row r="332" spans="1:3" x14ac:dyDescent="0.25">
      <c r="A332" s="125">
        <f t="shared" si="14"/>
        <v>317</v>
      </c>
      <c r="B332" s="121">
        <f t="shared" ca="1" si="12"/>
        <v>59.020225412621258</v>
      </c>
      <c r="C332" s="128">
        <f t="shared" ca="1" si="13"/>
        <v>1</v>
      </c>
    </row>
    <row r="333" spans="1:3" x14ac:dyDescent="0.25">
      <c r="A333" s="125">
        <f t="shared" si="14"/>
        <v>318</v>
      </c>
      <c r="B333" s="121">
        <f t="shared" ca="1" si="12"/>
        <v>42.897884681357155</v>
      </c>
      <c r="C333" s="128">
        <f t="shared" ca="1" si="13"/>
        <v>1</v>
      </c>
    </row>
    <row r="334" spans="1:3" x14ac:dyDescent="0.25">
      <c r="A334" s="125">
        <f t="shared" si="14"/>
        <v>319</v>
      </c>
      <c r="B334" s="121">
        <f t="shared" ca="1" si="12"/>
        <v>77.292376175529796</v>
      </c>
      <c r="C334" s="128">
        <f t="shared" ca="1" si="13"/>
        <v>1</v>
      </c>
    </row>
    <row r="335" spans="1:3" x14ac:dyDescent="0.25">
      <c r="A335" s="125">
        <f t="shared" si="14"/>
        <v>320</v>
      </c>
      <c r="B335" s="121">
        <f t="shared" ca="1" si="12"/>
        <v>46.941983567625527</v>
      </c>
      <c r="C335" s="128">
        <f t="shared" ca="1" si="13"/>
        <v>1</v>
      </c>
    </row>
    <row r="336" spans="1:3" x14ac:dyDescent="0.25">
      <c r="A336" s="125">
        <f t="shared" si="14"/>
        <v>321</v>
      </c>
      <c r="B336" s="121">
        <f t="shared" ca="1" si="12"/>
        <v>83.401877520546606</v>
      </c>
      <c r="C336" s="128">
        <f t="shared" ca="1" si="13"/>
        <v>1</v>
      </c>
    </row>
    <row r="337" spans="1:3" x14ac:dyDescent="0.25">
      <c r="A337" s="125">
        <f t="shared" si="14"/>
        <v>322</v>
      </c>
      <c r="B337" s="121">
        <f t="shared" ref="B337:B400" ca="1" si="15">_xlfn.NORM.INV(RAND(), $B$9, $B$10)</f>
        <v>14.089960667354454</v>
      </c>
      <c r="C337" s="128">
        <f t="shared" ref="C337:C400" ca="1" si="16">IF(B337 &gt;= $B$11, 1, 0)</f>
        <v>0</v>
      </c>
    </row>
    <row r="338" spans="1:3" x14ac:dyDescent="0.25">
      <c r="A338" s="125">
        <f t="shared" ref="A338:A401" si="17">+A337+1</f>
        <v>323</v>
      </c>
      <c r="B338" s="121">
        <f t="shared" ca="1" si="15"/>
        <v>18.137266953917763</v>
      </c>
      <c r="C338" s="128">
        <f t="shared" ca="1" si="16"/>
        <v>0</v>
      </c>
    </row>
    <row r="339" spans="1:3" x14ac:dyDescent="0.25">
      <c r="A339" s="125">
        <f t="shared" si="17"/>
        <v>324</v>
      </c>
      <c r="B339" s="121">
        <f t="shared" ca="1" si="15"/>
        <v>59.175486125354027</v>
      </c>
      <c r="C339" s="128">
        <f t="shared" ca="1" si="16"/>
        <v>1</v>
      </c>
    </row>
    <row r="340" spans="1:3" x14ac:dyDescent="0.25">
      <c r="A340" s="125">
        <f t="shared" si="17"/>
        <v>325</v>
      </c>
      <c r="B340" s="121">
        <f t="shared" ca="1" si="15"/>
        <v>55.573239622345504</v>
      </c>
      <c r="C340" s="128">
        <f t="shared" ca="1" si="16"/>
        <v>1</v>
      </c>
    </row>
    <row r="341" spans="1:3" x14ac:dyDescent="0.25">
      <c r="A341" s="125">
        <f t="shared" si="17"/>
        <v>326</v>
      </c>
      <c r="B341" s="121">
        <f t="shared" ca="1" si="15"/>
        <v>30.034932017668652</v>
      </c>
      <c r="C341" s="128">
        <f t="shared" ca="1" si="16"/>
        <v>1</v>
      </c>
    </row>
    <row r="342" spans="1:3" x14ac:dyDescent="0.25">
      <c r="A342" s="125">
        <f t="shared" si="17"/>
        <v>327</v>
      </c>
      <c r="B342" s="121">
        <f t="shared" ca="1" si="15"/>
        <v>30.717926297953241</v>
      </c>
      <c r="C342" s="128">
        <f t="shared" ca="1" si="16"/>
        <v>1</v>
      </c>
    </row>
    <row r="343" spans="1:3" x14ac:dyDescent="0.25">
      <c r="A343" s="125">
        <f t="shared" si="17"/>
        <v>328</v>
      </c>
      <c r="B343" s="121">
        <f t="shared" ca="1" si="15"/>
        <v>44.528697209002452</v>
      </c>
      <c r="C343" s="128">
        <f t="shared" ca="1" si="16"/>
        <v>1</v>
      </c>
    </row>
    <row r="344" spans="1:3" x14ac:dyDescent="0.25">
      <c r="A344" s="125">
        <f t="shared" si="17"/>
        <v>329</v>
      </c>
      <c r="B344" s="121">
        <f t="shared" ca="1" si="15"/>
        <v>-2.261237369287322</v>
      </c>
      <c r="C344" s="128">
        <f t="shared" ca="1" si="16"/>
        <v>0</v>
      </c>
    </row>
    <row r="345" spans="1:3" x14ac:dyDescent="0.25">
      <c r="A345" s="125">
        <f t="shared" si="17"/>
        <v>330</v>
      </c>
      <c r="B345" s="121">
        <f t="shared" ca="1" si="15"/>
        <v>66.577489780617725</v>
      </c>
      <c r="C345" s="128">
        <f t="shared" ca="1" si="16"/>
        <v>1</v>
      </c>
    </row>
    <row r="346" spans="1:3" x14ac:dyDescent="0.25">
      <c r="A346" s="125">
        <f t="shared" si="17"/>
        <v>331</v>
      </c>
      <c r="B346" s="121">
        <f t="shared" ca="1" si="15"/>
        <v>45.344385009523023</v>
      </c>
      <c r="C346" s="128">
        <f t="shared" ca="1" si="16"/>
        <v>1</v>
      </c>
    </row>
    <row r="347" spans="1:3" x14ac:dyDescent="0.25">
      <c r="A347" s="125">
        <f t="shared" si="17"/>
        <v>332</v>
      </c>
      <c r="B347" s="121">
        <f t="shared" ca="1" si="15"/>
        <v>-38.832563550272198</v>
      </c>
      <c r="C347" s="128">
        <f t="shared" ca="1" si="16"/>
        <v>0</v>
      </c>
    </row>
    <row r="348" spans="1:3" x14ac:dyDescent="0.25">
      <c r="A348" s="125">
        <f t="shared" si="17"/>
        <v>333</v>
      </c>
      <c r="B348" s="121">
        <f t="shared" ca="1" si="15"/>
        <v>35.962823773816794</v>
      </c>
      <c r="C348" s="128">
        <f t="shared" ca="1" si="16"/>
        <v>1</v>
      </c>
    </row>
    <row r="349" spans="1:3" x14ac:dyDescent="0.25">
      <c r="A349" s="125">
        <f t="shared" si="17"/>
        <v>334</v>
      </c>
      <c r="B349" s="121">
        <f t="shared" ca="1" si="15"/>
        <v>35.595576324761815</v>
      </c>
      <c r="C349" s="128">
        <f t="shared" ca="1" si="16"/>
        <v>1</v>
      </c>
    </row>
    <row r="350" spans="1:3" x14ac:dyDescent="0.25">
      <c r="A350" s="125">
        <f t="shared" si="17"/>
        <v>335</v>
      </c>
      <c r="B350" s="121">
        <f t="shared" ca="1" si="15"/>
        <v>-15.290807348867048</v>
      </c>
      <c r="C350" s="128">
        <f t="shared" ca="1" si="16"/>
        <v>0</v>
      </c>
    </row>
    <row r="351" spans="1:3" x14ac:dyDescent="0.25">
      <c r="A351" s="125">
        <f t="shared" si="17"/>
        <v>336</v>
      </c>
      <c r="B351" s="121">
        <f t="shared" ca="1" si="15"/>
        <v>43.423689006566242</v>
      </c>
      <c r="C351" s="128">
        <f t="shared" ca="1" si="16"/>
        <v>1</v>
      </c>
    </row>
    <row r="352" spans="1:3" x14ac:dyDescent="0.25">
      <c r="A352" s="125">
        <f t="shared" si="17"/>
        <v>337</v>
      </c>
      <c r="B352" s="121">
        <f t="shared" ca="1" si="15"/>
        <v>50.583328402016022</v>
      </c>
      <c r="C352" s="128">
        <f t="shared" ca="1" si="16"/>
        <v>1</v>
      </c>
    </row>
    <row r="353" spans="1:3" x14ac:dyDescent="0.25">
      <c r="A353" s="125">
        <f t="shared" si="17"/>
        <v>338</v>
      </c>
      <c r="B353" s="121">
        <f t="shared" ca="1" si="15"/>
        <v>16.493070425962344</v>
      </c>
      <c r="C353" s="128">
        <f t="shared" ca="1" si="16"/>
        <v>0</v>
      </c>
    </row>
    <row r="354" spans="1:3" x14ac:dyDescent="0.25">
      <c r="A354" s="125">
        <f t="shared" si="17"/>
        <v>339</v>
      </c>
      <c r="B354" s="121">
        <f t="shared" ca="1" si="15"/>
        <v>58.17317265776105</v>
      </c>
      <c r="C354" s="128">
        <f t="shared" ca="1" si="16"/>
        <v>1</v>
      </c>
    </row>
    <row r="355" spans="1:3" x14ac:dyDescent="0.25">
      <c r="A355" s="125">
        <f t="shared" si="17"/>
        <v>340</v>
      </c>
      <c r="B355" s="121">
        <f t="shared" ca="1" si="15"/>
        <v>13.346776907204589</v>
      </c>
      <c r="C355" s="128">
        <f t="shared" ca="1" si="16"/>
        <v>0</v>
      </c>
    </row>
    <row r="356" spans="1:3" x14ac:dyDescent="0.25">
      <c r="A356" s="125">
        <f t="shared" si="17"/>
        <v>341</v>
      </c>
      <c r="B356" s="121">
        <f t="shared" ca="1" si="15"/>
        <v>11.922638228706532</v>
      </c>
      <c r="C356" s="128">
        <f t="shared" ca="1" si="16"/>
        <v>0</v>
      </c>
    </row>
    <row r="357" spans="1:3" x14ac:dyDescent="0.25">
      <c r="A357" s="125">
        <f t="shared" si="17"/>
        <v>342</v>
      </c>
      <c r="B357" s="121">
        <f t="shared" ca="1" si="15"/>
        <v>55.438537380399282</v>
      </c>
      <c r="C357" s="128">
        <f t="shared" ca="1" si="16"/>
        <v>1</v>
      </c>
    </row>
    <row r="358" spans="1:3" x14ac:dyDescent="0.25">
      <c r="A358" s="125">
        <f t="shared" si="17"/>
        <v>343</v>
      </c>
      <c r="B358" s="121">
        <f t="shared" ca="1" si="15"/>
        <v>85.120753408149255</v>
      </c>
      <c r="C358" s="128">
        <f t="shared" ca="1" si="16"/>
        <v>1</v>
      </c>
    </row>
    <row r="359" spans="1:3" x14ac:dyDescent="0.25">
      <c r="A359" s="125">
        <f t="shared" si="17"/>
        <v>344</v>
      </c>
      <c r="B359" s="121">
        <f t="shared" ca="1" si="15"/>
        <v>47.737900899187011</v>
      </c>
      <c r="C359" s="128">
        <f t="shared" ca="1" si="16"/>
        <v>1</v>
      </c>
    </row>
    <row r="360" spans="1:3" x14ac:dyDescent="0.25">
      <c r="A360" s="125">
        <f t="shared" si="17"/>
        <v>345</v>
      </c>
      <c r="B360" s="121">
        <f t="shared" ca="1" si="15"/>
        <v>17.782797463367324</v>
      </c>
      <c r="C360" s="128">
        <f t="shared" ca="1" si="16"/>
        <v>0</v>
      </c>
    </row>
    <row r="361" spans="1:3" x14ac:dyDescent="0.25">
      <c r="A361" s="125">
        <f t="shared" si="17"/>
        <v>346</v>
      </c>
      <c r="B361" s="121">
        <f t="shared" ca="1" si="15"/>
        <v>48.2042742843322</v>
      </c>
      <c r="C361" s="128">
        <f t="shared" ca="1" si="16"/>
        <v>1</v>
      </c>
    </row>
    <row r="362" spans="1:3" x14ac:dyDescent="0.25">
      <c r="A362" s="125">
        <f t="shared" si="17"/>
        <v>347</v>
      </c>
      <c r="B362" s="121">
        <f t="shared" ca="1" si="15"/>
        <v>41.31472488098435</v>
      </c>
      <c r="C362" s="128">
        <f t="shared" ca="1" si="16"/>
        <v>1</v>
      </c>
    </row>
    <row r="363" spans="1:3" x14ac:dyDescent="0.25">
      <c r="A363" s="125">
        <f t="shared" si="17"/>
        <v>348</v>
      </c>
      <c r="B363" s="121">
        <f t="shared" ca="1" si="15"/>
        <v>62.09258694627141</v>
      </c>
      <c r="C363" s="128">
        <f t="shared" ca="1" si="16"/>
        <v>1</v>
      </c>
    </row>
    <row r="364" spans="1:3" x14ac:dyDescent="0.25">
      <c r="A364" s="125">
        <f t="shared" si="17"/>
        <v>349</v>
      </c>
      <c r="B364" s="121">
        <f t="shared" ca="1" si="15"/>
        <v>12.281547625299847</v>
      </c>
      <c r="C364" s="128">
        <f t="shared" ca="1" si="16"/>
        <v>0</v>
      </c>
    </row>
    <row r="365" spans="1:3" x14ac:dyDescent="0.25">
      <c r="A365" s="125">
        <f t="shared" si="17"/>
        <v>350</v>
      </c>
      <c r="B365" s="121">
        <f t="shared" ca="1" si="15"/>
        <v>51.773994870263408</v>
      </c>
      <c r="C365" s="128">
        <f t="shared" ca="1" si="16"/>
        <v>1</v>
      </c>
    </row>
    <row r="366" spans="1:3" x14ac:dyDescent="0.25">
      <c r="A366" s="125">
        <f t="shared" si="17"/>
        <v>351</v>
      </c>
      <c r="B366" s="121">
        <f t="shared" ca="1" si="15"/>
        <v>39.649243269928292</v>
      </c>
      <c r="C366" s="128">
        <f t="shared" ca="1" si="16"/>
        <v>1</v>
      </c>
    </row>
    <row r="367" spans="1:3" x14ac:dyDescent="0.25">
      <c r="A367" s="125">
        <f t="shared" si="17"/>
        <v>352</v>
      </c>
      <c r="B367" s="121">
        <f t="shared" ca="1" si="15"/>
        <v>6.0923751086978015</v>
      </c>
      <c r="C367" s="128">
        <f t="shared" ca="1" si="16"/>
        <v>0</v>
      </c>
    </row>
    <row r="368" spans="1:3" x14ac:dyDescent="0.25">
      <c r="A368" s="125">
        <f t="shared" si="17"/>
        <v>353</v>
      </c>
      <c r="B368" s="121">
        <f t="shared" ca="1" si="15"/>
        <v>26.629970177213085</v>
      </c>
      <c r="C368" s="128">
        <f t="shared" ca="1" si="16"/>
        <v>1</v>
      </c>
    </row>
    <row r="369" spans="1:3" x14ac:dyDescent="0.25">
      <c r="A369" s="125">
        <f t="shared" si="17"/>
        <v>354</v>
      </c>
      <c r="B369" s="121">
        <f t="shared" ca="1" si="15"/>
        <v>38.398394881412969</v>
      </c>
      <c r="C369" s="128">
        <f t="shared" ca="1" si="16"/>
        <v>1</v>
      </c>
    </row>
    <row r="370" spans="1:3" x14ac:dyDescent="0.25">
      <c r="A370" s="125">
        <f t="shared" si="17"/>
        <v>355</v>
      </c>
      <c r="B370" s="121">
        <f t="shared" ca="1" si="15"/>
        <v>82.054161221596445</v>
      </c>
      <c r="C370" s="128">
        <f t="shared" ca="1" si="16"/>
        <v>1</v>
      </c>
    </row>
    <row r="371" spans="1:3" x14ac:dyDescent="0.25">
      <c r="A371" s="125">
        <f t="shared" si="17"/>
        <v>356</v>
      </c>
      <c r="B371" s="121">
        <f t="shared" ca="1" si="15"/>
        <v>6.2352731420954619</v>
      </c>
      <c r="C371" s="128">
        <f t="shared" ca="1" si="16"/>
        <v>0</v>
      </c>
    </row>
    <row r="372" spans="1:3" x14ac:dyDescent="0.25">
      <c r="A372" s="125">
        <f t="shared" si="17"/>
        <v>357</v>
      </c>
      <c r="B372" s="121">
        <f t="shared" ca="1" si="15"/>
        <v>11.26968717709056</v>
      </c>
      <c r="C372" s="128">
        <f t="shared" ca="1" si="16"/>
        <v>0</v>
      </c>
    </row>
    <row r="373" spans="1:3" x14ac:dyDescent="0.25">
      <c r="A373" s="125">
        <f t="shared" si="17"/>
        <v>358</v>
      </c>
      <c r="B373" s="121">
        <f t="shared" ca="1" si="15"/>
        <v>46.546973894277272</v>
      </c>
      <c r="C373" s="128">
        <f t="shared" ca="1" si="16"/>
        <v>1</v>
      </c>
    </row>
    <row r="374" spans="1:3" x14ac:dyDescent="0.25">
      <c r="A374" s="125">
        <f t="shared" si="17"/>
        <v>359</v>
      </c>
      <c r="B374" s="121">
        <f t="shared" ca="1" si="15"/>
        <v>38.197963388353443</v>
      </c>
      <c r="C374" s="128">
        <f t="shared" ca="1" si="16"/>
        <v>1</v>
      </c>
    </row>
    <row r="375" spans="1:3" x14ac:dyDescent="0.25">
      <c r="A375" s="125">
        <f t="shared" si="17"/>
        <v>360</v>
      </c>
      <c r="B375" s="121">
        <f t="shared" ca="1" si="15"/>
        <v>27.361125940212162</v>
      </c>
      <c r="C375" s="128">
        <f t="shared" ca="1" si="16"/>
        <v>1</v>
      </c>
    </row>
    <row r="376" spans="1:3" x14ac:dyDescent="0.25">
      <c r="A376" s="125">
        <f t="shared" si="17"/>
        <v>361</v>
      </c>
      <c r="B376" s="121">
        <f t="shared" ca="1" si="15"/>
        <v>56.492285453273766</v>
      </c>
      <c r="C376" s="128">
        <f t="shared" ca="1" si="16"/>
        <v>1</v>
      </c>
    </row>
    <row r="377" spans="1:3" x14ac:dyDescent="0.25">
      <c r="A377" s="125">
        <f t="shared" si="17"/>
        <v>362</v>
      </c>
      <c r="B377" s="121">
        <f t="shared" ca="1" si="15"/>
        <v>38.01957847833296</v>
      </c>
      <c r="C377" s="128">
        <f t="shared" ca="1" si="16"/>
        <v>1</v>
      </c>
    </row>
    <row r="378" spans="1:3" x14ac:dyDescent="0.25">
      <c r="A378" s="125">
        <f t="shared" si="17"/>
        <v>363</v>
      </c>
      <c r="B378" s="121">
        <f t="shared" ca="1" si="15"/>
        <v>15.451899566324293</v>
      </c>
      <c r="C378" s="128">
        <f t="shared" ca="1" si="16"/>
        <v>0</v>
      </c>
    </row>
    <row r="379" spans="1:3" x14ac:dyDescent="0.25">
      <c r="A379" s="125">
        <f t="shared" si="17"/>
        <v>364</v>
      </c>
      <c r="B379" s="121">
        <f t="shared" ca="1" si="15"/>
        <v>2.089762769677904</v>
      </c>
      <c r="C379" s="128">
        <f t="shared" ca="1" si="16"/>
        <v>0</v>
      </c>
    </row>
    <row r="380" spans="1:3" x14ac:dyDescent="0.25">
      <c r="A380" s="125">
        <f t="shared" si="17"/>
        <v>365</v>
      </c>
      <c r="B380" s="121">
        <f t="shared" ca="1" si="15"/>
        <v>48.93032744686527</v>
      </c>
      <c r="C380" s="128">
        <f t="shared" ca="1" si="16"/>
        <v>1</v>
      </c>
    </row>
    <row r="381" spans="1:3" x14ac:dyDescent="0.25">
      <c r="A381" s="125">
        <f t="shared" si="17"/>
        <v>366</v>
      </c>
      <c r="B381" s="121">
        <f t="shared" ca="1" si="15"/>
        <v>8.5693806855688486</v>
      </c>
      <c r="C381" s="128">
        <f t="shared" ca="1" si="16"/>
        <v>0</v>
      </c>
    </row>
    <row r="382" spans="1:3" x14ac:dyDescent="0.25">
      <c r="A382" s="125">
        <f t="shared" si="17"/>
        <v>367</v>
      </c>
      <c r="B382" s="121">
        <f t="shared" ca="1" si="15"/>
        <v>33.042809802214165</v>
      </c>
      <c r="C382" s="128">
        <f t="shared" ca="1" si="16"/>
        <v>1</v>
      </c>
    </row>
    <row r="383" spans="1:3" x14ac:dyDescent="0.25">
      <c r="A383" s="125">
        <f t="shared" si="17"/>
        <v>368</v>
      </c>
      <c r="B383" s="121">
        <f t="shared" ca="1" si="15"/>
        <v>49.516614113424197</v>
      </c>
      <c r="C383" s="128">
        <f t="shared" ca="1" si="16"/>
        <v>1</v>
      </c>
    </row>
    <row r="384" spans="1:3" x14ac:dyDescent="0.25">
      <c r="A384" s="125">
        <f t="shared" si="17"/>
        <v>369</v>
      </c>
      <c r="B384" s="121">
        <f t="shared" ca="1" si="15"/>
        <v>88.267280717307528</v>
      </c>
      <c r="C384" s="128">
        <f t="shared" ca="1" si="16"/>
        <v>1</v>
      </c>
    </row>
    <row r="385" spans="1:3" x14ac:dyDescent="0.25">
      <c r="A385" s="125">
        <f t="shared" si="17"/>
        <v>370</v>
      </c>
      <c r="B385" s="121">
        <f t="shared" ca="1" si="15"/>
        <v>37.380808255611662</v>
      </c>
      <c r="C385" s="128">
        <f t="shared" ca="1" si="16"/>
        <v>1</v>
      </c>
    </row>
    <row r="386" spans="1:3" x14ac:dyDescent="0.25">
      <c r="A386" s="125">
        <f t="shared" si="17"/>
        <v>371</v>
      </c>
      <c r="B386" s="121">
        <f t="shared" ca="1" si="15"/>
        <v>9.7427040657123953</v>
      </c>
      <c r="C386" s="128">
        <f t="shared" ca="1" si="16"/>
        <v>0</v>
      </c>
    </row>
    <row r="387" spans="1:3" x14ac:dyDescent="0.25">
      <c r="A387" s="125">
        <f t="shared" si="17"/>
        <v>372</v>
      </c>
      <c r="B387" s="121">
        <f t="shared" ca="1" si="15"/>
        <v>48.295331978565706</v>
      </c>
      <c r="C387" s="128">
        <f t="shared" ca="1" si="16"/>
        <v>1</v>
      </c>
    </row>
    <row r="388" spans="1:3" x14ac:dyDescent="0.25">
      <c r="A388" s="125">
        <f t="shared" si="17"/>
        <v>373</v>
      </c>
      <c r="B388" s="121">
        <f t="shared" ca="1" si="15"/>
        <v>35.758336203100683</v>
      </c>
      <c r="C388" s="128">
        <f t="shared" ca="1" si="16"/>
        <v>1</v>
      </c>
    </row>
    <row r="389" spans="1:3" x14ac:dyDescent="0.25">
      <c r="A389" s="125">
        <f t="shared" si="17"/>
        <v>374</v>
      </c>
      <c r="B389" s="121">
        <f t="shared" ca="1" si="15"/>
        <v>72.084385708914482</v>
      </c>
      <c r="C389" s="128">
        <f t="shared" ca="1" si="16"/>
        <v>1</v>
      </c>
    </row>
    <row r="390" spans="1:3" x14ac:dyDescent="0.25">
      <c r="A390" s="125">
        <f t="shared" si="17"/>
        <v>375</v>
      </c>
      <c r="B390" s="121">
        <f t="shared" ca="1" si="15"/>
        <v>66.716659033705753</v>
      </c>
      <c r="C390" s="128">
        <f t="shared" ca="1" si="16"/>
        <v>1</v>
      </c>
    </row>
    <row r="391" spans="1:3" x14ac:dyDescent="0.25">
      <c r="A391" s="125">
        <f t="shared" si="17"/>
        <v>376</v>
      </c>
      <c r="B391" s="121">
        <f t="shared" ca="1" si="15"/>
        <v>17.215036372547942</v>
      </c>
      <c r="C391" s="128">
        <f t="shared" ca="1" si="16"/>
        <v>0</v>
      </c>
    </row>
    <row r="392" spans="1:3" x14ac:dyDescent="0.25">
      <c r="A392" s="125">
        <f t="shared" si="17"/>
        <v>377</v>
      </c>
      <c r="B392" s="121">
        <f t="shared" ca="1" si="15"/>
        <v>30.012968154972917</v>
      </c>
      <c r="C392" s="128">
        <f t="shared" ca="1" si="16"/>
        <v>1</v>
      </c>
    </row>
    <row r="393" spans="1:3" x14ac:dyDescent="0.25">
      <c r="A393" s="125">
        <f t="shared" si="17"/>
        <v>378</v>
      </c>
      <c r="B393" s="121">
        <f t="shared" ca="1" si="15"/>
        <v>-4.4492302687076375</v>
      </c>
      <c r="C393" s="128">
        <f t="shared" ca="1" si="16"/>
        <v>0</v>
      </c>
    </row>
    <row r="394" spans="1:3" x14ac:dyDescent="0.25">
      <c r="A394" s="125">
        <f t="shared" si="17"/>
        <v>379</v>
      </c>
      <c r="B394" s="121">
        <f t="shared" ca="1" si="15"/>
        <v>29.304964467648848</v>
      </c>
      <c r="C394" s="128">
        <f t="shared" ca="1" si="16"/>
        <v>1</v>
      </c>
    </row>
    <row r="395" spans="1:3" x14ac:dyDescent="0.25">
      <c r="A395" s="125">
        <f t="shared" si="17"/>
        <v>380</v>
      </c>
      <c r="B395" s="121">
        <f t="shared" ca="1" si="15"/>
        <v>48.588054606410424</v>
      </c>
      <c r="C395" s="128">
        <f t="shared" ca="1" si="16"/>
        <v>1</v>
      </c>
    </row>
    <row r="396" spans="1:3" x14ac:dyDescent="0.25">
      <c r="A396" s="125">
        <f t="shared" si="17"/>
        <v>381</v>
      </c>
      <c r="B396" s="121">
        <f t="shared" ca="1" si="15"/>
        <v>14.971585259247512</v>
      </c>
      <c r="C396" s="128">
        <f t="shared" ca="1" si="16"/>
        <v>0</v>
      </c>
    </row>
    <row r="397" spans="1:3" x14ac:dyDescent="0.25">
      <c r="A397" s="125">
        <f t="shared" si="17"/>
        <v>382</v>
      </c>
      <c r="B397" s="121">
        <f t="shared" ca="1" si="15"/>
        <v>42.160037267658993</v>
      </c>
      <c r="C397" s="128">
        <f t="shared" ca="1" si="16"/>
        <v>1</v>
      </c>
    </row>
    <row r="398" spans="1:3" x14ac:dyDescent="0.25">
      <c r="A398" s="125">
        <f t="shared" si="17"/>
        <v>383</v>
      </c>
      <c r="B398" s="121">
        <f t="shared" ca="1" si="15"/>
        <v>54.904866710432998</v>
      </c>
      <c r="C398" s="128">
        <f t="shared" ca="1" si="16"/>
        <v>1</v>
      </c>
    </row>
    <row r="399" spans="1:3" x14ac:dyDescent="0.25">
      <c r="A399" s="125">
        <f t="shared" si="17"/>
        <v>384</v>
      </c>
      <c r="B399" s="121">
        <f t="shared" ca="1" si="15"/>
        <v>38.891584992363228</v>
      </c>
      <c r="C399" s="128">
        <f t="shared" ca="1" si="16"/>
        <v>1</v>
      </c>
    </row>
    <row r="400" spans="1:3" x14ac:dyDescent="0.25">
      <c r="A400" s="125">
        <f t="shared" si="17"/>
        <v>385</v>
      </c>
      <c r="B400" s="121">
        <f t="shared" ca="1" si="15"/>
        <v>54.662841248123613</v>
      </c>
      <c r="C400" s="128">
        <f t="shared" ca="1" si="16"/>
        <v>1</v>
      </c>
    </row>
    <row r="401" spans="1:3" x14ac:dyDescent="0.25">
      <c r="A401" s="125">
        <f t="shared" si="17"/>
        <v>386</v>
      </c>
      <c r="B401" s="121">
        <f t="shared" ref="B401:B464" ca="1" si="18">_xlfn.NORM.INV(RAND(), $B$9, $B$10)</f>
        <v>3.194509147538561</v>
      </c>
      <c r="C401" s="128">
        <f t="shared" ref="C401:C464" ca="1" si="19">IF(B401 &gt;= $B$11, 1, 0)</f>
        <v>0</v>
      </c>
    </row>
    <row r="402" spans="1:3" x14ac:dyDescent="0.25">
      <c r="A402" s="125">
        <f t="shared" ref="A402:A465" si="20">+A401+1</f>
        <v>387</v>
      </c>
      <c r="B402" s="121">
        <f t="shared" ca="1" si="18"/>
        <v>68.707221601359123</v>
      </c>
      <c r="C402" s="128">
        <f t="shared" ca="1" si="19"/>
        <v>1</v>
      </c>
    </row>
    <row r="403" spans="1:3" x14ac:dyDescent="0.25">
      <c r="A403" s="125">
        <f t="shared" si="20"/>
        <v>388</v>
      </c>
      <c r="B403" s="121">
        <f t="shared" ca="1" si="18"/>
        <v>54.928787057211238</v>
      </c>
      <c r="C403" s="128">
        <f t="shared" ca="1" si="19"/>
        <v>1</v>
      </c>
    </row>
    <row r="404" spans="1:3" x14ac:dyDescent="0.25">
      <c r="A404" s="125">
        <f t="shared" si="20"/>
        <v>389</v>
      </c>
      <c r="B404" s="121">
        <f t="shared" ca="1" si="18"/>
        <v>37.576237296940249</v>
      </c>
      <c r="C404" s="128">
        <f t="shared" ca="1" si="19"/>
        <v>1</v>
      </c>
    </row>
    <row r="405" spans="1:3" x14ac:dyDescent="0.25">
      <c r="A405" s="125">
        <f t="shared" si="20"/>
        <v>390</v>
      </c>
      <c r="B405" s="121">
        <f t="shared" ca="1" si="18"/>
        <v>-3.8382587494095048</v>
      </c>
      <c r="C405" s="128">
        <f t="shared" ca="1" si="19"/>
        <v>0</v>
      </c>
    </row>
    <row r="406" spans="1:3" x14ac:dyDescent="0.25">
      <c r="A406" s="125">
        <f t="shared" si="20"/>
        <v>391</v>
      </c>
      <c r="B406" s="121">
        <f t="shared" ca="1" si="18"/>
        <v>21.536805256827282</v>
      </c>
      <c r="C406" s="128">
        <f t="shared" ca="1" si="19"/>
        <v>0</v>
      </c>
    </row>
    <row r="407" spans="1:3" x14ac:dyDescent="0.25">
      <c r="A407" s="125">
        <f t="shared" si="20"/>
        <v>392</v>
      </c>
      <c r="B407" s="121">
        <f t="shared" ca="1" si="18"/>
        <v>48.135994101803782</v>
      </c>
      <c r="C407" s="128">
        <f t="shared" ca="1" si="19"/>
        <v>1</v>
      </c>
    </row>
    <row r="408" spans="1:3" x14ac:dyDescent="0.25">
      <c r="A408" s="125">
        <f t="shared" si="20"/>
        <v>393</v>
      </c>
      <c r="B408" s="121">
        <f t="shared" ca="1" si="18"/>
        <v>61.58506210101811</v>
      </c>
      <c r="C408" s="128">
        <f t="shared" ca="1" si="19"/>
        <v>1</v>
      </c>
    </row>
    <row r="409" spans="1:3" x14ac:dyDescent="0.25">
      <c r="A409" s="125">
        <f t="shared" si="20"/>
        <v>394</v>
      </c>
      <c r="B409" s="121">
        <f t="shared" ca="1" si="18"/>
        <v>37.911687371154144</v>
      </c>
      <c r="C409" s="128">
        <f t="shared" ca="1" si="19"/>
        <v>1</v>
      </c>
    </row>
    <row r="410" spans="1:3" x14ac:dyDescent="0.25">
      <c r="A410" s="125">
        <f t="shared" si="20"/>
        <v>395</v>
      </c>
      <c r="B410" s="121">
        <f t="shared" ca="1" si="18"/>
        <v>13.983782293387087</v>
      </c>
      <c r="C410" s="128">
        <f t="shared" ca="1" si="19"/>
        <v>0</v>
      </c>
    </row>
    <row r="411" spans="1:3" x14ac:dyDescent="0.25">
      <c r="A411" s="125">
        <f t="shared" si="20"/>
        <v>396</v>
      </c>
      <c r="B411" s="121">
        <f t="shared" ca="1" si="18"/>
        <v>0.48673900144197546</v>
      </c>
      <c r="C411" s="128">
        <f t="shared" ca="1" si="19"/>
        <v>0</v>
      </c>
    </row>
    <row r="412" spans="1:3" x14ac:dyDescent="0.25">
      <c r="A412" s="125">
        <f t="shared" si="20"/>
        <v>397</v>
      </c>
      <c r="B412" s="121">
        <f t="shared" ca="1" si="18"/>
        <v>49.374873184117632</v>
      </c>
      <c r="C412" s="128">
        <f t="shared" ca="1" si="19"/>
        <v>1</v>
      </c>
    </row>
    <row r="413" spans="1:3" x14ac:dyDescent="0.25">
      <c r="A413" s="125">
        <f t="shared" si="20"/>
        <v>398</v>
      </c>
      <c r="B413" s="121">
        <f t="shared" ca="1" si="18"/>
        <v>-11.21408608675047</v>
      </c>
      <c r="C413" s="128">
        <f t="shared" ca="1" si="19"/>
        <v>0</v>
      </c>
    </row>
    <row r="414" spans="1:3" x14ac:dyDescent="0.25">
      <c r="A414" s="125">
        <f t="shared" si="20"/>
        <v>399</v>
      </c>
      <c r="B414" s="121">
        <f t="shared" ca="1" si="18"/>
        <v>41.223404878360924</v>
      </c>
      <c r="C414" s="128">
        <f t="shared" ca="1" si="19"/>
        <v>1</v>
      </c>
    </row>
    <row r="415" spans="1:3" x14ac:dyDescent="0.25">
      <c r="A415" s="125">
        <f t="shared" si="20"/>
        <v>400</v>
      </c>
      <c r="B415" s="121">
        <f t="shared" ca="1" si="18"/>
        <v>67.681741869933859</v>
      </c>
      <c r="C415" s="128">
        <f t="shared" ca="1" si="19"/>
        <v>1</v>
      </c>
    </row>
    <row r="416" spans="1:3" x14ac:dyDescent="0.25">
      <c r="A416" s="125">
        <f t="shared" si="20"/>
        <v>401</v>
      </c>
      <c r="B416" s="121">
        <f t="shared" ca="1" si="18"/>
        <v>24.706179113370375</v>
      </c>
      <c r="C416" s="128">
        <f t="shared" ca="1" si="19"/>
        <v>0</v>
      </c>
    </row>
    <row r="417" spans="1:3" x14ac:dyDescent="0.25">
      <c r="A417" s="125">
        <f t="shared" si="20"/>
        <v>402</v>
      </c>
      <c r="B417" s="121">
        <f t="shared" ca="1" si="18"/>
        <v>8.8393049659769645</v>
      </c>
      <c r="C417" s="128">
        <f t="shared" ca="1" si="19"/>
        <v>0</v>
      </c>
    </row>
    <row r="418" spans="1:3" x14ac:dyDescent="0.25">
      <c r="A418" s="125">
        <f t="shared" si="20"/>
        <v>403</v>
      </c>
      <c r="B418" s="121">
        <f t="shared" ca="1" si="18"/>
        <v>8.2995607918181413</v>
      </c>
      <c r="C418" s="128">
        <f t="shared" ca="1" si="19"/>
        <v>0</v>
      </c>
    </row>
    <row r="419" spans="1:3" x14ac:dyDescent="0.25">
      <c r="A419" s="125">
        <f t="shared" si="20"/>
        <v>404</v>
      </c>
      <c r="B419" s="121">
        <f t="shared" ca="1" si="18"/>
        <v>40.997505876550917</v>
      </c>
      <c r="C419" s="128">
        <f t="shared" ca="1" si="19"/>
        <v>1</v>
      </c>
    </row>
    <row r="420" spans="1:3" x14ac:dyDescent="0.25">
      <c r="A420" s="125">
        <f t="shared" si="20"/>
        <v>405</v>
      </c>
      <c r="B420" s="121">
        <f t="shared" ca="1" si="18"/>
        <v>22.652708061297716</v>
      </c>
      <c r="C420" s="128">
        <f t="shared" ca="1" si="19"/>
        <v>0</v>
      </c>
    </row>
    <row r="421" spans="1:3" x14ac:dyDescent="0.25">
      <c r="A421" s="125">
        <f t="shared" si="20"/>
        <v>406</v>
      </c>
      <c r="B421" s="121">
        <f t="shared" ca="1" si="18"/>
        <v>45.429375324238379</v>
      </c>
      <c r="C421" s="128">
        <f t="shared" ca="1" si="19"/>
        <v>1</v>
      </c>
    </row>
    <row r="422" spans="1:3" x14ac:dyDescent="0.25">
      <c r="A422" s="125">
        <f t="shared" si="20"/>
        <v>407</v>
      </c>
      <c r="B422" s="121">
        <f t="shared" ca="1" si="18"/>
        <v>45.133249244134312</v>
      </c>
      <c r="C422" s="128">
        <f t="shared" ca="1" si="19"/>
        <v>1</v>
      </c>
    </row>
    <row r="423" spans="1:3" x14ac:dyDescent="0.25">
      <c r="A423" s="125">
        <f t="shared" si="20"/>
        <v>408</v>
      </c>
      <c r="B423" s="121">
        <f t="shared" ca="1" si="18"/>
        <v>20.90199308656484</v>
      </c>
      <c r="C423" s="128">
        <f t="shared" ca="1" si="19"/>
        <v>0</v>
      </c>
    </row>
    <row r="424" spans="1:3" x14ac:dyDescent="0.25">
      <c r="A424" s="125">
        <f t="shared" si="20"/>
        <v>409</v>
      </c>
      <c r="B424" s="121">
        <f t="shared" ca="1" si="18"/>
        <v>11.878814165274363</v>
      </c>
      <c r="C424" s="128">
        <f t="shared" ca="1" si="19"/>
        <v>0</v>
      </c>
    </row>
    <row r="425" spans="1:3" x14ac:dyDescent="0.25">
      <c r="A425" s="125">
        <f t="shared" si="20"/>
        <v>410</v>
      </c>
      <c r="B425" s="121">
        <f t="shared" ca="1" si="18"/>
        <v>31.48546594295124</v>
      </c>
      <c r="C425" s="128">
        <f t="shared" ca="1" si="19"/>
        <v>1</v>
      </c>
    </row>
    <row r="426" spans="1:3" x14ac:dyDescent="0.25">
      <c r="A426" s="125">
        <f t="shared" si="20"/>
        <v>411</v>
      </c>
      <c r="B426" s="121">
        <f t="shared" ca="1" si="18"/>
        <v>39.867146502648779</v>
      </c>
      <c r="C426" s="128">
        <f t="shared" ca="1" si="19"/>
        <v>1</v>
      </c>
    </row>
    <row r="427" spans="1:3" x14ac:dyDescent="0.25">
      <c r="A427" s="125">
        <f t="shared" si="20"/>
        <v>412</v>
      </c>
      <c r="B427" s="121">
        <f t="shared" ca="1" si="18"/>
        <v>49.981755315647291</v>
      </c>
      <c r="C427" s="128">
        <f t="shared" ca="1" si="19"/>
        <v>1</v>
      </c>
    </row>
    <row r="428" spans="1:3" x14ac:dyDescent="0.25">
      <c r="A428" s="125">
        <f t="shared" si="20"/>
        <v>413</v>
      </c>
      <c r="B428" s="121">
        <f t="shared" ca="1" si="18"/>
        <v>56.686664714362415</v>
      </c>
      <c r="C428" s="128">
        <f t="shared" ca="1" si="19"/>
        <v>1</v>
      </c>
    </row>
    <row r="429" spans="1:3" x14ac:dyDescent="0.25">
      <c r="A429" s="125">
        <f t="shared" si="20"/>
        <v>414</v>
      </c>
      <c r="B429" s="121">
        <f t="shared" ca="1" si="18"/>
        <v>47.776237264587621</v>
      </c>
      <c r="C429" s="128">
        <f t="shared" ca="1" si="19"/>
        <v>1</v>
      </c>
    </row>
    <row r="430" spans="1:3" x14ac:dyDescent="0.25">
      <c r="A430" s="125">
        <f t="shared" si="20"/>
        <v>415</v>
      </c>
      <c r="B430" s="121">
        <f t="shared" ca="1" si="18"/>
        <v>48.236858205871869</v>
      </c>
      <c r="C430" s="128">
        <f t="shared" ca="1" si="19"/>
        <v>1</v>
      </c>
    </row>
    <row r="431" spans="1:3" x14ac:dyDescent="0.25">
      <c r="A431" s="125">
        <f t="shared" si="20"/>
        <v>416</v>
      </c>
      <c r="B431" s="121">
        <f t="shared" ca="1" si="18"/>
        <v>56.196989551785485</v>
      </c>
      <c r="C431" s="128">
        <f t="shared" ca="1" si="19"/>
        <v>1</v>
      </c>
    </row>
    <row r="432" spans="1:3" x14ac:dyDescent="0.25">
      <c r="A432" s="125">
        <f t="shared" si="20"/>
        <v>417</v>
      </c>
      <c r="B432" s="121">
        <f t="shared" ca="1" si="18"/>
        <v>1.329920184795526</v>
      </c>
      <c r="C432" s="128">
        <f t="shared" ca="1" si="19"/>
        <v>0</v>
      </c>
    </row>
    <row r="433" spans="1:3" x14ac:dyDescent="0.25">
      <c r="A433" s="125">
        <f t="shared" si="20"/>
        <v>418</v>
      </c>
      <c r="B433" s="121">
        <f t="shared" ca="1" si="18"/>
        <v>31.368956889207411</v>
      </c>
      <c r="C433" s="128">
        <f t="shared" ca="1" si="19"/>
        <v>1</v>
      </c>
    </row>
    <row r="434" spans="1:3" x14ac:dyDescent="0.25">
      <c r="A434" s="125">
        <f t="shared" si="20"/>
        <v>419</v>
      </c>
      <c r="B434" s="121">
        <f t="shared" ca="1" si="18"/>
        <v>19.433817456439094</v>
      </c>
      <c r="C434" s="128">
        <f t="shared" ca="1" si="19"/>
        <v>0</v>
      </c>
    </row>
    <row r="435" spans="1:3" x14ac:dyDescent="0.25">
      <c r="A435" s="125">
        <f t="shared" si="20"/>
        <v>420</v>
      </c>
      <c r="B435" s="121">
        <f t="shared" ca="1" si="18"/>
        <v>27.00617002945657</v>
      </c>
      <c r="C435" s="128">
        <f t="shared" ca="1" si="19"/>
        <v>1</v>
      </c>
    </row>
    <row r="436" spans="1:3" x14ac:dyDescent="0.25">
      <c r="A436" s="125">
        <f t="shared" si="20"/>
        <v>421</v>
      </c>
      <c r="B436" s="121">
        <f t="shared" ca="1" si="18"/>
        <v>14.933116038695783</v>
      </c>
      <c r="C436" s="128">
        <f t="shared" ca="1" si="19"/>
        <v>0</v>
      </c>
    </row>
    <row r="437" spans="1:3" x14ac:dyDescent="0.25">
      <c r="A437" s="125">
        <f t="shared" si="20"/>
        <v>422</v>
      </c>
      <c r="B437" s="121">
        <f t="shared" ca="1" si="18"/>
        <v>55.390291009624768</v>
      </c>
      <c r="C437" s="128">
        <f t="shared" ca="1" si="19"/>
        <v>1</v>
      </c>
    </row>
    <row r="438" spans="1:3" x14ac:dyDescent="0.25">
      <c r="A438" s="125">
        <f t="shared" si="20"/>
        <v>423</v>
      </c>
      <c r="B438" s="121">
        <f t="shared" ca="1" si="18"/>
        <v>42.965045187764147</v>
      </c>
      <c r="C438" s="128">
        <f t="shared" ca="1" si="19"/>
        <v>1</v>
      </c>
    </row>
    <row r="439" spans="1:3" x14ac:dyDescent="0.25">
      <c r="A439" s="125">
        <f t="shared" si="20"/>
        <v>424</v>
      </c>
      <c r="B439" s="121">
        <f t="shared" ca="1" si="18"/>
        <v>59.59052487691681</v>
      </c>
      <c r="C439" s="128">
        <f t="shared" ca="1" si="19"/>
        <v>1</v>
      </c>
    </row>
    <row r="440" spans="1:3" x14ac:dyDescent="0.25">
      <c r="A440" s="125">
        <f t="shared" si="20"/>
        <v>425</v>
      </c>
      <c r="B440" s="121">
        <f t="shared" ca="1" si="18"/>
        <v>90.121604551874071</v>
      </c>
      <c r="C440" s="128">
        <f t="shared" ca="1" si="19"/>
        <v>1</v>
      </c>
    </row>
    <row r="441" spans="1:3" x14ac:dyDescent="0.25">
      <c r="A441" s="125">
        <f t="shared" si="20"/>
        <v>426</v>
      </c>
      <c r="B441" s="121">
        <f t="shared" ca="1" si="18"/>
        <v>22.239088260539319</v>
      </c>
      <c r="C441" s="128">
        <f t="shared" ca="1" si="19"/>
        <v>0</v>
      </c>
    </row>
    <row r="442" spans="1:3" x14ac:dyDescent="0.25">
      <c r="A442" s="125">
        <f t="shared" si="20"/>
        <v>427</v>
      </c>
      <c r="B442" s="121">
        <f t="shared" ca="1" si="18"/>
        <v>14.680057878306204</v>
      </c>
      <c r="C442" s="128">
        <f t="shared" ca="1" si="19"/>
        <v>0</v>
      </c>
    </row>
    <row r="443" spans="1:3" x14ac:dyDescent="0.25">
      <c r="A443" s="125">
        <f t="shared" si="20"/>
        <v>428</v>
      </c>
      <c r="B443" s="121">
        <f t="shared" ca="1" si="18"/>
        <v>29.678910890918566</v>
      </c>
      <c r="C443" s="128">
        <f t="shared" ca="1" si="19"/>
        <v>1</v>
      </c>
    </row>
    <row r="444" spans="1:3" x14ac:dyDescent="0.25">
      <c r="A444" s="125">
        <f t="shared" si="20"/>
        <v>429</v>
      </c>
      <c r="B444" s="121">
        <f t="shared" ca="1" si="18"/>
        <v>4.6027933033034181</v>
      </c>
      <c r="C444" s="128">
        <f t="shared" ca="1" si="19"/>
        <v>0</v>
      </c>
    </row>
    <row r="445" spans="1:3" x14ac:dyDescent="0.25">
      <c r="A445" s="125">
        <f t="shared" si="20"/>
        <v>430</v>
      </c>
      <c r="B445" s="121">
        <f t="shared" ca="1" si="18"/>
        <v>17.959738898874335</v>
      </c>
      <c r="C445" s="128">
        <f t="shared" ca="1" si="19"/>
        <v>0</v>
      </c>
    </row>
    <row r="446" spans="1:3" x14ac:dyDescent="0.25">
      <c r="A446" s="125">
        <f t="shared" si="20"/>
        <v>431</v>
      </c>
      <c r="B446" s="121">
        <f t="shared" ca="1" si="18"/>
        <v>56.194139126635207</v>
      </c>
      <c r="C446" s="128">
        <f t="shared" ca="1" si="19"/>
        <v>1</v>
      </c>
    </row>
    <row r="447" spans="1:3" x14ac:dyDescent="0.25">
      <c r="A447" s="125">
        <f t="shared" si="20"/>
        <v>432</v>
      </c>
      <c r="B447" s="121">
        <f t="shared" ca="1" si="18"/>
        <v>23.167186032422208</v>
      </c>
      <c r="C447" s="128">
        <f t="shared" ca="1" si="19"/>
        <v>0</v>
      </c>
    </row>
    <row r="448" spans="1:3" x14ac:dyDescent="0.25">
      <c r="A448" s="125">
        <f t="shared" si="20"/>
        <v>433</v>
      </c>
      <c r="B448" s="121">
        <f t="shared" ca="1" si="18"/>
        <v>41.803862877775444</v>
      </c>
      <c r="C448" s="128">
        <f t="shared" ca="1" si="19"/>
        <v>1</v>
      </c>
    </row>
    <row r="449" spans="1:3" x14ac:dyDescent="0.25">
      <c r="A449" s="125">
        <f t="shared" si="20"/>
        <v>434</v>
      </c>
      <c r="B449" s="121">
        <f t="shared" ca="1" si="18"/>
        <v>43.738425751452453</v>
      </c>
      <c r="C449" s="128">
        <f t="shared" ca="1" si="19"/>
        <v>1</v>
      </c>
    </row>
    <row r="450" spans="1:3" x14ac:dyDescent="0.25">
      <c r="A450" s="125">
        <f t="shared" si="20"/>
        <v>435</v>
      </c>
      <c r="B450" s="121">
        <f t="shared" ca="1" si="18"/>
        <v>54.156512702478238</v>
      </c>
      <c r="C450" s="128">
        <f t="shared" ca="1" si="19"/>
        <v>1</v>
      </c>
    </row>
    <row r="451" spans="1:3" x14ac:dyDescent="0.25">
      <c r="A451" s="125">
        <f t="shared" si="20"/>
        <v>436</v>
      </c>
      <c r="B451" s="121">
        <f t="shared" ca="1" si="18"/>
        <v>61.758084976936246</v>
      </c>
      <c r="C451" s="128">
        <f t="shared" ca="1" si="19"/>
        <v>1</v>
      </c>
    </row>
    <row r="452" spans="1:3" x14ac:dyDescent="0.25">
      <c r="A452" s="125">
        <f t="shared" si="20"/>
        <v>437</v>
      </c>
      <c r="B452" s="121">
        <f t="shared" ca="1" si="18"/>
        <v>59.480471412685397</v>
      </c>
      <c r="C452" s="128">
        <f t="shared" ca="1" si="19"/>
        <v>1</v>
      </c>
    </row>
    <row r="453" spans="1:3" x14ac:dyDescent="0.25">
      <c r="A453" s="125">
        <f t="shared" si="20"/>
        <v>438</v>
      </c>
      <c r="B453" s="121">
        <f t="shared" ca="1" si="18"/>
        <v>46.146930344458823</v>
      </c>
      <c r="C453" s="128">
        <f t="shared" ca="1" si="19"/>
        <v>1</v>
      </c>
    </row>
    <row r="454" spans="1:3" x14ac:dyDescent="0.25">
      <c r="A454" s="125">
        <f t="shared" si="20"/>
        <v>439</v>
      </c>
      <c r="B454" s="121">
        <f t="shared" ca="1" si="18"/>
        <v>56.368256523547473</v>
      </c>
      <c r="C454" s="128">
        <f t="shared" ca="1" si="19"/>
        <v>1</v>
      </c>
    </row>
    <row r="455" spans="1:3" x14ac:dyDescent="0.25">
      <c r="A455" s="125">
        <f t="shared" si="20"/>
        <v>440</v>
      </c>
      <c r="B455" s="121">
        <f t="shared" ca="1" si="18"/>
        <v>4.1895142113345614</v>
      </c>
      <c r="C455" s="128">
        <f t="shared" ca="1" si="19"/>
        <v>0</v>
      </c>
    </row>
    <row r="456" spans="1:3" x14ac:dyDescent="0.25">
      <c r="A456" s="125">
        <f t="shared" si="20"/>
        <v>441</v>
      </c>
      <c r="B456" s="121">
        <f t="shared" ca="1" si="18"/>
        <v>4.2876391802979938</v>
      </c>
      <c r="C456" s="128">
        <f t="shared" ca="1" si="19"/>
        <v>0</v>
      </c>
    </row>
    <row r="457" spans="1:3" x14ac:dyDescent="0.25">
      <c r="A457" s="125">
        <f t="shared" si="20"/>
        <v>442</v>
      </c>
      <c r="B457" s="121">
        <f t="shared" ca="1" si="18"/>
        <v>24.426074025258078</v>
      </c>
      <c r="C457" s="128">
        <f t="shared" ca="1" si="19"/>
        <v>0</v>
      </c>
    </row>
    <row r="458" spans="1:3" x14ac:dyDescent="0.25">
      <c r="A458" s="125">
        <f t="shared" si="20"/>
        <v>443</v>
      </c>
      <c r="B458" s="121">
        <f t="shared" ca="1" si="18"/>
        <v>43.585393469501433</v>
      </c>
      <c r="C458" s="128">
        <f t="shared" ca="1" si="19"/>
        <v>1</v>
      </c>
    </row>
    <row r="459" spans="1:3" x14ac:dyDescent="0.25">
      <c r="A459" s="125">
        <f t="shared" si="20"/>
        <v>444</v>
      </c>
      <c r="B459" s="121">
        <f t="shared" ca="1" si="18"/>
        <v>39.703922052749775</v>
      </c>
      <c r="C459" s="128">
        <f t="shared" ca="1" si="19"/>
        <v>1</v>
      </c>
    </row>
    <row r="460" spans="1:3" x14ac:dyDescent="0.25">
      <c r="A460" s="125">
        <f t="shared" si="20"/>
        <v>445</v>
      </c>
      <c r="B460" s="121">
        <f t="shared" ca="1" si="18"/>
        <v>54.189194728086051</v>
      </c>
      <c r="C460" s="128">
        <f t="shared" ca="1" si="19"/>
        <v>1</v>
      </c>
    </row>
    <row r="461" spans="1:3" x14ac:dyDescent="0.25">
      <c r="A461" s="125">
        <f t="shared" si="20"/>
        <v>446</v>
      </c>
      <c r="B461" s="121">
        <f t="shared" ca="1" si="18"/>
        <v>38.990541444317998</v>
      </c>
      <c r="C461" s="128">
        <f t="shared" ca="1" si="19"/>
        <v>1</v>
      </c>
    </row>
    <row r="462" spans="1:3" x14ac:dyDescent="0.25">
      <c r="A462" s="125">
        <f t="shared" si="20"/>
        <v>447</v>
      </c>
      <c r="B462" s="121">
        <f t="shared" ca="1" si="18"/>
        <v>45.110356755191461</v>
      </c>
      <c r="C462" s="128">
        <f t="shared" ca="1" si="19"/>
        <v>1</v>
      </c>
    </row>
    <row r="463" spans="1:3" x14ac:dyDescent="0.25">
      <c r="A463" s="125">
        <f t="shared" si="20"/>
        <v>448</v>
      </c>
      <c r="B463" s="121">
        <f t="shared" ca="1" si="18"/>
        <v>68.428900375935996</v>
      </c>
      <c r="C463" s="128">
        <f t="shared" ca="1" si="19"/>
        <v>1</v>
      </c>
    </row>
    <row r="464" spans="1:3" x14ac:dyDescent="0.25">
      <c r="A464" s="125">
        <f t="shared" si="20"/>
        <v>449</v>
      </c>
      <c r="B464" s="121">
        <f t="shared" ca="1" si="18"/>
        <v>52.4203292230168</v>
      </c>
      <c r="C464" s="128">
        <f t="shared" ca="1" si="19"/>
        <v>1</v>
      </c>
    </row>
    <row r="465" spans="1:3" x14ac:dyDescent="0.25">
      <c r="A465" s="125">
        <f t="shared" si="20"/>
        <v>450</v>
      </c>
      <c r="B465" s="121">
        <f t="shared" ref="B465:B528" ca="1" si="21">_xlfn.NORM.INV(RAND(), $B$9, $B$10)</f>
        <v>50.40078270938681</v>
      </c>
      <c r="C465" s="128">
        <f t="shared" ref="C465:C528" ca="1" si="22">IF(B465 &gt;= $B$11, 1, 0)</f>
        <v>1</v>
      </c>
    </row>
    <row r="466" spans="1:3" x14ac:dyDescent="0.25">
      <c r="A466" s="125">
        <f t="shared" ref="A466:A529" si="23">+A465+1</f>
        <v>451</v>
      </c>
      <c r="B466" s="121">
        <f t="shared" ca="1" si="21"/>
        <v>62.997297688589157</v>
      </c>
      <c r="C466" s="128">
        <f t="shared" ca="1" si="22"/>
        <v>1</v>
      </c>
    </row>
    <row r="467" spans="1:3" x14ac:dyDescent="0.25">
      <c r="A467" s="125">
        <f t="shared" si="23"/>
        <v>452</v>
      </c>
      <c r="B467" s="121">
        <f t="shared" ca="1" si="21"/>
        <v>40.91693924409752</v>
      </c>
      <c r="C467" s="128">
        <f t="shared" ca="1" si="22"/>
        <v>1</v>
      </c>
    </row>
    <row r="468" spans="1:3" x14ac:dyDescent="0.25">
      <c r="A468" s="125">
        <f t="shared" si="23"/>
        <v>453</v>
      </c>
      <c r="B468" s="121">
        <f t="shared" ca="1" si="21"/>
        <v>34.559471578678846</v>
      </c>
      <c r="C468" s="128">
        <f t="shared" ca="1" si="22"/>
        <v>1</v>
      </c>
    </row>
    <row r="469" spans="1:3" x14ac:dyDescent="0.25">
      <c r="A469" s="125">
        <f t="shared" si="23"/>
        <v>454</v>
      </c>
      <c r="B469" s="121">
        <f t="shared" ca="1" si="21"/>
        <v>77.70342669627442</v>
      </c>
      <c r="C469" s="128">
        <f t="shared" ca="1" si="22"/>
        <v>1</v>
      </c>
    </row>
    <row r="470" spans="1:3" x14ac:dyDescent="0.25">
      <c r="A470" s="125">
        <f t="shared" si="23"/>
        <v>455</v>
      </c>
      <c r="B470" s="121">
        <f t="shared" ca="1" si="21"/>
        <v>13.332777745877738</v>
      </c>
      <c r="C470" s="128">
        <f t="shared" ca="1" si="22"/>
        <v>0</v>
      </c>
    </row>
    <row r="471" spans="1:3" x14ac:dyDescent="0.25">
      <c r="A471" s="125">
        <f t="shared" si="23"/>
        <v>456</v>
      </c>
      <c r="B471" s="121">
        <f t="shared" ca="1" si="21"/>
        <v>-40.783975177790154</v>
      </c>
      <c r="C471" s="128">
        <f t="shared" ca="1" si="22"/>
        <v>0</v>
      </c>
    </row>
    <row r="472" spans="1:3" x14ac:dyDescent="0.25">
      <c r="A472" s="125">
        <f t="shared" si="23"/>
        <v>457</v>
      </c>
      <c r="B472" s="121">
        <f t="shared" ca="1" si="21"/>
        <v>48.040945610242908</v>
      </c>
      <c r="C472" s="128">
        <f t="shared" ca="1" si="22"/>
        <v>1</v>
      </c>
    </row>
    <row r="473" spans="1:3" x14ac:dyDescent="0.25">
      <c r="A473" s="125">
        <f t="shared" si="23"/>
        <v>458</v>
      </c>
      <c r="B473" s="121">
        <f t="shared" ca="1" si="21"/>
        <v>10.85224793446908</v>
      </c>
      <c r="C473" s="128">
        <f t="shared" ca="1" si="22"/>
        <v>0</v>
      </c>
    </row>
    <row r="474" spans="1:3" x14ac:dyDescent="0.25">
      <c r="A474" s="125">
        <f t="shared" si="23"/>
        <v>459</v>
      </c>
      <c r="B474" s="121">
        <f t="shared" ca="1" si="21"/>
        <v>24.288275309811496</v>
      </c>
      <c r="C474" s="128">
        <f t="shared" ca="1" si="22"/>
        <v>0</v>
      </c>
    </row>
    <row r="475" spans="1:3" x14ac:dyDescent="0.25">
      <c r="A475" s="125">
        <f t="shared" si="23"/>
        <v>460</v>
      </c>
      <c r="B475" s="121">
        <f t="shared" ca="1" si="21"/>
        <v>12.042737067212869</v>
      </c>
      <c r="C475" s="128">
        <f t="shared" ca="1" si="22"/>
        <v>0</v>
      </c>
    </row>
    <row r="476" spans="1:3" x14ac:dyDescent="0.25">
      <c r="A476" s="125">
        <f t="shared" si="23"/>
        <v>461</v>
      </c>
      <c r="B476" s="121">
        <f t="shared" ca="1" si="21"/>
        <v>42.655638243192001</v>
      </c>
      <c r="C476" s="128">
        <f t="shared" ca="1" si="22"/>
        <v>1</v>
      </c>
    </row>
    <row r="477" spans="1:3" x14ac:dyDescent="0.25">
      <c r="A477" s="125">
        <f t="shared" si="23"/>
        <v>462</v>
      </c>
      <c r="B477" s="121">
        <f t="shared" ca="1" si="21"/>
        <v>-14.614971725199162</v>
      </c>
      <c r="C477" s="128">
        <f t="shared" ca="1" si="22"/>
        <v>0</v>
      </c>
    </row>
    <row r="478" spans="1:3" x14ac:dyDescent="0.25">
      <c r="A478" s="125">
        <f t="shared" si="23"/>
        <v>463</v>
      </c>
      <c r="B478" s="121">
        <f t="shared" ca="1" si="21"/>
        <v>46.648406732094308</v>
      </c>
      <c r="C478" s="128">
        <f t="shared" ca="1" si="22"/>
        <v>1</v>
      </c>
    </row>
    <row r="479" spans="1:3" x14ac:dyDescent="0.25">
      <c r="A479" s="125">
        <f t="shared" si="23"/>
        <v>464</v>
      </c>
      <c r="B479" s="121">
        <f t="shared" ca="1" si="21"/>
        <v>43.611590993686399</v>
      </c>
      <c r="C479" s="128">
        <f t="shared" ca="1" si="22"/>
        <v>1</v>
      </c>
    </row>
    <row r="480" spans="1:3" x14ac:dyDescent="0.25">
      <c r="A480" s="125">
        <f t="shared" si="23"/>
        <v>465</v>
      </c>
      <c r="B480" s="121">
        <f t="shared" ca="1" si="21"/>
        <v>59.153068167575938</v>
      </c>
      <c r="C480" s="128">
        <f t="shared" ca="1" si="22"/>
        <v>1</v>
      </c>
    </row>
    <row r="481" spans="1:3" x14ac:dyDescent="0.25">
      <c r="A481" s="125">
        <f t="shared" si="23"/>
        <v>466</v>
      </c>
      <c r="B481" s="121">
        <f t="shared" ca="1" si="21"/>
        <v>66.336064492269543</v>
      </c>
      <c r="C481" s="128">
        <f t="shared" ca="1" si="22"/>
        <v>1</v>
      </c>
    </row>
    <row r="482" spans="1:3" x14ac:dyDescent="0.25">
      <c r="A482" s="125">
        <f t="shared" si="23"/>
        <v>467</v>
      </c>
      <c r="B482" s="121">
        <f t="shared" ca="1" si="21"/>
        <v>15.859506683611908</v>
      </c>
      <c r="C482" s="128">
        <f t="shared" ca="1" si="22"/>
        <v>0</v>
      </c>
    </row>
    <row r="483" spans="1:3" x14ac:dyDescent="0.25">
      <c r="A483" s="125">
        <f t="shared" si="23"/>
        <v>468</v>
      </c>
      <c r="B483" s="121">
        <f t="shared" ca="1" si="21"/>
        <v>7.8424118089989321</v>
      </c>
      <c r="C483" s="128">
        <f t="shared" ca="1" si="22"/>
        <v>0</v>
      </c>
    </row>
    <row r="484" spans="1:3" x14ac:dyDescent="0.25">
      <c r="A484" s="125">
        <f t="shared" si="23"/>
        <v>469</v>
      </c>
      <c r="B484" s="121">
        <f t="shared" ca="1" si="21"/>
        <v>49.644133036195157</v>
      </c>
      <c r="C484" s="128">
        <f t="shared" ca="1" si="22"/>
        <v>1</v>
      </c>
    </row>
    <row r="485" spans="1:3" x14ac:dyDescent="0.25">
      <c r="A485" s="125">
        <f t="shared" si="23"/>
        <v>470</v>
      </c>
      <c r="B485" s="121">
        <f t="shared" ca="1" si="21"/>
        <v>47.723744291413702</v>
      </c>
      <c r="C485" s="128">
        <f t="shared" ca="1" si="22"/>
        <v>1</v>
      </c>
    </row>
    <row r="486" spans="1:3" x14ac:dyDescent="0.25">
      <c r="A486" s="125">
        <f t="shared" si="23"/>
        <v>471</v>
      </c>
      <c r="B486" s="121">
        <f t="shared" ca="1" si="21"/>
        <v>-5.8752495983177511</v>
      </c>
      <c r="C486" s="128">
        <f t="shared" ca="1" si="22"/>
        <v>0</v>
      </c>
    </row>
    <row r="487" spans="1:3" x14ac:dyDescent="0.25">
      <c r="A487" s="125">
        <f t="shared" si="23"/>
        <v>472</v>
      </c>
      <c r="B487" s="121">
        <f t="shared" ca="1" si="21"/>
        <v>-3.5944613142751223</v>
      </c>
      <c r="C487" s="128">
        <f t="shared" ca="1" si="22"/>
        <v>0</v>
      </c>
    </row>
    <row r="488" spans="1:3" x14ac:dyDescent="0.25">
      <c r="A488" s="125">
        <f t="shared" si="23"/>
        <v>473</v>
      </c>
      <c r="B488" s="121">
        <f t="shared" ca="1" si="21"/>
        <v>61.028943581779203</v>
      </c>
      <c r="C488" s="128">
        <f t="shared" ca="1" si="22"/>
        <v>1</v>
      </c>
    </row>
    <row r="489" spans="1:3" x14ac:dyDescent="0.25">
      <c r="A489" s="125">
        <f t="shared" si="23"/>
        <v>474</v>
      </c>
      <c r="B489" s="121">
        <f t="shared" ca="1" si="21"/>
        <v>0.33157611600724124</v>
      </c>
      <c r="C489" s="128">
        <f t="shared" ca="1" si="22"/>
        <v>0</v>
      </c>
    </row>
    <row r="490" spans="1:3" x14ac:dyDescent="0.25">
      <c r="A490" s="125">
        <f t="shared" si="23"/>
        <v>475</v>
      </c>
      <c r="B490" s="121">
        <f t="shared" ca="1" si="21"/>
        <v>41.887135803057497</v>
      </c>
      <c r="C490" s="128">
        <f t="shared" ca="1" si="22"/>
        <v>1</v>
      </c>
    </row>
    <row r="491" spans="1:3" x14ac:dyDescent="0.25">
      <c r="A491" s="125">
        <f t="shared" si="23"/>
        <v>476</v>
      </c>
      <c r="B491" s="121">
        <f t="shared" ca="1" si="21"/>
        <v>13.563930606765425</v>
      </c>
      <c r="C491" s="128">
        <f t="shared" ca="1" si="22"/>
        <v>0</v>
      </c>
    </row>
    <row r="492" spans="1:3" x14ac:dyDescent="0.25">
      <c r="A492" s="125">
        <f t="shared" si="23"/>
        <v>477</v>
      </c>
      <c r="B492" s="121">
        <f t="shared" ca="1" si="21"/>
        <v>42.916162329661397</v>
      </c>
      <c r="C492" s="128">
        <f t="shared" ca="1" si="22"/>
        <v>1</v>
      </c>
    </row>
    <row r="493" spans="1:3" x14ac:dyDescent="0.25">
      <c r="A493" s="125">
        <f t="shared" si="23"/>
        <v>478</v>
      </c>
      <c r="B493" s="121">
        <f t="shared" ca="1" si="21"/>
        <v>-11.795356631268234</v>
      </c>
      <c r="C493" s="128">
        <f t="shared" ca="1" si="22"/>
        <v>0</v>
      </c>
    </row>
    <row r="494" spans="1:3" x14ac:dyDescent="0.25">
      <c r="A494" s="125">
        <f t="shared" si="23"/>
        <v>479</v>
      </c>
      <c r="B494" s="121">
        <f t="shared" ca="1" si="21"/>
        <v>68.649003946247731</v>
      </c>
      <c r="C494" s="128">
        <f t="shared" ca="1" si="22"/>
        <v>1</v>
      </c>
    </row>
    <row r="495" spans="1:3" x14ac:dyDescent="0.25">
      <c r="A495" s="125">
        <f t="shared" si="23"/>
        <v>480</v>
      </c>
      <c r="B495" s="121">
        <f t="shared" ca="1" si="21"/>
        <v>31.194053244597185</v>
      </c>
      <c r="C495" s="128">
        <f t="shared" ca="1" si="22"/>
        <v>1</v>
      </c>
    </row>
    <row r="496" spans="1:3" x14ac:dyDescent="0.25">
      <c r="A496" s="125">
        <f t="shared" si="23"/>
        <v>481</v>
      </c>
      <c r="B496" s="121">
        <f t="shared" ca="1" si="21"/>
        <v>1.5561126623345842</v>
      </c>
      <c r="C496" s="128">
        <f t="shared" ca="1" si="22"/>
        <v>0</v>
      </c>
    </row>
    <row r="497" spans="1:3" x14ac:dyDescent="0.25">
      <c r="A497" s="125">
        <f t="shared" si="23"/>
        <v>482</v>
      </c>
      <c r="B497" s="121">
        <f t="shared" ca="1" si="21"/>
        <v>41.586461618194392</v>
      </c>
      <c r="C497" s="128">
        <f t="shared" ca="1" si="22"/>
        <v>1</v>
      </c>
    </row>
    <row r="498" spans="1:3" x14ac:dyDescent="0.25">
      <c r="A498" s="125">
        <f t="shared" si="23"/>
        <v>483</v>
      </c>
      <c r="B498" s="121">
        <f t="shared" ca="1" si="21"/>
        <v>58.54591913354696</v>
      </c>
      <c r="C498" s="128">
        <f t="shared" ca="1" si="22"/>
        <v>1</v>
      </c>
    </row>
    <row r="499" spans="1:3" x14ac:dyDescent="0.25">
      <c r="A499" s="125">
        <f t="shared" si="23"/>
        <v>484</v>
      </c>
      <c r="B499" s="121">
        <f t="shared" ca="1" si="21"/>
        <v>24.827502517175873</v>
      </c>
      <c r="C499" s="128">
        <f t="shared" ca="1" si="22"/>
        <v>0</v>
      </c>
    </row>
    <row r="500" spans="1:3" x14ac:dyDescent="0.25">
      <c r="A500" s="125">
        <f t="shared" si="23"/>
        <v>485</v>
      </c>
      <c r="B500" s="121">
        <f t="shared" ca="1" si="21"/>
        <v>-21.071206401640715</v>
      </c>
      <c r="C500" s="128">
        <f t="shared" ca="1" si="22"/>
        <v>0</v>
      </c>
    </row>
    <row r="501" spans="1:3" x14ac:dyDescent="0.25">
      <c r="A501" s="125">
        <f t="shared" si="23"/>
        <v>486</v>
      </c>
      <c r="B501" s="121">
        <f t="shared" ca="1" si="21"/>
        <v>46.485711803977182</v>
      </c>
      <c r="C501" s="128">
        <f t="shared" ca="1" si="22"/>
        <v>1</v>
      </c>
    </row>
    <row r="502" spans="1:3" x14ac:dyDescent="0.25">
      <c r="A502" s="125">
        <f t="shared" si="23"/>
        <v>487</v>
      </c>
      <c r="B502" s="121">
        <f t="shared" ca="1" si="21"/>
        <v>98.664978267555966</v>
      </c>
      <c r="C502" s="128">
        <f t="shared" ca="1" si="22"/>
        <v>1</v>
      </c>
    </row>
    <row r="503" spans="1:3" x14ac:dyDescent="0.25">
      <c r="A503" s="125">
        <f t="shared" si="23"/>
        <v>488</v>
      </c>
      <c r="B503" s="121">
        <f t="shared" ca="1" si="21"/>
        <v>30.708143483885937</v>
      </c>
      <c r="C503" s="128">
        <f t="shared" ca="1" si="22"/>
        <v>1</v>
      </c>
    </row>
    <row r="504" spans="1:3" x14ac:dyDescent="0.25">
      <c r="A504" s="125">
        <f t="shared" si="23"/>
        <v>489</v>
      </c>
      <c r="B504" s="121">
        <f t="shared" ca="1" si="21"/>
        <v>23.570883511118957</v>
      </c>
      <c r="C504" s="128">
        <f t="shared" ca="1" si="22"/>
        <v>0</v>
      </c>
    </row>
    <row r="505" spans="1:3" x14ac:dyDescent="0.25">
      <c r="A505" s="125">
        <f t="shared" si="23"/>
        <v>490</v>
      </c>
      <c r="B505" s="121">
        <f t="shared" ca="1" si="21"/>
        <v>25.264845762172662</v>
      </c>
      <c r="C505" s="128">
        <f t="shared" ca="1" si="22"/>
        <v>1</v>
      </c>
    </row>
    <row r="506" spans="1:3" x14ac:dyDescent="0.25">
      <c r="A506" s="125">
        <f t="shared" si="23"/>
        <v>491</v>
      </c>
      <c r="B506" s="121">
        <f t="shared" ca="1" si="21"/>
        <v>13.455526710920111</v>
      </c>
      <c r="C506" s="128">
        <f t="shared" ca="1" si="22"/>
        <v>0</v>
      </c>
    </row>
    <row r="507" spans="1:3" x14ac:dyDescent="0.25">
      <c r="A507" s="125">
        <f t="shared" si="23"/>
        <v>492</v>
      </c>
      <c r="B507" s="121">
        <f t="shared" ca="1" si="21"/>
        <v>25.240809371809569</v>
      </c>
      <c r="C507" s="128">
        <f t="shared" ca="1" si="22"/>
        <v>1</v>
      </c>
    </row>
    <row r="508" spans="1:3" x14ac:dyDescent="0.25">
      <c r="A508" s="125">
        <f t="shared" si="23"/>
        <v>493</v>
      </c>
      <c r="B508" s="121">
        <f t="shared" ca="1" si="21"/>
        <v>54.191760113103605</v>
      </c>
      <c r="C508" s="128">
        <f t="shared" ca="1" si="22"/>
        <v>1</v>
      </c>
    </row>
    <row r="509" spans="1:3" x14ac:dyDescent="0.25">
      <c r="A509" s="125">
        <f t="shared" si="23"/>
        <v>494</v>
      </c>
      <c r="B509" s="121">
        <f t="shared" ca="1" si="21"/>
        <v>88.522052121653189</v>
      </c>
      <c r="C509" s="128">
        <f t="shared" ca="1" si="22"/>
        <v>1</v>
      </c>
    </row>
    <row r="510" spans="1:3" x14ac:dyDescent="0.25">
      <c r="A510" s="125">
        <f t="shared" si="23"/>
        <v>495</v>
      </c>
      <c r="B510" s="121">
        <f t="shared" ca="1" si="21"/>
        <v>24.014689468527855</v>
      </c>
      <c r="C510" s="128">
        <f t="shared" ca="1" si="22"/>
        <v>0</v>
      </c>
    </row>
    <row r="511" spans="1:3" x14ac:dyDescent="0.25">
      <c r="A511" s="125">
        <f t="shared" si="23"/>
        <v>496</v>
      </c>
      <c r="B511" s="121">
        <f t="shared" ca="1" si="21"/>
        <v>17.684075240270808</v>
      </c>
      <c r="C511" s="128">
        <f t="shared" ca="1" si="22"/>
        <v>0</v>
      </c>
    </row>
    <row r="512" spans="1:3" x14ac:dyDescent="0.25">
      <c r="A512" s="125">
        <f t="shared" si="23"/>
        <v>497</v>
      </c>
      <c r="B512" s="121">
        <f t="shared" ca="1" si="21"/>
        <v>3.9267207408502074</v>
      </c>
      <c r="C512" s="128">
        <f t="shared" ca="1" si="22"/>
        <v>0</v>
      </c>
    </row>
    <row r="513" spans="1:3" x14ac:dyDescent="0.25">
      <c r="A513" s="125">
        <f t="shared" si="23"/>
        <v>498</v>
      </c>
      <c r="B513" s="121">
        <f t="shared" ca="1" si="21"/>
        <v>27.024398131690081</v>
      </c>
      <c r="C513" s="128">
        <f t="shared" ca="1" si="22"/>
        <v>1</v>
      </c>
    </row>
    <row r="514" spans="1:3" x14ac:dyDescent="0.25">
      <c r="A514" s="125">
        <f t="shared" si="23"/>
        <v>499</v>
      </c>
      <c r="B514" s="121">
        <f t="shared" ca="1" si="21"/>
        <v>59.197830489788295</v>
      </c>
      <c r="C514" s="128">
        <f t="shared" ca="1" si="22"/>
        <v>1</v>
      </c>
    </row>
    <row r="515" spans="1:3" x14ac:dyDescent="0.25">
      <c r="A515" s="125">
        <f t="shared" si="23"/>
        <v>500</v>
      </c>
      <c r="B515" s="121">
        <f t="shared" ca="1" si="21"/>
        <v>33.659542829972466</v>
      </c>
      <c r="C515" s="128">
        <f t="shared" ca="1" si="22"/>
        <v>1</v>
      </c>
    </row>
    <row r="516" spans="1:3" x14ac:dyDescent="0.25">
      <c r="A516" s="125">
        <f t="shared" si="23"/>
        <v>501</v>
      </c>
      <c r="B516" s="121">
        <f t="shared" ca="1" si="21"/>
        <v>21.032143897295775</v>
      </c>
      <c r="C516" s="128">
        <f t="shared" ca="1" si="22"/>
        <v>0</v>
      </c>
    </row>
    <row r="517" spans="1:3" x14ac:dyDescent="0.25">
      <c r="A517" s="125">
        <f t="shared" si="23"/>
        <v>502</v>
      </c>
      <c r="B517" s="121">
        <f t="shared" ca="1" si="21"/>
        <v>49.384268274853376</v>
      </c>
      <c r="C517" s="128">
        <f t="shared" ca="1" si="22"/>
        <v>1</v>
      </c>
    </row>
    <row r="518" spans="1:3" x14ac:dyDescent="0.25">
      <c r="A518" s="125">
        <f t="shared" si="23"/>
        <v>503</v>
      </c>
      <c r="B518" s="121">
        <f t="shared" ca="1" si="21"/>
        <v>33.356337109209456</v>
      </c>
      <c r="C518" s="128">
        <f t="shared" ca="1" si="22"/>
        <v>1</v>
      </c>
    </row>
    <row r="519" spans="1:3" x14ac:dyDescent="0.25">
      <c r="A519" s="125">
        <f t="shared" si="23"/>
        <v>504</v>
      </c>
      <c r="B519" s="121">
        <f t="shared" ca="1" si="21"/>
        <v>44.232080000292676</v>
      </c>
      <c r="C519" s="128">
        <f t="shared" ca="1" si="22"/>
        <v>1</v>
      </c>
    </row>
    <row r="520" spans="1:3" x14ac:dyDescent="0.25">
      <c r="A520" s="125">
        <f t="shared" si="23"/>
        <v>505</v>
      </c>
      <c r="B520" s="121">
        <f t="shared" ca="1" si="21"/>
        <v>46.602102171599356</v>
      </c>
      <c r="C520" s="128">
        <f t="shared" ca="1" si="22"/>
        <v>1</v>
      </c>
    </row>
    <row r="521" spans="1:3" x14ac:dyDescent="0.25">
      <c r="A521" s="125">
        <f t="shared" si="23"/>
        <v>506</v>
      </c>
      <c r="B521" s="121">
        <f t="shared" ca="1" si="21"/>
        <v>58.043366038422526</v>
      </c>
      <c r="C521" s="128">
        <f t="shared" ca="1" si="22"/>
        <v>1</v>
      </c>
    </row>
    <row r="522" spans="1:3" x14ac:dyDescent="0.25">
      <c r="A522" s="125">
        <f t="shared" si="23"/>
        <v>507</v>
      </c>
      <c r="B522" s="121">
        <f t="shared" ca="1" si="21"/>
        <v>-13.379177659954792</v>
      </c>
      <c r="C522" s="128">
        <f t="shared" ca="1" si="22"/>
        <v>0</v>
      </c>
    </row>
    <row r="523" spans="1:3" x14ac:dyDescent="0.25">
      <c r="A523" s="125">
        <f t="shared" si="23"/>
        <v>508</v>
      </c>
      <c r="B523" s="121">
        <f t="shared" ca="1" si="21"/>
        <v>-10.751654541980187</v>
      </c>
      <c r="C523" s="128">
        <f t="shared" ca="1" si="22"/>
        <v>0</v>
      </c>
    </row>
    <row r="524" spans="1:3" x14ac:dyDescent="0.25">
      <c r="A524" s="125">
        <f t="shared" si="23"/>
        <v>509</v>
      </c>
      <c r="B524" s="121">
        <f t="shared" ca="1" si="21"/>
        <v>61.401343914312164</v>
      </c>
      <c r="C524" s="128">
        <f t="shared" ca="1" si="22"/>
        <v>1</v>
      </c>
    </row>
    <row r="525" spans="1:3" x14ac:dyDescent="0.25">
      <c r="A525" s="125">
        <f t="shared" si="23"/>
        <v>510</v>
      </c>
      <c r="B525" s="121">
        <f t="shared" ca="1" si="21"/>
        <v>-4.4645225114394194</v>
      </c>
      <c r="C525" s="128">
        <f t="shared" ca="1" si="22"/>
        <v>0</v>
      </c>
    </row>
    <row r="526" spans="1:3" x14ac:dyDescent="0.25">
      <c r="A526" s="125">
        <f t="shared" si="23"/>
        <v>511</v>
      </c>
      <c r="B526" s="121">
        <f t="shared" ca="1" si="21"/>
        <v>37.434787616903158</v>
      </c>
      <c r="C526" s="128">
        <f t="shared" ca="1" si="22"/>
        <v>1</v>
      </c>
    </row>
    <row r="527" spans="1:3" x14ac:dyDescent="0.25">
      <c r="A527" s="125">
        <f t="shared" si="23"/>
        <v>512</v>
      </c>
      <c r="B527" s="121">
        <f t="shared" ca="1" si="21"/>
        <v>43.581498662493964</v>
      </c>
      <c r="C527" s="128">
        <f t="shared" ca="1" si="22"/>
        <v>1</v>
      </c>
    </row>
    <row r="528" spans="1:3" x14ac:dyDescent="0.25">
      <c r="A528" s="125">
        <f t="shared" si="23"/>
        <v>513</v>
      </c>
      <c r="B528" s="121">
        <f t="shared" ca="1" si="21"/>
        <v>-6.3958619228533351</v>
      </c>
      <c r="C528" s="128">
        <f t="shared" ca="1" si="22"/>
        <v>0</v>
      </c>
    </row>
    <row r="529" spans="1:3" x14ac:dyDescent="0.25">
      <c r="A529" s="125">
        <f t="shared" si="23"/>
        <v>514</v>
      </c>
      <c r="B529" s="121">
        <f t="shared" ref="B529:B592" ca="1" si="24">_xlfn.NORM.INV(RAND(), $B$9, $B$10)</f>
        <v>76.580604766385306</v>
      </c>
      <c r="C529" s="128">
        <f t="shared" ref="C529:C592" ca="1" si="25">IF(B529 &gt;= $B$11, 1, 0)</f>
        <v>1</v>
      </c>
    </row>
    <row r="530" spans="1:3" x14ac:dyDescent="0.25">
      <c r="A530" s="125">
        <f t="shared" ref="A530:A593" si="26">+A529+1</f>
        <v>515</v>
      </c>
      <c r="B530" s="121">
        <f t="shared" ca="1" si="24"/>
        <v>60.834461917674375</v>
      </c>
      <c r="C530" s="128">
        <f t="shared" ca="1" si="25"/>
        <v>1</v>
      </c>
    </row>
    <row r="531" spans="1:3" x14ac:dyDescent="0.25">
      <c r="A531" s="125">
        <f t="shared" si="26"/>
        <v>516</v>
      </c>
      <c r="B531" s="121">
        <f t="shared" ca="1" si="24"/>
        <v>77.976212470469903</v>
      </c>
      <c r="C531" s="128">
        <f t="shared" ca="1" si="25"/>
        <v>1</v>
      </c>
    </row>
    <row r="532" spans="1:3" x14ac:dyDescent="0.25">
      <c r="A532" s="125">
        <f t="shared" si="26"/>
        <v>517</v>
      </c>
      <c r="B532" s="121">
        <f t="shared" ca="1" si="24"/>
        <v>37.093673241910786</v>
      </c>
      <c r="C532" s="128">
        <f t="shared" ca="1" si="25"/>
        <v>1</v>
      </c>
    </row>
    <row r="533" spans="1:3" x14ac:dyDescent="0.25">
      <c r="A533" s="125">
        <f t="shared" si="26"/>
        <v>518</v>
      </c>
      <c r="B533" s="121">
        <f t="shared" ca="1" si="24"/>
        <v>39.204723761967742</v>
      </c>
      <c r="C533" s="128">
        <f t="shared" ca="1" si="25"/>
        <v>1</v>
      </c>
    </row>
    <row r="534" spans="1:3" x14ac:dyDescent="0.25">
      <c r="A534" s="125">
        <f t="shared" si="26"/>
        <v>519</v>
      </c>
      <c r="B534" s="121">
        <f t="shared" ca="1" si="24"/>
        <v>19.183109842255384</v>
      </c>
      <c r="C534" s="128">
        <f t="shared" ca="1" si="25"/>
        <v>0</v>
      </c>
    </row>
    <row r="535" spans="1:3" x14ac:dyDescent="0.25">
      <c r="A535" s="125">
        <f t="shared" si="26"/>
        <v>520</v>
      </c>
      <c r="B535" s="121">
        <f t="shared" ca="1" si="24"/>
        <v>13.606987299082757</v>
      </c>
      <c r="C535" s="128">
        <f t="shared" ca="1" si="25"/>
        <v>0</v>
      </c>
    </row>
    <row r="536" spans="1:3" x14ac:dyDescent="0.25">
      <c r="A536" s="125">
        <f t="shared" si="26"/>
        <v>521</v>
      </c>
      <c r="B536" s="121">
        <f t="shared" ca="1" si="24"/>
        <v>34.011855952934312</v>
      </c>
      <c r="C536" s="128">
        <f t="shared" ca="1" si="25"/>
        <v>1</v>
      </c>
    </row>
    <row r="537" spans="1:3" x14ac:dyDescent="0.25">
      <c r="A537" s="125">
        <f t="shared" si="26"/>
        <v>522</v>
      </c>
      <c r="B537" s="121">
        <f t="shared" ca="1" si="24"/>
        <v>13.927777678413101</v>
      </c>
      <c r="C537" s="128">
        <f t="shared" ca="1" si="25"/>
        <v>0</v>
      </c>
    </row>
    <row r="538" spans="1:3" x14ac:dyDescent="0.25">
      <c r="A538" s="125">
        <f t="shared" si="26"/>
        <v>523</v>
      </c>
      <c r="B538" s="121">
        <f t="shared" ca="1" si="24"/>
        <v>72.031252348123388</v>
      </c>
      <c r="C538" s="128">
        <f t="shared" ca="1" si="25"/>
        <v>1</v>
      </c>
    </row>
    <row r="539" spans="1:3" x14ac:dyDescent="0.25">
      <c r="A539" s="125">
        <f t="shared" si="26"/>
        <v>524</v>
      </c>
      <c r="B539" s="121">
        <f t="shared" ca="1" si="24"/>
        <v>60.549345041929399</v>
      </c>
      <c r="C539" s="128">
        <f t="shared" ca="1" si="25"/>
        <v>1</v>
      </c>
    </row>
    <row r="540" spans="1:3" x14ac:dyDescent="0.25">
      <c r="A540" s="125">
        <f t="shared" si="26"/>
        <v>525</v>
      </c>
      <c r="B540" s="121">
        <f t="shared" ca="1" si="24"/>
        <v>75.707712873350118</v>
      </c>
      <c r="C540" s="128">
        <f t="shared" ca="1" si="25"/>
        <v>1</v>
      </c>
    </row>
    <row r="541" spans="1:3" x14ac:dyDescent="0.25">
      <c r="A541" s="125">
        <f t="shared" si="26"/>
        <v>526</v>
      </c>
      <c r="B541" s="121">
        <f t="shared" ca="1" si="24"/>
        <v>-1.6203384040931113</v>
      </c>
      <c r="C541" s="128">
        <f t="shared" ca="1" si="25"/>
        <v>0</v>
      </c>
    </row>
    <row r="542" spans="1:3" x14ac:dyDescent="0.25">
      <c r="A542" s="125">
        <f t="shared" si="26"/>
        <v>527</v>
      </c>
      <c r="B542" s="121">
        <f t="shared" ca="1" si="24"/>
        <v>35.700763780849151</v>
      </c>
      <c r="C542" s="128">
        <f t="shared" ca="1" si="25"/>
        <v>1</v>
      </c>
    </row>
    <row r="543" spans="1:3" x14ac:dyDescent="0.25">
      <c r="A543" s="125">
        <f t="shared" si="26"/>
        <v>528</v>
      </c>
      <c r="B543" s="121">
        <f t="shared" ca="1" si="24"/>
        <v>42.113226497822026</v>
      </c>
      <c r="C543" s="128">
        <f t="shared" ca="1" si="25"/>
        <v>1</v>
      </c>
    </row>
    <row r="544" spans="1:3" x14ac:dyDescent="0.25">
      <c r="A544" s="125">
        <f t="shared" si="26"/>
        <v>529</v>
      </c>
      <c r="B544" s="121">
        <f t="shared" ca="1" si="24"/>
        <v>43.489085138112415</v>
      </c>
      <c r="C544" s="128">
        <f t="shared" ca="1" si="25"/>
        <v>1</v>
      </c>
    </row>
    <row r="545" spans="1:3" x14ac:dyDescent="0.25">
      <c r="A545" s="125">
        <f t="shared" si="26"/>
        <v>530</v>
      </c>
      <c r="B545" s="121">
        <f t="shared" ca="1" si="24"/>
        <v>8.8647013942794359</v>
      </c>
      <c r="C545" s="128">
        <f t="shared" ca="1" si="25"/>
        <v>0</v>
      </c>
    </row>
    <row r="546" spans="1:3" x14ac:dyDescent="0.25">
      <c r="A546" s="125">
        <f t="shared" si="26"/>
        <v>531</v>
      </c>
      <c r="B546" s="121">
        <f t="shared" ca="1" si="24"/>
        <v>73.78389519248411</v>
      </c>
      <c r="C546" s="128">
        <f t="shared" ca="1" si="25"/>
        <v>1</v>
      </c>
    </row>
    <row r="547" spans="1:3" x14ac:dyDescent="0.25">
      <c r="A547" s="125">
        <f t="shared" si="26"/>
        <v>532</v>
      </c>
      <c r="B547" s="121">
        <f t="shared" ca="1" si="24"/>
        <v>46.370227446871652</v>
      </c>
      <c r="C547" s="128">
        <f t="shared" ca="1" si="25"/>
        <v>1</v>
      </c>
    </row>
    <row r="548" spans="1:3" x14ac:dyDescent="0.25">
      <c r="A548" s="125">
        <f t="shared" si="26"/>
        <v>533</v>
      </c>
      <c r="B548" s="121">
        <f t="shared" ca="1" si="24"/>
        <v>67.659346746049565</v>
      </c>
      <c r="C548" s="128">
        <f t="shared" ca="1" si="25"/>
        <v>1</v>
      </c>
    </row>
    <row r="549" spans="1:3" x14ac:dyDescent="0.25">
      <c r="A549" s="125">
        <f t="shared" si="26"/>
        <v>534</v>
      </c>
      <c r="B549" s="121">
        <f t="shared" ca="1" si="24"/>
        <v>45.560472709579003</v>
      </c>
      <c r="C549" s="128">
        <f t="shared" ca="1" si="25"/>
        <v>1</v>
      </c>
    </row>
    <row r="550" spans="1:3" x14ac:dyDescent="0.25">
      <c r="A550" s="125">
        <f t="shared" si="26"/>
        <v>535</v>
      </c>
      <c r="B550" s="121">
        <f t="shared" ca="1" si="24"/>
        <v>2.3890080129245987</v>
      </c>
      <c r="C550" s="128">
        <f t="shared" ca="1" si="25"/>
        <v>0</v>
      </c>
    </row>
    <row r="551" spans="1:3" x14ac:dyDescent="0.25">
      <c r="A551" s="125">
        <f t="shared" si="26"/>
        <v>536</v>
      </c>
      <c r="B551" s="121">
        <f t="shared" ca="1" si="24"/>
        <v>42.215173805442895</v>
      </c>
      <c r="C551" s="128">
        <f t="shared" ca="1" si="25"/>
        <v>1</v>
      </c>
    </row>
    <row r="552" spans="1:3" x14ac:dyDescent="0.25">
      <c r="A552" s="125">
        <f t="shared" si="26"/>
        <v>537</v>
      </c>
      <c r="B552" s="121">
        <f t="shared" ca="1" si="24"/>
        <v>79.845355356321335</v>
      </c>
      <c r="C552" s="128">
        <f t="shared" ca="1" si="25"/>
        <v>1</v>
      </c>
    </row>
    <row r="553" spans="1:3" x14ac:dyDescent="0.25">
      <c r="A553" s="125">
        <f t="shared" si="26"/>
        <v>538</v>
      </c>
      <c r="B553" s="121">
        <f t="shared" ca="1" si="24"/>
        <v>18.895436920627304</v>
      </c>
      <c r="C553" s="128">
        <f t="shared" ca="1" si="25"/>
        <v>0</v>
      </c>
    </row>
    <row r="554" spans="1:3" x14ac:dyDescent="0.25">
      <c r="A554" s="125">
        <f t="shared" si="26"/>
        <v>539</v>
      </c>
      <c r="B554" s="121">
        <f t="shared" ca="1" si="24"/>
        <v>51.448279018839401</v>
      </c>
      <c r="C554" s="128">
        <f t="shared" ca="1" si="25"/>
        <v>1</v>
      </c>
    </row>
    <row r="555" spans="1:3" x14ac:dyDescent="0.25">
      <c r="A555" s="125">
        <f t="shared" si="26"/>
        <v>540</v>
      </c>
      <c r="B555" s="121">
        <f t="shared" ca="1" si="24"/>
        <v>44.193349917604692</v>
      </c>
      <c r="C555" s="128">
        <f t="shared" ca="1" si="25"/>
        <v>1</v>
      </c>
    </row>
    <row r="556" spans="1:3" x14ac:dyDescent="0.25">
      <c r="A556" s="125">
        <f t="shared" si="26"/>
        <v>541</v>
      </c>
      <c r="B556" s="121">
        <f t="shared" ca="1" si="24"/>
        <v>28.479399683440171</v>
      </c>
      <c r="C556" s="128">
        <f t="shared" ca="1" si="25"/>
        <v>1</v>
      </c>
    </row>
    <row r="557" spans="1:3" x14ac:dyDescent="0.25">
      <c r="A557" s="125">
        <f t="shared" si="26"/>
        <v>542</v>
      </c>
      <c r="B557" s="121">
        <f t="shared" ca="1" si="24"/>
        <v>17.757295913305246</v>
      </c>
      <c r="C557" s="128">
        <f t="shared" ca="1" si="25"/>
        <v>0</v>
      </c>
    </row>
    <row r="558" spans="1:3" x14ac:dyDescent="0.25">
      <c r="A558" s="125">
        <f t="shared" si="26"/>
        <v>543</v>
      </c>
      <c r="B558" s="121">
        <f t="shared" ca="1" si="24"/>
        <v>24.502272408233949</v>
      </c>
      <c r="C558" s="128">
        <f t="shared" ca="1" si="25"/>
        <v>0</v>
      </c>
    </row>
    <row r="559" spans="1:3" x14ac:dyDescent="0.25">
      <c r="A559" s="125">
        <f t="shared" si="26"/>
        <v>544</v>
      </c>
      <c r="B559" s="121">
        <f t="shared" ca="1" si="24"/>
        <v>46.976564339205467</v>
      </c>
      <c r="C559" s="128">
        <f t="shared" ca="1" si="25"/>
        <v>1</v>
      </c>
    </row>
    <row r="560" spans="1:3" x14ac:dyDescent="0.25">
      <c r="A560" s="125">
        <f t="shared" si="26"/>
        <v>545</v>
      </c>
      <c r="B560" s="121">
        <f t="shared" ca="1" si="24"/>
        <v>37.596867615168193</v>
      </c>
      <c r="C560" s="128">
        <f t="shared" ca="1" si="25"/>
        <v>1</v>
      </c>
    </row>
    <row r="561" spans="1:3" x14ac:dyDescent="0.25">
      <c r="A561" s="125">
        <f t="shared" si="26"/>
        <v>546</v>
      </c>
      <c r="B561" s="121">
        <f t="shared" ca="1" si="24"/>
        <v>15.892278085539139</v>
      </c>
      <c r="C561" s="128">
        <f t="shared" ca="1" si="25"/>
        <v>0</v>
      </c>
    </row>
    <row r="562" spans="1:3" x14ac:dyDescent="0.25">
      <c r="A562" s="125">
        <f t="shared" si="26"/>
        <v>547</v>
      </c>
      <c r="B562" s="121">
        <f t="shared" ca="1" si="24"/>
        <v>80.205265393403479</v>
      </c>
      <c r="C562" s="128">
        <f t="shared" ca="1" si="25"/>
        <v>1</v>
      </c>
    </row>
    <row r="563" spans="1:3" x14ac:dyDescent="0.25">
      <c r="A563" s="125">
        <f t="shared" si="26"/>
        <v>548</v>
      </c>
      <c r="B563" s="121">
        <f t="shared" ca="1" si="24"/>
        <v>15.593463432614911</v>
      </c>
      <c r="C563" s="128">
        <f t="shared" ca="1" si="25"/>
        <v>0</v>
      </c>
    </row>
    <row r="564" spans="1:3" x14ac:dyDescent="0.25">
      <c r="A564" s="125">
        <f t="shared" si="26"/>
        <v>549</v>
      </c>
      <c r="B564" s="121">
        <f t="shared" ca="1" si="24"/>
        <v>36.476977848368335</v>
      </c>
      <c r="C564" s="128">
        <f t="shared" ca="1" si="25"/>
        <v>1</v>
      </c>
    </row>
    <row r="565" spans="1:3" x14ac:dyDescent="0.25">
      <c r="A565" s="125">
        <f t="shared" si="26"/>
        <v>550</v>
      </c>
      <c r="B565" s="121">
        <f t="shared" ca="1" si="24"/>
        <v>34.270079942778047</v>
      </c>
      <c r="C565" s="128">
        <f t="shared" ca="1" si="25"/>
        <v>1</v>
      </c>
    </row>
    <row r="566" spans="1:3" x14ac:dyDescent="0.25">
      <c r="A566" s="125">
        <f t="shared" si="26"/>
        <v>551</v>
      </c>
      <c r="B566" s="121">
        <f t="shared" ca="1" si="24"/>
        <v>28.718464041103736</v>
      </c>
      <c r="C566" s="128">
        <f t="shared" ca="1" si="25"/>
        <v>1</v>
      </c>
    </row>
    <row r="567" spans="1:3" x14ac:dyDescent="0.25">
      <c r="A567" s="125">
        <f t="shared" si="26"/>
        <v>552</v>
      </c>
      <c r="B567" s="121">
        <f t="shared" ca="1" si="24"/>
        <v>52.409980140817623</v>
      </c>
      <c r="C567" s="128">
        <f t="shared" ca="1" si="25"/>
        <v>1</v>
      </c>
    </row>
    <row r="568" spans="1:3" x14ac:dyDescent="0.25">
      <c r="A568" s="125">
        <f t="shared" si="26"/>
        <v>553</v>
      </c>
      <c r="B568" s="121">
        <f t="shared" ca="1" si="24"/>
        <v>4.931504431497828</v>
      </c>
      <c r="C568" s="128">
        <f t="shared" ca="1" si="25"/>
        <v>0</v>
      </c>
    </row>
    <row r="569" spans="1:3" x14ac:dyDescent="0.25">
      <c r="A569" s="125">
        <f t="shared" si="26"/>
        <v>554</v>
      </c>
      <c r="B569" s="121">
        <f t="shared" ca="1" si="24"/>
        <v>7.1334212671855539</v>
      </c>
      <c r="C569" s="128">
        <f t="shared" ca="1" si="25"/>
        <v>0</v>
      </c>
    </row>
    <row r="570" spans="1:3" x14ac:dyDescent="0.25">
      <c r="A570" s="125">
        <f t="shared" si="26"/>
        <v>555</v>
      </c>
      <c r="B570" s="121">
        <f t="shared" ca="1" si="24"/>
        <v>34.302048206516652</v>
      </c>
      <c r="C570" s="128">
        <f t="shared" ca="1" si="25"/>
        <v>1</v>
      </c>
    </row>
    <row r="571" spans="1:3" x14ac:dyDescent="0.25">
      <c r="A571" s="125">
        <f t="shared" si="26"/>
        <v>556</v>
      </c>
      <c r="B571" s="121">
        <f t="shared" ca="1" si="24"/>
        <v>-31.17151471461689</v>
      </c>
      <c r="C571" s="128">
        <f t="shared" ca="1" si="25"/>
        <v>0</v>
      </c>
    </row>
    <row r="572" spans="1:3" x14ac:dyDescent="0.25">
      <c r="A572" s="125">
        <f t="shared" si="26"/>
        <v>557</v>
      </c>
      <c r="B572" s="121">
        <f t="shared" ca="1" si="24"/>
        <v>62.958241472250975</v>
      </c>
      <c r="C572" s="128">
        <f t="shared" ca="1" si="25"/>
        <v>1</v>
      </c>
    </row>
    <row r="573" spans="1:3" x14ac:dyDescent="0.25">
      <c r="A573" s="125">
        <f t="shared" si="26"/>
        <v>558</v>
      </c>
      <c r="B573" s="121">
        <f t="shared" ca="1" si="24"/>
        <v>50.272622567958223</v>
      </c>
      <c r="C573" s="128">
        <f t="shared" ca="1" si="25"/>
        <v>1</v>
      </c>
    </row>
    <row r="574" spans="1:3" x14ac:dyDescent="0.25">
      <c r="A574" s="125">
        <f t="shared" si="26"/>
        <v>559</v>
      </c>
      <c r="B574" s="121">
        <f t="shared" ca="1" si="24"/>
        <v>58.953858656088101</v>
      </c>
      <c r="C574" s="128">
        <f t="shared" ca="1" si="25"/>
        <v>1</v>
      </c>
    </row>
    <row r="575" spans="1:3" x14ac:dyDescent="0.25">
      <c r="A575" s="125">
        <f t="shared" si="26"/>
        <v>560</v>
      </c>
      <c r="B575" s="121">
        <f t="shared" ca="1" si="24"/>
        <v>39.211279663882053</v>
      </c>
      <c r="C575" s="128">
        <f t="shared" ca="1" si="25"/>
        <v>1</v>
      </c>
    </row>
    <row r="576" spans="1:3" x14ac:dyDescent="0.25">
      <c r="A576" s="125">
        <f t="shared" si="26"/>
        <v>561</v>
      </c>
      <c r="B576" s="121">
        <f t="shared" ca="1" si="24"/>
        <v>-2.5504242109429782</v>
      </c>
      <c r="C576" s="128">
        <f t="shared" ca="1" si="25"/>
        <v>0</v>
      </c>
    </row>
    <row r="577" spans="1:3" x14ac:dyDescent="0.25">
      <c r="A577" s="125">
        <f t="shared" si="26"/>
        <v>562</v>
      </c>
      <c r="B577" s="121">
        <f t="shared" ca="1" si="24"/>
        <v>-19.75412305642898</v>
      </c>
      <c r="C577" s="128">
        <f t="shared" ca="1" si="25"/>
        <v>0</v>
      </c>
    </row>
    <row r="578" spans="1:3" x14ac:dyDescent="0.25">
      <c r="A578" s="125">
        <f t="shared" si="26"/>
        <v>563</v>
      </c>
      <c r="B578" s="121">
        <f t="shared" ca="1" si="24"/>
        <v>61.376384265258991</v>
      </c>
      <c r="C578" s="128">
        <f t="shared" ca="1" si="25"/>
        <v>1</v>
      </c>
    </row>
    <row r="579" spans="1:3" x14ac:dyDescent="0.25">
      <c r="A579" s="125">
        <f t="shared" si="26"/>
        <v>564</v>
      </c>
      <c r="B579" s="121">
        <f t="shared" ca="1" si="24"/>
        <v>39.404030320511588</v>
      </c>
      <c r="C579" s="128">
        <f t="shared" ca="1" si="25"/>
        <v>1</v>
      </c>
    </row>
    <row r="580" spans="1:3" x14ac:dyDescent="0.25">
      <c r="A580" s="125">
        <f t="shared" si="26"/>
        <v>565</v>
      </c>
      <c r="B580" s="121">
        <f t="shared" ca="1" si="24"/>
        <v>24.945109179948773</v>
      </c>
      <c r="C580" s="128">
        <f t="shared" ca="1" si="25"/>
        <v>0</v>
      </c>
    </row>
    <row r="581" spans="1:3" x14ac:dyDescent="0.25">
      <c r="A581" s="125">
        <f t="shared" si="26"/>
        <v>566</v>
      </c>
      <c r="B581" s="121">
        <f t="shared" ca="1" si="24"/>
        <v>59.335082546966532</v>
      </c>
      <c r="C581" s="128">
        <f t="shared" ca="1" si="25"/>
        <v>1</v>
      </c>
    </row>
    <row r="582" spans="1:3" x14ac:dyDescent="0.25">
      <c r="A582" s="125">
        <f t="shared" si="26"/>
        <v>567</v>
      </c>
      <c r="B582" s="121">
        <f t="shared" ca="1" si="24"/>
        <v>43.375019186496971</v>
      </c>
      <c r="C582" s="128">
        <f t="shared" ca="1" si="25"/>
        <v>1</v>
      </c>
    </row>
    <row r="583" spans="1:3" x14ac:dyDescent="0.25">
      <c r="A583" s="125">
        <f t="shared" si="26"/>
        <v>568</v>
      </c>
      <c r="B583" s="121">
        <f t="shared" ca="1" si="24"/>
        <v>-8.5643186278501275</v>
      </c>
      <c r="C583" s="128">
        <f t="shared" ca="1" si="25"/>
        <v>0</v>
      </c>
    </row>
    <row r="584" spans="1:3" x14ac:dyDescent="0.25">
      <c r="A584" s="125">
        <f t="shared" si="26"/>
        <v>569</v>
      </c>
      <c r="B584" s="121">
        <f t="shared" ca="1" si="24"/>
        <v>6.0361862177537553</v>
      </c>
      <c r="C584" s="128">
        <f t="shared" ca="1" si="25"/>
        <v>0</v>
      </c>
    </row>
    <row r="585" spans="1:3" x14ac:dyDescent="0.25">
      <c r="A585" s="125">
        <f t="shared" si="26"/>
        <v>570</v>
      </c>
      <c r="B585" s="121">
        <f t="shared" ca="1" si="24"/>
        <v>24.178813866564461</v>
      </c>
      <c r="C585" s="128">
        <f t="shared" ca="1" si="25"/>
        <v>0</v>
      </c>
    </row>
    <row r="586" spans="1:3" x14ac:dyDescent="0.25">
      <c r="A586" s="125">
        <f t="shared" si="26"/>
        <v>571</v>
      </c>
      <c r="B586" s="121">
        <f t="shared" ca="1" si="24"/>
        <v>35.065226715119479</v>
      </c>
      <c r="C586" s="128">
        <f t="shared" ca="1" si="25"/>
        <v>1</v>
      </c>
    </row>
    <row r="587" spans="1:3" x14ac:dyDescent="0.25">
      <c r="A587" s="125">
        <f t="shared" si="26"/>
        <v>572</v>
      </c>
      <c r="B587" s="121">
        <f t="shared" ca="1" si="24"/>
        <v>51.002833469832595</v>
      </c>
      <c r="C587" s="128">
        <f t="shared" ca="1" si="25"/>
        <v>1</v>
      </c>
    </row>
    <row r="588" spans="1:3" x14ac:dyDescent="0.25">
      <c r="A588" s="125">
        <f t="shared" si="26"/>
        <v>573</v>
      </c>
      <c r="B588" s="121">
        <f t="shared" ca="1" si="24"/>
        <v>43.88986487296372</v>
      </c>
      <c r="C588" s="128">
        <f t="shared" ca="1" si="25"/>
        <v>1</v>
      </c>
    </row>
    <row r="589" spans="1:3" x14ac:dyDescent="0.25">
      <c r="A589" s="125">
        <f t="shared" si="26"/>
        <v>574</v>
      </c>
      <c r="B589" s="121">
        <f t="shared" ca="1" si="24"/>
        <v>81.105072804089545</v>
      </c>
      <c r="C589" s="128">
        <f t="shared" ca="1" si="25"/>
        <v>1</v>
      </c>
    </row>
    <row r="590" spans="1:3" x14ac:dyDescent="0.25">
      <c r="A590" s="125">
        <f t="shared" si="26"/>
        <v>575</v>
      </c>
      <c r="B590" s="121">
        <f t="shared" ca="1" si="24"/>
        <v>70.261382170164254</v>
      </c>
      <c r="C590" s="128">
        <f t="shared" ca="1" si="25"/>
        <v>1</v>
      </c>
    </row>
    <row r="591" spans="1:3" x14ac:dyDescent="0.25">
      <c r="A591" s="125">
        <f t="shared" si="26"/>
        <v>576</v>
      </c>
      <c r="B591" s="121">
        <f t="shared" ca="1" si="24"/>
        <v>36.224929831744078</v>
      </c>
      <c r="C591" s="128">
        <f t="shared" ca="1" si="25"/>
        <v>1</v>
      </c>
    </row>
    <row r="592" spans="1:3" x14ac:dyDescent="0.25">
      <c r="A592" s="125">
        <f t="shared" si="26"/>
        <v>577</v>
      </c>
      <c r="B592" s="121">
        <f t="shared" ca="1" si="24"/>
        <v>70.643538978223702</v>
      </c>
      <c r="C592" s="128">
        <f t="shared" ca="1" si="25"/>
        <v>1</v>
      </c>
    </row>
    <row r="593" spans="1:3" x14ac:dyDescent="0.25">
      <c r="A593" s="125">
        <f t="shared" si="26"/>
        <v>578</v>
      </c>
      <c r="B593" s="121">
        <f t="shared" ref="B593:B656" ca="1" si="27">_xlfn.NORM.INV(RAND(), $B$9, $B$10)</f>
        <v>-1.0279768967925094</v>
      </c>
      <c r="C593" s="128">
        <f t="shared" ref="C593:C656" ca="1" si="28">IF(B593 &gt;= $B$11, 1, 0)</f>
        <v>0</v>
      </c>
    </row>
    <row r="594" spans="1:3" x14ac:dyDescent="0.25">
      <c r="A594" s="125">
        <f t="shared" ref="A594:A657" si="29">+A593+1</f>
        <v>579</v>
      </c>
      <c r="B594" s="121">
        <f t="shared" ca="1" si="27"/>
        <v>46.611068409580724</v>
      </c>
      <c r="C594" s="128">
        <f t="shared" ca="1" si="28"/>
        <v>1</v>
      </c>
    </row>
    <row r="595" spans="1:3" x14ac:dyDescent="0.25">
      <c r="A595" s="125">
        <f t="shared" si="29"/>
        <v>580</v>
      </c>
      <c r="B595" s="121">
        <f t="shared" ca="1" si="27"/>
        <v>25.67344401395583</v>
      </c>
      <c r="C595" s="128">
        <f t="shared" ca="1" si="28"/>
        <v>1</v>
      </c>
    </row>
    <row r="596" spans="1:3" x14ac:dyDescent="0.25">
      <c r="A596" s="125">
        <f t="shared" si="29"/>
        <v>581</v>
      </c>
      <c r="B596" s="121">
        <f t="shared" ca="1" si="27"/>
        <v>19.62872843773517</v>
      </c>
      <c r="C596" s="128">
        <f t="shared" ca="1" si="28"/>
        <v>0</v>
      </c>
    </row>
    <row r="597" spans="1:3" x14ac:dyDescent="0.25">
      <c r="A597" s="125">
        <f t="shared" si="29"/>
        <v>582</v>
      </c>
      <c r="B597" s="121">
        <f t="shared" ca="1" si="27"/>
        <v>8.1770735788940527</v>
      </c>
      <c r="C597" s="128">
        <f t="shared" ca="1" si="28"/>
        <v>0</v>
      </c>
    </row>
    <row r="598" spans="1:3" x14ac:dyDescent="0.25">
      <c r="A598" s="125">
        <f t="shared" si="29"/>
        <v>583</v>
      </c>
      <c r="B598" s="121">
        <f t="shared" ca="1" si="27"/>
        <v>21.151217673778397</v>
      </c>
      <c r="C598" s="128">
        <f t="shared" ca="1" si="28"/>
        <v>0</v>
      </c>
    </row>
    <row r="599" spans="1:3" x14ac:dyDescent="0.25">
      <c r="A599" s="125">
        <f t="shared" si="29"/>
        <v>584</v>
      </c>
      <c r="B599" s="121">
        <f t="shared" ca="1" si="27"/>
        <v>58.279230263723548</v>
      </c>
      <c r="C599" s="128">
        <f t="shared" ca="1" si="28"/>
        <v>1</v>
      </c>
    </row>
    <row r="600" spans="1:3" x14ac:dyDescent="0.25">
      <c r="A600" s="125">
        <f t="shared" si="29"/>
        <v>585</v>
      </c>
      <c r="B600" s="121">
        <f t="shared" ca="1" si="27"/>
        <v>38.243849831780913</v>
      </c>
      <c r="C600" s="128">
        <f t="shared" ca="1" si="28"/>
        <v>1</v>
      </c>
    </row>
    <row r="601" spans="1:3" x14ac:dyDescent="0.25">
      <c r="A601" s="125">
        <f t="shared" si="29"/>
        <v>586</v>
      </c>
      <c r="B601" s="121">
        <f t="shared" ca="1" si="27"/>
        <v>53.758745336143924</v>
      </c>
      <c r="C601" s="128">
        <f t="shared" ca="1" si="28"/>
        <v>1</v>
      </c>
    </row>
    <row r="602" spans="1:3" x14ac:dyDescent="0.25">
      <c r="A602" s="125">
        <f t="shared" si="29"/>
        <v>587</v>
      </c>
      <c r="B602" s="121">
        <f t="shared" ca="1" si="27"/>
        <v>42.738466896143215</v>
      </c>
      <c r="C602" s="128">
        <f t="shared" ca="1" si="28"/>
        <v>1</v>
      </c>
    </row>
    <row r="603" spans="1:3" x14ac:dyDescent="0.25">
      <c r="A603" s="125">
        <f t="shared" si="29"/>
        <v>588</v>
      </c>
      <c r="B603" s="121">
        <f t="shared" ca="1" si="27"/>
        <v>30.751125996230684</v>
      </c>
      <c r="C603" s="128">
        <f t="shared" ca="1" si="28"/>
        <v>1</v>
      </c>
    </row>
    <row r="604" spans="1:3" x14ac:dyDescent="0.25">
      <c r="A604" s="125">
        <f t="shared" si="29"/>
        <v>589</v>
      </c>
      <c r="B604" s="121">
        <f t="shared" ca="1" si="27"/>
        <v>9.5750393725088543</v>
      </c>
      <c r="C604" s="128">
        <f t="shared" ca="1" si="28"/>
        <v>0</v>
      </c>
    </row>
    <row r="605" spans="1:3" x14ac:dyDescent="0.25">
      <c r="A605" s="125">
        <f t="shared" si="29"/>
        <v>590</v>
      </c>
      <c r="B605" s="121">
        <f t="shared" ca="1" si="27"/>
        <v>3.966548881836875</v>
      </c>
      <c r="C605" s="128">
        <f t="shared" ca="1" si="28"/>
        <v>0</v>
      </c>
    </row>
    <row r="606" spans="1:3" x14ac:dyDescent="0.25">
      <c r="A606" s="125">
        <f t="shared" si="29"/>
        <v>591</v>
      </c>
      <c r="B606" s="121">
        <f t="shared" ca="1" si="27"/>
        <v>3.4473259161128667</v>
      </c>
      <c r="C606" s="128">
        <f t="shared" ca="1" si="28"/>
        <v>0</v>
      </c>
    </row>
    <row r="607" spans="1:3" x14ac:dyDescent="0.25">
      <c r="A607" s="125">
        <f t="shared" si="29"/>
        <v>592</v>
      </c>
      <c r="B607" s="121">
        <f t="shared" ca="1" si="27"/>
        <v>97.389083973189088</v>
      </c>
      <c r="C607" s="128">
        <f t="shared" ca="1" si="28"/>
        <v>1</v>
      </c>
    </row>
    <row r="608" spans="1:3" x14ac:dyDescent="0.25">
      <c r="A608" s="125">
        <f t="shared" si="29"/>
        <v>593</v>
      </c>
      <c r="B608" s="121">
        <f t="shared" ca="1" si="27"/>
        <v>63.688799039103159</v>
      </c>
      <c r="C608" s="128">
        <f t="shared" ca="1" si="28"/>
        <v>1</v>
      </c>
    </row>
    <row r="609" spans="1:3" x14ac:dyDescent="0.25">
      <c r="A609" s="125">
        <f t="shared" si="29"/>
        <v>594</v>
      </c>
      <c r="B609" s="121">
        <f t="shared" ca="1" si="27"/>
        <v>53.764280354050662</v>
      </c>
      <c r="C609" s="128">
        <f t="shared" ca="1" si="28"/>
        <v>1</v>
      </c>
    </row>
    <row r="610" spans="1:3" x14ac:dyDescent="0.25">
      <c r="A610" s="125">
        <f t="shared" si="29"/>
        <v>595</v>
      </c>
      <c r="B610" s="121">
        <f t="shared" ca="1" si="27"/>
        <v>21.131109026075762</v>
      </c>
      <c r="C610" s="128">
        <f t="shared" ca="1" si="28"/>
        <v>0</v>
      </c>
    </row>
    <row r="611" spans="1:3" x14ac:dyDescent="0.25">
      <c r="A611" s="125">
        <f t="shared" si="29"/>
        <v>596</v>
      </c>
      <c r="B611" s="121">
        <f t="shared" ca="1" si="27"/>
        <v>31.317002938720456</v>
      </c>
      <c r="C611" s="128">
        <f t="shared" ca="1" si="28"/>
        <v>1</v>
      </c>
    </row>
    <row r="612" spans="1:3" x14ac:dyDescent="0.25">
      <c r="A612" s="125">
        <f t="shared" si="29"/>
        <v>597</v>
      </c>
      <c r="B612" s="121">
        <f t="shared" ca="1" si="27"/>
        <v>34.576494312055942</v>
      </c>
      <c r="C612" s="128">
        <f t="shared" ca="1" si="28"/>
        <v>1</v>
      </c>
    </row>
    <row r="613" spans="1:3" x14ac:dyDescent="0.25">
      <c r="A613" s="125">
        <f t="shared" si="29"/>
        <v>598</v>
      </c>
      <c r="B613" s="121">
        <f t="shared" ca="1" si="27"/>
        <v>35.609259150316497</v>
      </c>
      <c r="C613" s="128">
        <f t="shared" ca="1" si="28"/>
        <v>1</v>
      </c>
    </row>
    <row r="614" spans="1:3" x14ac:dyDescent="0.25">
      <c r="A614" s="125">
        <f t="shared" si="29"/>
        <v>599</v>
      </c>
      <c r="B614" s="121">
        <f t="shared" ca="1" si="27"/>
        <v>73.450716140084509</v>
      </c>
      <c r="C614" s="128">
        <f t="shared" ca="1" si="28"/>
        <v>1</v>
      </c>
    </row>
    <row r="615" spans="1:3" x14ac:dyDescent="0.25">
      <c r="A615" s="125">
        <f t="shared" si="29"/>
        <v>600</v>
      </c>
      <c r="B615" s="121">
        <f t="shared" ca="1" si="27"/>
        <v>42.61434870406724</v>
      </c>
      <c r="C615" s="128">
        <f t="shared" ca="1" si="28"/>
        <v>1</v>
      </c>
    </row>
    <row r="616" spans="1:3" x14ac:dyDescent="0.25">
      <c r="A616" s="125">
        <f t="shared" si="29"/>
        <v>601</v>
      </c>
      <c r="B616" s="121">
        <f t="shared" ca="1" si="27"/>
        <v>53.693828813330235</v>
      </c>
      <c r="C616" s="128">
        <f t="shared" ca="1" si="28"/>
        <v>1</v>
      </c>
    </row>
    <row r="617" spans="1:3" x14ac:dyDescent="0.25">
      <c r="A617" s="125">
        <f t="shared" si="29"/>
        <v>602</v>
      </c>
      <c r="B617" s="121">
        <f t="shared" ca="1" si="27"/>
        <v>11.339110127914179</v>
      </c>
      <c r="C617" s="128">
        <f t="shared" ca="1" si="28"/>
        <v>0</v>
      </c>
    </row>
    <row r="618" spans="1:3" x14ac:dyDescent="0.25">
      <c r="A618" s="125">
        <f t="shared" si="29"/>
        <v>603</v>
      </c>
      <c r="B618" s="121">
        <f t="shared" ca="1" si="27"/>
        <v>6.6087956387076545</v>
      </c>
      <c r="C618" s="128">
        <f t="shared" ca="1" si="28"/>
        <v>0</v>
      </c>
    </row>
    <row r="619" spans="1:3" x14ac:dyDescent="0.25">
      <c r="A619" s="125">
        <f t="shared" si="29"/>
        <v>604</v>
      </c>
      <c r="B619" s="121">
        <f t="shared" ca="1" si="27"/>
        <v>67.520474794367601</v>
      </c>
      <c r="C619" s="128">
        <f t="shared" ca="1" si="28"/>
        <v>1</v>
      </c>
    </row>
    <row r="620" spans="1:3" x14ac:dyDescent="0.25">
      <c r="A620" s="125">
        <f t="shared" si="29"/>
        <v>605</v>
      </c>
      <c r="B620" s="121">
        <f t="shared" ca="1" si="27"/>
        <v>46.791838717427474</v>
      </c>
      <c r="C620" s="128">
        <f t="shared" ca="1" si="28"/>
        <v>1</v>
      </c>
    </row>
    <row r="621" spans="1:3" x14ac:dyDescent="0.25">
      <c r="A621" s="125">
        <f t="shared" si="29"/>
        <v>606</v>
      </c>
      <c r="B621" s="121">
        <f t="shared" ca="1" si="27"/>
        <v>74.846175512206287</v>
      </c>
      <c r="C621" s="128">
        <f t="shared" ca="1" si="28"/>
        <v>1</v>
      </c>
    </row>
    <row r="622" spans="1:3" x14ac:dyDescent="0.25">
      <c r="A622" s="125">
        <f t="shared" si="29"/>
        <v>607</v>
      </c>
      <c r="B622" s="121">
        <f t="shared" ca="1" si="27"/>
        <v>-11.77170517208399</v>
      </c>
      <c r="C622" s="128">
        <f t="shared" ca="1" si="28"/>
        <v>0</v>
      </c>
    </row>
    <row r="623" spans="1:3" x14ac:dyDescent="0.25">
      <c r="A623" s="125">
        <f t="shared" si="29"/>
        <v>608</v>
      </c>
      <c r="B623" s="121">
        <f t="shared" ca="1" si="27"/>
        <v>85.313135722669841</v>
      </c>
      <c r="C623" s="128">
        <f t="shared" ca="1" si="28"/>
        <v>1</v>
      </c>
    </row>
    <row r="624" spans="1:3" x14ac:dyDescent="0.25">
      <c r="A624" s="125">
        <f t="shared" si="29"/>
        <v>609</v>
      </c>
      <c r="B624" s="121">
        <f t="shared" ca="1" si="27"/>
        <v>1.0451356998163988</v>
      </c>
      <c r="C624" s="128">
        <f t="shared" ca="1" si="28"/>
        <v>0</v>
      </c>
    </row>
    <row r="625" spans="1:3" x14ac:dyDescent="0.25">
      <c r="A625" s="125">
        <f t="shared" si="29"/>
        <v>610</v>
      </c>
      <c r="B625" s="121">
        <f t="shared" ca="1" si="27"/>
        <v>-10.628818227931625</v>
      </c>
      <c r="C625" s="128">
        <f t="shared" ca="1" si="28"/>
        <v>0</v>
      </c>
    </row>
    <row r="626" spans="1:3" x14ac:dyDescent="0.25">
      <c r="A626" s="125">
        <f t="shared" si="29"/>
        <v>611</v>
      </c>
      <c r="B626" s="121">
        <f t="shared" ca="1" si="27"/>
        <v>47.321104302699879</v>
      </c>
      <c r="C626" s="128">
        <f t="shared" ca="1" si="28"/>
        <v>1</v>
      </c>
    </row>
    <row r="627" spans="1:3" x14ac:dyDescent="0.25">
      <c r="A627" s="125">
        <f t="shared" si="29"/>
        <v>612</v>
      </c>
      <c r="B627" s="121">
        <f t="shared" ca="1" si="27"/>
        <v>1.1114804897422061</v>
      </c>
      <c r="C627" s="128">
        <f t="shared" ca="1" si="28"/>
        <v>0</v>
      </c>
    </row>
    <row r="628" spans="1:3" x14ac:dyDescent="0.25">
      <c r="A628" s="125">
        <f t="shared" si="29"/>
        <v>613</v>
      </c>
      <c r="B628" s="121">
        <f t="shared" ca="1" si="27"/>
        <v>18.350266145639811</v>
      </c>
      <c r="C628" s="128">
        <f t="shared" ca="1" si="28"/>
        <v>0</v>
      </c>
    </row>
    <row r="629" spans="1:3" x14ac:dyDescent="0.25">
      <c r="A629" s="125">
        <f t="shared" si="29"/>
        <v>614</v>
      </c>
      <c r="B629" s="121">
        <f t="shared" ca="1" si="27"/>
        <v>5.7378802145675891</v>
      </c>
      <c r="C629" s="128">
        <f t="shared" ca="1" si="28"/>
        <v>0</v>
      </c>
    </row>
    <row r="630" spans="1:3" x14ac:dyDescent="0.25">
      <c r="A630" s="125">
        <f t="shared" si="29"/>
        <v>615</v>
      </c>
      <c r="B630" s="121">
        <f t="shared" ca="1" si="27"/>
        <v>37.213529395088941</v>
      </c>
      <c r="C630" s="128">
        <f t="shared" ca="1" si="28"/>
        <v>1</v>
      </c>
    </row>
    <row r="631" spans="1:3" x14ac:dyDescent="0.25">
      <c r="A631" s="125">
        <f t="shared" si="29"/>
        <v>616</v>
      </c>
      <c r="B631" s="121">
        <f t="shared" ca="1" si="27"/>
        <v>36.014230209514743</v>
      </c>
      <c r="C631" s="128">
        <f t="shared" ca="1" si="28"/>
        <v>1</v>
      </c>
    </row>
    <row r="632" spans="1:3" x14ac:dyDescent="0.25">
      <c r="A632" s="125">
        <f t="shared" si="29"/>
        <v>617</v>
      </c>
      <c r="B632" s="121">
        <f t="shared" ca="1" si="27"/>
        <v>22.485455438050515</v>
      </c>
      <c r="C632" s="128">
        <f t="shared" ca="1" si="28"/>
        <v>0</v>
      </c>
    </row>
    <row r="633" spans="1:3" x14ac:dyDescent="0.25">
      <c r="A633" s="125">
        <f t="shared" si="29"/>
        <v>618</v>
      </c>
      <c r="B633" s="121">
        <f t="shared" ca="1" si="27"/>
        <v>2.4520168720222202</v>
      </c>
      <c r="C633" s="128">
        <f t="shared" ca="1" si="28"/>
        <v>0</v>
      </c>
    </row>
    <row r="634" spans="1:3" x14ac:dyDescent="0.25">
      <c r="A634" s="125">
        <f t="shared" si="29"/>
        <v>619</v>
      </c>
      <c r="B634" s="121">
        <f t="shared" ca="1" si="27"/>
        <v>58.924056555835577</v>
      </c>
      <c r="C634" s="128">
        <f t="shared" ca="1" si="28"/>
        <v>1</v>
      </c>
    </row>
    <row r="635" spans="1:3" x14ac:dyDescent="0.25">
      <c r="A635" s="125">
        <f t="shared" si="29"/>
        <v>620</v>
      </c>
      <c r="B635" s="121">
        <f t="shared" ca="1" si="27"/>
        <v>20.465145375547834</v>
      </c>
      <c r="C635" s="128">
        <f t="shared" ca="1" si="28"/>
        <v>0</v>
      </c>
    </row>
    <row r="636" spans="1:3" x14ac:dyDescent="0.25">
      <c r="A636" s="125">
        <f t="shared" si="29"/>
        <v>621</v>
      </c>
      <c r="B636" s="121">
        <f t="shared" ca="1" si="27"/>
        <v>26.051106024702889</v>
      </c>
      <c r="C636" s="128">
        <f t="shared" ca="1" si="28"/>
        <v>1</v>
      </c>
    </row>
    <row r="637" spans="1:3" x14ac:dyDescent="0.25">
      <c r="A637" s="125">
        <f t="shared" si="29"/>
        <v>622</v>
      </c>
      <c r="B637" s="121">
        <f t="shared" ca="1" si="27"/>
        <v>28.173006649600179</v>
      </c>
      <c r="C637" s="128">
        <f t="shared" ca="1" si="28"/>
        <v>1</v>
      </c>
    </row>
    <row r="638" spans="1:3" x14ac:dyDescent="0.25">
      <c r="A638" s="125">
        <f t="shared" si="29"/>
        <v>623</v>
      </c>
      <c r="B638" s="121">
        <f t="shared" ca="1" si="27"/>
        <v>71.280834935582959</v>
      </c>
      <c r="C638" s="128">
        <f t="shared" ca="1" si="28"/>
        <v>1</v>
      </c>
    </row>
    <row r="639" spans="1:3" x14ac:dyDescent="0.25">
      <c r="A639" s="125">
        <f t="shared" si="29"/>
        <v>624</v>
      </c>
      <c r="B639" s="121">
        <f t="shared" ca="1" si="27"/>
        <v>47.811034100121226</v>
      </c>
      <c r="C639" s="128">
        <f t="shared" ca="1" si="28"/>
        <v>1</v>
      </c>
    </row>
    <row r="640" spans="1:3" x14ac:dyDescent="0.25">
      <c r="A640" s="125">
        <f t="shared" si="29"/>
        <v>625</v>
      </c>
      <c r="B640" s="121">
        <f t="shared" ca="1" si="27"/>
        <v>13.625223729737613</v>
      </c>
      <c r="C640" s="128">
        <f t="shared" ca="1" si="28"/>
        <v>0</v>
      </c>
    </row>
    <row r="641" spans="1:3" x14ac:dyDescent="0.25">
      <c r="A641" s="125">
        <f t="shared" si="29"/>
        <v>626</v>
      </c>
      <c r="B641" s="121">
        <f t="shared" ca="1" si="27"/>
        <v>59.335764028205531</v>
      </c>
      <c r="C641" s="128">
        <f t="shared" ca="1" si="28"/>
        <v>1</v>
      </c>
    </row>
    <row r="642" spans="1:3" x14ac:dyDescent="0.25">
      <c r="A642" s="125">
        <f t="shared" si="29"/>
        <v>627</v>
      </c>
      <c r="B642" s="121">
        <f t="shared" ca="1" si="27"/>
        <v>38.771795077726061</v>
      </c>
      <c r="C642" s="128">
        <f t="shared" ca="1" si="28"/>
        <v>1</v>
      </c>
    </row>
    <row r="643" spans="1:3" x14ac:dyDescent="0.25">
      <c r="A643" s="125">
        <f t="shared" si="29"/>
        <v>628</v>
      </c>
      <c r="B643" s="121">
        <f t="shared" ca="1" si="27"/>
        <v>34.690555137115574</v>
      </c>
      <c r="C643" s="128">
        <f t="shared" ca="1" si="28"/>
        <v>1</v>
      </c>
    </row>
    <row r="644" spans="1:3" x14ac:dyDescent="0.25">
      <c r="A644" s="125">
        <f t="shared" si="29"/>
        <v>629</v>
      </c>
      <c r="B644" s="121">
        <f t="shared" ca="1" si="27"/>
        <v>21.424007049163045</v>
      </c>
      <c r="C644" s="128">
        <f t="shared" ca="1" si="28"/>
        <v>0</v>
      </c>
    </row>
    <row r="645" spans="1:3" x14ac:dyDescent="0.25">
      <c r="A645" s="125">
        <f t="shared" si="29"/>
        <v>630</v>
      </c>
      <c r="B645" s="121">
        <f t="shared" ca="1" si="27"/>
        <v>7.9063053515216666</v>
      </c>
      <c r="C645" s="128">
        <f t="shared" ca="1" si="28"/>
        <v>0</v>
      </c>
    </row>
    <row r="646" spans="1:3" x14ac:dyDescent="0.25">
      <c r="A646" s="125">
        <f t="shared" si="29"/>
        <v>631</v>
      </c>
      <c r="B646" s="121">
        <f t="shared" ca="1" si="27"/>
        <v>45.37867484769346</v>
      </c>
      <c r="C646" s="128">
        <f t="shared" ca="1" si="28"/>
        <v>1</v>
      </c>
    </row>
    <row r="647" spans="1:3" x14ac:dyDescent="0.25">
      <c r="A647" s="125">
        <f t="shared" si="29"/>
        <v>632</v>
      </c>
      <c r="B647" s="121">
        <f t="shared" ca="1" si="27"/>
        <v>16.650400912874442</v>
      </c>
      <c r="C647" s="128">
        <f t="shared" ca="1" si="28"/>
        <v>0</v>
      </c>
    </row>
    <row r="648" spans="1:3" x14ac:dyDescent="0.25">
      <c r="A648" s="125">
        <f t="shared" si="29"/>
        <v>633</v>
      </c>
      <c r="B648" s="121">
        <f t="shared" ca="1" si="27"/>
        <v>78.312926747657514</v>
      </c>
      <c r="C648" s="128">
        <f t="shared" ca="1" si="28"/>
        <v>1</v>
      </c>
    </row>
    <row r="649" spans="1:3" x14ac:dyDescent="0.25">
      <c r="A649" s="125">
        <f t="shared" si="29"/>
        <v>634</v>
      </c>
      <c r="B649" s="121">
        <f t="shared" ca="1" si="27"/>
        <v>15.010370950280578</v>
      </c>
      <c r="C649" s="128">
        <f t="shared" ca="1" si="28"/>
        <v>0</v>
      </c>
    </row>
    <row r="650" spans="1:3" x14ac:dyDescent="0.25">
      <c r="A650" s="125">
        <f t="shared" si="29"/>
        <v>635</v>
      </c>
      <c r="B650" s="121">
        <f t="shared" ca="1" si="27"/>
        <v>49.575875581830381</v>
      </c>
      <c r="C650" s="128">
        <f t="shared" ca="1" si="28"/>
        <v>1</v>
      </c>
    </row>
    <row r="651" spans="1:3" x14ac:dyDescent="0.25">
      <c r="A651" s="125">
        <f t="shared" si="29"/>
        <v>636</v>
      </c>
      <c r="B651" s="121">
        <f t="shared" ca="1" si="27"/>
        <v>-22.93895050077208</v>
      </c>
      <c r="C651" s="128">
        <f t="shared" ca="1" si="28"/>
        <v>0</v>
      </c>
    </row>
    <row r="652" spans="1:3" x14ac:dyDescent="0.25">
      <c r="A652" s="125">
        <f t="shared" si="29"/>
        <v>637</v>
      </c>
      <c r="B652" s="121">
        <f t="shared" ca="1" si="27"/>
        <v>25.116611788513904</v>
      </c>
      <c r="C652" s="128">
        <f t="shared" ca="1" si="28"/>
        <v>1</v>
      </c>
    </row>
    <row r="653" spans="1:3" x14ac:dyDescent="0.25">
      <c r="A653" s="125">
        <f t="shared" si="29"/>
        <v>638</v>
      </c>
      <c r="B653" s="121">
        <f t="shared" ca="1" si="27"/>
        <v>34.544808341989388</v>
      </c>
      <c r="C653" s="128">
        <f t="shared" ca="1" si="28"/>
        <v>1</v>
      </c>
    </row>
    <row r="654" spans="1:3" x14ac:dyDescent="0.25">
      <c r="A654" s="125">
        <f t="shared" si="29"/>
        <v>639</v>
      </c>
      <c r="B654" s="121">
        <f t="shared" ca="1" si="27"/>
        <v>62.278450434369802</v>
      </c>
      <c r="C654" s="128">
        <f t="shared" ca="1" si="28"/>
        <v>1</v>
      </c>
    </row>
    <row r="655" spans="1:3" x14ac:dyDescent="0.25">
      <c r="A655" s="125">
        <f t="shared" si="29"/>
        <v>640</v>
      </c>
      <c r="B655" s="121">
        <f t="shared" ca="1" si="27"/>
        <v>41.970207184881822</v>
      </c>
      <c r="C655" s="128">
        <f t="shared" ca="1" si="28"/>
        <v>1</v>
      </c>
    </row>
    <row r="656" spans="1:3" x14ac:dyDescent="0.25">
      <c r="A656" s="125">
        <f t="shared" si="29"/>
        <v>641</v>
      </c>
      <c r="B656" s="121">
        <f t="shared" ca="1" si="27"/>
        <v>16.48348178426696</v>
      </c>
      <c r="C656" s="128">
        <f t="shared" ca="1" si="28"/>
        <v>0</v>
      </c>
    </row>
    <row r="657" spans="1:3" x14ac:dyDescent="0.25">
      <c r="A657" s="125">
        <f t="shared" si="29"/>
        <v>642</v>
      </c>
      <c r="B657" s="121">
        <f t="shared" ref="B657:B720" ca="1" si="30">_xlfn.NORM.INV(RAND(), $B$9, $B$10)</f>
        <v>-5.3229793415967919</v>
      </c>
      <c r="C657" s="128">
        <f t="shared" ref="C657:C720" ca="1" si="31">IF(B657 &gt;= $B$11, 1, 0)</f>
        <v>0</v>
      </c>
    </row>
    <row r="658" spans="1:3" x14ac:dyDescent="0.25">
      <c r="A658" s="125">
        <f t="shared" ref="A658:A721" si="32">+A657+1</f>
        <v>643</v>
      </c>
      <c r="B658" s="121">
        <f t="shared" ca="1" si="30"/>
        <v>22.156023743294131</v>
      </c>
      <c r="C658" s="128">
        <f t="shared" ca="1" si="31"/>
        <v>0</v>
      </c>
    </row>
    <row r="659" spans="1:3" x14ac:dyDescent="0.25">
      <c r="A659" s="125">
        <f t="shared" si="32"/>
        <v>644</v>
      </c>
      <c r="B659" s="121">
        <f t="shared" ca="1" si="30"/>
        <v>97.761088321370693</v>
      </c>
      <c r="C659" s="128">
        <f t="shared" ca="1" si="31"/>
        <v>1</v>
      </c>
    </row>
    <row r="660" spans="1:3" x14ac:dyDescent="0.25">
      <c r="A660" s="125">
        <f t="shared" si="32"/>
        <v>645</v>
      </c>
      <c r="B660" s="121">
        <f t="shared" ca="1" si="30"/>
        <v>45.924018089064305</v>
      </c>
      <c r="C660" s="128">
        <f t="shared" ca="1" si="31"/>
        <v>1</v>
      </c>
    </row>
    <row r="661" spans="1:3" x14ac:dyDescent="0.25">
      <c r="A661" s="125">
        <f t="shared" si="32"/>
        <v>646</v>
      </c>
      <c r="B661" s="121">
        <f t="shared" ca="1" si="30"/>
        <v>53.523527478844677</v>
      </c>
      <c r="C661" s="128">
        <f t="shared" ca="1" si="31"/>
        <v>1</v>
      </c>
    </row>
    <row r="662" spans="1:3" x14ac:dyDescent="0.25">
      <c r="A662" s="125">
        <f t="shared" si="32"/>
        <v>647</v>
      </c>
      <c r="B662" s="121">
        <f t="shared" ca="1" si="30"/>
        <v>88.331536571737303</v>
      </c>
      <c r="C662" s="128">
        <f t="shared" ca="1" si="31"/>
        <v>1</v>
      </c>
    </row>
    <row r="663" spans="1:3" x14ac:dyDescent="0.25">
      <c r="A663" s="125">
        <f t="shared" si="32"/>
        <v>648</v>
      </c>
      <c r="B663" s="121">
        <f t="shared" ca="1" si="30"/>
        <v>31.740044052403302</v>
      </c>
      <c r="C663" s="128">
        <f t="shared" ca="1" si="31"/>
        <v>1</v>
      </c>
    </row>
    <row r="664" spans="1:3" x14ac:dyDescent="0.25">
      <c r="A664" s="125">
        <f t="shared" si="32"/>
        <v>649</v>
      </c>
      <c r="B664" s="121">
        <f t="shared" ca="1" si="30"/>
        <v>55.50294249761852</v>
      </c>
      <c r="C664" s="128">
        <f t="shared" ca="1" si="31"/>
        <v>1</v>
      </c>
    </row>
    <row r="665" spans="1:3" x14ac:dyDescent="0.25">
      <c r="A665" s="125">
        <f t="shared" si="32"/>
        <v>650</v>
      </c>
      <c r="B665" s="121">
        <f t="shared" ca="1" si="30"/>
        <v>54.230402356829977</v>
      </c>
      <c r="C665" s="128">
        <f t="shared" ca="1" si="31"/>
        <v>1</v>
      </c>
    </row>
    <row r="666" spans="1:3" x14ac:dyDescent="0.25">
      <c r="A666" s="125">
        <f t="shared" si="32"/>
        <v>651</v>
      </c>
      <c r="B666" s="121">
        <f t="shared" ca="1" si="30"/>
        <v>8.4781597541406768</v>
      </c>
      <c r="C666" s="128">
        <f t="shared" ca="1" si="31"/>
        <v>0</v>
      </c>
    </row>
    <row r="667" spans="1:3" x14ac:dyDescent="0.25">
      <c r="A667" s="125">
        <f t="shared" si="32"/>
        <v>652</v>
      </c>
      <c r="B667" s="121">
        <f t="shared" ca="1" si="30"/>
        <v>36.380255092388111</v>
      </c>
      <c r="C667" s="128">
        <f t="shared" ca="1" si="31"/>
        <v>1</v>
      </c>
    </row>
    <row r="668" spans="1:3" x14ac:dyDescent="0.25">
      <c r="A668" s="125">
        <f t="shared" si="32"/>
        <v>653</v>
      </c>
      <c r="B668" s="121">
        <f t="shared" ca="1" si="30"/>
        <v>57.438890830267233</v>
      </c>
      <c r="C668" s="128">
        <f t="shared" ca="1" si="31"/>
        <v>1</v>
      </c>
    </row>
    <row r="669" spans="1:3" x14ac:dyDescent="0.25">
      <c r="A669" s="125">
        <f t="shared" si="32"/>
        <v>654</v>
      </c>
      <c r="B669" s="121">
        <f t="shared" ca="1" si="30"/>
        <v>41.919437864405097</v>
      </c>
      <c r="C669" s="128">
        <f t="shared" ca="1" si="31"/>
        <v>1</v>
      </c>
    </row>
    <row r="670" spans="1:3" x14ac:dyDescent="0.25">
      <c r="A670" s="125">
        <f t="shared" si="32"/>
        <v>655</v>
      </c>
      <c r="B670" s="121">
        <f t="shared" ca="1" si="30"/>
        <v>26.731484787449602</v>
      </c>
      <c r="C670" s="128">
        <f t="shared" ca="1" si="31"/>
        <v>1</v>
      </c>
    </row>
    <row r="671" spans="1:3" x14ac:dyDescent="0.25">
      <c r="A671" s="125">
        <f t="shared" si="32"/>
        <v>656</v>
      </c>
      <c r="B671" s="121">
        <f t="shared" ca="1" si="30"/>
        <v>-6.9247831673288474</v>
      </c>
      <c r="C671" s="128">
        <f t="shared" ca="1" si="31"/>
        <v>0</v>
      </c>
    </row>
    <row r="672" spans="1:3" x14ac:dyDescent="0.25">
      <c r="A672" s="125">
        <f t="shared" si="32"/>
        <v>657</v>
      </c>
      <c r="B672" s="121">
        <f t="shared" ca="1" si="30"/>
        <v>49.228335733918342</v>
      </c>
      <c r="C672" s="128">
        <f t="shared" ca="1" si="31"/>
        <v>1</v>
      </c>
    </row>
    <row r="673" spans="1:3" x14ac:dyDescent="0.25">
      <c r="A673" s="125">
        <f t="shared" si="32"/>
        <v>658</v>
      </c>
      <c r="B673" s="121">
        <f t="shared" ca="1" si="30"/>
        <v>33.942867934373957</v>
      </c>
      <c r="C673" s="128">
        <f t="shared" ca="1" si="31"/>
        <v>1</v>
      </c>
    </row>
    <row r="674" spans="1:3" x14ac:dyDescent="0.25">
      <c r="A674" s="125">
        <f t="shared" si="32"/>
        <v>659</v>
      </c>
      <c r="B674" s="121">
        <f t="shared" ca="1" si="30"/>
        <v>58.450934001656336</v>
      </c>
      <c r="C674" s="128">
        <f t="shared" ca="1" si="31"/>
        <v>1</v>
      </c>
    </row>
    <row r="675" spans="1:3" x14ac:dyDescent="0.25">
      <c r="A675" s="125">
        <f t="shared" si="32"/>
        <v>660</v>
      </c>
      <c r="B675" s="121">
        <f t="shared" ca="1" si="30"/>
        <v>37.325971617623466</v>
      </c>
      <c r="C675" s="128">
        <f t="shared" ca="1" si="31"/>
        <v>1</v>
      </c>
    </row>
    <row r="676" spans="1:3" x14ac:dyDescent="0.25">
      <c r="A676" s="125">
        <f t="shared" si="32"/>
        <v>661</v>
      </c>
      <c r="B676" s="121">
        <f t="shared" ca="1" si="30"/>
        <v>36.595468368053282</v>
      </c>
      <c r="C676" s="128">
        <f t="shared" ca="1" si="31"/>
        <v>1</v>
      </c>
    </row>
    <row r="677" spans="1:3" x14ac:dyDescent="0.25">
      <c r="A677" s="125">
        <f t="shared" si="32"/>
        <v>662</v>
      </c>
      <c r="B677" s="121">
        <f t="shared" ca="1" si="30"/>
        <v>47.901566185516174</v>
      </c>
      <c r="C677" s="128">
        <f t="shared" ca="1" si="31"/>
        <v>1</v>
      </c>
    </row>
    <row r="678" spans="1:3" x14ac:dyDescent="0.25">
      <c r="A678" s="125">
        <f t="shared" si="32"/>
        <v>663</v>
      </c>
      <c r="B678" s="121">
        <f t="shared" ca="1" si="30"/>
        <v>31.912973984532737</v>
      </c>
      <c r="C678" s="128">
        <f t="shared" ca="1" si="31"/>
        <v>1</v>
      </c>
    </row>
    <row r="679" spans="1:3" x14ac:dyDescent="0.25">
      <c r="A679" s="125">
        <f t="shared" si="32"/>
        <v>664</v>
      </c>
      <c r="B679" s="121">
        <f t="shared" ca="1" si="30"/>
        <v>37.748050472334825</v>
      </c>
      <c r="C679" s="128">
        <f t="shared" ca="1" si="31"/>
        <v>1</v>
      </c>
    </row>
    <row r="680" spans="1:3" x14ac:dyDescent="0.25">
      <c r="A680" s="125">
        <f t="shared" si="32"/>
        <v>665</v>
      </c>
      <c r="B680" s="121">
        <f t="shared" ca="1" si="30"/>
        <v>27.400853579200945</v>
      </c>
      <c r="C680" s="128">
        <f t="shared" ca="1" si="31"/>
        <v>1</v>
      </c>
    </row>
    <row r="681" spans="1:3" x14ac:dyDescent="0.25">
      <c r="A681" s="125">
        <f t="shared" si="32"/>
        <v>666</v>
      </c>
      <c r="B681" s="121">
        <f t="shared" ca="1" si="30"/>
        <v>-16.786880307347225</v>
      </c>
      <c r="C681" s="128">
        <f t="shared" ca="1" si="31"/>
        <v>0</v>
      </c>
    </row>
    <row r="682" spans="1:3" x14ac:dyDescent="0.25">
      <c r="A682" s="125">
        <f t="shared" si="32"/>
        <v>667</v>
      </c>
      <c r="B682" s="121">
        <f t="shared" ca="1" si="30"/>
        <v>37.58700342454091</v>
      </c>
      <c r="C682" s="128">
        <f t="shared" ca="1" si="31"/>
        <v>1</v>
      </c>
    </row>
    <row r="683" spans="1:3" x14ac:dyDescent="0.25">
      <c r="A683" s="125">
        <f t="shared" si="32"/>
        <v>668</v>
      </c>
      <c r="B683" s="121">
        <f t="shared" ca="1" si="30"/>
        <v>4.2308359832002331</v>
      </c>
      <c r="C683" s="128">
        <f t="shared" ca="1" si="31"/>
        <v>0</v>
      </c>
    </row>
    <row r="684" spans="1:3" x14ac:dyDescent="0.25">
      <c r="A684" s="125">
        <f t="shared" si="32"/>
        <v>669</v>
      </c>
      <c r="B684" s="121">
        <f t="shared" ca="1" si="30"/>
        <v>37.778368076018381</v>
      </c>
      <c r="C684" s="128">
        <f t="shared" ca="1" si="31"/>
        <v>1</v>
      </c>
    </row>
    <row r="685" spans="1:3" x14ac:dyDescent="0.25">
      <c r="A685" s="125">
        <f t="shared" si="32"/>
        <v>670</v>
      </c>
      <c r="B685" s="121">
        <f t="shared" ca="1" si="30"/>
        <v>24.939944959396847</v>
      </c>
      <c r="C685" s="128">
        <f t="shared" ca="1" si="31"/>
        <v>0</v>
      </c>
    </row>
    <row r="686" spans="1:3" x14ac:dyDescent="0.25">
      <c r="A686" s="125">
        <f t="shared" si="32"/>
        <v>671</v>
      </c>
      <c r="B686" s="121">
        <f t="shared" ca="1" si="30"/>
        <v>54.437329196006573</v>
      </c>
      <c r="C686" s="128">
        <f t="shared" ca="1" si="31"/>
        <v>1</v>
      </c>
    </row>
    <row r="687" spans="1:3" x14ac:dyDescent="0.25">
      <c r="A687" s="125">
        <f t="shared" si="32"/>
        <v>672</v>
      </c>
      <c r="B687" s="121">
        <f t="shared" ca="1" si="30"/>
        <v>5.8113700304977733</v>
      </c>
      <c r="C687" s="128">
        <f t="shared" ca="1" si="31"/>
        <v>0</v>
      </c>
    </row>
    <row r="688" spans="1:3" x14ac:dyDescent="0.25">
      <c r="A688" s="125">
        <f t="shared" si="32"/>
        <v>673</v>
      </c>
      <c r="B688" s="121">
        <f t="shared" ca="1" si="30"/>
        <v>38.757398068469719</v>
      </c>
      <c r="C688" s="128">
        <f t="shared" ca="1" si="31"/>
        <v>1</v>
      </c>
    </row>
    <row r="689" spans="1:3" x14ac:dyDescent="0.25">
      <c r="A689" s="125">
        <f t="shared" si="32"/>
        <v>674</v>
      </c>
      <c r="B689" s="121">
        <f t="shared" ca="1" si="30"/>
        <v>29.771997494421043</v>
      </c>
      <c r="C689" s="128">
        <f t="shared" ca="1" si="31"/>
        <v>1</v>
      </c>
    </row>
    <row r="690" spans="1:3" x14ac:dyDescent="0.25">
      <c r="A690" s="125">
        <f t="shared" si="32"/>
        <v>675</v>
      </c>
      <c r="B690" s="121">
        <f t="shared" ca="1" si="30"/>
        <v>57.455148666726693</v>
      </c>
      <c r="C690" s="128">
        <f t="shared" ca="1" si="31"/>
        <v>1</v>
      </c>
    </row>
    <row r="691" spans="1:3" x14ac:dyDescent="0.25">
      <c r="A691" s="125">
        <f t="shared" si="32"/>
        <v>676</v>
      </c>
      <c r="B691" s="121">
        <f t="shared" ca="1" si="30"/>
        <v>32.979953035716285</v>
      </c>
      <c r="C691" s="128">
        <f t="shared" ca="1" si="31"/>
        <v>1</v>
      </c>
    </row>
    <row r="692" spans="1:3" x14ac:dyDescent="0.25">
      <c r="A692" s="125">
        <f t="shared" si="32"/>
        <v>677</v>
      </c>
      <c r="B692" s="121">
        <f t="shared" ca="1" si="30"/>
        <v>43.641474556834652</v>
      </c>
      <c r="C692" s="128">
        <f t="shared" ca="1" si="31"/>
        <v>1</v>
      </c>
    </row>
    <row r="693" spans="1:3" x14ac:dyDescent="0.25">
      <c r="A693" s="125">
        <f t="shared" si="32"/>
        <v>678</v>
      </c>
      <c r="B693" s="121">
        <f t="shared" ca="1" si="30"/>
        <v>35.784207198899622</v>
      </c>
      <c r="C693" s="128">
        <f t="shared" ca="1" si="31"/>
        <v>1</v>
      </c>
    </row>
    <row r="694" spans="1:3" x14ac:dyDescent="0.25">
      <c r="A694" s="125">
        <f t="shared" si="32"/>
        <v>679</v>
      </c>
      <c r="B694" s="121">
        <f t="shared" ca="1" si="30"/>
        <v>16.976477865549231</v>
      </c>
      <c r="C694" s="128">
        <f t="shared" ca="1" si="31"/>
        <v>0</v>
      </c>
    </row>
    <row r="695" spans="1:3" x14ac:dyDescent="0.25">
      <c r="A695" s="125">
        <f t="shared" si="32"/>
        <v>680</v>
      </c>
      <c r="B695" s="121">
        <f t="shared" ca="1" si="30"/>
        <v>9.6206561410695812</v>
      </c>
      <c r="C695" s="128">
        <f t="shared" ca="1" si="31"/>
        <v>0</v>
      </c>
    </row>
    <row r="696" spans="1:3" x14ac:dyDescent="0.25">
      <c r="A696" s="125">
        <f t="shared" si="32"/>
        <v>681</v>
      </c>
      <c r="B696" s="121">
        <f t="shared" ca="1" si="30"/>
        <v>23.502742696524916</v>
      </c>
      <c r="C696" s="128">
        <f t="shared" ca="1" si="31"/>
        <v>0</v>
      </c>
    </row>
    <row r="697" spans="1:3" x14ac:dyDescent="0.25">
      <c r="A697" s="125">
        <f t="shared" si="32"/>
        <v>682</v>
      </c>
      <c r="B697" s="121">
        <f t="shared" ca="1" si="30"/>
        <v>-3.8245944027664578</v>
      </c>
      <c r="C697" s="128">
        <f t="shared" ca="1" si="31"/>
        <v>0</v>
      </c>
    </row>
    <row r="698" spans="1:3" x14ac:dyDescent="0.25">
      <c r="A698" s="125">
        <f t="shared" si="32"/>
        <v>683</v>
      </c>
      <c r="B698" s="121">
        <f t="shared" ca="1" si="30"/>
        <v>-1.5345475744770809</v>
      </c>
      <c r="C698" s="128">
        <f t="shared" ca="1" si="31"/>
        <v>0</v>
      </c>
    </row>
    <row r="699" spans="1:3" x14ac:dyDescent="0.25">
      <c r="A699" s="125">
        <f t="shared" si="32"/>
        <v>684</v>
      </c>
      <c r="B699" s="121">
        <f t="shared" ca="1" si="30"/>
        <v>61.340751261500913</v>
      </c>
      <c r="C699" s="128">
        <f t="shared" ca="1" si="31"/>
        <v>1</v>
      </c>
    </row>
    <row r="700" spans="1:3" x14ac:dyDescent="0.25">
      <c r="A700" s="125">
        <f t="shared" si="32"/>
        <v>685</v>
      </c>
      <c r="B700" s="121">
        <f t="shared" ca="1" si="30"/>
        <v>2.9922105375839223</v>
      </c>
      <c r="C700" s="128">
        <f t="shared" ca="1" si="31"/>
        <v>0</v>
      </c>
    </row>
    <row r="701" spans="1:3" x14ac:dyDescent="0.25">
      <c r="A701" s="125">
        <f t="shared" si="32"/>
        <v>686</v>
      </c>
      <c r="B701" s="121">
        <f t="shared" ca="1" si="30"/>
        <v>32.814308039783995</v>
      </c>
      <c r="C701" s="128">
        <f t="shared" ca="1" si="31"/>
        <v>1</v>
      </c>
    </row>
    <row r="702" spans="1:3" x14ac:dyDescent="0.25">
      <c r="A702" s="125">
        <f t="shared" si="32"/>
        <v>687</v>
      </c>
      <c r="B702" s="121">
        <f t="shared" ca="1" si="30"/>
        <v>22.786283306353184</v>
      </c>
      <c r="C702" s="128">
        <f t="shared" ca="1" si="31"/>
        <v>0</v>
      </c>
    </row>
    <row r="703" spans="1:3" x14ac:dyDescent="0.25">
      <c r="A703" s="125">
        <f t="shared" si="32"/>
        <v>688</v>
      </c>
      <c r="B703" s="121">
        <f t="shared" ca="1" si="30"/>
        <v>-5.2220707978226741</v>
      </c>
      <c r="C703" s="128">
        <f t="shared" ca="1" si="31"/>
        <v>0</v>
      </c>
    </row>
    <row r="704" spans="1:3" x14ac:dyDescent="0.25">
      <c r="A704" s="125">
        <f t="shared" si="32"/>
        <v>689</v>
      </c>
      <c r="B704" s="121">
        <f t="shared" ca="1" si="30"/>
        <v>36.141736516490994</v>
      </c>
      <c r="C704" s="128">
        <f t="shared" ca="1" si="31"/>
        <v>1</v>
      </c>
    </row>
    <row r="705" spans="1:3" x14ac:dyDescent="0.25">
      <c r="A705" s="125">
        <f t="shared" si="32"/>
        <v>690</v>
      </c>
      <c r="B705" s="121">
        <f t="shared" ca="1" si="30"/>
        <v>75.1879669764065</v>
      </c>
      <c r="C705" s="128">
        <f t="shared" ca="1" si="31"/>
        <v>1</v>
      </c>
    </row>
    <row r="706" spans="1:3" x14ac:dyDescent="0.25">
      <c r="A706" s="125">
        <f t="shared" si="32"/>
        <v>691</v>
      </c>
      <c r="B706" s="121">
        <f t="shared" ca="1" si="30"/>
        <v>7.1790703057654426</v>
      </c>
      <c r="C706" s="128">
        <f t="shared" ca="1" si="31"/>
        <v>0</v>
      </c>
    </row>
    <row r="707" spans="1:3" x14ac:dyDescent="0.25">
      <c r="A707" s="125">
        <f t="shared" si="32"/>
        <v>692</v>
      </c>
      <c r="B707" s="121">
        <f t="shared" ca="1" si="30"/>
        <v>31.156122476336677</v>
      </c>
      <c r="C707" s="128">
        <f t="shared" ca="1" si="31"/>
        <v>1</v>
      </c>
    </row>
    <row r="708" spans="1:3" x14ac:dyDescent="0.25">
      <c r="A708" s="125">
        <f t="shared" si="32"/>
        <v>693</v>
      </c>
      <c r="B708" s="121">
        <f t="shared" ca="1" si="30"/>
        <v>54.133148417328854</v>
      </c>
      <c r="C708" s="128">
        <f t="shared" ca="1" si="31"/>
        <v>1</v>
      </c>
    </row>
    <row r="709" spans="1:3" x14ac:dyDescent="0.25">
      <c r="A709" s="125">
        <f t="shared" si="32"/>
        <v>694</v>
      </c>
      <c r="B709" s="121">
        <f t="shared" ca="1" si="30"/>
        <v>2.5458980600829619</v>
      </c>
      <c r="C709" s="128">
        <f t="shared" ca="1" si="31"/>
        <v>0</v>
      </c>
    </row>
    <row r="710" spans="1:3" x14ac:dyDescent="0.25">
      <c r="A710" s="125">
        <f t="shared" si="32"/>
        <v>695</v>
      </c>
      <c r="B710" s="121">
        <f t="shared" ca="1" si="30"/>
        <v>35.788211822077884</v>
      </c>
      <c r="C710" s="128">
        <f t="shared" ca="1" si="31"/>
        <v>1</v>
      </c>
    </row>
    <row r="711" spans="1:3" x14ac:dyDescent="0.25">
      <c r="A711" s="125">
        <f t="shared" si="32"/>
        <v>696</v>
      </c>
      <c r="B711" s="121">
        <f t="shared" ca="1" si="30"/>
        <v>56.898667013532254</v>
      </c>
      <c r="C711" s="128">
        <f t="shared" ca="1" si="31"/>
        <v>1</v>
      </c>
    </row>
    <row r="712" spans="1:3" x14ac:dyDescent="0.25">
      <c r="A712" s="125">
        <f t="shared" si="32"/>
        <v>697</v>
      </c>
      <c r="B712" s="121">
        <f t="shared" ca="1" si="30"/>
        <v>66.278288917542525</v>
      </c>
      <c r="C712" s="128">
        <f t="shared" ca="1" si="31"/>
        <v>1</v>
      </c>
    </row>
    <row r="713" spans="1:3" x14ac:dyDescent="0.25">
      <c r="A713" s="125">
        <f t="shared" si="32"/>
        <v>698</v>
      </c>
      <c r="B713" s="121">
        <f t="shared" ca="1" si="30"/>
        <v>12.710783667477905</v>
      </c>
      <c r="C713" s="128">
        <f t="shared" ca="1" si="31"/>
        <v>0</v>
      </c>
    </row>
    <row r="714" spans="1:3" x14ac:dyDescent="0.25">
      <c r="A714" s="125">
        <f t="shared" si="32"/>
        <v>699</v>
      </c>
      <c r="B714" s="121">
        <f t="shared" ca="1" si="30"/>
        <v>65.193389794528798</v>
      </c>
      <c r="C714" s="128">
        <f t="shared" ca="1" si="31"/>
        <v>1</v>
      </c>
    </row>
    <row r="715" spans="1:3" x14ac:dyDescent="0.25">
      <c r="A715" s="125">
        <f t="shared" si="32"/>
        <v>700</v>
      </c>
      <c r="B715" s="121">
        <f t="shared" ca="1" si="30"/>
        <v>57.445124482933444</v>
      </c>
      <c r="C715" s="128">
        <f t="shared" ca="1" si="31"/>
        <v>1</v>
      </c>
    </row>
    <row r="716" spans="1:3" x14ac:dyDescent="0.25">
      <c r="A716" s="125">
        <f t="shared" si="32"/>
        <v>701</v>
      </c>
      <c r="B716" s="121">
        <f t="shared" ca="1" si="30"/>
        <v>37.83249731599097</v>
      </c>
      <c r="C716" s="128">
        <f t="shared" ca="1" si="31"/>
        <v>1</v>
      </c>
    </row>
    <row r="717" spans="1:3" x14ac:dyDescent="0.25">
      <c r="A717" s="125">
        <f t="shared" si="32"/>
        <v>702</v>
      </c>
      <c r="B717" s="121">
        <f t="shared" ca="1" si="30"/>
        <v>53.894085472494069</v>
      </c>
      <c r="C717" s="128">
        <f t="shared" ca="1" si="31"/>
        <v>1</v>
      </c>
    </row>
    <row r="718" spans="1:3" x14ac:dyDescent="0.25">
      <c r="A718" s="125">
        <f t="shared" si="32"/>
        <v>703</v>
      </c>
      <c r="B718" s="121">
        <f t="shared" ca="1" si="30"/>
        <v>20.284417830152933</v>
      </c>
      <c r="C718" s="128">
        <f t="shared" ca="1" si="31"/>
        <v>0</v>
      </c>
    </row>
    <row r="719" spans="1:3" x14ac:dyDescent="0.25">
      <c r="A719" s="125">
        <f t="shared" si="32"/>
        <v>704</v>
      </c>
      <c r="B719" s="121">
        <f t="shared" ca="1" si="30"/>
        <v>8.6242929049385992</v>
      </c>
      <c r="C719" s="128">
        <f t="shared" ca="1" si="31"/>
        <v>0</v>
      </c>
    </row>
    <row r="720" spans="1:3" x14ac:dyDescent="0.25">
      <c r="A720" s="125">
        <f t="shared" si="32"/>
        <v>705</v>
      </c>
      <c r="B720" s="121">
        <f t="shared" ca="1" si="30"/>
        <v>79.474651650055051</v>
      </c>
      <c r="C720" s="128">
        <f t="shared" ca="1" si="31"/>
        <v>1</v>
      </c>
    </row>
    <row r="721" spans="1:3" x14ac:dyDescent="0.25">
      <c r="A721" s="125">
        <f t="shared" si="32"/>
        <v>706</v>
      </c>
      <c r="B721" s="121">
        <f t="shared" ref="B721:B784" ca="1" si="33">_xlfn.NORM.INV(RAND(), $B$9, $B$10)</f>
        <v>23.857296435121217</v>
      </c>
      <c r="C721" s="128">
        <f t="shared" ref="C721:C784" ca="1" si="34">IF(B721 &gt;= $B$11, 1, 0)</f>
        <v>0</v>
      </c>
    </row>
    <row r="722" spans="1:3" x14ac:dyDescent="0.25">
      <c r="A722" s="125">
        <f t="shared" ref="A722:A785" si="35">+A721+1</f>
        <v>707</v>
      </c>
      <c r="B722" s="121">
        <f t="shared" ca="1" si="33"/>
        <v>96.543350595118497</v>
      </c>
      <c r="C722" s="128">
        <f t="shared" ca="1" si="34"/>
        <v>1</v>
      </c>
    </row>
    <row r="723" spans="1:3" x14ac:dyDescent="0.25">
      <c r="A723" s="125">
        <f t="shared" si="35"/>
        <v>708</v>
      </c>
      <c r="B723" s="121">
        <f t="shared" ca="1" si="33"/>
        <v>39.210177689977044</v>
      </c>
      <c r="C723" s="128">
        <f t="shared" ca="1" si="34"/>
        <v>1</v>
      </c>
    </row>
    <row r="724" spans="1:3" x14ac:dyDescent="0.25">
      <c r="A724" s="125">
        <f t="shared" si="35"/>
        <v>709</v>
      </c>
      <c r="B724" s="121">
        <f t="shared" ca="1" si="33"/>
        <v>25.363698054637496</v>
      </c>
      <c r="C724" s="128">
        <f t="shared" ca="1" si="34"/>
        <v>1</v>
      </c>
    </row>
    <row r="725" spans="1:3" x14ac:dyDescent="0.25">
      <c r="A725" s="125">
        <f t="shared" si="35"/>
        <v>710</v>
      </c>
      <c r="B725" s="121">
        <f t="shared" ca="1" si="33"/>
        <v>58.446000076531746</v>
      </c>
      <c r="C725" s="128">
        <f t="shared" ca="1" si="34"/>
        <v>1</v>
      </c>
    </row>
    <row r="726" spans="1:3" x14ac:dyDescent="0.25">
      <c r="A726" s="125">
        <f t="shared" si="35"/>
        <v>711</v>
      </c>
      <c r="B726" s="121">
        <f t="shared" ca="1" si="33"/>
        <v>8.7181269263352377</v>
      </c>
      <c r="C726" s="128">
        <f t="shared" ca="1" si="34"/>
        <v>0</v>
      </c>
    </row>
    <row r="727" spans="1:3" x14ac:dyDescent="0.25">
      <c r="A727" s="125">
        <f t="shared" si="35"/>
        <v>712</v>
      </c>
      <c r="B727" s="121">
        <f t="shared" ca="1" si="33"/>
        <v>59.630430214470074</v>
      </c>
      <c r="C727" s="128">
        <f t="shared" ca="1" si="34"/>
        <v>1</v>
      </c>
    </row>
    <row r="728" spans="1:3" x14ac:dyDescent="0.25">
      <c r="A728" s="125">
        <f t="shared" si="35"/>
        <v>713</v>
      </c>
      <c r="B728" s="121">
        <f t="shared" ca="1" si="33"/>
        <v>17.191072998694782</v>
      </c>
      <c r="C728" s="128">
        <f t="shared" ca="1" si="34"/>
        <v>0</v>
      </c>
    </row>
    <row r="729" spans="1:3" x14ac:dyDescent="0.25">
      <c r="A729" s="125">
        <f t="shared" si="35"/>
        <v>714</v>
      </c>
      <c r="B729" s="121">
        <f t="shared" ca="1" si="33"/>
        <v>67.295909770628782</v>
      </c>
      <c r="C729" s="128">
        <f t="shared" ca="1" si="34"/>
        <v>1</v>
      </c>
    </row>
    <row r="730" spans="1:3" x14ac:dyDescent="0.25">
      <c r="A730" s="125">
        <f t="shared" si="35"/>
        <v>715</v>
      </c>
      <c r="B730" s="121">
        <f t="shared" ca="1" si="33"/>
        <v>33.799656654580396</v>
      </c>
      <c r="C730" s="128">
        <f t="shared" ca="1" si="34"/>
        <v>1</v>
      </c>
    </row>
    <row r="731" spans="1:3" x14ac:dyDescent="0.25">
      <c r="A731" s="125">
        <f t="shared" si="35"/>
        <v>716</v>
      </c>
      <c r="B731" s="121">
        <f t="shared" ca="1" si="33"/>
        <v>36.630652252397084</v>
      </c>
      <c r="C731" s="128">
        <f t="shared" ca="1" si="34"/>
        <v>1</v>
      </c>
    </row>
    <row r="732" spans="1:3" x14ac:dyDescent="0.25">
      <c r="A732" s="125">
        <f t="shared" si="35"/>
        <v>717</v>
      </c>
      <c r="B732" s="121">
        <f t="shared" ca="1" si="33"/>
        <v>17.347667618890469</v>
      </c>
      <c r="C732" s="128">
        <f t="shared" ca="1" si="34"/>
        <v>0</v>
      </c>
    </row>
    <row r="733" spans="1:3" x14ac:dyDescent="0.25">
      <c r="A733" s="125">
        <f t="shared" si="35"/>
        <v>718</v>
      </c>
      <c r="B733" s="121">
        <f t="shared" ca="1" si="33"/>
        <v>22.11113665066074</v>
      </c>
      <c r="C733" s="128">
        <f t="shared" ca="1" si="34"/>
        <v>0</v>
      </c>
    </row>
    <row r="734" spans="1:3" x14ac:dyDescent="0.25">
      <c r="A734" s="125">
        <f t="shared" si="35"/>
        <v>719</v>
      </c>
      <c r="B734" s="121">
        <f t="shared" ca="1" si="33"/>
        <v>2.3184582536034526</v>
      </c>
      <c r="C734" s="128">
        <f t="shared" ca="1" si="34"/>
        <v>0</v>
      </c>
    </row>
    <row r="735" spans="1:3" x14ac:dyDescent="0.25">
      <c r="A735" s="125">
        <f t="shared" si="35"/>
        <v>720</v>
      </c>
      <c r="B735" s="121">
        <f t="shared" ca="1" si="33"/>
        <v>16.445071815859766</v>
      </c>
      <c r="C735" s="128">
        <f t="shared" ca="1" si="34"/>
        <v>0</v>
      </c>
    </row>
    <row r="736" spans="1:3" x14ac:dyDescent="0.25">
      <c r="A736" s="125">
        <f t="shared" si="35"/>
        <v>721</v>
      </c>
      <c r="B736" s="121">
        <f t="shared" ca="1" si="33"/>
        <v>34.333923006891823</v>
      </c>
      <c r="C736" s="128">
        <f t="shared" ca="1" si="34"/>
        <v>1</v>
      </c>
    </row>
    <row r="737" spans="1:3" x14ac:dyDescent="0.25">
      <c r="A737" s="125">
        <f t="shared" si="35"/>
        <v>722</v>
      </c>
      <c r="B737" s="121">
        <f t="shared" ca="1" si="33"/>
        <v>11.364131655203526</v>
      </c>
      <c r="C737" s="128">
        <f t="shared" ca="1" si="34"/>
        <v>0</v>
      </c>
    </row>
    <row r="738" spans="1:3" x14ac:dyDescent="0.25">
      <c r="A738" s="125">
        <f t="shared" si="35"/>
        <v>723</v>
      </c>
      <c r="B738" s="121">
        <f t="shared" ca="1" si="33"/>
        <v>69.030599657946766</v>
      </c>
      <c r="C738" s="128">
        <f t="shared" ca="1" si="34"/>
        <v>1</v>
      </c>
    </row>
    <row r="739" spans="1:3" x14ac:dyDescent="0.25">
      <c r="A739" s="125">
        <f t="shared" si="35"/>
        <v>724</v>
      </c>
      <c r="B739" s="121">
        <f t="shared" ca="1" si="33"/>
        <v>31.328358378516999</v>
      </c>
      <c r="C739" s="128">
        <f t="shared" ca="1" si="34"/>
        <v>1</v>
      </c>
    </row>
    <row r="740" spans="1:3" x14ac:dyDescent="0.25">
      <c r="A740" s="125">
        <f t="shared" si="35"/>
        <v>725</v>
      </c>
      <c r="B740" s="121">
        <f t="shared" ca="1" si="33"/>
        <v>-42.104616264360629</v>
      </c>
      <c r="C740" s="128">
        <f t="shared" ca="1" si="34"/>
        <v>0</v>
      </c>
    </row>
    <row r="741" spans="1:3" x14ac:dyDescent="0.25">
      <c r="A741" s="125">
        <f t="shared" si="35"/>
        <v>726</v>
      </c>
      <c r="B741" s="121">
        <f t="shared" ca="1" si="33"/>
        <v>97.081307625570389</v>
      </c>
      <c r="C741" s="128">
        <f t="shared" ca="1" si="34"/>
        <v>1</v>
      </c>
    </row>
    <row r="742" spans="1:3" x14ac:dyDescent="0.25">
      <c r="A742" s="125">
        <f t="shared" si="35"/>
        <v>727</v>
      </c>
      <c r="B742" s="121">
        <f t="shared" ca="1" si="33"/>
        <v>32.096881359200665</v>
      </c>
      <c r="C742" s="128">
        <f t="shared" ca="1" si="34"/>
        <v>1</v>
      </c>
    </row>
    <row r="743" spans="1:3" x14ac:dyDescent="0.25">
      <c r="A743" s="125">
        <f t="shared" si="35"/>
        <v>728</v>
      </c>
      <c r="B743" s="121">
        <f t="shared" ca="1" si="33"/>
        <v>30.193861780096366</v>
      </c>
      <c r="C743" s="128">
        <f t="shared" ca="1" si="34"/>
        <v>1</v>
      </c>
    </row>
    <row r="744" spans="1:3" x14ac:dyDescent="0.25">
      <c r="A744" s="125">
        <f t="shared" si="35"/>
        <v>729</v>
      </c>
      <c r="B744" s="121">
        <f t="shared" ca="1" si="33"/>
        <v>42.196005329560549</v>
      </c>
      <c r="C744" s="128">
        <f t="shared" ca="1" si="34"/>
        <v>1</v>
      </c>
    </row>
    <row r="745" spans="1:3" x14ac:dyDescent="0.25">
      <c r="A745" s="125">
        <f t="shared" si="35"/>
        <v>730</v>
      </c>
      <c r="B745" s="121">
        <f t="shared" ca="1" si="33"/>
        <v>-3.4894856417846185</v>
      </c>
      <c r="C745" s="128">
        <f t="shared" ca="1" si="34"/>
        <v>0</v>
      </c>
    </row>
    <row r="746" spans="1:3" x14ac:dyDescent="0.25">
      <c r="A746" s="125">
        <f t="shared" si="35"/>
        <v>731</v>
      </c>
      <c r="B746" s="121">
        <f t="shared" ca="1" si="33"/>
        <v>-12.522759752221845</v>
      </c>
      <c r="C746" s="128">
        <f t="shared" ca="1" si="34"/>
        <v>0</v>
      </c>
    </row>
    <row r="747" spans="1:3" x14ac:dyDescent="0.25">
      <c r="A747" s="125">
        <f t="shared" si="35"/>
        <v>732</v>
      </c>
      <c r="B747" s="121">
        <f t="shared" ca="1" si="33"/>
        <v>59.4479112637691</v>
      </c>
      <c r="C747" s="128">
        <f t="shared" ca="1" si="34"/>
        <v>1</v>
      </c>
    </row>
    <row r="748" spans="1:3" x14ac:dyDescent="0.25">
      <c r="A748" s="125">
        <f t="shared" si="35"/>
        <v>733</v>
      </c>
      <c r="B748" s="121">
        <f t="shared" ca="1" si="33"/>
        <v>18.780032578634607</v>
      </c>
      <c r="C748" s="128">
        <f t="shared" ca="1" si="34"/>
        <v>0</v>
      </c>
    </row>
    <row r="749" spans="1:3" x14ac:dyDescent="0.25">
      <c r="A749" s="125">
        <f t="shared" si="35"/>
        <v>734</v>
      </c>
      <c r="B749" s="121">
        <f t="shared" ca="1" si="33"/>
        <v>55.770793082143861</v>
      </c>
      <c r="C749" s="128">
        <f t="shared" ca="1" si="34"/>
        <v>1</v>
      </c>
    </row>
    <row r="750" spans="1:3" x14ac:dyDescent="0.25">
      <c r="A750" s="125">
        <f t="shared" si="35"/>
        <v>735</v>
      </c>
      <c r="B750" s="121">
        <f t="shared" ca="1" si="33"/>
        <v>31.917227035738026</v>
      </c>
      <c r="C750" s="128">
        <f t="shared" ca="1" si="34"/>
        <v>1</v>
      </c>
    </row>
    <row r="751" spans="1:3" x14ac:dyDescent="0.25">
      <c r="A751" s="125">
        <f t="shared" si="35"/>
        <v>736</v>
      </c>
      <c r="B751" s="121">
        <f t="shared" ca="1" si="33"/>
        <v>5.6337321336783504</v>
      </c>
      <c r="C751" s="128">
        <f t="shared" ca="1" si="34"/>
        <v>0</v>
      </c>
    </row>
    <row r="752" spans="1:3" x14ac:dyDescent="0.25">
      <c r="A752" s="125">
        <f t="shared" si="35"/>
        <v>737</v>
      </c>
      <c r="B752" s="121">
        <f t="shared" ca="1" si="33"/>
        <v>7.7872914385864824</v>
      </c>
      <c r="C752" s="128">
        <f t="shared" ca="1" si="34"/>
        <v>0</v>
      </c>
    </row>
    <row r="753" spans="1:3" x14ac:dyDescent="0.25">
      <c r="A753" s="125">
        <f t="shared" si="35"/>
        <v>738</v>
      </c>
      <c r="B753" s="121">
        <f t="shared" ca="1" si="33"/>
        <v>50.779060600800079</v>
      </c>
      <c r="C753" s="128">
        <f t="shared" ca="1" si="34"/>
        <v>1</v>
      </c>
    </row>
    <row r="754" spans="1:3" x14ac:dyDescent="0.25">
      <c r="A754" s="125">
        <f t="shared" si="35"/>
        <v>739</v>
      </c>
      <c r="B754" s="121">
        <f t="shared" ca="1" si="33"/>
        <v>25.73529744143875</v>
      </c>
      <c r="C754" s="128">
        <f t="shared" ca="1" si="34"/>
        <v>1</v>
      </c>
    </row>
    <row r="755" spans="1:3" x14ac:dyDescent="0.25">
      <c r="A755" s="125">
        <f t="shared" si="35"/>
        <v>740</v>
      </c>
      <c r="B755" s="121">
        <f t="shared" ca="1" si="33"/>
        <v>37.353367151209142</v>
      </c>
      <c r="C755" s="128">
        <f t="shared" ca="1" si="34"/>
        <v>1</v>
      </c>
    </row>
    <row r="756" spans="1:3" x14ac:dyDescent="0.25">
      <c r="A756" s="125">
        <f t="shared" si="35"/>
        <v>741</v>
      </c>
      <c r="B756" s="121">
        <f t="shared" ca="1" si="33"/>
        <v>8.9527552306111318</v>
      </c>
      <c r="C756" s="128">
        <f t="shared" ca="1" si="34"/>
        <v>0</v>
      </c>
    </row>
    <row r="757" spans="1:3" x14ac:dyDescent="0.25">
      <c r="A757" s="125">
        <f t="shared" si="35"/>
        <v>742</v>
      </c>
      <c r="B757" s="121">
        <f t="shared" ca="1" si="33"/>
        <v>54.107619414294192</v>
      </c>
      <c r="C757" s="128">
        <f t="shared" ca="1" si="34"/>
        <v>1</v>
      </c>
    </row>
    <row r="758" spans="1:3" x14ac:dyDescent="0.25">
      <c r="A758" s="125">
        <f t="shared" si="35"/>
        <v>743</v>
      </c>
      <c r="B758" s="121">
        <f t="shared" ca="1" si="33"/>
        <v>79.824019505956471</v>
      </c>
      <c r="C758" s="128">
        <f t="shared" ca="1" si="34"/>
        <v>1</v>
      </c>
    </row>
    <row r="759" spans="1:3" x14ac:dyDescent="0.25">
      <c r="A759" s="125">
        <f t="shared" si="35"/>
        <v>744</v>
      </c>
      <c r="B759" s="121">
        <f t="shared" ca="1" si="33"/>
        <v>54.966923431148956</v>
      </c>
      <c r="C759" s="128">
        <f t="shared" ca="1" si="34"/>
        <v>1</v>
      </c>
    </row>
    <row r="760" spans="1:3" x14ac:dyDescent="0.25">
      <c r="A760" s="125">
        <f t="shared" si="35"/>
        <v>745</v>
      </c>
      <c r="B760" s="121">
        <f t="shared" ca="1" si="33"/>
        <v>40.769674066746326</v>
      </c>
      <c r="C760" s="128">
        <f t="shared" ca="1" si="34"/>
        <v>1</v>
      </c>
    </row>
    <row r="761" spans="1:3" x14ac:dyDescent="0.25">
      <c r="A761" s="125">
        <f t="shared" si="35"/>
        <v>746</v>
      </c>
      <c r="B761" s="121">
        <f t="shared" ca="1" si="33"/>
        <v>16.528348702391895</v>
      </c>
      <c r="C761" s="128">
        <f t="shared" ca="1" si="34"/>
        <v>0</v>
      </c>
    </row>
    <row r="762" spans="1:3" x14ac:dyDescent="0.25">
      <c r="A762" s="125">
        <f t="shared" si="35"/>
        <v>747</v>
      </c>
      <c r="B762" s="121">
        <f t="shared" ca="1" si="33"/>
        <v>-10.756369727569066</v>
      </c>
      <c r="C762" s="128">
        <f t="shared" ca="1" si="34"/>
        <v>0</v>
      </c>
    </row>
    <row r="763" spans="1:3" x14ac:dyDescent="0.25">
      <c r="A763" s="125">
        <f t="shared" si="35"/>
        <v>748</v>
      </c>
      <c r="B763" s="121">
        <f t="shared" ca="1" si="33"/>
        <v>12.933388886672077</v>
      </c>
      <c r="C763" s="128">
        <f t="shared" ca="1" si="34"/>
        <v>0</v>
      </c>
    </row>
    <row r="764" spans="1:3" x14ac:dyDescent="0.25">
      <c r="A764" s="125">
        <f t="shared" si="35"/>
        <v>749</v>
      </c>
      <c r="B764" s="121">
        <f t="shared" ca="1" si="33"/>
        <v>34.596662679400985</v>
      </c>
      <c r="C764" s="128">
        <f t="shared" ca="1" si="34"/>
        <v>1</v>
      </c>
    </row>
    <row r="765" spans="1:3" x14ac:dyDescent="0.25">
      <c r="A765" s="125">
        <f t="shared" si="35"/>
        <v>750</v>
      </c>
      <c r="B765" s="121">
        <f t="shared" ca="1" si="33"/>
        <v>47.587700526666154</v>
      </c>
      <c r="C765" s="128">
        <f t="shared" ca="1" si="34"/>
        <v>1</v>
      </c>
    </row>
    <row r="766" spans="1:3" x14ac:dyDescent="0.25">
      <c r="A766" s="125">
        <f t="shared" si="35"/>
        <v>751</v>
      </c>
      <c r="B766" s="121">
        <f t="shared" ca="1" si="33"/>
        <v>40.104955660525121</v>
      </c>
      <c r="C766" s="128">
        <f t="shared" ca="1" si="34"/>
        <v>1</v>
      </c>
    </row>
    <row r="767" spans="1:3" x14ac:dyDescent="0.25">
      <c r="A767" s="125">
        <f t="shared" si="35"/>
        <v>752</v>
      </c>
      <c r="B767" s="121">
        <f t="shared" ca="1" si="33"/>
        <v>60.112834066306348</v>
      </c>
      <c r="C767" s="128">
        <f t="shared" ca="1" si="34"/>
        <v>1</v>
      </c>
    </row>
    <row r="768" spans="1:3" x14ac:dyDescent="0.25">
      <c r="A768" s="125">
        <f t="shared" si="35"/>
        <v>753</v>
      </c>
      <c r="B768" s="121">
        <f t="shared" ca="1" si="33"/>
        <v>10.411684799597641</v>
      </c>
      <c r="C768" s="128">
        <f t="shared" ca="1" si="34"/>
        <v>0</v>
      </c>
    </row>
    <row r="769" spans="1:3" x14ac:dyDescent="0.25">
      <c r="A769" s="125">
        <f t="shared" si="35"/>
        <v>754</v>
      </c>
      <c r="B769" s="121">
        <f t="shared" ca="1" si="33"/>
        <v>22.788201626863966</v>
      </c>
      <c r="C769" s="128">
        <f t="shared" ca="1" si="34"/>
        <v>0</v>
      </c>
    </row>
    <row r="770" spans="1:3" x14ac:dyDescent="0.25">
      <c r="A770" s="125">
        <f t="shared" si="35"/>
        <v>755</v>
      </c>
      <c r="B770" s="121">
        <f t="shared" ca="1" si="33"/>
        <v>20.440762379228552</v>
      </c>
      <c r="C770" s="128">
        <f t="shared" ca="1" si="34"/>
        <v>0</v>
      </c>
    </row>
    <row r="771" spans="1:3" x14ac:dyDescent="0.25">
      <c r="A771" s="125">
        <f t="shared" si="35"/>
        <v>756</v>
      </c>
      <c r="B771" s="121">
        <f t="shared" ca="1" si="33"/>
        <v>20.762443913068608</v>
      </c>
      <c r="C771" s="128">
        <f t="shared" ca="1" si="34"/>
        <v>0</v>
      </c>
    </row>
    <row r="772" spans="1:3" x14ac:dyDescent="0.25">
      <c r="A772" s="125">
        <f t="shared" si="35"/>
        <v>757</v>
      </c>
      <c r="B772" s="121">
        <f t="shared" ca="1" si="33"/>
        <v>56.36923190376659</v>
      </c>
      <c r="C772" s="128">
        <f t="shared" ca="1" si="34"/>
        <v>1</v>
      </c>
    </row>
    <row r="773" spans="1:3" x14ac:dyDescent="0.25">
      <c r="A773" s="125">
        <f t="shared" si="35"/>
        <v>758</v>
      </c>
      <c r="B773" s="121">
        <f t="shared" ca="1" si="33"/>
        <v>64.756611641416796</v>
      </c>
      <c r="C773" s="128">
        <f t="shared" ca="1" si="34"/>
        <v>1</v>
      </c>
    </row>
    <row r="774" spans="1:3" x14ac:dyDescent="0.25">
      <c r="A774" s="125">
        <f t="shared" si="35"/>
        <v>759</v>
      </c>
      <c r="B774" s="121">
        <f t="shared" ca="1" si="33"/>
        <v>4.0410556538639533</v>
      </c>
      <c r="C774" s="128">
        <f t="shared" ca="1" si="34"/>
        <v>0</v>
      </c>
    </row>
    <row r="775" spans="1:3" x14ac:dyDescent="0.25">
      <c r="A775" s="125">
        <f t="shared" si="35"/>
        <v>760</v>
      </c>
      <c r="B775" s="121">
        <f t="shared" ca="1" si="33"/>
        <v>65.738582246234728</v>
      </c>
      <c r="C775" s="128">
        <f t="shared" ca="1" si="34"/>
        <v>1</v>
      </c>
    </row>
    <row r="776" spans="1:3" x14ac:dyDescent="0.25">
      <c r="A776" s="125">
        <f t="shared" si="35"/>
        <v>761</v>
      </c>
      <c r="B776" s="121">
        <f t="shared" ca="1" si="33"/>
        <v>49.615872040304538</v>
      </c>
      <c r="C776" s="128">
        <f t="shared" ca="1" si="34"/>
        <v>1</v>
      </c>
    </row>
    <row r="777" spans="1:3" x14ac:dyDescent="0.25">
      <c r="A777" s="125">
        <f t="shared" si="35"/>
        <v>762</v>
      </c>
      <c r="B777" s="121">
        <f t="shared" ca="1" si="33"/>
        <v>55.795415750350784</v>
      </c>
      <c r="C777" s="128">
        <f t="shared" ca="1" si="34"/>
        <v>1</v>
      </c>
    </row>
    <row r="778" spans="1:3" x14ac:dyDescent="0.25">
      <c r="A778" s="125">
        <f t="shared" si="35"/>
        <v>763</v>
      </c>
      <c r="B778" s="121">
        <f t="shared" ca="1" si="33"/>
        <v>69.868082683072657</v>
      </c>
      <c r="C778" s="128">
        <f t="shared" ca="1" si="34"/>
        <v>1</v>
      </c>
    </row>
    <row r="779" spans="1:3" x14ac:dyDescent="0.25">
      <c r="A779" s="125">
        <f t="shared" si="35"/>
        <v>764</v>
      </c>
      <c r="B779" s="121">
        <f t="shared" ca="1" si="33"/>
        <v>12.44024964907144</v>
      </c>
      <c r="C779" s="128">
        <f t="shared" ca="1" si="34"/>
        <v>0</v>
      </c>
    </row>
    <row r="780" spans="1:3" x14ac:dyDescent="0.25">
      <c r="A780" s="125">
        <f t="shared" si="35"/>
        <v>765</v>
      </c>
      <c r="B780" s="121">
        <f t="shared" ca="1" si="33"/>
        <v>0.3847233579127689</v>
      </c>
      <c r="C780" s="128">
        <f t="shared" ca="1" si="34"/>
        <v>0</v>
      </c>
    </row>
    <row r="781" spans="1:3" x14ac:dyDescent="0.25">
      <c r="A781" s="125">
        <f t="shared" si="35"/>
        <v>766</v>
      </c>
      <c r="B781" s="121">
        <f t="shared" ca="1" si="33"/>
        <v>54.172492091454188</v>
      </c>
      <c r="C781" s="128">
        <f t="shared" ca="1" si="34"/>
        <v>1</v>
      </c>
    </row>
    <row r="782" spans="1:3" x14ac:dyDescent="0.25">
      <c r="A782" s="125">
        <f t="shared" si="35"/>
        <v>767</v>
      </c>
      <c r="B782" s="121">
        <f t="shared" ca="1" si="33"/>
        <v>1.9665983180957554</v>
      </c>
      <c r="C782" s="128">
        <f t="shared" ca="1" si="34"/>
        <v>0</v>
      </c>
    </row>
    <row r="783" spans="1:3" x14ac:dyDescent="0.25">
      <c r="A783" s="125">
        <f t="shared" si="35"/>
        <v>768</v>
      </c>
      <c r="B783" s="121">
        <f t="shared" ca="1" si="33"/>
        <v>79.677174776403319</v>
      </c>
      <c r="C783" s="128">
        <f t="shared" ca="1" si="34"/>
        <v>1</v>
      </c>
    </row>
    <row r="784" spans="1:3" x14ac:dyDescent="0.25">
      <c r="A784" s="125">
        <f t="shared" si="35"/>
        <v>769</v>
      </c>
      <c r="B784" s="121">
        <f t="shared" ca="1" si="33"/>
        <v>16.278024265410263</v>
      </c>
      <c r="C784" s="128">
        <f t="shared" ca="1" si="34"/>
        <v>0</v>
      </c>
    </row>
    <row r="785" spans="1:3" x14ac:dyDescent="0.25">
      <c r="A785" s="125">
        <f t="shared" si="35"/>
        <v>770</v>
      </c>
      <c r="B785" s="121">
        <f t="shared" ref="B785:B848" ca="1" si="36">_xlfn.NORM.INV(RAND(), $B$9, $B$10)</f>
        <v>43.187632835301024</v>
      </c>
      <c r="C785" s="128">
        <f t="shared" ref="C785:C848" ca="1" si="37">IF(B785 &gt;= $B$11, 1, 0)</f>
        <v>1</v>
      </c>
    </row>
    <row r="786" spans="1:3" x14ac:dyDescent="0.25">
      <c r="A786" s="125">
        <f t="shared" ref="A786:A849" si="38">+A785+1</f>
        <v>771</v>
      </c>
      <c r="B786" s="121">
        <f t="shared" ca="1" si="36"/>
        <v>41.8897484705113</v>
      </c>
      <c r="C786" s="128">
        <f t="shared" ca="1" si="37"/>
        <v>1</v>
      </c>
    </row>
    <row r="787" spans="1:3" x14ac:dyDescent="0.25">
      <c r="A787" s="125">
        <f t="shared" si="38"/>
        <v>772</v>
      </c>
      <c r="B787" s="121">
        <f t="shared" ca="1" si="36"/>
        <v>10.158644062464379</v>
      </c>
      <c r="C787" s="128">
        <f t="shared" ca="1" si="37"/>
        <v>0</v>
      </c>
    </row>
    <row r="788" spans="1:3" x14ac:dyDescent="0.25">
      <c r="A788" s="125">
        <f t="shared" si="38"/>
        <v>773</v>
      </c>
      <c r="B788" s="121">
        <f t="shared" ca="1" si="36"/>
        <v>62.419695397904064</v>
      </c>
      <c r="C788" s="128">
        <f t="shared" ca="1" si="37"/>
        <v>1</v>
      </c>
    </row>
    <row r="789" spans="1:3" x14ac:dyDescent="0.25">
      <c r="A789" s="125">
        <f t="shared" si="38"/>
        <v>774</v>
      </c>
      <c r="B789" s="121">
        <f t="shared" ca="1" si="36"/>
        <v>23.177762451518753</v>
      </c>
      <c r="C789" s="128">
        <f t="shared" ca="1" si="37"/>
        <v>0</v>
      </c>
    </row>
    <row r="790" spans="1:3" x14ac:dyDescent="0.25">
      <c r="A790" s="125">
        <f t="shared" si="38"/>
        <v>775</v>
      </c>
      <c r="B790" s="121">
        <f t="shared" ca="1" si="36"/>
        <v>37.988194984403329</v>
      </c>
      <c r="C790" s="128">
        <f t="shared" ca="1" si="37"/>
        <v>1</v>
      </c>
    </row>
    <row r="791" spans="1:3" x14ac:dyDescent="0.25">
      <c r="A791" s="125">
        <f t="shared" si="38"/>
        <v>776</v>
      </c>
      <c r="B791" s="121">
        <f t="shared" ca="1" si="36"/>
        <v>-28.380500977538659</v>
      </c>
      <c r="C791" s="128">
        <f t="shared" ca="1" si="37"/>
        <v>0</v>
      </c>
    </row>
    <row r="792" spans="1:3" x14ac:dyDescent="0.25">
      <c r="A792" s="125">
        <f t="shared" si="38"/>
        <v>777</v>
      </c>
      <c r="B792" s="121">
        <f t="shared" ca="1" si="36"/>
        <v>20.611793167368759</v>
      </c>
      <c r="C792" s="128">
        <f t="shared" ca="1" si="37"/>
        <v>0</v>
      </c>
    </row>
    <row r="793" spans="1:3" x14ac:dyDescent="0.25">
      <c r="A793" s="125">
        <f t="shared" si="38"/>
        <v>778</v>
      </c>
      <c r="B793" s="121">
        <f t="shared" ca="1" si="36"/>
        <v>-18.321775146864979</v>
      </c>
      <c r="C793" s="128">
        <f t="shared" ca="1" si="37"/>
        <v>0</v>
      </c>
    </row>
    <row r="794" spans="1:3" x14ac:dyDescent="0.25">
      <c r="A794" s="125">
        <f t="shared" si="38"/>
        <v>779</v>
      </c>
      <c r="B794" s="121">
        <f t="shared" ca="1" si="36"/>
        <v>42.0269810430379</v>
      </c>
      <c r="C794" s="128">
        <f t="shared" ca="1" si="37"/>
        <v>1</v>
      </c>
    </row>
    <row r="795" spans="1:3" x14ac:dyDescent="0.25">
      <c r="A795" s="125">
        <f t="shared" si="38"/>
        <v>780</v>
      </c>
      <c r="B795" s="121">
        <f t="shared" ca="1" si="36"/>
        <v>-14.827364062718132</v>
      </c>
      <c r="C795" s="128">
        <f t="shared" ca="1" si="37"/>
        <v>0</v>
      </c>
    </row>
    <row r="796" spans="1:3" x14ac:dyDescent="0.25">
      <c r="A796" s="125">
        <f t="shared" si="38"/>
        <v>781</v>
      </c>
      <c r="B796" s="121">
        <f t="shared" ca="1" si="36"/>
        <v>1.3092964991054359</v>
      </c>
      <c r="C796" s="128">
        <f t="shared" ca="1" si="37"/>
        <v>0</v>
      </c>
    </row>
    <row r="797" spans="1:3" x14ac:dyDescent="0.25">
      <c r="A797" s="125">
        <f t="shared" si="38"/>
        <v>782</v>
      </c>
      <c r="B797" s="121">
        <f t="shared" ca="1" si="36"/>
        <v>63.040142033548278</v>
      </c>
      <c r="C797" s="128">
        <f t="shared" ca="1" si="37"/>
        <v>1</v>
      </c>
    </row>
    <row r="798" spans="1:3" x14ac:dyDescent="0.25">
      <c r="A798" s="125">
        <f t="shared" si="38"/>
        <v>783</v>
      </c>
      <c r="B798" s="121">
        <f t="shared" ca="1" si="36"/>
        <v>-3.5682847449007795</v>
      </c>
      <c r="C798" s="128">
        <f t="shared" ca="1" si="37"/>
        <v>0</v>
      </c>
    </row>
    <row r="799" spans="1:3" x14ac:dyDescent="0.25">
      <c r="A799" s="125">
        <f t="shared" si="38"/>
        <v>784</v>
      </c>
      <c r="B799" s="121">
        <f t="shared" ca="1" si="36"/>
        <v>58.207910209257911</v>
      </c>
      <c r="C799" s="128">
        <f t="shared" ca="1" si="37"/>
        <v>1</v>
      </c>
    </row>
    <row r="800" spans="1:3" x14ac:dyDescent="0.25">
      <c r="A800" s="125">
        <f t="shared" si="38"/>
        <v>785</v>
      </c>
      <c r="B800" s="121">
        <f t="shared" ca="1" si="36"/>
        <v>5.2812504641910358</v>
      </c>
      <c r="C800" s="128">
        <f t="shared" ca="1" si="37"/>
        <v>0</v>
      </c>
    </row>
    <row r="801" spans="1:3" x14ac:dyDescent="0.25">
      <c r="A801" s="125">
        <f t="shared" si="38"/>
        <v>786</v>
      </c>
      <c r="B801" s="121">
        <f t="shared" ca="1" si="36"/>
        <v>19.573627531742304</v>
      </c>
      <c r="C801" s="128">
        <f t="shared" ca="1" si="37"/>
        <v>0</v>
      </c>
    </row>
    <row r="802" spans="1:3" x14ac:dyDescent="0.25">
      <c r="A802" s="125">
        <f t="shared" si="38"/>
        <v>787</v>
      </c>
      <c r="B802" s="121">
        <f t="shared" ca="1" si="36"/>
        <v>26.057237547963918</v>
      </c>
      <c r="C802" s="128">
        <f t="shared" ca="1" si="37"/>
        <v>1</v>
      </c>
    </row>
    <row r="803" spans="1:3" x14ac:dyDescent="0.25">
      <c r="A803" s="125">
        <f t="shared" si="38"/>
        <v>788</v>
      </c>
      <c r="B803" s="121">
        <f t="shared" ca="1" si="36"/>
        <v>47.743325164467471</v>
      </c>
      <c r="C803" s="128">
        <f t="shared" ca="1" si="37"/>
        <v>1</v>
      </c>
    </row>
    <row r="804" spans="1:3" x14ac:dyDescent="0.25">
      <c r="A804" s="125">
        <f t="shared" si="38"/>
        <v>789</v>
      </c>
      <c r="B804" s="121">
        <f t="shared" ca="1" si="36"/>
        <v>-1.2290950326347456</v>
      </c>
      <c r="C804" s="128">
        <f t="shared" ca="1" si="37"/>
        <v>0</v>
      </c>
    </row>
    <row r="805" spans="1:3" x14ac:dyDescent="0.25">
      <c r="A805" s="125">
        <f t="shared" si="38"/>
        <v>790</v>
      </c>
      <c r="B805" s="121">
        <f t="shared" ca="1" si="36"/>
        <v>74.021405658351739</v>
      </c>
      <c r="C805" s="128">
        <f t="shared" ca="1" si="37"/>
        <v>1</v>
      </c>
    </row>
    <row r="806" spans="1:3" x14ac:dyDescent="0.25">
      <c r="A806" s="125">
        <f t="shared" si="38"/>
        <v>791</v>
      </c>
      <c r="B806" s="121">
        <f t="shared" ca="1" si="36"/>
        <v>2.287123260891569</v>
      </c>
      <c r="C806" s="128">
        <f t="shared" ca="1" si="37"/>
        <v>0</v>
      </c>
    </row>
    <row r="807" spans="1:3" x14ac:dyDescent="0.25">
      <c r="A807" s="125">
        <f t="shared" si="38"/>
        <v>792</v>
      </c>
      <c r="B807" s="121">
        <f t="shared" ca="1" si="36"/>
        <v>58.768457389003736</v>
      </c>
      <c r="C807" s="128">
        <f t="shared" ca="1" si="37"/>
        <v>1</v>
      </c>
    </row>
    <row r="808" spans="1:3" x14ac:dyDescent="0.25">
      <c r="A808" s="125">
        <f t="shared" si="38"/>
        <v>793</v>
      </c>
      <c r="B808" s="121">
        <f t="shared" ca="1" si="36"/>
        <v>-10.859209204504538</v>
      </c>
      <c r="C808" s="128">
        <f t="shared" ca="1" si="37"/>
        <v>0</v>
      </c>
    </row>
    <row r="809" spans="1:3" x14ac:dyDescent="0.25">
      <c r="A809" s="125">
        <f t="shared" si="38"/>
        <v>794</v>
      </c>
      <c r="B809" s="121">
        <f t="shared" ca="1" si="36"/>
        <v>28.902901765596003</v>
      </c>
      <c r="C809" s="128">
        <f t="shared" ca="1" si="37"/>
        <v>1</v>
      </c>
    </row>
    <row r="810" spans="1:3" x14ac:dyDescent="0.25">
      <c r="A810" s="125">
        <f t="shared" si="38"/>
        <v>795</v>
      </c>
      <c r="B810" s="121">
        <f t="shared" ca="1" si="36"/>
        <v>36.56738898044938</v>
      </c>
      <c r="C810" s="128">
        <f t="shared" ca="1" si="37"/>
        <v>1</v>
      </c>
    </row>
    <row r="811" spans="1:3" x14ac:dyDescent="0.25">
      <c r="A811" s="125">
        <f t="shared" si="38"/>
        <v>796</v>
      </c>
      <c r="B811" s="121">
        <f t="shared" ca="1" si="36"/>
        <v>25.557380118096177</v>
      </c>
      <c r="C811" s="128">
        <f t="shared" ca="1" si="37"/>
        <v>1</v>
      </c>
    </row>
    <row r="812" spans="1:3" x14ac:dyDescent="0.25">
      <c r="A812" s="125">
        <f t="shared" si="38"/>
        <v>797</v>
      </c>
      <c r="B812" s="121">
        <f t="shared" ca="1" si="36"/>
        <v>48.450487001703593</v>
      </c>
      <c r="C812" s="128">
        <f t="shared" ca="1" si="37"/>
        <v>1</v>
      </c>
    </row>
    <row r="813" spans="1:3" x14ac:dyDescent="0.25">
      <c r="A813" s="125">
        <f t="shared" si="38"/>
        <v>798</v>
      </c>
      <c r="B813" s="121">
        <f t="shared" ca="1" si="36"/>
        <v>-14.563436854355537</v>
      </c>
      <c r="C813" s="128">
        <f t="shared" ca="1" si="37"/>
        <v>0</v>
      </c>
    </row>
    <row r="814" spans="1:3" x14ac:dyDescent="0.25">
      <c r="A814" s="125">
        <f t="shared" si="38"/>
        <v>799</v>
      </c>
      <c r="B814" s="121">
        <f t="shared" ca="1" si="36"/>
        <v>52.375570927335488</v>
      </c>
      <c r="C814" s="128">
        <f t="shared" ca="1" si="37"/>
        <v>1</v>
      </c>
    </row>
    <row r="815" spans="1:3" x14ac:dyDescent="0.25">
      <c r="A815" s="125">
        <f t="shared" si="38"/>
        <v>800</v>
      </c>
      <c r="B815" s="121">
        <f t="shared" ca="1" si="36"/>
        <v>27.681384392981343</v>
      </c>
      <c r="C815" s="128">
        <f t="shared" ca="1" si="37"/>
        <v>1</v>
      </c>
    </row>
    <row r="816" spans="1:3" x14ac:dyDescent="0.25">
      <c r="A816" s="125">
        <f t="shared" si="38"/>
        <v>801</v>
      </c>
      <c r="B816" s="121">
        <f t="shared" ca="1" si="36"/>
        <v>21.114339037407742</v>
      </c>
      <c r="C816" s="128">
        <f t="shared" ca="1" si="37"/>
        <v>0</v>
      </c>
    </row>
    <row r="817" spans="1:3" x14ac:dyDescent="0.25">
      <c r="A817" s="125">
        <f t="shared" si="38"/>
        <v>802</v>
      </c>
      <c r="B817" s="121">
        <f t="shared" ca="1" si="36"/>
        <v>40.454258873918555</v>
      </c>
      <c r="C817" s="128">
        <f t="shared" ca="1" si="37"/>
        <v>1</v>
      </c>
    </row>
    <row r="818" spans="1:3" x14ac:dyDescent="0.25">
      <c r="A818" s="125">
        <f t="shared" si="38"/>
        <v>803</v>
      </c>
      <c r="B818" s="121">
        <f t="shared" ca="1" si="36"/>
        <v>19.207450377016201</v>
      </c>
      <c r="C818" s="128">
        <f t="shared" ca="1" si="37"/>
        <v>0</v>
      </c>
    </row>
    <row r="819" spans="1:3" x14ac:dyDescent="0.25">
      <c r="A819" s="125">
        <f t="shared" si="38"/>
        <v>804</v>
      </c>
      <c r="B819" s="121">
        <f t="shared" ca="1" si="36"/>
        <v>1.9489435146139442</v>
      </c>
      <c r="C819" s="128">
        <f t="shared" ca="1" si="37"/>
        <v>0</v>
      </c>
    </row>
    <row r="820" spans="1:3" x14ac:dyDescent="0.25">
      <c r="A820" s="125">
        <f t="shared" si="38"/>
        <v>805</v>
      </c>
      <c r="B820" s="121">
        <f t="shared" ca="1" si="36"/>
        <v>47.699546744019479</v>
      </c>
      <c r="C820" s="128">
        <f t="shared" ca="1" si="37"/>
        <v>1</v>
      </c>
    </row>
    <row r="821" spans="1:3" x14ac:dyDescent="0.25">
      <c r="A821" s="125">
        <f t="shared" si="38"/>
        <v>806</v>
      </c>
      <c r="B821" s="121">
        <f t="shared" ca="1" si="36"/>
        <v>36.153482194437906</v>
      </c>
      <c r="C821" s="128">
        <f t="shared" ca="1" si="37"/>
        <v>1</v>
      </c>
    </row>
    <row r="822" spans="1:3" x14ac:dyDescent="0.25">
      <c r="A822" s="125">
        <f t="shared" si="38"/>
        <v>807</v>
      </c>
      <c r="B822" s="121">
        <f t="shared" ca="1" si="36"/>
        <v>49.881652315926644</v>
      </c>
      <c r="C822" s="128">
        <f t="shared" ca="1" si="37"/>
        <v>1</v>
      </c>
    </row>
    <row r="823" spans="1:3" x14ac:dyDescent="0.25">
      <c r="A823" s="125">
        <f t="shared" si="38"/>
        <v>808</v>
      </c>
      <c r="B823" s="121">
        <f t="shared" ca="1" si="36"/>
        <v>58.017908382941279</v>
      </c>
      <c r="C823" s="128">
        <f t="shared" ca="1" si="37"/>
        <v>1</v>
      </c>
    </row>
    <row r="824" spans="1:3" x14ac:dyDescent="0.25">
      <c r="A824" s="125">
        <f t="shared" si="38"/>
        <v>809</v>
      </c>
      <c r="B824" s="121">
        <f t="shared" ca="1" si="36"/>
        <v>27.178624116587887</v>
      </c>
      <c r="C824" s="128">
        <f t="shared" ca="1" si="37"/>
        <v>1</v>
      </c>
    </row>
    <row r="825" spans="1:3" x14ac:dyDescent="0.25">
      <c r="A825" s="125">
        <f t="shared" si="38"/>
        <v>810</v>
      </c>
      <c r="B825" s="121">
        <f t="shared" ca="1" si="36"/>
        <v>56.044799254452727</v>
      </c>
      <c r="C825" s="128">
        <f t="shared" ca="1" si="37"/>
        <v>1</v>
      </c>
    </row>
    <row r="826" spans="1:3" x14ac:dyDescent="0.25">
      <c r="A826" s="125">
        <f t="shared" si="38"/>
        <v>811</v>
      </c>
      <c r="B826" s="121">
        <f t="shared" ca="1" si="36"/>
        <v>61.076886913447595</v>
      </c>
      <c r="C826" s="128">
        <f t="shared" ca="1" si="37"/>
        <v>1</v>
      </c>
    </row>
    <row r="827" spans="1:3" x14ac:dyDescent="0.25">
      <c r="A827" s="125">
        <f t="shared" si="38"/>
        <v>812</v>
      </c>
      <c r="B827" s="121">
        <f t="shared" ca="1" si="36"/>
        <v>32.924234124934586</v>
      </c>
      <c r="C827" s="128">
        <f t="shared" ca="1" si="37"/>
        <v>1</v>
      </c>
    </row>
    <row r="828" spans="1:3" x14ac:dyDescent="0.25">
      <c r="A828" s="125">
        <f t="shared" si="38"/>
        <v>813</v>
      </c>
      <c r="B828" s="121">
        <f t="shared" ca="1" si="36"/>
        <v>78.541827324030834</v>
      </c>
      <c r="C828" s="128">
        <f t="shared" ca="1" si="37"/>
        <v>1</v>
      </c>
    </row>
    <row r="829" spans="1:3" x14ac:dyDescent="0.25">
      <c r="A829" s="125">
        <f t="shared" si="38"/>
        <v>814</v>
      </c>
      <c r="B829" s="121">
        <f t="shared" ca="1" si="36"/>
        <v>42.99011314637238</v>
      </c>
      <c r="C829" s="128">
        <f t="shared" ca="1" si="37"/>
        <v>1</v>
      </c>
    </row>
    <row r="830" spans="1:3" x14ac:dyDescent="0.25">
      <c r="A830" s="125">
        <f t="shared" si="38"/>
        <v>815</v>
      </c>
      <c r="B830" s="121">
        <f t="shared" ca="1" si="36"/>
        <v>64.207031338448417</v>
      </c>
      <c r="C830" s="128">
        <f t="shared" ca="1" si="37"/>
        <v>1</v>
      </c>
    </row>
    <row r="831" spans="1:3" x14ac:dyDescent="0.25">
      <c r="A831" s="125">
        <f t="shared" si="38"/>
        <v>816</v>
      </c>
      <c r="B831" s="121">
        <f t="shared" ca="1" si="36"/>
        <v>23.034835382315997</v>
      </c>
      <c r="C831" s="128">
        <f t="shared" ca="1" si="37"/>
        <v>0</v>
      </c>
    </row>
    <row r="832" spans="1:3" x14ac:dyDescent="0.25">
      <c r="A832" s="125">
        <f t="shared" si="38"/>
        <v>817</v>
      </c>
      <c r="B832" s="121">
        <f t="shared" ca="1" si="36"/>
        <v>19.167786573552796</v>
      </c>
      <c r="C832" s="128">
        <f t="shared" ca="1" si="37"/>
        <v>0</v>
      </c>
    </row>
    <row r="833" spans="1:3" x14ac:dyDescent="0.25">
      <c r="A833" s="125">
        <f t="shared" si="38"/>
        <v>818</v>
      </c>
      <c r="B833" s="121">
        <f t="shared" ca="1" si="36"/>
        <v>-14.939924036836402</v>
      </c>
      <c r="C833" s="128">
        <f t="shared" ca="1" si="37"/>
        <v>0</v>
      </c>
    </row>
    <row r="834" spans="1:3" x14ac:dyDescent="0.25">
      <c r="A834" s="125">
        <f t="shared" si="38"/>
        <v>819</v>
      </c>
      <c r="B834" s="121">
        <f t="shared" ca="1" si="36"/>
        <v>-16.60085867630643</v>
      </c>
      <c r="C834" s="128">
        <f t="shared" ca="1" si="37"/>
        <v>0</v>
      </c>
    </row>
    <row r="835" spans="1:3" x14ac:dyDescent="0.25">
      <c r="A835" s="125">
        <f t="shared" si="38"/>
        <v>820</v>
      </c>
      <c r="B835" s="121">
        <f t="shared" ca="1" si="36"/>
        <v>4.7449715392648173</v>
      </c>
      <c r="C835" s="128">
        <f t="shared" ca="1" si="37"/>
        <v>0</v>
      </c>
    </row>
    <row r="836" spans="1:3" x14ac:dyDescent="0.25">
      <c r="A836" s="125">
        <f t="shared" si="38"/>
        <v>821</v>
      </c>
      <c r="B836" s="121">
        <f t="shared" ca="1" si="36"/>
        <v>38.668524562829155</v>
      </c>
      <c r="C836" s="128">
        <f t="shared" ca="1" si="37"/>
        <v>1</v>
      </c>
    </row>
    <row r="837" spans="1:3" x14ac:dyDescent="0.25">
      <c r="A837" s="125">
        <f t="shared" si="38"/>
        <v>822</v>
      </c>
      <c r="B837" s="121">
        <f t="shared" ca="1" si="36"/>
        <v>44.807848267640047</v>
      </c>
      <c r="C837" s="128">
        <f t="shared" ca="1" si="37"/>
        <v>1</v>
      </c>
    </row>
    <row r="838" spans="1:3" x14ac:dyDescent="0.25">
      <c r="A838" s="125">
        <f t="shared" si="38"/>
        <v>823</v>
      </c>
      <c r="B838" s="121">
        <f t="shared" ca="1" si="36"/>
        <v>113.07967787004242</v>
      </c>
      <c r="C838" s="128">
        <f t="shared" ca="1" si="37"/>
        <v>1</v>
      </c>
    </row>
    <row r="839" spans="1:3" x14ac:dyDescent="0.25">
      <c r="A839" s="125">
        <f t="shared" si="38"/>
        <v>824</v>
      </c>
      <c r="B839" s="121">
        <f t="shared" ca="1" si="36"/>
        <v>40.313960484252902</v>
      </c>
      <c r="C839" s="128">
        <f t="shared" ca="1" si="37"/>
        <v>1</v>
      </c>
    </row>
    <row r="840" spans="1:3" x14ac:dyDescent="0.25">
      <c r="A840" s="125">
        <f t="shared" si="38"/>
        <v>825</v>
      </c>
      <c r="B840" s="121">
        <f t="shared" ca="1" si="36"/>
        <v>-28.243183451038675</v>
      </c>
      <c r="C840" s="128">
        <f t="shared" ca="1" si="37"/>
        <v>0</v>
      </c>
    </row>
    <row r="841" spans="1:3" x14ac:dyDescent="0.25">
      <c r="A841" s="125">
        <f t="shared" si="38"/>
        <v>826</v>
      </c>
      <c r="B841" s="121">
        <f t="shared" ca="1" si="36"/>
        <v>60.993491088565989</v>
      </c>
      <c r="C841" s="128">
        <f t="shared" ca="1" si="37"/>
        <v>1</v>
      </c>
    </row>
    <row r="842" spans="1:3" x14ac:dyDescent="0.25">
      <c r="A842" s="125">
        <f t="shared" si="38"/>
        <v>827</v>
      </c>
      <c r="B842" s="121">
        <f t="shared" ca="1" si="36"/>
        <v>-15.987697996608816</v>
      </c>
      <c r="C842" s="128">
        <f t="shared" ca="1" si="37"/>
        <v>0</v>
      </c>
    </row>
    <row r="843" spans="1:3" x14ac:dyDescent="0.25">
      <c r="A843" s="125">
        <f t="shared" si="38"/>
        <v>828</v>
      </c>
      <c r="B843" s="121">
        <f t="shared" ca="1" si="36"/>
        <v>5.8580230818295504</v>
      </c>
      <c r="C843" s="128">
        <f t="shared" ca="1" si="37"/>
        <v>0</v>
      </c>
    </row>
    <row r="844" spans="1:3" x14ac:dyDescent="0.25">
      <c r="A844" s="125">
        <f t="shared" si="38"/>
        <v>829</v>
      </c>
      <c r="B844" s="121">
        <f t="shared" ca="1" si="36"/>
        <v>4.1564221917386419</v>
      </c>
      <c r="C844" s="128">
        <f t="shared" ca="1" si="37"/>
        <v>0</v>
      </c>
    </row>
    <row r="845" spans="1:3" x14ac:dyDescent="0.25">
      <c r="A845" s="125">
        <f t="shared" si="38"/>
        <v>830</v>
      </c>
      <c r="B845" s="121">
        <f t="shared" ca="1" si="36"/>
        <v>58.895131805182416</v>
      </c>
      <c r="C845" s="128">
        <f t="shared" ca="1" si="37"/>
        <v>1</v>
      </c>
    </row>
    <row r="846" spans="1:3" x14ac:dyDescent="0.25">
      <c r="A846" s="125">
        <f t="shared" si="38"/>
        <v>831</v>
      </c>
      <c r="B846" s="121">
        <f t="shared" ca="1" si="36"/>
        <v>65.559613212235746</v>
      </c>
      <c r="C846" s="128">
        <f t="shared" ca="1" si="37"/>
        <v>1</v>
      </c>
    </row>
    <row r="847" spans="1:3" x14ac:dyDescent="0.25">
      <c r="A847" s="125">
        <f t="shared" si="38"/>
        <v>832</v>
      </c>
      <c r="B847" s="121">
        <f t="shared" ca="1" si="36"/>
        <v>34.59073122985366</v>
      </c>
      <c r="C847" s="128">
        <f t="shared" ca="1" si="37"/>
        <v>1</v>
      </c>
    </row>
    <row r="848" spans="1:3" x14ac:dyDescent="0.25">
      <c r="A848" s="125">
        <f t="shared" si="38"/>
        <v>833</v>
      </c>
      <c r="B848" s="121">
        <f t="shared" ca="1" si="36"/>
        <v>33.558634065496321</v>
      </c>
      <c r="C848" s="128">
        <f t="shared" ca="1" si="37"/>
        <v>1</v>
      </c>
    </row>
    <row r="849" spans="1:3" x14ac:dyDescent="0.25">
      <c r="A849" s="125">
        <f t="shared" si="38"/>
        <v>834</v>
      </c>
      <c r="B849" s="121">
        <f t="shared" ref="B849:B912" ca="1" si="39">_xlfn.NORM.INV(RAND(), $B$9, $B$10)</f>
        <v>41.548411234059834</v>
      </c>
      <c r="C849" s="128">
        <f t="shared" ref="C849:C912" ca="1" si="40">IF(B849 &gt;= $B$11, 1, 0)</f>
        <v>1</v>
      </c>
    </row>
    <row r="850" spans="1:3" x14ac:dyDescent="0.25">
      <c r="A850" s="125">
        <f t="shared" ref="A850:A913" si="41">+A849+1</f>
        <v>835</v>
      </c>
      <c r="B850" s="121">
        <f t="shared" ca="1" si="39"/>
        <v>26.174594535686836</v>
      </c>
      <c r="C850" s="128">
        <f t="shared" ca="1" si="40"/>
        <v>1</v>
      </c>
    </row>
    <row r="851" spans="1:3" x14ac:dyDescent="0.25">
      <c r="A851" s="125">
        <f t="shared" si="41"/>
        <v>836</v>
      </c>
      <c r="B851" s="121">
        <f t="shared" ca="1" si="39"/>
        <v>32.638830740791718</v>
      </c>
      <c r="C851" s="128">
        <f t="shared" ca="1" si="40"/>
        <v>1</v>
      </c>
    </row>
    <row r="852" spans="1:3" x14ac:dyDescent="0.25">
      <c r="A852" s="125">
        <f t="shared" si="41"/>
        <v>837</v>
      </c>
      <c r="B852" s="121">
        <f t="shared" ca="1" si="39"/>
        <v>61.313211569479165</v>
      </c>
      <c r="C852" s="128">
        <f t="shared" ca="1" si="40"/>
        <v>1</v>
      </c>
    </row>
    <row r="853" spans="1:3" x14ac:dyDescent="0.25">
      <c r="A853" s="125">
        <f t="shared" si="41"/>
        <v>838</v>
      </c>
      <c r="B853" s="121">
        <f t="shared" ca="1" si="39"/>
        <v>38.578241753479368</v>
      </c>
      <c r="C853" s="128">
        <f t="shared" ca="1" si="40"/>
        <v>1</v>
      </c>
    </row>
    <row r="854" spans="1:3" x14ac:dyDescent="0.25">
      <c r="A854" s="125">
        <f t="shared" si="41"/>
        <v>839</v>
      </c>
      <c r="B854" s="121">
        <f t="shared" ca="1" si="39"/>
        <v>61.182869289053244</v>
      </c>
      <c r="C854" s="128">
        <f t="shared" ca="1" si="40"/>
        <v>1</v>
      </c>
    </row>
    <row r="855" spans="1:3" x14ac:dyDescent="0.25">
      <c r="A855" s="125">
        <f t="shared" si="41"/>
        <v>840</v>
      </c>
      <c r="B855" s="121">
        <f t="shared" ca="1" si="39"/>
        <v>30.449965191851216</v>
      </c>
      <c r="C855" s="128">
        <f t="shared" ca="1" si="40"/>
        <v>1</v>
      </c>
    </row>
    <row r="856" spans="1:3" x14ac:dyDescent="0.25">
      <c r="A856" s="125">
        <f t="shared" si="41"/>
        <v>841</v>
      </c>
      <c r="B856" s="121">
        <f t="shared" ca="1" si="39"/>
        <v>9.079385873672237</v>
      </c>
      <c r="C856" s="128">
        <f t="shared" ca="1" si="40"/>
        <v>0</v>
      </c>
    </row>
    <row r="857" spans="1:3" x14ac:dyDescent="0.25">
      <c r="A857" s="125">
        <f t="shared" si="41"/>
        <v>842</v>
      </c>
      <c r="B857" s="121">
        <f t="shared" ca="1" si="39"/>
        <v>32.027882422707378</v>
      </c>
      <c r="C857" s="128">
        <f t="shared" ca="1" si="40"/>
        <v>1</v>
      </c>
    </row>
    <row r="858" spans="1:3" x14ac:dyDescent="0.25">
      <c r="A858" s="125">
        <f t="shared" si="41"/>
        <v>843</v>
      </c>
      <c r="B858" s="121">
        <f t="shared" ca="1" si="39"/>
        <v>29.039587344321141</v>
      </c>
      <c r="C858" s="128">
        <f t="shared" ca="1" si="40"/>
        <v>1</v>
      </c>
    </row>
    <row r="859" spans="1:3" x14ac:dyDescent="0.25">
      <c r="A859" s="125">
        <f t="shared" si="41"/>
        <v>844</v>
      </c>
      <c r="B859" s="121">
        <f t="shared" ca="1" si="39"/>
        <v>28.507377838223988</v>
      </c>
      <c r="C859" s="128">
        <f t="shared" ca="1" si="40"/>
        <v>1</v>
      </c>
    </row>
    <row r="860" spans="1:3" x14ac:dyDescent="0.25">
      <c r="A860" s="125">
        <f t="shared" si="41"/>
        <v>845</v>
      </c>
      <c r="B860" s="121">
        <f t="shared" ca="1" si="39"/>
        <v>14.650708372740851</v>
      </c>
      <c r="C860" s="128">
        <f t="shared" ca="1" si="40"/>
        <v>0</v>
      </c>
    </row>
    <row r="861" spans="1:3" x14ac:dyDescent="0.25">
      <c r="A861" s="125">
        <f t="shared" si="41"/>
        <v>846</v>
      </c>
      <c r="B861" s="121">
        <f t="shared" ca="1" si="39"/>
        <v>45.553849113473518</v>
      </c>
      <c r="C861" s="128">
        <f t="shared" ca="1" si="40"/>
        <v>1</v>
      </c>
    </row>
    <row r="862" spans="1:3" x14ac:dyDescent="0.25">
      <c r="A862" s="125">
        <f t="shared" si="41"/>
        <v>847</v>
      </c>
      <c r="B862" s="121">
        <f t="shared" ca="1" si="39"/>
        <v>70.657995930914993</v>
      </c>
      <c r="C862" s="128">
        <f t="shared" ca="1" si="40"/>
        <v>1</v>
      </c>
    </row>
    <row r="863" spans="1:3" x14ac:dyDescent="0.25">
      <c r="A863" s="125">
        <f t="shared" si="41"/>
        <v>848</v>
      </c>
      <c r="B863" s="121">
        <f t="shared" ca="1" si="39"/>
        <v>13.972411307075223</v>
      </c>
      <c r="C863" s="128">
        <f t="shared" ca="1" si="40"/>
        <v>0</v>
      </c>
    </row>
    <row r="864" spans="1:3" x14ac:dyDescent="0.25">
      <c r="A864" s="125">
        <f t="shared" si="41"/>
        <v>849</v>
      </c>
      <c r="B864" s="121">
        <f t="shared" ca="1" si="39"/>
        <v>40.92741324143261</v>
      </c>
      <c r="C864" s="128">
        <f t="shared" ca="1" si="40"/>
        <v>1</v>
      </c>
    </row>
    <row r="865" spans="1:3" x14ac:dyDescent="0.25">
      <c r="A865" s="125">
        <f t="shared" si="41"/>
        <v>850</v>
      </c>
      <c r="B865" s="121">
        <f t="shared" ca="1" si="39"/>
        <v>89.734765024506572</v>
      </c>
      <c r="C865" s="128">
        <f t="shared" ca="1" si="40"/>
        <v>1</v>
      </c>
    </row>
    <row r="866" spans="1:3" x14ac:dyDescent="0.25">
      <c r="A866" s="125">
        <f t="shared" si="41"/>
        <v>851</v>
      </c>
      <c r="B866" s="121">
        <f t="shared" ca="1" si="39"/>
        <v>22.103457754760836</v>
      </c>
      <c r="C866" s="128">
        <f t="shared" ca="1" si="40"/>
        <v>0</v>
      </c>
    </row>
    <row r="867" spans="1:3" x14ac:dyDescent="0.25">
      <c r="A867" s="125">
        <f t="shared" si="41"/>
        <v>852</v>
      </c>
      <c r="B867" s="121">
        <f t="shared" ca="1" si="39"/>
        <v>18.195468336099008</v>
      </c>
      <c r="C867" s="128">
        <f t="shared" ca="1" si="40"/>
        <v>0</v>
      </c>
    </row>
    <row r="868" spans="1:3" x14ac:dyDescent="0.25">
      <c r="A868" s="125">
        <f t="shared" si="41"/>
        <v>853</v>
      </c>
      <c r="B868" s="121">
        <f t="shared" ca="1" si="39"/>
        <v>49.173316758288202</v>
      </c>
      <c r="C868" s="128">
        <f t="shared" ca="1" si="40"/>
        <v>1</v>
      </c>
    </row>
    <row r="869" spans="1:3" x14ac:dyDescent="0.25">
      <c r="A869" s="125">
        <f t="shared" si="41"/>
        <v>854</v>
      </c>
      <c r="B869" s="121">
        <f t="shared" ca="1" si="39"/>
        <v>23.664252891853458</v>
      </c>
      <c r="C869" s="128">
        <f t="shared" ca="1" si="40"/>
        <v>0</v>
      </c>
    </row>
    <row r="870" spans="1:3" x14ac:dyDescent="0.25">
      <c r="A870" s="125">
        <f t="shared" si="41"/>
        <v>855</v>
      </c>
      <c r="B870" s="121">
        <f t="shared" ca="1" si="39"/>
        <v>70.465386972787869</v>
      </c>
      <c r="C870" s="128">
        <f t="shared" ca="1" si="40"/>
        <v>1</v>
      </c>
    </row>
    <row r="871" spans="1:3" x14ac:dyDescent="0.25">
      <c r="A871" s="125">
        <f t="shared" si="41"/>
        <v>856</v>
      </c>
      <c r="B871" s="121">
        <f t="shared" ca="1" si="39"/>
        <v>-15.614089356315326</v>
      </c>
      <c r="C871" s="128">
        <f t="shared" ca="1" si="40"/>
        <v>0</v>
      </c>
    </row>
    <row r="872" spans="1:3" x14ac:dyDescent="0.25">
      <c r="A872" s="125">
        <f t="shared" si="41"/>
        <v>857</v>
      </c>
      <c r="B872" s="121">
        <f t="shared" ca="1" si="39"/>
        <v>54.711316839937425</v>
      </c>
      <c r="C872" s="128">
        <f t="shared" ca="1" si="40"/>
        <v>1</v>
      </c>
    </row>
    <row r="873" spans="1:3" x14ac:dyDescent="0.25">
      <c r="A873" s="125">
        <f t="shared" si="41"/>
        <v>858</v>
      </c>
      <c r="B873" s="121">
        <f t="shared" ca="1" si="39"/>
        <v>54.575390054738534</v>
      </c>
      <c r="C873" s="128">
        <f t="shared" ca="1" si="40"/>
        <v>1</v>
      </c>
    </row>
    <row r="874" spans="1:3" x14ac:dyDescent="0.25">
      <c r="A874" s="125">
        <f t="shared" si="41"/>
        <v>859</v>
      </c>
      <c r="B874" s="121">
        <f t="shared" ca="1" si="39"/>
        <v>20.354411069701698</v>
      </c>
      <c r="C874" s="128">
        <f t="shared" ca="1" si="40"/>
        <v>0</v>
      </c>
    </row>
    <row r="875" spans="1:3" x14ac:dyDescent="0.25">
      <c r="A875" s="125">
        <f t="shared" si="41"/>
        <v>860</v>
      </c>
      <c r="B875" s="121">
        <f t="shared" ca="1" si="39"/>
        <v>30.835056847149971</v>
      </c>
      <c r="C875" s="128">
        <f t="shared" ca="1" si="40"/>
        <v>1</v>
      </c>
    </row>
    <row r="876" spans="1:3" x14ac:dyDescent="0.25">
      <c r="A876" s="125">
        <f t="shared" si="41"/>
        <v>861</v>
      </c>
      <c r="B876" s="121">
        <f t="shared" ca="1" si="39"/>
        <v>69.989852379301595</v>
      </c>
      <c r="C876" s="128">
        <f t="shared" ca="1" si="40"/>
        <v>1</v>
      </c>
    </row>
    <row r="877" spans="1:3" x14ac:dyDescent="0.25">
      <c r="A877" s="125">
        <f t="shared" si="41"/>
        <v>862</v>
      </c>
      <c r="B877" s="121">
        <f t="shared" ca="1" si="39"/>
        <v>28.594389681188638</v>
      </c>
      <c r="C877" s="128">
        <f t="shared" ca="1" si="40"/>
        <v>1</v>
      </c>
    </row>
    <row r="878" spans="1:3" x14ac:dyDescent="0.25">
      <c r="A878" s="125">
        <f t="shared" si="41"/>
        <v>863</v>
      </c>
      <c r="B878" s="121">
        <f t="shared" ca="1" si="39"/>
        <v>57.284108134438284</v>
      </c>
      <c r="C878" s="128">
        <f t="shared" ca="1" si="40"/>
        <v>1</v>
      </c>
    </row>
    <row r="879" spans="1:3" x14ac:dyDescent="0.25">
      <c r="A879" s="125">
        <f t="shared" si="41"/>
        <v>864</v>
      </c>
      <c r="B879" s="121">
        <f t="shared" ca="1" si="39"/>
        <v>23.999298461850497</v>
      </c>
      <c r="C879" s="128">
        <f t="shared" ca="1" si="40"/>
        <v>0</v>
      </c>
    </row>
    <row r="880" spans="1:3" x14ac:dyDescent="0.25">
      <c r="A880" s="125">
        <f t="shared" si="41"/>
        <v>865</v>
      </c>
      <c r="B880" s="121">
        <f t="shared" ca="1" si="39"/>
        <v>58.593544798376918</v>
      </c>
      <c r="C880" s="128">
        <f t="shared" ca="1" si="40"/>
        <v>1</v>
      </c>
    </row>
    <row r="881" spans="1:3" x14ac:dyDescent="0.25">
      <c r="A881" s="125">
        <f t="shared" si="41"/>
        <v>866</v>
      </c>
      <c r="B881" s="121">
        <f t="shared" ca="1" si="39"/>
        <v>44.811972905789375</v>
      </c>
      <c r="C881" s="128">
        <f t="shared" ca="1" si="40"/>
        <v>1</v>
      </c>
    </row>
    <row r="882" spans="1:3" x14ac:dyDescent="0.25">
      <c r="A882" s="125">
        <f t="shared" si="41"/>
        <v>867</v>
      </c>
      <c r="B882" s="121">
        <f t="shared" ca="1" si="39"/>
        <v>53.517833703594178</v>
      </c>
      <c r="C882" s="128">
        <f t="shared" ca="1" si="40"/>
        <v>1</v>
      </c>
    </row>
    <row r="883" spans="1:3" x14ac:dyDescent="0.25">
      <c r="A883" s="125">
        <f t="shared" si="41"/>
        <v>868</v>
      </c>
      <c r="B883" s="121">
        <f t="shared" ca="1" si="39"/>
        <v>9.1338024252795869</v>
      </c>
      <c r="C883" s="128">
        <f t="shared" ca="1" si="40"/>
        <v>0</v>
      </c>
    </row>
    <row r="884" spans="1:3" x14ac:dyDescent="0.25">
      <c r="A884" s="125">
        <f t="shared" si="41"/>
        <v>869</v>
      </c>
      <c r="B884" s="121">
        <f t="shared" ca="1" si="39"/>
        <v>64.094330026859481</v>
      </c>
      <c r="C884" s="128">
        <f t="shared" ca="1" si="40"/>
        <v>1</v>
      </c>
    </row>
    <row r="885" spans="1:3" x14ac:dyDescent="0.25">
      <c r="A885" s="125">
        <f t="shared" si="41"/>
        <v>870</v>
      </c>
      <c r="B885" s="121">
        <f t="shared" ca="1" si="39"/>
        <v>54.824712888403781</v>
      </c>
      <c r="C885" s="128">
        <f t="shared" ca="1" si="40"/>
        <v>1</v>
      </c>
    </row>
    <row r="886" spans="1:3" x14ac:dyDescent="0.25">
      <c r="A886" s="125">
        <f t="shared" si="41"/>
        <v>871</v>
      </c>
      <c r="B886" s="121">
        <f t="shared" ca="1" si="39"/>
        <v>44.882862754852241</v>
      </c>
      <c r="C886" s="128">
        <f t="shared" ca="1" si="40"/>
        <v>1</v>
      </c>
    </row>
    <row r="887" spans="1:3" x14ac:dyDescent="0.25">
      <c r="A887" s="125">
        <f t="shared" si="41"/>
        <v>872</v>
      </c>
      <c r="B887" s="121">
        <f t="shared" ca="1" si="39"/>
        <v>69.575149013574787</v>
      </c>
      <c r="C887" s="128">
        <f t="shared" ca="1" si="40"/>
        <v>1</v>
      </c>
    </row>
    <row r="888" spans="1:3" x14ac:dyDescent="0.25">
      <c r="A888" s="125">
        <f t="shared" si="41"/>
        <v>873</v>
      </c>
      <c r="B888" s="121">
        <f t="shared" ca="1" si="39"/>
        <v>10.447922120486073</v>
      </c>
      <c r="C888" s="128">
        <f t="shared" ca="1" si="40"/>
        <v>0</v>
      </c>
    </row>
    <row r="889" spans="1:3" x14ac:dyDescent="0.25">
      <c r="A889" s="125">
        <f t="shared" si="41"/>
        <v>874</v>
      </c>
      <c r="B889" s="121">
        <f t="shared" ca="1" si="39"/>
        <v>60.821546706840721</v>
      </c>
      <c r="C889" s="128">
        <f t="shared" ca="1" si="40"/>
        <v>1</v>
      </c>
    </row>
    <row r="890" spans="1:3" x14ac:dyDescent="0.25">
      <c r="A890" s="125">
        <f t="shared" si="41"/>
        <v>875</v>
      </c>
      <c r="B890" s="121">
        <f t="shared" ca="1" si="39"/>
        <v>41.248877441823311</v>
      </c>
      <c r="C890" s="128">
        <f t="shared" ca="1" si="40"/>
        <v>1</v>
      </c>
    </row>
    <row r="891" spans="1:3" x14ac:dyDescent="0.25">
      <c r="A891" s="125">
        <f t="shared" si="41"/>
        <v>876</v>
      </c>
      <c r="B891" s="121">
        <f t="shared" ca="1" si="39"/>
        <v>22.101126217116047</v>
      </c>
      <c r="C891" s="128">
        <f t="shared" ca="1" si="40"/>
        <v>0</v>
      </c>
    </row>
    <row r="892" spans="1:3" x14ac:dyDescent="0.25">
      <c r="A892" s="125">
        <f t="shared" si="41"/>
        <v>877</v>
      </c>
      <c r="B892" s="121">
        <f t="shared" ca="1" si="39"/>
        <v>-13.347190561633973</v>
      </c>
      <c r="C892" s="128">
        <f t="shared" ca="1" si="40"/>
        <v>0</v>
      </c>
    </row>
    <row r="893" spans="1:3" x14ac:dyDescent="0.25">
      <c r="A893" s="125">
        <f t="shared" si="41"/>
        <v>878</v>
      </c>
      <c r="B893" s="121">
        <f t="shared" ca="1" si="39"/>
        <v>32.897350372350608</v>
      </c>
      <c r="C893" s="128">
        <f t="shared" ca="1" si="40"/>
        <v>1</v>
      </c>
    </row>
    <row r="894" spans="1:3" x14ac:dyDescent="0.25">
      <c r="A894" s="125">
        <f t="shared" si="41"/>
        <v>879</v>
      </c>
      <c r="B894" s="121">
        <f t="shared" ca="1" si="39"/>
        <v>25.985648882182723</v>
      </c>
      <c r="C894" s="128">
        <f t="shared" ca="1" si="40"/>
        <v>1</v>
      </c>
    </row>
    <row r="895" spans="1:3" x14ac:dyDescent="0.25">
      <c r="A895" s="125">
        <f t="shared" si="41"/>
        <v>880</v>
      </c>
      <c r="B895" s="121">
        <f t="shared" ca="1" si="39"/>
        <v>46.827188436536225</v>
      </c>
      <c r="C895" s="128">
        <f t="shared" ca="1" si="40"/>
        <v>1</v>
      </c>
    </row>
    <row r="896" spans="1:3" x14ac:dyDescent="0.25">
      <c r="A896" s="125">
        <f t="shared" si="41"/>
        <v>881</v>
      </c>
      <c r="B896" s="121">
        <f t="shared" ca="1" si="39"/>
        <v>23.502442367874789</v>
      </c>
      <c r="C896" s="128">
        <f t="shared" ca="1" si="40"/>
        <v>0</v>
      </c>
    </row>
    <row r="897" spans="1:3" x14ac:dyDescent="0.25">
      <c r="A897" s="125">
        <f t="shared" si="41"/>
        <v>882</v>
      </c>
      <c r="B897" s="121">
        <f t="shared" ca="1" si="39"/>
        <v>52.499825346525384</v>
      </c>
      <c r="C897" s="128">
        <f t="shared" ca="1" si="40"/>
        <v>1</v>
      </c>
    </row>
    <row r="898" spans="1:3" x14ac:dyDescent="0.25">
      <c r="A898" s="125">
        <f t="shared" si="41"/>
        <v>883</v>
      </c>
      <c r="B898" s="121">
        <f t="shared" ca="1" si="39"/>
        <v>72.537932413868731</v>
      </c>
      <c r="C898" s="128">
        <f t="shared" ca="1" si="40"/>
        <v>1</v>
      </c>
    </row>
    <row r="899" spans="1:3" x14ac:dyDescent="0.25">
      <c r="A899" s="125">
        <f t="shared" si="41"/>
        <v>884</v>
      </c>
      <c r="B899" s="121">
        <f t="shared" ca="1" si="39"/>
        <v>34.045758937729374</v>
      </c>
      <c r="C899" s="128">
        <f t="shared" ca="1" si="40"/>
        <v>1</v>
      </c>
    </row>
    <row r="900" spans="1:3" x14ac:dyDescent="0.25">
      <c r="A900" s="125">
        <f t="shared" si="41"/>
        <v>885</v>
      </c>
      <c r="B900" s="121">
        <f t="shared" ca="1" si="39"/>
        <v>50.186371457855202</v>
      </c>
      <c r="C900" s="128">
        <f t="shared" ca="1" si="40"/>
        <v>1</v>
      </c>
    </row>
    <row r="901" spans="1:3" x14ac:dyDescent="0.25">
      <c r="A901" s="125">
        <f t="shared" si="41"/>
        <v>886</v>
      </c>
      <c r="B901" s="121">
        <f t="shared" ca="1" si="39"/>
        <v>35.058576832705427</v>
      </c>
      <c r="C901" s="128">
        <f t="shared" ca="1" si="40"/>
        <v>1</v>
      </c>
    </row>
    <row r="902" spans="1:3" x14ac:dyDescent="0.25">
      <c r="A902" s="125">
        <f t="shared" si="41"/>
        <v>887</v>
      </c>
      <c r="B902" s="121">
        <f t="shared" ca="1" si="39"/>
        <v>29.324548277585443</v>
      </c>
      <c r="C902" s="128">
        <f t="shared" ca="1" si="40"/>
        <v>1</v>
      </c>
    </row>
    <row r="903" spans="1:3" x14ac:dyDescent="0.25">
      <c r="A903" s="125">
        <f t="shared" si="41"/>
        <v>888</v>
      </c>
      <c r="B903" s="121">
        <f t="shared" ca="1" si="39"/>
        <v>37.97950496335654</v>
      </c>
      <c r="C903" s="128">
        <f t="shared" ca="1" si="40"/>
        <v>1</v>
      </c>
    </row>
    <row r="904" spans="1:3" x14ac:dyDescent="0.25">
      <c r="A904" s="125">
        <f t="shared" si="41"/>
        <v>889</v>
      </c>
      <c r="B904" s="121">
        <f t="shared" ca="1" si="39"/>
        <v>23.27321193006162</v>
      </c>
      <c r="C904" s="128">
        <f t="shared" ca="1" si="40"/>
        <v>0</v>
      </c>
    </row>
    <row r="905" spans="1:3" x14ac:dyDescent="0.25">
      <c r="A905" s="125">
        <f t="shared" si="41"/>
        <v>890</v>
      </c>
      <c r="B905" s="121">
        <f t="shared" ca="1" si="39"/>
        <v>59.873953004270433</v>
      </c>
      <c r="C905" s="128">
        <f t="shared" ca="1" si="40"/>
        <v>1</v>
      </c>
    </row>
    <row r="906" spans="1:3" x14ac:dyDescent="0.25">
      <c r="A906" s="125">
        <f t="shared" si="41"/>
        <v>891</v>
      </c>
      <c r="B906" s="121">
        <f t="shared" ca="1" si="39"/>
        <v>12.147258501244156</v>
      </c>
      <c r="C906" s="128">
        <f t="shared" ca="1" si="40"/>
        <v>0</v>
      </c>
    </row>
    <row r="907" spans="1:3" x14ac:dyDescent="0.25">
      <c r="A907" s="125">
        <f t="shared" si="41"/>
        <v>892</v>
      </c>
      <c r="B907" s="121">
        <f t="shared" ca="1" si="39"/>
        <v>41.810989863850089</v>
      </c>
      <c r="C907" s="128">
        <f t="shared" ca="1" si="40"/>
        <v>1</v>
      </c>
    </row>
    <row r="908" spans="1:3" x14ac:dyDescent="0.25">
      <c r="A908" s="125">
        <f t="shared" si="41"/>
        <v>893</v>
      </c>
      <c r="B908" s="121">
        <f t="shared" ca="1" si="39"/>
        <v>59.542116265241759</v>
      </c>
      <c r="C908" s="128">
        <f t="shared" ca="1" si="40"/>
        <v>1</v>
      </c>
    </row>
    <row r="909" spans="1:3" x14ac:dyDescent="0.25">
      <c r="A909" s="125">
        <f t="shared" si="41"/>
        <v>894</v>
      </c>
      <c r="B909" s="121">
        <f t="shared" ca="1" si="39"/>
        <v>40.868495475791462</v>
      </c>
      <c r="C909" s="128">
        <f t="shared" ca="1" si="40"/>
        <v>1</v>
      </c>
    </row>
    <row r="910" spans="1:3" x14ac:dyDescent="0.25">
      <c r="A910" s="125">
        <f t="shared" si="41"/>
        <v>895</v>
      </c>
      <c r="B910" s="121">
        <f t="shared" ca="1" si="39"/>
        <v>46.143702084710682</v>
      </c>
      <c r="C910" s="128">
        <f t="shared" ca="1" si="40"/>
        <v>1</v>
      </c>
    </row>
    <row r="911" spans="1:3" x14ac:dyDescent="0.25">
      <c r="A911" s="125">
        <f t="shared" si="41"/>
        <v>896</v>
      </c>
      <c r="B911" s="121">
        <f t="shared" ca="1" si="39"/>
        <v>37.316512983119956</v>
      </c>
      <c r="C911" s="128">
        <f t="shared" ca="1" si="40"/>
        <v>1</v>
      </c>
    </row>
    <row r="912" spans="1:3" x14ac:dyDescent="0.25">
      <c r="A912" s="125">
        <f t="shared" si="41"/>
        <v>897</v>
      </c>
      <c r="B912" s="121">
        <f t="shared" ca="1" si="39"/>
        <v>52.549979686569735</v>
      </c>
      <c r="C912" s="128">
        <f t="shared" ca="1" si="40"/>
        <v>1</v>
      </c>
    </row>
    <row r="913" spans="1:3" x14ac:dyDescent="0.25">
      <c r="A913" s="125">
        <f t="shared" si="41"/>
        <v>898</v>
      </c>
      <c r="B913" s="121">
        <f t="shared" ref="B913:B976" ca="1" si="42">_xlfn.NORM.INV(RAND(), $B$9, $B$10)</f>
        <v>24.426412206300228</v>
      </c>
      <c r="C913" s="128">
        <f t="shared" ref="C913:C976" ca="1" si="43">IF(B913 &gt;= $B$11, 1, 0)</f>
        <v>0</v>
      </c>
    </row>
    <row r="914" spans="1:3" x14ac:dyDescent="0.25">
      <c r="A914" s="125">
        <f t="shared" ref="A914:A977" si="44">+A913+1</f>
        <v>899</v>
      </c>
      <c r="B914" s="121">
        <f t="shared" ca="1" si="42"/>
        <v>52.978281618331081</v>
      </c>
      <c r="C914" s="128">
        <f t="shared" ca="1" si="43"/>
        <v>1</v>
      </c>
    </row>
    <row r="915" spans="1:3" x14ac:dyDescent="0.25">
      <c r="A915" s="125">
        <f t="shared" si="44"/>
        <v>900</v>
      </c>
      <c r="B915" s="121">
        <f t="shared" ca="1" si="42"/>
        <v>72.40452608056701</v>
      </c>
      <c r="C915" s="128">
        <f t="shared" ca="1" si="43"/>
        <v>1</v>
      </c>
    </row>
    <row r="916" spans="1:3" x14ac:dyDescent="0.25">
      <c r="A916" s="125">
        <f t="shared" si="44"/>
        <v>901</v>
      </c>
      <c r="B916" s="121">
        <f t="shared" ca="1" si="42"/>
        <v>70.603576629790922</v>
      </c>
      <c r="C916" s="128">
        <f t="shared" ca="1" si="43"/>
        <v>1</v>
      </c>
    </row>
    <row r="917" spans="1:3" x14ac:dyDescent="0.25">
      <c r="A917" s="125">
        <f t="shared" si="44"/>
        <v>902</v>
      </c>
      <c r="B917" s="121">
        <f t="shared" ca="1" si="42"/>
        <v>74.428422534921609</v>
      </c>
      <c r="C917" s="128">
        <f t="shared" ca="1" si="43"/>
        <v>1</v>
      </c>
    </row>
    <row r="918" spans="1:3" x14ac:dyDescent="0.25">
      <c r="A918" s="125">
        <f t="shared" si="44"/>
        <v>903</v>
      </c>
      <c r="B918" s="121">
        <f t="shared" ca="1" si="42"/>
        <v>83.776593655699685</v>
      </c>
      <c r="C918" s="128">
        <f t="shared" ca="1" si="43"/>
        <v>1</v>
      </c>
    </row>
    <row r="919" spans="1:3" x14ac:dyDescent="0.25">
      <c r="A919" s="125">
        <f t="shared" si="44"/>
        <v>904</v>
      </c>
      <c r="B919" s="121">
        <f t="shared" ca="1" si="42"/>
        <v>43.177440125019785</v>
      </c>
      <c r="C919" s="128">
        <f t="shared" ca="1" si="43"/>
        <v>1</v>
      </c>
    </row>
    <row r="920" spans="1:3" x14ac:dyDescent="0.25">
      <c r="A920" s="125">
        <f t="shared" si="44"/>
        <v>905</v>
      </c>
      <c r="B920" s="121">
        <f t="shared" ca="1" si="42"/>
        <v>32.604414370068987</v>
      </c>
      <c r="C920" s="128">
        <f t="shared" ca="1" si="43"/>
        <v>1</v>
      </c>
    </row>
    <row r="921" spans="1:3" x14ac:dyDescent="0.25">
      <c r="A921" s="125">
        <f t="shared" si="44"/>
        <v>906</v>
      </c>
      <c r="B921" s="121">
        <f t="shared" ca="1" si="42"/>
        <v>35.489899798415465</v>
      </c>
      <c r="C921" s="128">
        <f t="shared" ca="1" si="43"/>
        <v>1</v>
      </c>
    </row>
    <row r="922" spans="1:3" x14ac:dyDescent="0.25">
      <c r="A922" s="125">
        <f t="shared" si="44"/>
        <v>907</v>
      </c>
      <c r="B922" s="121">
        <f t="shared" ca="1" si="42"/>
        <v>10.749969576071869</v>
      </c>
      <c r="C922" s="128">
        <f t="shared" ca="1" si="43"/>
        <v>0</v>
      </c>
    </row>
    <row r="923" spans="1:3" x14ac:dyDescent="0.25">
      <c r="A923" s="125">
        <f t="shared" si="44"/>
        <v>908</v>
      </c>
      <c r="B923" s="121">
        <f t="shared" ca="1" si="42"/>
        <v>46.493663395284287</v>
      </c>
      <c r="C923" s="128">
        <f t="shared" ca="1" si="43"/>
        <v>1</v>
      </c>
    </row>
    <row r="924" spans="1:3" x14ac:dyDescent="0.25">
      <c r="A924" s="125">
        <f t="shared" si="44"/>
        <v>909</v>
      </c>
      <c r="B924" s="121">
        <f t="shared" ca="1" si="42"/>
        <v>36.041409207822454</v>
      </c>
      <c r="C924" s="128">
        <f t="shared" ca="1" si="43"/>
        <v>1</v>
      </c>
    </row>
    <row r="925" spans="1:3" x14ac:dyDescent="0.25">
      <c r="A925" s="125">
        <f t="shared" si="44"/>
        <v>910</v>
      </c>
      <c r="B925" s="121">
        <f t="shared" ca="1" si="42"/>
        <v>22.394187629629293</v>
      </c>
      <c r="C925" s="128">
        <f t="shared" ca="1" si="43"/>
        <v>0</v>
      </c>
    </row>
    <row r="926" spans="1:3" x14ac:dyDescent="0.25">
      <c r="A926" s="125">
        <f t="shared" si="44"/>
        <v>911</v>
      </c>
      <c r="B926" s="121">
        <f t="shared" ca="1" si="42"/>
        <v>37.090630731661562</v>
      </c>
      <c r="C926" s="128">
        <f t="shared" ca="1" si="43"/>
        <v>1</v>
      </c>
    </row>
    <row r="927" spans="1:3" x14ac:dyDescent="0.25">
      <c r="A927" s="125">
        <f t="shared" si="44"/>
        <v>912</v>
      </c>
      <c r="B927" s="121">
        <f t="shared" ca="1" si="42"/>
        <v>23.352944305322783</v>
      </c>
      <c r="C927" s="128">
        <f t="shared" ca="1" si="43"/>
        <v>0</v>
      </c>
    </row>
    <row r="928" spans="1:3" x14ac:dyDescent="0.25">
      <c r="A928" s="125">
        <f t="shared" si="44"/>
        <v>913</v>
      </c>
      <c r="B928" s="121">
        <f t="shared" ca="1" si="42"/>
        <v>89.140829014366332</v>
      </c>
      <c r="C928" s="128">
        <f t="shared" ca="1" si="43"/>
        <v>1</v>
      </c>
    </row>
    <row r="929" spans="1:3" x14ac:dyDescent="0.25">
      <c r="A929" s="125">
        <f t="shared" si="44"/>
        <v>914</v>
      </c>
      <c r="B929" s="121">
        <f t="shared" ca="1" si="42"/>
        <v>-2.6498564527321378</v>
      </c>
      <c r="C929" s="128">
        <f t="shared" ca="1" si="43"/>
        <v>0</v>
      </c>
    </row>
    <row r="930" spans="1:3" x14ac:dyDescent="0.25">
      <c r="A930" s="125">
        <f t="shared" si="44"/>
        <v>915</v>
      </c>
      <c r="B930" s="121">
        <f t="shared" ca="1" si="42"/>
        <v>6.9424921447890782</v>
      </c>
      <c r="C930" s="128">
        <f t="shared" ca="1" si="43"/>
        <v>0</v>
      </c>
    </row>
    <row r="931" spans="1:3" x14ac:dyDescent="0.25">
      <c r="A931" s="125">
        <f t="shared" si="44"/>
        <v>916</v>
      </c>
      <c r="B931" s="121">
        <f t="shared" ca="1" si="42"/>
        <v>-4.6196986527244164</v>
      </c>
      <c r="C931" s="128">
        <f t="shared" ca="1" si="43"/>
        <v>0</v>
      </c>
    </row>
    <row r="932" spans="1:3" x14ac:dyDescent="0.25">
      <c r="A932" s="125">
        <f t="shared" si="44"/>
        <v>917</v>
      </c>
      <c r="B932" s="121">
        <f t="shared" ca="1" si="42"/>
        <v>97.414006608517866</v>
      </c>
      <c r="C932" s="128">
        <f t="shared" ca="1" si="43"/>
        <v>1</v>
      </c>
    </row>
    <row r="933" spans="1:3" x14ac:dyDescent="0.25">
      <c r="A933" s="125">
        <f t="shared" si="44"/>
        <v>918</v>
      </c>
      <c r="B933" s="121">
        <f t="shared" ca="1" si="42"/>
        <v>77.142464341802878</v>
      </c>
      <c r="C933" s="128">
        <f t="shared" ca="1" si="43"/>
        <v>1</v>
      </c>
    </row>
    <row r="934" spans="1:3" x14ac:dyDescent="0.25">
      <c r="A934" s="125">
        <f t="shared" si="44"/>
        <v>919</v>
      </c>
      <c r="B934" s="121">
        <f t="shared" ca="1" si="42"/>
        <v>-9.2460418360242187</v>
      </c>
      <c r="C934" s="128">
        <f t="shared" ca="1" si="43"/>
        <v>0</v>
      </c>
    </row>
    <row r="935" spans="1:3" x14ac:dyDescent="0.25">
      <c r="A935" s="125">
        <f t="shared" si="44"/>
        <v>920</v>
      </c>
      <c r="B935" s="121">
        <f t="shared" ca="1" si="42"/>
        <v>51.616206577613781</v>
      </c>
      <c r="C935" s="128">
        <f t="shared" ca="1" si="43"/>
        <v>1</v>
      </c>
    </row>
    <row r="936" spans="1:3" x14ac:dyDescent="0.25">
      <c r="A936" s="125">
        <f t="shared" si="44"/>
        <v>921</v>
      </c>
      <c r="B936" s="121">
        <f t="shared" ca="1" si="42"/>
        <v>50.040454327847954</v>
      </c>
      <c r="C936" s="128">
        <f t="shared" ca="1" si="43"/>
        <v>1</v>
      </c>
    </row>
    <row r="937" spans="1:3" x14ac:dyDescent="0.25">
      <c r="A937" s="125">
        <f t="shared" si="44"/>
        <v>922</v>
      </c>
      <c r="B937" s="121">
        <f t="shared" ca="1" si="42"/>
        <v>47.301595086644674</v>
      </c>
      <c r="C937" s="128">
        <f t="shared" ca="1" si="43"/>
        <v>1</v>
      </c>
    </row>
    <row r="938" spans="1:3" x14ac:dyDescent="0.25">
      <c r="A938" s="125">
        <f t="shared" si="44"/>
        <v>923</v>
      </c>
      <c r="B938" s="121">
        <f t="shared" ca="1" si="42"/>
        <v>99.243392441864302</v>
      </c>
      <c r="C938" s="128">
        <f t="shared" ca="1" si="43"/>
        <v>1</v>
      </c>
    </row>
    <row r="939" spans="1:3" x14ac:dyDescent="0.25">
      <c r="A939" s="125">
        <f t="shared" si="44"/>
        <v>924</v>
      </c>
      <c r="B939" s="121">
        <f t="shared" ca="1" si="42"/>
        <v>47.899064686908517</v>
      </c>
      <c r="C939" s="128">
        <f t="shared" ca="1" si="43"/>
        <v>1</v>
      </c>
    </row>
    <row r="940" spans="1:3" x14ac:dyDescent="0.25">
      <c r="A940" s="125">
        <f t="shared" si="44"/>
        <v>925</v>
      </c>
      <c r="B940" s="121">
        <f t="shared" ca="1" si="42"/>
        <v>19.502770206772073</v>
      </c>
      <c r="C940" s="128">
        <f t="shared" ca="1" si="43"/>
        <v>0</v>
      </c>
    </row>
    <row r="941" spans="1:3" x14ac:dyDescent="0.25">
      <c r="A941" s="125">
        <f t="shared" si="44"/>
        <v>926</v>
      </c>
      <c r="B941" s="121">
        <f t="shared" ca="1" si="42"/>
        <v>45.244748947070967</v>
      </c>
      <c r="C941" s="128">
        <f t="shared" ca="1" si="43"/>
        <v>1</v>
      </c>
    </row>
    <row r="942" spans="1:3" x14ac:dyDescent="0.25">
      <c r="A942" s="125">
        <f t="shared" si="44"/>
        <v>927</v>
      </c>
      <c r="B942" s="121">
        <f t="shared" ca="1" si="42"/>
        <v>11.460887068109631</v>
      </c>
      <c r="C942" s="128">
        <f t="shared" ca="1" si="43"/>
        <v>0</v>
      </c>
    </row>
    <row r="943" spans="1:3" x14ac:dyDescent="0.25">
      <c r="A943" s="125">
        <f t="shared" si="44"/>
        <v>928</v>
      </c>
      <c r="B943" s="121">
        <f t="shared" ca="1" si="42"/>
        <v>51.503022786006952</v>
      </c>
      <c r="C943" s="128">
        <f t="shared" ca="1" si="43"/>
        <v>1</v>
      </c>
    </row>
    <row r="944" spans="1:3" x14ac:dyDescent="0.25">
      <c r="A944" s="125">
        <f t="shared" si="44"/>
        <v>929</v>
      </c>
      <c r="B944" s="121">
        <f t="shared" ca="1" si="42"/>
        <v>77.283453630024013</v>
      </c>
      <c r="C944" s="128">
        <f t="shared" ca="1" si="43"/>
        <v>1</v>
      </c>
    </row>
    <row r="945" spans="1:3" x14ac:dyDescent="0.25">
      <c r="A945" s="125">
        <f t="shared" si="44"/>
        <v>930</v>
      </c>
      <c r="B945" s="121">
        <f t="shared" ca="1" si="42"/>
        <v>48.073825863624279</v>
      </c>
      <c r="C945" s="128">
        <f t="shared" ca="1" si="43"/>
        <v>1</v>
      </c>
    </row>
    <row r="946" spans="1:3" x14ac:dyDescent="0.25">
      <c r="A946" s="125">
        <f t="shared" si="44"/>
        <v>931</v>
      </c>
      <c r="B946" s="121">
        <f t="shared" ca="1" si="42"/>
        <v>56.589350751217665</v>
      </c>
      <c r="C946" s="128">
        <f t="shared" ca="1" si="43"/>
        <v>1</v>
      </c>
    </row>
    <row r="947" spans="1:3" x14ac:dyDescent="0.25">
      <c r="A947" s="125">
        <f t="shared" si="44"/>
        <v>932</v>
      </c>
      <c r="B947" s="121">
        <f t="shared" ca="1" si="42"/>
        <v>23.939210212351732</v>
      </c>
      <c r="C947" s="128">
        <f t="shared" ca="1" si="43"/>
        <v>0</v>
      </c>
    </row>
    <row r="948" spans="1:3" x14ac:dyDescent="0.25">
      <c r="A948" s="125">
        <f t="shared" si="44"/>
        <v>933</v>
      </c>
      <c r="B948" s="121">
        <f t="shared" ca="1" si="42"/>
        <v>46.021616955807232</v>
      </c>
      <c r="C948" s="128">
        <f t="shared" ca="1" si="43"/>
        <v>1</v>
      </c>
    </row>
    <row r="949" spans="1:3" x14ac:dyDescent="0.25">
      <c r="A949" s="125">
        <f t="shared" si="44"/>
        <v>934</v>
      </c>
      <c r="B949" s="121">
        <f t="shared" ca="1" si="42"/>
        <v>13.494252117642301</v>
      </c>
      <c r="C949" s="128">
        <f t="shared" ca="1" si="43"/>
        <v>0</v>
      </c>
    </row>
    <row r="950" spans="1:3" x14ac:dyDescent="0.25">
      <c r="A950" s="125">
        <f t="shared" si="44"/>
        <v>935</v>
      </c>
      <c r="B950" s="121">
        <f t="shared" ca="1" si="42"/>
        <v>64.136019472829801</v>
      </c>
      <c r="C950" s="128">
        <f t="shared" ca="1" si="43"/>
        <v>1</v>
      </c>
    </row>
    <row r="951" spans="1:3" x14ac:dyDescent="0.25">
      <c r="A951" s="125">
        <f t="shared" si="44"/>
        <v>936</v>
      </c>
      <c r="B951" s="121">
        <f t="shared" ca="1" si="42"/>
        <v>87.697476936911883</v>
      </c>
      <c r="C951" s="128">
        <f t="shared" ca="1" si="43"/>
        <v>1</v>
      </c>
    </row>
    <row r="952" spans="1:3" x14ac:dyDescent="0.25">
      <c r="A952" s="125">
        <f t="shared" si="44"/>
        <v>937</v>
      </c>
      <c r="B952" s="121">
        <f t="shared" ca="1" si="42"/>
        <v>-4.8169014312453982</v>
      </c>
      <c r="C952" s="128">
        <f t="shared" ca="1" si="43"/>
        <v>0</v>
      </c>
    </row>
    <row r="953" spans="1:3" x14ac:dyDescent="0.25">
      <c r="A953" s="125">
        <f t="shared" si="44"/>
        <v>938</v>
      </c>
      <c r="B953" s="121">
        <f t="shared" ca="1" si="42"/>
        <v>66.962027136724132</v>
      </c>
      <c r="C953" s="128">
        <f t="shared" ca="1" si="43"/>
        <v>1</v>
      </c>
    </row>
    <row r="954" spans="1:3" x14ac:dyDescent="0.25">
      <c r="A954" s="125">
        <f t="shared" si="44"/>
        <v>939</v>
      </c>
      <c r="B954" s="121">
        <f t="shared" ca="1" si="42"/>
        <v>84.211478328539329</v>
      </c>
      <c r="C954" s="128">
        <f t="shared" ca="1" si="43"/>
        <v>1</v>
      </c>
    </row>
    <row r="955" spans="1:3" x14ac:dyDescent="0.25">
      <c r="A955" s="125">
        <f t="shared" si="44"/>
        <v>940</v>
      </c>
      <c r="B955" s="121">
        <f t="shared" ca="1" si="42"/>
        <v>70.372423890493167</v>
      </c>
      <c r="C955" s="128">
        <f t="shared" ca="1" si="43"/>
        <v>1</v>
      </c>
    </row>
    <row r="956" spans="1:3" x14ac:dyDescent="0.25">
      <c r="A956" s="125">
        <f t="shared" si="44"/>
        <v>941</v>
      </c>
      <c r="B956" s="121">
        <f t="shared" ca="1" si="42"/>
        <v>32.514749353209567</v>
      </c>
      <c r="C956" s="128">
        <f t="shared" ca="1" si="43"/>
        <v>1</v>
      </c>
    </row>
    <row r="957" spans="1:3" x14ac:dyDescent="0.25">
      <c r="A957" s="125">
        <f t="shared" si="44"/>
        <v>942</v>
      </c>
      <c r="B957" s="121">
        <f t="shared" ca="1" si="42"/>
        <v>22.734107576565961</v>
      </c>
      <c r="C957" s="128">
        <f t="shared" ca="1" si="43"/>
        <v>0</v>
      </c>
    </row>
    <row r="958" spans="1:3" x14ac:dyDescent="0.25">
      <c r="A958" s="125">
        <f t="shared" si="44"/>
        <v>943</v>
      </c>
      <c r="B958" s="121">
        <f t="shared" ca="1" si="42"/>
        <v>41.626719396626534</v>
      </c>
      <c r="C958" s="128">
        <f t="shared" ca="1" si="43"/>
        <v>1</v>
      </c>
    </row>
    <row r="959" spans="1:3" x14ac:dyDescent="0.25">
      <c r="A959" s="125">
        <f t="shared" si="44"/>
        <v>944</v>
      </c>
      <c r="B959" s="121">
        <f t="shared" ca="1" si="42"/>
        <v>-6.4601352271349342</v>
      </c>
      <c r="C959" s="128">
        <f t="shared" ca="1" si="43"/>
        <v>0</v>
      </c>
    </row>
    <row r="960" spans="1:3" x14ac:dyDescent="0.25">
      <c r="A960" s="125">
        <f t="shared" si="44"/>
        <v>945</v>
      </c>
      <c r="B960" s="121">
        <f t="shared" ca="1" si="42"/>
        <v>20.289424041777679</v>
      </c>
      <c r="C960" s="128">
        <f t="shared" ca="1" si="43"/>
        <v>0</v>
      </c>
    </row>
    <row r="961" spans="1:3" x14ac:dyDescent="0.25">
      <c r="A961" s="125">
        <f t="shared" si="44"/>
        <v>946</v>
      </c>
      <c r="B961" s="121">
        <f t="shared" ca="1" si="42"/>
        <v>40.901084722866628</v>
      </c>
      <c r="C961" s="128">
        <f t="shared" ca="1" si="43"/>
        <v>1</v>
      </c>
    </row>
    <row r="962" spans="1:3" x14ac:dyDescent="0.25">
      <c r="A962" s="125">
        <f t="shared" si="44"/>
        <v>947</v>
      </c>
      <c r="B962" s="121">
        <f t="shared" ca="1" si="42"/>
        <v>38.219452057654109</v>
      </c>
      <c r="C962" s="128">
        <f t="shared" ca="1" si="43"/>
        <v>1</v>
      </c>
    </row>
    <row r="963" spans="1:3" x14ac:dyDescent="0.25">
      <c r="A963" s="125">
        <f t="shared" si="44"/>
        <v>948</v>
      </c>
      <c r="B963" s="121">
        <f t="shared" ca="1" si="42"/>
        <v>17.21074317426454</v>
      </c>
      <c r="C963" s="128">
        <f t="shared" ca="1" si="43"/>
        <v>0</v>
      </c>
    </row>
    <row r="964" spans="1:3" x14ac:dyDescent="0.25">
      <c r="A964" s="125">
        <f t="shared" si="44"/>
        <v>949</v>
      </c>
      <c r="B964" s="121">
        <f t="shared" ca="1" si="42"/>
        <v>35.079344254424122</v>
      </c>
      <c r="C964" s="128">
        <f t="shared" ca="1" si="43"/>
        <v>1</v>
      </c>
    </row>
    <row r="965" spans="1:3" x14ac:dyDescent="0.25">
      <c r="A965" s="125">
        <f t="shared" si="44"/>
        <v>950</v>
      </c>
      <c r="B965" s="121">
        <f t="shared" ca="1" si="42"/>
        <v>28.623037442127931</v>
      </c>
      <c r="C965" s="128">
        <f t="shared" ca="1" si="43"/>
        <v>1</v>
      </c>
    </row>
    <row r="966" spans="1:3" x14ac:dyDescent="0.25">
      <c r="A966" s="125">
        <f t="shared" si="44"/>
        <v>951</v>
      </c>
      <c r="B966" s="121">
        <f t="shared" ca="1" si="42"/>
        <v>70.204886139610011</v>
      </c>
      <c r="C966" s="128">
        <f t="shared" ca="1" si="43"/>
        <v>1</v>
      </c>
    </row>
    <row r="967" spans="1:3" x14ac:dyDescent="0.25">
      <c r="A967" s="125">
        <f t="shared" si="44"/>
        <v>952</v>
      </c>
      <c r="B967" s="121">
        <f t="shared" ca="1" si="42"/>
        <v>51.405403723538441</v>
      </c>
      <c r="C967" s="128">
        <f t="shared" ca="1" si="43"/>
        <v>1</v>
      </c>
    </row>
    <row r="968" spans="1:3" x14ac:dyDescent="0.25">
      <c r="A968" s="125">
        <f t="shared" si="44"/>
        <v>953</v>
      </c>
      <c r="B968" s="121">
        <f t="shared" ca="1" si="42"/>
        <v>-27.92747997010467</v>
      </c>
      <c r="C968" s="128">
        <f t="shared" ca="1" si="43"/>
        <v>0</v>
      </c>
    </row>
    <row r="969" spans="1:3" x14ac:dyDescent="0.25">
      <c r="A969" s="125">
        <f t="shared" si="44"/>
        <v>954</v>
      </c>
      <c r="B969" s="121">
        <f t="shared" ca="1" si="42"/>
        <v>62.969966120363239</v>
      </c>
      <c r="C969" s="128">
        <f t="shared" ca="1" si="43"/>
        <v>1</v>
      </c>
    </row>
    <row r="970" spans="1:3" x14ac:dyDescent="0.25">
      <c r="A970" s="125">
        <f t="shared" si="44"/>
        <v>955</v>
      </c>
      <c r="B970" s="121">
        <f t="shared" ca="1" si="42"/>
        <v>49.174520014119295</v>
      </c>
      <c r="C970" s="128">
        <f t="shared" ca="1" si="43"/>
        <v>1</v>
      </c>
    </row>
    <row r="971" spans="1:3" x14ac:dyDescent="0.25">
      <c r="A971" s="125">
        <f t="shared" si="44"/>
        <v>956</v>
      </c>
      <c r="B971" s="121">
        <f t="shared" ca="1" si="42"/>
        <v>16.925140251142544</v>
      </c>
      <c r="C971" s="128">
        <f t="shared" ca="1" si="43"/>
        <v>0</v>
      </c>
    </row>
    <row r="972" spans="1:3" x14ac:dyDescent="0.25">
      <c r="A972" s="125">
        <f t="shared" si="44"/>
        <v>957</v>
      </c>
      <c r="B972" s="121">
        <f t="shared" ca="1" si="42"/>
        <v>-11.865288467058328</v>
      </c>
      <c r="C972" s="128">
        <f t="shared" ca="1" si="43"/>
        <v>0</v>
      </c>
    </row>
    <row r="973" spans="1:3" x14ac:dyDescent="0.25">
      <c r="A973" s="125">
        <f t="shared" si="44"/>
        <v>958</v>
      </c>
      <c r="B973" s="121">
        <f t="shared" ca="1" si="42"/>
        <v>24.296629357548454</v>
      </c>
      <c r="C973" s="128">
        <f t="shared" ca="1" si="43"/>
        <v>0</v>
      </c>
    </row>
    <row r="974" spans="1:3" x14ac:dyDescent="0.25">
      <c r="A974" s="125">
        <f t="shared" si="44"/>
        <v>959</v>
      </c>
      <c r="B974" s="121">
        <f t="shared" ca="1" si="42"/>
        <v>37.418239156498579</v>
      </c>
      <c r="C974" s="128">
        <f t="shared" ca="1" si="43"/>
        <v>1</v>
      </c>
    </row>
    <row r="975" spans="1:3" x14ac:dyDescent="0.25">
      <c r="A975" s="125">
        <f t="shared" si="44"/>
        <v>960</v>
      </c>
      <c r="B975" s="121">
        <f t="shared" ca="1" si="42"/>
        <v>35.80999701110408</v>
      </c>
      <c r="C975" s="128">
        <f t="shared" ca="1" si="43"/>
        <v>1</v>
      </c>
    </row>
    <row r="976" spans="1:3" x14ac:dyDescent="0.25">
      <c r="A976" s="125">
        <f t="shared" si="44"/>
        <v>961</v>
      </c>
      <c r="B976" s="121">
        <f t="shared" ca="1" si="42"/>
        <v>-7.6283566799701816</v>
      </c>
      <c r="C976" s="128">
        <f t="shared" ca="1" si="43"/>
        <v>0</v>
      </c>
    </row>
    <row r="977" spans="1:3" x14ac:dyDescent="0.25">
      <c r="A977" s="125">
        <f t="shared" si="44"/>
        <v>962</v>
      </c>
      <c r="B977" s="121">
        <f t="shared" ref="B977:B1015" ca="1" si="45">_xlfn.NORM.INV(RAND(), $B$9, $B$10)</f>
        <v>69.402326167867614</v>
      </c>
      <c r="C977" s="128">
        <f t="shared" ref="C977:C1015" ca="1" si="46">IF(B977 &gt;= $B$11, 1, 0)</f>
        <v>1</v>
      </c>
    </row>
    <row r="978" spans="1:3" x14ac:dyDescent="0.25">
      <c r="A978" s="125">
        <f t="shared" ref="A978:A1015" si="47">+A977+1</f>
        <v>963</v>
      </c>
      <c r="B978" s="121">
        <f t="shared" ca="1" si="45"/>
        <v>-8.3466892691254344</v>
      </c>
      <c r="C978" s="128">
        <f t="shared" ca="1" si="46"/>
        <v>0</v>
      </c>
    </row>
    <row r="979" spans="1:3" x14ac:dyDescent="0.25">
      <c r="A979" s="125">
        <f t="shared" si="47"/>
        <v>964</v>
      </c>
      <c r="B979" s="121">
        <f t="shared" ca="1" si="45"/>
        <v>-2.0618442341640346</v>
      </c>
      <c r="C979" s="128">
        <f t="shared" ca="1" si="46"/>
        <v>0</v>
      </c>
    </row>
    <row r="980" spans="1:3" x14ac:dyDescent="0.25">
      <c r="A980" s="125">
        <f t="shared" si="47"/>
        <v>965</v>
      </c>
      <c r="B980" s="121">
        <f t="shared" ca="1" si="45"/>
        <v>45.048096193914006</v>
      </c>
      <c r="C980" s="128">
        <f t="shared" ca="1" si="46"/>
        <v>1</v>
      </c>
    </row>
    <row r="981" spans="1:3" x14ac:dyDescent="0.25">
      <c r="A981" s="125">
        <f t="shared" si="47"/>
        <v>966</v>
      </c>
      <c r="B981" s="121">
        <f t="shared" ca="1" si="45"/>
        <v>41.973402047218194</v>
      </c>
      <c r="C981" s="128">
        <f t="shared" ca="1" si="46"/>
        <v>1</v>
      </c>
    </row>
    <row r="982" spans="1:3" x14ac:dyDescent="0.25">
      <c r="A982" s="125">
        <f t="shared" si="47"/>
        <v>967</v>
      </c>
      <c r="B982" s="121">
        <f t="shared" ca="1" si="45"/>
        <v>1.1408271469811382</v>
      </c>
      <c r="C982" s="128">
        <f t="shared" ca="1" si="46"/>
        <v>0</v>
      </c>
    </row>
    <row r="983" spans="1:3" x14ac:dyDescent="0.25">
      <c r="A983" s="125">
        <f t="shared" si="47"/>
        <v>968</v>
      </c>
      <c r="B983" s="121">
        <f t="shared" ca="1" si="45"/>
        <v>37.215476525182254</v>
      </c>
      <c r="C983" s="128">
        <f t="shared" ca="1" si="46"/>
        <v>1</v>
      </c>
    </row>
    <row r="984" spans="1:3" x14ac:dyDescent="0.25">
      <c r="A984" s="125">
        <f t="shared" si="47"/>
        <v>969</v>
      </c>
      <c r="B984" s="121">
        <f t="shared" ca="1" si="45"/>
        <v>33.286519734755807</v>
      </c>
      <c r="C984" s="128">
        <f t="shared" ca="1" si="46"/>
        <v>1</v>
      </c>
    </row>
    <row r="985" spans="1:3" x14ac:dyDescent="0.25">
      <c r="A985" s="125">
        <f t="shared" si="47"/>
        <v>970</v>
      </c>
      <c r="B985" s="121">
        <f t="shared" ca="1" si="45"/>
        <v>48.19314391333365</v>
      </c>
      <c r="C985" s="128">
        <f t="shared" ca="1" si="46"/>
        <v>1</v>
      </c>
    </row>
    <row r="986" spans="1:3" x14ac:dyDescent="0.25">
      <c r="A986" s="125">
        <f t="shared" si="47"/>
        <v>971</v>
      </c>
      <c r="B986" s="121">
        <f t="shared" ca="1" si="45"/>
        <v>12.681759026333388</v>
      </c>
      <c r="C986" s="128">
        <f t="shared" ca="1" si="46"/>
        <v>0</v>
      </c>
    </row>
    <row r="987" spans="1:3" x14ac:dyDescent="0.25">
      <c r="A987" s="125">
        <f t="shared" si="47"/>
        <v>972</v>
      </c>
      <c r="B987" s="121">
        <f t="shared" ca="1" si="45"/>
        <v>36.315505332611423</v>
      </c>
      <c r="C987" s="128">
        <f t="shared" ca="1" si="46"/>
        <v>1</v>
      </c>
    </row>
    <row r="988" spans="1:3" x14ac:dyDescent="0.25">
      <c r="A988" s="125">
        <f t="shared" si="47"/>
        <v>973</v>
      </c>
      <c r="B988" s="121">
        <f t="shared" ca="1" si="45"/>
        <v>44.611815050201997</v>
      </c>
      <c r="C988" s="128">
        <f t="shared" ca="1" si="46"/>
        <v>1</v>
      </c>
    </row>
    <row r="989" spans="1:3" x14ac:dyDescent="0.25">
      <c r="A989" s="125">
        <f t="shared" si="47"/>
        <v>974</v>
      </c>
      <c r="B989" s="121">
        <f t="shared" ca="1" si="45"/>
        <v>33.293513690444847</v>
      </c>
      <c r="C989" s="128">
        <f t="shared" ca="1" si="46"/>
        <v>1</v>
      </c>
    </row>
    <row r="990" spans="1:3" x14ac:dyDescent="0.25">
      <c r="A990" s="125">
        <f t="shared" si="47"/>
        <v>975</v>
      </c>
      <c r="B990" s="121">
        <f t="shared" ca="1" si="45"/>
        <v>9.5084820820658251</v>
      </c>
      <c r="C990" s="128">
        <f t="shared" ca="1" si="46"/>
        <v>0</v>
      </c>
    </row>
    <row r="991" spans="1:3" x14ac:dyDescent="0.25">
      <c r="A991" s="125">
        <f t="shared" si="47"/>
        <v>976</v>
      </c>
      <c r="B991" s="121">
        <f t="shared" ca="1" si="45"/>
        <v>31.333478984429853</v>
      </c>
      <c r="C991" s="128">
        <f t="shared" ca="1" si="46"/>
        <v>1</v>
      </c>
    </row>
    <row r="992" spans="1:3" x14ac:dyDescent="0.25">
      <c r="A992" s="125">
        <f t="shared" si="47"/>
        <v>977</v>
      </c>
      <c r="B992" s="121">
        <f t="shared" ca="1" si="45"/>
        <v>86.462742835355769</v>
      </c>
      <c r="C992" s="128">
        <f t="shared" ca="1" si="46"/>
        <v>1</v>
      </c>
    </row>
    <row r="993" spans="1:3" x14ac:dyDescent="0.25">
      <c r="A993" s="125">
        <f t="shared" si="47"/>
        <v>978</v>
      </c>
      <c r="B993" s="121">
        <f t="shared" ca="1" si="45"/>
        <v>30.380417656920208</v>
      </c>
      <c r="C993" s="128">
        <f t="shared" ca="1" si="46"/>
        <v>1</v>
      </c>
    </row>
    <row r="994" spans="1:3" x14ac:dyDescent="0.25">
      <c r="A994" s="125">
        <f t="shared" si="47"/>
        <v>979</v>
      </c>
      <c r="B994" s="121">
        <f t="shared" ca="1" si="45"/>
        <v>36.622582149492359</v>
      </c>
      <c r="C994" s="128">
        <f t="shared" ca="1" si="46"/>
        <v>1</v>
      </c>
    </row>
    <row r="995" spans="1:3" x14ac:dyDescent="0.25">
      <c r="A995" s="125">
        <f t="shared" si="47"/>
        <v>980</v>
      </c>
      <c r="B995" s="121">
        <f t="shared" ca="1" si="45"/>
        <v>70.493829033201266</v>
      </c>
      <c r="C995" s="128">
        <f t="shared" ca="1" si="46"/>
        <v>1</v>
      </c>
    </row>
    <row r="996" spans="1:3" x14ac:dyDescent="0.25">
      <c r="A996" s="125">
        <f t="shared" si="47"/>
        <v>981</v>
      </c>
      <c r="B996" s="121">
        <f t="shared" ca="1" si="45"/>
        <v>70.82051841963164</v>
      </c>
      <c r="C996" s="128">
        <f t="shared" ca="1" si="46"/>
        <v>1</v>
      </c>
    </row>
    <row r="997" spans="1:3" x14ac:dyDescent="0.25">
      <c r="A997" s="125">
        <f t="shared" si="47"/>
        <v>982</v>
      </c>
      <c r="B997" s="121">
        <f t="shared" ca="1" si="45"/>
        <v>38.070661054005676</v>
      </c>
      <c r="C997" s="128">
        <f t="shared" ca="1" si="46"/>
        <v>1</v>
      </c>
    </row>
    <row r="998" spans="1:3" x14ac:dyDescent="0.25">
      <c r="A998" s="125">
        <f t="shared" si="47"/>
        <v>983</v>
      </c>
      <c r="B998" s="121">
        <f t="shared" ca="1" si="45"/>
        <v>51.574675298414661</v>
      </c>
      <c r="C998" s="128">
        <f t="shared" ca="1" si="46"/>
        <v>1</v>
      </c>
    </row>
    <row r="999" spans="1:3" x14ac:dyDescent="0.25">
      <c r="A999" s="125">
        <f t="shared" si="47"/>
        <v>984</v>
      </c>
      <c r="B999" s="121">
        <f t="shared" ca="1" si="45"/>
        <v>48.388404734046929</v>
      </c>
      <c r="C999" s="128">
        <f t="shared" ca="1" si="46"/>
        <v>1</v>
      </c>
    </row>
    <row r="1000" spans="1:3" x14ac:dyDescent="0.25">
      <c r="A1000" s="125">
        <f t="shared" si="47"/>
        <v>985</v>
      </c>
      <c r="B1000" s="121">
        <f t="shared" ca="1" si="45"/>
        <v>25.997155938231899</v>
      </c>
      <c r="C1000" s="128">
        <f t="shared" ca="1" si="46"/>
        <v>1</v>
      </c>
    </row>
    <row r="1001" spans="1:3" x14ac:dyDescent="0.25">
      <c r="A1001" s="125">
        <f t="shared" si="47"/>
        <v>986</v>
      </c>
      <c r="B1001" s="121">
        <f t="shared" ca="1" si="45"/>
        <v>58.006604254690203</v>
      </c>
      <c r="C1001" s="128">
        <f t="shared" ca="1" si="46"/>
        <v>1</v>
      </c>
    </row>
    <row r="1002" spans="1:3" x14ac:dyDescent="0.25">
      <c r="A1002" s="125">
        <f t="shared" si="47"/>
        <v>987</v>
      </c>
      <c r="B1002" s="121">
        <f t="shared" ca="1" si="45"/>
        <v>13.73374658704433</v>
      </c>
      <c r="C1002" s="128">
        <f t="shared" ca="1" si="46"/>
        <v>0</v>
      </c>
    </row>
    <row r="1003" spans="1:3" x14ac:dyDescent="0.25">
      <c r="A1003" s="125">
        <f t="shared" si="47"/>
        <v>988</v>
      </c>
      <c r="B1003" s="121">
        <f t="shared" ca="1" si="45"/>
        <v>60.857840196873248</v>
      </c>
      <c r="C1003" s="128">
        <f t="shared" ca="1" si="46"/>
        <v>1</v>
      </c>
    </row>
    <row r="1004" spans="1:3" x14ac:dyDescent="0.25">
      <c r="A1004" s="125">
        <f t="shared" si="47"/>
        <v>989</v>
      </c>
      <c r="B1004" s="121">
        <f t="shared" ca="1" si="45"/>
        <v>42.715187234564425</v>
      </c>
      <c r="C1004" s="128">
        <f t="shared" ca="1" si="46"/>
        <v>1</v>
      </c>
    </row>
    <row r="1005" spans="1:3" x14ac:dyDescent="0.25">
      <c r="A1005" s="125">
        <f t="shared" si="47"/>
        <v>990</v>
      </c>
      <c r="B1005" s="121">
        <f t="shared" ca="1" si="45"/>
        <v>60.385264774255887</v>
      </c>
      <c r="C1005" s="128">
        <f t="shared" ca="1" si="46"/>
        <v>1</v>
      </c>
    </row>
    <row r="1006" spans="1:3" x14ac:dyDescent="0.25">
      <c r="A1006" s="125">
        <f t="shared" si="47"/>
        <v>991</v>
      </c>
      <c r="B1006" s="121">
        <f t="shared" ca="1" si="45"/>
        <v>10.367434479370214</v>
      </c>
      <c r="C1006" s="128">
        <f t="shared" ca="1" si="46"/>
        <v>0</v>
      </c>
    </row>
    <row r="1007" spans="1:3" x14ac:dyDescent="0.25">
      <c r="A1007" s="125">
        <f t="shared" si="47"/>
        <v>992</v>
      </c>
      <c r="B1007" s="121">
        <f t="shared" ca="1" si="45"/>
        <v>10.698097221198843</v>
      </c>
      <c r="C1007" s="128">
        <f t="shared" ca="1" si="46"/>
        <v>0</v>
      </c>
    </row>
    <row r="1008" spans="1:3" x14ac:dyDescent="0.25">
      <c r="A1008" s="125">
        <f t="shared" si="47"/>
        <v>993</v>
      </c>
      <c r="B1008" s="121">
        <f t="shared" ca="1" si="45"/>
        <v>78.161515414971774</v>
      </c>
      <c r="C1008" s="128">
        <f t="shared" ca="1" si="46"/>
        <v>1</v>
      </c>
    </row>
    <row r="1009" spans="1:3" x14ac:dyDescent="0.25">
      <c r="A1009" s="125">
        <f t="shared" si="47"/>
        <v>994</v>
      </c>
      <c r="B1009" s="121">
        <f t="shared" ca="1" si="45"/>
        <v>27.667367328102511</v>
      </c>
      <c r="C1009" s="128">
        <f t="shared" ca="1" si="46"/>
        <v>1</v>
      </c>
    </row>
    <row r="1010" spans="1:3" x14ac:dyDescent="0.25">
      <c r="A1010" s="125">
        <f t="shared" si="47"/>
        <v>995</v>
      </c>
      <c r="B1010" s="121">
        <f t="shared" ca="1" si="45"/>
        <v>2.6002820468425156</v>
      </c>
      <c r="C1010" s="128">
        <f t="shared" ca="1" si="46"/>
        <v>0</v>
      </c>
    </row>
    <row r="1011" spans="1:3" x14ac:dyDescent="0.25">
      <c r="A1011" s="125">
        <f t="shared" si="47"/>
        <v>996</v>
      </c>
      <c r="B1011" s="121">
        <f t="shared" ca="1" si="45"/>
        <v>10.470443113758069</v>
      </c>
      <c r="C1011" s="128">
        <f t="shared" ca="1" si="46"/>
        <v>0</v>
      </c>
    </row>
    <row r="1012" spans="1:3" x14ac:dyDescent="0.25">
      <c r="A1012" s="125">
        <f t="shared" si="47"/>
        <v>997</v>
      </c>
      <c r="B1012" s="121">
        <f t="shared" ca="1" si="45"/>
        <v>44.551684739257766</v>
      </c>
      <c r="C1012" s="128">
        <f t="shared" ca="1" si="46"/>
        <v>1</v>
      </c>
    </row>
    <row r="1013" spans="1:3" x14ac:dyDescent="0.25">
      <c r="A1013" s="125">
        <f t="shared" si="47"/>
        <v>998</v>
      </c>
      <c r="B1013" s="121">
        <f t="shared" ca="1" si="45"/>
        <v>30.291683015831111</v>
      </c>
      <c r="C1013" s="128">
        <f t="shared" ca="1" si="46"/>
        <v>1</v>
      </c>
    </row>
    <row r="1014" spans="1:3" x14ac:dyDescent="0.25">
      <c r="A1014" s="125">
        <f t="shared" si="47"/>
        <v>999</v>
      </c>
      <c r="B1014" s="121">
        <f t="shared" ca="1" si="45"/>
        <v>51.438219808755861</v>
      </c>
      <c r="C1014" s="128">
        <f t="shared" ca="1" si="46"/>
        <v>1</v>
      </c>
    </row>
    <row r="1015" spans="1:3" ht="15.75" thickBot="1" x14ac:dyDescent="0.3">
      <c r="A1015" s="126">
        <f t="shared" si="47"/>
        <v>1000</v>
      </c>
      <c r="B1015" s="123">
        <f t="shared" ca="1" si="45"/>
        <v>18.37868541454284</v>
      </c>
      <c r="C1015" s="129">
        <f t="shared" ca="1" si="46"/>
        <v>0</v>
      </c>
    </row>
  </sheetData>
  <mergeCells count="4">
    <mergeCell ref="A1:G1"/>
    <mergeCell ref="A2:G2"/>
    <mergeCell ref="A6:B6"/>
    <mergeCell ref="F6:G6"/>
  </mergeCells>
  <conditionalFormatting sqref="A16:C1015">
    <cfRule type="expression" dxfId="0" priority="1">
      <formula>MOD(ROW(),2)=0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5301-4D04-4A5F-82D0-248D35F15BF4}">
  <dimension ref="A1:U34"/>
  <sheetViews>
    <sheetView zoomScale="85" zoomScaleNormal="85" workbookViewId="0">
      <selection activeCell="D5" sqref="D5"/>
    </sheetView>
  </sheetViews>
  <sheetFormatPr defaultRowHeight="15" x14ac:dyDescent="0.25"/>
  <cols>
    <col min="1" max="1" width="15.28515625" customWidth="1"/>
    <col min="2" max="2" width="11.42578125" customWidth="1"/>
    <col min="3" max="3" width="8.42578125" customWidth="1"/>
    <col min="4" max="4" width="18" bestFit="1" customWidth="1"/>
    <col min="5" max="5" width="11" customWidth="1"/>
    <col min="6" max="6" width="17.7109375" bestFit="1" customWidth="1"/>
    <col min="7" max="7" width="13.28515625" customWidth="1"/>
    <col min="8" max="8" width="13.140625" bestFit="1" customWidth="1"/>
    <col min="9" max="9" width="9.7109375" bestFit="1" customWidth="1"/>
    <col min="10" max="10" width="13.28515625" customWidth="1"/>
    <col min="11" max="11" width="15.5703125" customWidth="1"/>
    <col min="12" max="12" width="13.28515625" customWidth="1"/>
    <col min="13" max="13" width="15.5703125" customWidth="1"/>
    <col min="14" max="14" width="10.5703125" bestFit="1" customWidth="1"/>
    <col min="15" max="15" width="15.28515625" customWidth="1"/>
    <col min="16" max="16" width="15.5703125" customWidth="1"/>
    <col min="20" max="21" width="16.28515625" customWidth="1"/>
  </cols>
  <sheetData>
    <row r="1" spans="1:21" ht="32.1" customHeight="1" x14ac:dyDescent="0.4">
      <c r="A1" s="269" t="s">
        <v>41</v>
      </c>
      <c r="B1" s="269"/>
      <c r="C1" s="267" t="s">
        <v>33</v>
      </c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</row>
    <row r="2" spans="1:21" ht="18" customHeight="1" x14ac:dyDescent="0.25">
      <c r="A2" s="270" t="s">
        <v>42</v>
      </c>
      <c r="B2" s="270"/>
      <c r="C2" s="268" t="s">
        <v>164</v>
      </c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</row>
    <row r="3" spans="1:21" ht="8.1" customHeight="1" x14ac:dyDescent="0.25"/>
    <row r="4" spans="1:21" ht="20.100000000000001" customHeight="1" x14ac:dyDescent="0.25">
      <c r="A4" s="271" t="s">
        <v>43</v>
      </c>
      <c r="B4" s="271"/>
      <c r="C4" s="14" t="s">
        <v>34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21" ht="21.95" customHeight="1" x14ac:dyDescent="0.25">
      <c r="A5" s="272"/>
      <c r="B5" s="272"/>
      <c r="D5" s="16" t="s">
        <v>35</v>
      </c>
      <c r="E5" s="17">
        <v>0.12</v>
      </c>
      <c r="F5" s="16" t="s">
        <v>36</v>
      </c>
      <c r="G5" s="17">
        <v>0.5</v>
      </c>
      <c r="H5" s="16" t="s">
        <v>37</v>
      </c>
      <c r="I5" s="106">
        <v>6740</v>
      </c>
      <c r="J5" s="16" t="s">
        <v>38</v>
      </c>
      <c r="K5" s="17">
        <v>0.21</v>
      </c>
      <c r="L5" s="16" t="s">
        <v>39</v>
      </c>
      <c r="M5" s="18">
        <v>2029</v>
      </c>
      <c r="N5" s="16" t="s">
        <v>40</v>
      </c>
      <c r="O5" s="18">
        <v>2040</v>
      </c>
    </row>
    <row r="6" spans="1:21" ht="8.1" customHeight="1" thickBot="1" x14ac:dyDescent="0.3"/>
    <row r="7" spans="1:21" ht="20.100000000000001" customHeight="1" x14ac:dyDescent="0.25">
      <c r="A7" s="261" t="s">
        <v>44</v>
      </c>
      <c r="B7" s="262"/>
      <c r="C7" s="101" t="s">
        <v>13</v>
      </c>
      <c r="D7" s="20" t="s">
        <v>14</v>
      </c>
      <c r="E7" s="20" t="s">
        <v>15</v>
      </c>
      <c r="F7" s="20" t="s">
        <v>16</v>
      </c>
      <c r="G7" s="20" t="s">
        <v>17</v>
      </c>
      <c r="H7" s="20" t="s">
        <v>18</v>
      </c>
      <c r="I7" s="20" t="s">
        <v>19</v>
      </c>
      <c r="J7" s="20" t="s">
        <v>20</v>
      </c>
      <c r="K7" s="20" t="s">
        <v>21</v>
      </c>
      <c r="L7" s="20" t="s">
        <v>22</v>
      </c>
      <c r="M7" s="20" t="s">
        <v>23</v>
      </c>
      <c r="N7" s="20" t="s">
        <v>24</v>
      </c>
      <c r="O7" s="20" t="s">
        <v>25</v>
      </c>
      <c r="P7" s="21" t="s">
        <v>26</v>
      </c>
      <c r="R7" s="4" t="s">
        <v>13</v>
      </c>
      <c r="S7" s="4" t="s">
        <v>14</v>
      </c>
      <c r="T7" s="4" t="s">
        <v>31</v>
      </c>
      <c r="U7" s="4" t="s">
        <v>32</v>
      </c>
    </row>
    <row r="8" spans="1:21" ht="36" customHeight="1" x14ac:dyDescent="0.45">
      <c r="A8" s="263" t="s">
        <v>45</v>
      </c>
      <c r="B8" s="264"/>
      <c r="C8" s="22">
        <v>2026</v>
      </c>
      <c r="D8" s="23" t="s">
        <v>27</v>
      </c>
      <c r="E8" s="24">
        <v>0</v>
      </c>
      <c r="F8" s="24">
        <v>0</v>
      </c>
      <c r="G8" s="24">
        <v>0</v>
      </c>
      <c r="H8" s="25">
        <v>-40</v>
      </c>
      <c r="I8" s="24">
        <v>0</v>
      </c>
      <c r="J8" s="25">
        <f>+F8+SUM(G8:I8)</f>
        <v>-40</v>
      </c>
      <c r="K8" s="26">
        <v>56.4</v>
      </c>
      <c r="L8" s="24">
        <v>0</v>
      </c>
      <c r="M8" s="25">
        <f>+J8</f>
        <v>-40</v>
      </c>
      <c r="N8" s="24" t="s">
        <v>28</v>
      </c>
      <c r="O8" s="24">
        <f>+M8</f>
        <v>-40</v>
      </c>
      <c r="P8" s="27">
        <v>-35.4</v>
      </c>
      <c r="R8" s="8">
        <v>2026</v>
      </c>
      <c r="S8" s="5" t="s">
        <v>27</v>
      </c>
      <c r="T8" s="11">
        <v>-40</v>
      </c>
      <c r="U8" s="11">
        <v>-35.4</v>
      </c>
    </row>
    <row r="9" spans="1:21" ht="15.95" customHeight="1" x14ac:dyDescent="0.25">
      <c r="A9" s="265" t="s">
        <v>46</v>
      </c>
      <c r="B9" s="266"/>
      <c r="C9" s="102">
        <f>+C8+1</f>
        <v>2027</v>
      </c>
      <c r="D9" s="28" t="s">
        <v>27</v>
      </c>
      <c r="E9" s="29">
        <v>0</v>
      </c>
      <c r="F9" s="29">
        <v>0</v>
      </c>
      <c r="G9" s="29">
        <v>0</v>
      </c>
      <c r="H9" s="30">
        <v>-40</v>
      </c>
      <c r="I9" s="29">
        <v>0</v>
      </c>
      <c r="J9" s="30">
        <f t="shared" ref="J9:J27" si="0">+F9+SUM(G9:I9)</f>
        <v>-40</v>
      </c>
      <c r="K9" s="31">
        <v>96.4</v>
      </c>
      <c r="L9" s="29">
        <v>0</v>
      </c>
      <c r="M9" s="30">
        <f t="shared" ref="M9:M10" si="1">+J9</f>
        <v>-40</v>
      </c>
      <c r="N9" s="29" t="s">
        <v>28</v>
      </c>
      <c r="O9" s="29">
        <f t="shared" ref="O9:O10" si="2">+M9</f>
        <v>-40</v>
      </c>
      <c r="P9" s="32">
        <v>-66.7</v>
      </c>
      <c r="R9" s="8">
        <v>2027</v>
      </c>
      <c r="S9" s="5" t="s">
        <v>27</v>
      </c>
      <c r="T9" s="11">
        <v>-40</v>
      </c>
      <c r="U9" s="11">
        <v>-66.7</v>
      </c>
    </row>
    <row r="10" spans="1:21" ht="16.5" customHeight="1" thickBot="1" x14ac:dyDescent="0.3">
      <c r="C10" s="103">
        <f t="shared" ref="C10:C27" si="3">+C9+1</f>
        <v>2028</v>
      </c>
      <c r="D10" s="33" t="s">
        <v>27</v>
      </c>
      <c r="E10" s="34">
        <v>0</v>
      </c>
      <c r="F10" s="34">
        <v>0</v>
      </c>
      <c r="G10" s="34">
        <v>0</v>
      </c>
      <c r="H10" s="35">
        <v>-40</v>
      </c>
      <c r="I10" s="34">
        <v>0</v>
      </c>
      <c r="J10" s="35">
        <f t="shared" si="0"/>
        <v>-40</v>
      </c>
      <c r="K10" s="36">
        <v>136.4</v>
      </c>
      <c r="L10" s="34">
        <v>0</v>
      </c>
      <c r="M10" s="35">
        <f t="shared" si="1"/>
        <v>-40</v>
      </c>
      <c r="N10" s="34" t="s">
        <v>28</v>
      </c>
      <c r="O10" s="34">
        <f t="shared" si="2"/>
        <v>-40</v>
      </c>
      <c r="P10" s="37">
        <v>-94.4</v>
      </c>
      <c r="R10" s="8">
        <v>2028</v>
      </c>
      <c r="S10" s="5" t="s">
        <v>27</v>
      </c>
      <c r="T10" s="11">
        <v>-40</v>
      </c>
      <c r="U10" s="11">
        <v>-94.4</v>
      </c>
    </row>
    <row r="11" spans="1:21" ht="20.100000000000001" customHeight="1" x14ac:dyDescent="0.25">
      <c r="A11" s="249" t="s">
        <v>47</v>
      </c>
      <c r="B11" s="250"/>
      <c r="C11" s="104">
        <f t="shared" si="3"/>
        <v>2029</v>
      </c>
      <c r="D11" s="38" t="s">
        <v>29</v>
      </c>
      <c r="E11" s="39">
        <v>1.4999999999999999E-2</v>
      </c>
      <c r="F11" s="40">
        <v>56.5</v>
      </c>
      <c r="G11" s="41">
        <v>-4.5</v>
      </c>
      <c r="H11" s="40">
        <v>0</v>
      </c>
      <c r="I11" s="41">
        <v>-31.1</v>
      </c>
      <c r="J11" s="40">
        <f t="shared" si="0"/>
        <v>20.9</v>
      </c>
      <c r="K11" s="42">
        <v>176.4</v>
      </c>
      <c r="L11" s="43">
        <f>-J11*0.045</f>
        <v>-0.94049999999999989</v>
      </c>
      <c r="M11" s="42">
        <f t="shared" ref="M11:M27" si="4">+J11+L11</f>
        <v>19.959499999999998</v>
      </c>
      <c r="N11" s="40">
        <v>0.5</v>
      </c>
      <c r="O11" s="40">
        <f>+M11*N11</f>
        <v>9.9797499999999992</v>
      </c>
      <c r="P11" s="44">
        <v>-88.3</v>
      </c>
      <c r="R11" s="9">
        <v>2029</v>
      </c>
      <c r="S11" s="6" t="s">
        <v>29</v>
      </c>
      <c r="T11" s="12">
        <v>9.98</v>
      </c>
      <c r="U11" s="12">
        <v>-88.3</v>
      </c>
    </row>
    <row r="12" spans="1:21" ht="30" customHeight="1" x14ac:dyDescent="0.35">
      <c r="A12" s="251" t="s">
        <v>48</v>
      </c>
      <c r="B12" s="252"/>
      <c r="C12" s="45">
        <f t="shared" si="3"/>
        <v>2030</v>
      </c>
      <c r="D12" s="46" t="s">
        <v>29</v>
      </c>
      <c r="E12" s="47">
        <v>3.7999999999999999E-2</v>
      </c>
      <c r="F12" s="48">
        <v>144.9</v>
      </c>
      <c r="G12" s="49">
        <v>-11.6</v>
      </c>
      <c r="H12" s="48">
        <v>0</v>
      </c>
      <c r="I12" s="49">
        <v>-79.900000000000006</v>
      </c>
      <c r="J12" s="48">
        <f t="shared" si="0"/>
        <v>53.400000000000006</v>
      </c>
      <c r="K12" s="50">
        <v>159.69999999999999</v>
      </c>
      <c r="L12" s="51">
        <f>-J12*0.045</f>
        <v>-2.403</v>
      </c>
      <c r="M12" s="50">
        <f t="shared" si="4"/>
        <v>50.997000000000007</v>
      </c>
      <c r="N12" s="48">
        <v>0.5</v>
      </c>
      <c r="O12" s="48">
        <f t="shared" ref="O12:O27" si="5">+M12*N12</f>
        <v>25.498500000000003</v>
      </c>
      <c r="P12" s="52">
        <v>-74.400000000000006</v>
      </c>
      <c r="R12" s="9">
        <v>2030</v>
      </c>
      <c r="S12" s="6" t="s">
        <v>29</v>
      </c>
      <c r="T12" s="12">
        <v>25.5</v>
      </c>
      <c r="U12" s="12">
        <v>-74.400000000000006</v>
      </c>
    </row>
    <row r="13" spans="1:21" ht="15.95" customHeight="1" x14ac:dyDescent="0.25">
      <c r="A13" s="253" t="s">
        <v>49</v>
      </c>
      <c r="B13" s="254"/>
      <c r="C13" s="105">
        <f t="shared" si="3"/>
        <v>2031</v>
      </c>
      <c r="D13" s="46" t="s">
        <v>29</v>
      </c>
      <c r="E13" s="47">
        <v>0.06</v>
      </c>
      <c r="F13" s="48">
        <v>237.6</v>
      </c>
      <c r="G13" s="49">
        <v>-19</v>
      </c>
      <c r="H13" s="48">
        <v>0</v>
      </c>
      <c r="I13" s="49">
        <v>-130.69999999999999</v>
      </c>
      <c r="J13" s="48">
        <f t="shared" si="0"/>
        <v>87.9</v>
      </c>
      <c r="K13" s="50">
        <v>116.8</v>
      </c>
      <c r="L13" s="51">
        <f>-J13*0.045</f>
        <v>-3.9555000000000002</v>
      </c>
      <c r="M13" s="50">
        <f t="shared" si="4"/>
        <v>83.944500000000005</v>
      </c>
      <c r="N13" s="48">
        <v>0.5</v>
      </c>
      <c r="O13" s="48">
        <f t="shared" si="5"/>
        <v>41.972250000000003</v>
      </c>
      <c r="P13" s="52">
        <v>-54.1</v>
      </c>
      <c r="R13" s="9">
        <v>2031</v>
      </c>
      <c r="S13" s="6" t="s">
        <v>29</v>
      </c>
      <c r="T13" s="12">
        <v>41.97</v>
      </c>
      <c r="U13" s="12">
        <v>-54.1</v>
      </c>
    </row>
    <row r="14" spans="1:21" ht="18" customHeight="1" x14ac:dyDescent="0.25">
      <c r="C14" s="105">
        <f t="shared" si="3"/>
        <v>2032</v>
      </c>
      <c r="D14" s="46" t="s">
        <v>29</v>
      </c>
      <c r="E14" s="47">
        <v>8.3000000000000004E-2</v>
      </c>
      <c r="F14" s="48">
        <v>334.9</v>
      </c>
      <c r="G14" s="49">
        <v>-26.8</v>
      </c>
      <c r="H14" s="48">
        <v>0</v>
      </c>
      <c r="I14" s="49">
        <v>-184.2</v>
      </c>
      <c r="J14" s="48">
        <f t="shared" si="0"/>
        <v>123.89999999999998</v>
      </c>
      <c r="K14" s="50">
        <v>46.5</v>
      </c>
      <c r="L14" s="51">
        <f>-J14*0.13</f>
        <v>-16.106999999999999</v>
      </c>
      <c r="M14" s="50">
        <f t="shared" si="4"/>
        <v>107.79299999999998</v>
      </c>
      <c r="N14" s="48">
        <v>0.5</v>
      </c>
      <c r="O14" s="48">
        <f t="shared" si="5"/>
        <v>53.896499999999989</v>
      </c>
      <c r="P14" s="52">
        <v>-31.3</v>
      </c>
      <c r="R14" s="9">
        <v>2032</v>
      </c>
      <c r="S14" s="6" t="s">
        <v>29</v>
      </c>
      <c r="T14" s="12">
        <v>53.9</v>
      </c>
      <c r="U14" s="12">
        <v>-31.3</v>
      </c>
    </row>
    <row r="15" spans="1:21" ht="20.100000000000001" customHeight="1" x14ac:dyDescent="0.25">
      <c r="A15" s="249" t="s">
        <v>50</v>
      </c>
      <c r="B15" s="250"/>
      <c r="C15" s="105">
        <f t="shared" si="3"/>
        <v>2033</v>
      </c>
      <c r="D15" s="46" t="s">
        <v>29</v>
      </c>
      <c r="E15" s="47">
        <v>0.105</v>
      </c>
      <c r="F15" s="48">
        <v>436.8</v>
      </c>
      <c r="G15" s="49">
        <v>-34.9</v>
      </c>
      <c r="H15" s="48">
        <v>0</v>
      </c>
      <c r="I15" s="49">
        <v>-131.1</v>
      </c>
      <c r="J15" s="48">
        <f t="shared" si="0"/>
        <v>270.8</v>
      </c>
      <c r="K15" s="50">
        <v>0</v>
      </c>
      <c r="L15" s="51">
        <f t="shared" ref="L15:L27" si="6">-J15*0.21</f>
        <v>-56.868000000000002</v>
      </c>
      <c r="M15" s="50">
        <f t="shared" si="4"/>
        <v>213.93200000000002</v>
      </c>
      <c r="N15" s="48">
        <v>0.5</v>
      </c>
      <c r="O15" s="48">
        <f t="shared" si="5"/>
        <v>106.96600000000001</v>
      </c>
      <c r="P15" s="53">
        <v>9</v>
      </c>
      <c r="R15" s="9">
        <v>2033</v>
      </c>
      <c r="S15" s="6" t="s">
        <v>29</v>
      </c>
      <c r="T15" s="12">
        <v>106.97</v>
      </c>
      <c r="U15" s="12">
        <v>9</v>
      </c>
    </row>
    <row r="16" spans="1:21" ht="30" customHeight="1" x14ac:dyDescent="0.35">
      <c r="A16" s="251" t="s">
        <v>51</v>
      </c>
      <c r="B16" s="252"/>
      <c r="C16" s="45">
        <f t="shared" si="3"/>
        <v>2034</v>
      </c>
      <c r="D16" s="46" t="s">
        <v>29</v>
      </c>
      <c r="E16" s="47">
        <v>0.128</v>
      </c>
      <c r="F16" s="48">
        <v>543.70000000000005</v>
      </c>
      <c r="G16" s="49">
        <v>-43.5</v>
      </c>
      <c r="H16" s="48">
        <v>0</v>
      </c>
      <c r="I16" s="49">
        <v>-163.1</v>
      </c>
      <c r="J16" s="48">
        <f t="shared" si="0"/>
        <v>337.1</v>
      </c>
      <c r="K16" s="50">
        <v>0</v>
      </c>
      <c r="L16" s="51">
        <f t="shared" si="6"/>
        <v>-70.790999999999997</v>
      </c>
      <c r="M16" s="50">
        <f t="shared" si="4"/>
        <v>266.30900000000003</v>
      </c>
      <c r="N16" s="48">
        <v>0.5</v>
      </c>
      <c r="O16" s="48">
        <f t="shared" si="5"/>
        <v>133.15450000000001</v>
      </c>
      <c r="P16" s="53">
        <v>53.3</v>
      </c>
      <c r="R16" s="9">
        <v>2034</v>
      </c>
      <c r="S16" s="6" t="s">
        <v>29</v>
      </c>
      <c r="T16" s="12">
        <v>133.15</v>
      </c>
      <c r="U16" s="12">
        <v>53.3</v>
      </c>
    </row>
    <row r="17" spans="1:21" ht="15.95" customHeight="1" x14ac:dyDescent="0.25">
      <c r="A17" s="253" t="s">
        <v>52</v>
      </c>
      <c r="B17" s="254"/>
      <c r="C17" s="45">
        <f t="shared" si="3"/>
        <v>2035</v>
      </c>
      <c r="D17" s="46" t="s">
        <v>29</v>
      </c>
      <c r="E17" s="47">
        <v>0.15</v>
      </c>
      <c r="F17" s="48">
        <v>655.7</v>
      </c>
      <c r="G17" s="49">
        <v>-52.5</v>
      </c>
      <c r="H17" s="48">
        <v>0</v>
      </c>
      <c r="I17" s="49">
        <v>-196.7</v>
      </c>
      <c r="J17" s="48">
        <f t="shared" si="0"/>
        <v>406.50000000000006</v>
      </c>
      <c r="K17" s="50">
        <v>0</v>
      </c>
      <c r="L17" s="51">
        <f t="shared" si="6"/>
        <v>-85.365000000000009</v>
      </c>
      <c r="M17" s="50">
        <f t="shared" si="4"/>
        <v>321.13500000000005</v>
      </c>
      <c r="N17" s="48">
        <v>0.5</v>
      </c>
      <c r="O17" s="48">
        <f t="shared" si="5"/>
        <v>160.56750000000002</v>
      </c>
      <c r="P17" s="53">
        <v>100.6</v>
      </c>
      <c r="R17" s="9">
        <v>2035</v>
      </c>
      <c r="S17" s="6" t="s">
        <v>29</v>
      </c>
      <c r="T17" s="12">
        <v>160.57</v>
      </c>
      <c r="U17" s="12">
        <v>100.6</v>
      </c>
    </row>
    <row r="18" spans="1:21" ht="20.25" customHeight="1" x14ac:dyDescent="0.25">
      <c r="C18" s="45">
        <f t="shared" si="3"/>
        <v>2036</v>
      </c>
      <c r="D18" s="46" t="s">
        <v>29</v>
      </c>
      <c r="E18" s="47">
        <v>0.15</v>
      </c>
      <c r="F18" s="48">
        <v>672</v>
      </c>
      <c r="G18" s="49">
        <v>-53.8</v>
      </c>
      <c r="H18" s="48">
        <v>0</v>
      </c>
      <c r="I18" s="49">
        <v>-201.6</v>
      </c>
      <c r="J18" s="48">
        <f t="shared" si="0"/>
        <v>416.6</v>
      </c>
      <c r="K18" s="50">
        <v>0</v>
      </c>
      <c r="L18" s="51">
        <f t="shared" si="6"/>
        <v>-87.486000000000004</v>
      </c>
      <c r="M18" s="50">
        <f t="shared" si="4"/>
        <v>329.11400000000003</v>
      </c>
      <c r="N18" s="48">
        <v>0.5</v>
      </c>
      <c r="O18" s="48">
        <f t="shared" si="5"/>
        <v>164.55700000000002</v>
      </c>
      <c r="P18" s="53">
        <v>143.5</v>
      </c>
      <c r="R18" s="9">
        <v>2036</v>
      </c>
      <c r="S18" s="6" t="s">
        <v>29</v>
      </c>
      <c r="T18" s="12">
        <v>164.56</v>
      </c>
      <c r="U18" s="12">
        <v>143.5</v>
      </c>
    </row>
    <row r="19" spans="1:21" ht="20.100000000000001" customHeight="1" x14ac:dyDescent="0.25">
      <c r="A19" s="255" t="s">
        <v>53</v>
      </c>
      <c r="B19" s="256"/>
      <c r="C19" s="45">
        <f t="shared" si="3"/>
        <v>2037</v>
      </c>
      <c r="D19" s="46" t="s">
        <v>29</v>
      </c>
      <c r="E19" s="47">
        <v>0.15</v>
      </c>
      <c r="F19" s="48">
        <v>688.8</v>
      </c>
      <c r="G19" s="49">
        <v>-55.1</v>
      </c>
      <c r="H19" s="48">
        <v>0</v>
      </c>
      <c r="I19" s="49">
        <v>-206.7</v>
      </c>
      <c r="J19" s="48">
        <f t="shared" si="0"/>
        <v>426.99999999999994</v>
      </c>
      <c r="K19" s="50">
        <v>0</v>
      </c>
      <c r="L19" s="51">
        <f t="shared" si="6"/>
        <v>-89.669999999999987</v>
      </c>
      <c r="M19" s="50">
        <f t="shared" si="4"/>
        <v>337.32999999999993</v>
      </c>
      <c r="N19" s="48">
        <v>0.5</v>
      </c>
      <c r="O19" s="48">
        <f t="shared" si="5"/>
        <v>168.66499999999996</v>
      </c>
      <c r="P19" s="53">
        <v>182.4</v>
      </c>
      <c r="R19" s="9">
        <v>2037</v>
      </c>
      <c r="S19" s="6" t="s">
        <v>29</v>
      </c>
      <c r="T19" s="12">
        <v>168.67</v>
      </c>
      <c r="U19" s="12">
        <v>182.4</v>
      </c>
    </row>
    <row r="20" spans="1:21" ht="30" customHeight="1" x14ac:dyDescent="0.35">
      <c r="A20" s="257">
        <v>2033</v>
      </c>
      <c r="B20" s="258"/>
      <c r="C20" s="45">
        <f t="shared" si="3"/>
        <v>2038</v>
      </c>
      <c r="D20" s="46" t="s">
        <v>29</v>
      </c>
      <c r="E20" s="47">
        <v>0.15</v>
      </c>
      <c r="F20" s="48">
        <v>706.1</v>
      </c>
      <c r="G20" s="49">
        <v>-56.5</v>
      </c>
      <c r="H20" s="48">
        <v>0</v>
      </c>
      <c r="I20" s="49">
        <v>-211.8</v>
      </c>
      <c r="J20" s="48">
        <f t="shared" si="0"/>
        <v>437.8</v>
      </c>
      <c r="K20" s="50">
        <v>0</v>
      </c>
      <c r="L20" s="51">
        <f t="shared" si="6"/>
        <v>-91.938000000000002</v>
      </c>
      <c r="M20" s="50">
        <f t="shared" si="4"/>
        <v>345.86200000000002</v>
      </c>
      <c r="N20" s="48">
        <v>0.5</v>
      </c>
      <c r="O20" s="48">
        <f t="shared" si="5"/>
        <v>172.93100000000001</v>
      </c>
      <c r="P20" s="53">
        <v>217.7</v>
      </c>
      <c r="R20" s="9">
        <v>2038</v>
      </c>
      <c r="S20" s="6" t="s">
        <v>29</v>
      </c>
      <c r="T20" s="12">
        <v>172.93</v>
      </c>
      <c r="U20" s="12">
        <v>217.7</v>
      </c>
    </row>
    <row r="21" spans="1:21" ht="15.95" customHeight="1" x14ac:dyDescent="0.25">
      <c r="A21" s="259" t="s">
        <v>54</v>
      </c>
      <c r="B21" s="260"/>
      <c r="C21" s="54">
        <f t="shared" si="3"/>
        <v>2039</v>
      </c>
      <c r="D21" s="55" t="s">
        <v>29</v>
      </c>
      <c r="E21" s="56">
        <v>0.15</v>
      </c>
      <c r="F21" s="57">
        <v>723.7</v>
      </c>
      <c r="G21" s="58">
        <v>-57.9</v>
      </c>
      <c r="H21" s="57">
        <v>0</v>
      </c>
      <c r="I21" s="58">
        <v>-217.1</v>
      </c>
      <c r="J21" s="57">
        <f t="shared" si="0"/>
        <v>448.70000000000005</v>
      </c>
      <c r="K21" s="59">
        <v>0</v>
      </c>
      <c r="L21" s="60">
        <f t="shared" si="6"/>
        <v>-94.227000000000004</v>
      </c>
      <c r="M21" s="59">
        <f t="shared" si="4"/>
        <v>354.47300000000007</v>
      </c>
      <c r="N21" s="57">
        <v>0.5</v>
      </c>
      <c r="O21" s="57">
        <f t="shared" si="5"/>
        <v>177.23650000000004</v>
      </c>
      <c r="P21" s="61">
        <v>249.8</v>
      </c>
      <c r="R21" s="9">
        <v>2039</v>
      </c>
      <c r="S21" s="6" t="s">
        <v>29</v>
      </c>
      <c r="T21" s="12">
        <v>177.24</v>
      </c>
      <c r="U21" s="12">
        <v>249.8</v>
      </c>
    </row>
    <row r="22" spans="1:21" ht="16.5" customHeight="1" thickBot="1" x14ac:dyDescent="0.3">
      <c r="C22" s="62">
        <f t="shared" si="3"/>
        <v>2040</v>
      </c>
      <c r="D22" s="63" t="s">
        <v>29</v>
      </c>
      <c r="E22" s="64">
        <v>0.15</v>
      </c>
      <c r="F22" s="65">
        <v>741.8</v>
      </c>
      <c r="G22" s="66">
        <v>-59.3</v>
      </c>
      <c r="H22" s="65">
        <v>0</v>
      </c>
      <c r="I22" s="66">
        <v>-222.5</v>
      </c>
      <c r="J22" s="65">
        <f t="shared" si="0"/>
        <v>459.99999999999994</v>
      </c>
      <c r="K22" s="67">
        <v>0</v>
      </c>
      <c r="L22" s="68">
        <f t="shared" si="6"/>
        <v>-96.59999999999998</v>
      </c>
      <c r="M22" s="67">
        <f t="shared" si="4"/>
        <v>363.4</v>
      </c>
      <c r="N22" s="65">
        <v>0.5</v>
      </c>
      <c r="O22" s="65">
        <f t="shared" si="5"/>
        <v>181.7</v>
      </c>
      <c r="P22" s="69">
        <v>278.8</v>
      </c>
      <c r="R22" s="9">
        <v>2040</v>
      </c>
      <c r="S22" s="6" t="s">
        <v>29</v>
      </c>
      <c r="T22" s="12">
        <v>181.7</v>
      </c>
      <c r="U22" s="12">
        <v>278.8</v>
      </c>
    </row>
    <row r="23" spans="1:21" ht="20.100000000000001" customHeight="1" x14ac:dyDescent="0.25">
      <c r="A23" s="247" t="s">
        <v>55</v>
      </c>
      <c r="B23" s="248"/>
      <c r="C23" s="70">
        <f t="shared" si="3"/>
        <v>2041</v>
      </c>
      <c r="D23" s="71" t="s">
        <v>30</v>
      </c>
      <c r="E23" s="72">
        <v>0.128</v>
      </c>
      <c r="F23" s="73">
        <v>549.4</v>
      </c>
      <c r="G23" s="73">
        <v>-43.9</v>
      </c>
      <c r="H23" s="73">
        <v>0</v>
      </c>
      <c r="I23" s="73">
        <v>-164.6</v>
      </c>
      <c r="J23" s="73">
        <f t="shared" si="0"/>
        <v>340.9</v>
      </c>
      <c r="K23" s="74">
        <v>0</v>
      </c>
      <c r="L23" s="75">
        <f t="shared" si="6"/>
        <v>-71.588999999999999</v>
      </c>
      <c r="M23" s="73">
        <f t="shared" si="4"/>
        <v>269.31099999999998</v>
      </c>
      <c r="N23" s="76">
        <v>0.5</v>
      </c>
      <c r="O23" s="73">
        <f t="shared" si="5"/>
        <v>134.65549999999999</v>
      </c>
      <c r="P23" s="77">
        <v>297.8</v>
      </c>
      <c r="R23" s="10">
        <v>2041</v>
      </c>
      <c r="S23" s="7" t="s">
        <v>30</v>
      </c>
      <c r="T23" s="13">
        <v>134.66</v>
      </c>
      <c r="U23" s="13">
        <v>297.8</v>
      </c>
    </row>
    <row r="24" spans="1:21" ht="18" customHeight="1" x14ac:dyDescent="0.25">
      <c r="A24" s="94" t="s">
        <v>56</v>
      </c>
      <c r="B24" s="95" t="s">
        <v>57</v>
      </c>
      <c r="C24" s="78">
        <f t="shared" si="3"/>
        <v>2042</v>
      </c>
      <c r="D24" s="79" t="s">
        <v>30</v>
      </c>
      <c r="E24" s="80">
        <v>0.105</v>
      </c>
      <c r="F24" s="81">
        <v>381.9</v>
      </c>
      <c r="G24" s="81">
        <v>-30.6</v>
      </c>
      <c r="H24" s="81">
        <v>0</v>
      </c>
      <c r="I24" s="81">
        <v>-114.6</v>
      </c>
      <c r="J24" s="81">
        <f t="shared" si="0"/>
        <v>236.7</v>
      </c>
      <c r="K24" s="82">
        <v>0</v>
      </c>
      <c r="L24" s="83">
        <f t="shared" si="6"/>
        <v>-49.706999999999994</v>
      </c>
      <c r="M24" s="81">
        <f t="shared" si="4"/>
        <v>186.99299999999999</v>
      </c>
      <c r="N24" s="84">
        <v>0.5</v>
      </c>
      <c r="O24" s="81">
        <f t="shared" si="5"/>
        <v>93.496499999999997</v>
      </c>
      <c r="P24" s="85">
        <v>309.60000000000002</v>
      </c>
      <c r="R24" s="10">
        <v>2042</v>
      </c>
      <c r="S24" s="7" t="s">
        <v>30</v>
      </c>
      <c r="T24" s="13">
        <v>93.5</v>
      </c>
      <c r="U24" s="13">
        <v>309.60000000000002</v>
      </c>
    </row>
    <row r="25" spans="1:21" ht="18" customHeight="1" x14ac:dyDescent="0.25">
      <c r="A25" s="96" t="s">
        <v>58</v>
      </c>
      <c r="B25" s="97" t="s">
        <v>59</v>
      </c>
      <c r="C25" s="78">
        <f t="shared" si="3"/>
        <v>2043</v>
      </c>
      <c r="D25" s="79" t="s">
        <v>30</v>
      </c>
      <c r="E25" s="80">
        <v>8.3000000000000004E-2</v>
      </c>
      <c r="F25" s="81">
        <v>241.7</v>
      </c>
      <c r="G25" s="81">
        <v>-19.3</v>
      </c>
      <c r="H25" s="81">
        <v>0</v>
      </c>
      <c r="I25" s="81">
        <v>-72.5</v>
      </c>
      <c r="J25" s="81">
        <f t="shared" si="0"/>
        <v>149.89999999999998</v>
      </c>
      <c r="K25" s="82">
        <v>0</v>
      </c>
      <c r="L25" s="83">
        <f t="shared" si="6"/>
        <v>-31.478999999999996</v>
      </c>
      <c r="M25" s="81">
        <f t="shared" si="4"/>
        <v>118.42099999999998</v>
      </c>
      <c r="N25" s="84">
        <v>0.5</v>
      </c>
      <c r="O25" s="81">
        <f t="shared" si="5"/>
        <v>59.210499999999989</v>
      </c>
      <c r="P25" s="85">
        <v>316.10000000000002</v>
      </c>
      <c r="R25" s="10">
        <v>2043</v>
      </c>
      <c r="S25" s="7" t="s">
        <v>30</v>
      </c>
      <c r="T25" s="13">
        <v>59.21</v>
      </c>
      <c r="U25" s="13">
        <v>316.10000000000002</v>
      </c>
    </row>
    <row r="26" spans="1:21" ht="18" customHeight="1" x14ac:dyDescent="0.25">
      <c r="A26" s="98" t="s">
        <v>60</v>
      </c>
      <c r="B26" s="99" t="s">
        <v>61</v>
      </c>
      <c r="C26" s="78">
        <f t="shared" si="3"/>
        <v>2044</v>
      </c>
      <c r="D26" s="79" t="s">
        <v>30</v>
      </c>
      <c r="E26" s="80">
        <v>0.06</v>
      </c>
      <c r="F26" s="81">
        <v>131</v>
      </c>
      <c r="G26" s="81">
        <v>-10.5</v>
      </c>
      <c r="H26" s="81">
        <v>0</v>
      </c>
      <c r="I26" s="81">
        <v>-39.299999999999997</v>
      </c>
      <c r="J26" s="81">
        <f t="shared" si="0"/>
        <v>81.2</v>
      </c>
      <c r="K26" s="82">
        <v>0</v>
      </c>
      <c r="L26" s="83">
        <f t="shared" si="6"/>
        <v>-17.052</v>
      </c>
      <c r="M26" s="81">
        <f t="shared" si="4"/>
        <v>64.147999999999996</v>
      </c>
      <c r="N26" s="84">
        <v>0.5</v>
      </c>
      <c r="O26" s="81">
        <f t="shared" si="5"/>
        <v>32.073999999999998</v>
      </c>
      <c r="P26" s="85">
        <v>319.3</v>
      </c>
      <c r="R26" s="10">
        <v>2044</v>
      </c>
      <c r="S26" s="7" t="s">
        <v>30</v>
      </c>
      <c r="T26" s="13">
        <v>32.07</v>
      </c>
      <c r="U26" s="13">
        <v>319.3</v>
      </c>
    </row>
    <row r="27" spans="1:21" ht="15.75" thickBot="1" x14ac:dyDescent="0.3">
      <c r="C27" s="86">
        <f t="shared" si="3"/>
        <v>2045</v>
      </c>
      <c r="D27" s="87" t="s">
        <v>30</v>
      </c>
      <c r="E27" s="88">
        <v>3.7999999999999999E-2</v>
      </c>
      <c r="F27" s="89">
        <v>52.5</v>
      </c>
      <c r="G27" s="89">
        <v>-4.2</v>
      </c>
      <c r="H27" s="89">
        <v>0</v>
      </c>
      <c r="I27" s="89">
        <v>-15.7</v>
      </c>
      <c r="J27" s="89">
        <f t="shared" si="0"/>
        <v>32.6</v>
      </c>
      <c r="K27" s="90">
        <v>0</v>
      </c>
      <c r="L27" s="91">
        <f t="shared" si="6"/>
        <v>-6.8460000000000001</v>
      </c>
      <c r="M27" s="89">
        <f t="shared" si="4"/>
        <v>25.754000000000001</v>
      </c>
      <c r="N27" s="92">
        <v>0.5</v>
      </c>
      <c r="O27" s="89">
        <f t="shared" si="5"/>
        <v>12.877000000000001</v>
      </c>
      <c r="P27" s="93">
        <v>320.39999999999998</v>
      </c>
      <c r="R27" s="10">
        <v>2045</v>
      </c>
      <c r="S27" s="7" t="s">
        <v>30</v>
      </c>
      <c r="T27" s="13">
        <v>12.88</v>
      </c>
      <c r="U27" s="13">
        <v>320.39999999999998</v>
      </c>
    </row>
    <row r="34" spans="16:16" x14ac:dyDescent="0.25">
      <c r="P34" s="2"/>
    </row>
  </sheetData>
  <mergeCells count="19">
    <mergeCell ref="A13:B13"/>
    <mergeCell ref="C1:P1"/>
    <mergeCell ref="C2:P2"/>
    <mergeCell ref="A1:B1"/>
    <mergeCell ref="A2:B2"/>
    <mergeCell ref="A4:B4"/>
    <mergeCell ref="A5:B5"/>
    <mergeCell ref="A7:B7"/>
    <mergeCell ref="A8:B8"/>
    <mergeCell ref="A9:B9"/>
    <mergeCell ref="A11:B11"/>
    <mergeCell ref="A12:B12"/>
    <mergeCell ref="A23:B23"/>
    <mergeCell ref="A15:B15"/>
    <mergeCell ref="A16:B16"/>
    <mergeCell ref="A17:B17"/>
    <mergeCell ref="A19:B19"/>
    <mergeCell ref="A20:B20"/>
    <mergeCell ref="A21:B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Conservative Case (Monte Carlo)</vt:lpstr>
      <vt:lpstr>Base Case (Normal)</vt:lpstr>
      <vt:lpstr>Bull Case (Phase 2 Prior)</vt:lpstr>
      <vt:lpstr>DCF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 Arnoldi</dc:creator>
  <cp:keywords/>
  <dc:description/>
  <cp:lastModifiedBy>Max Arnoldi</cp:lastModifiedBy>
  <cp:revision/>
  <dcterms:created xsi:type="dcterms:W3CDTF">2026-01-14T19:16:45Z</dcterms:created>
  <dcterms:modified xsi:type="dcterms:W3CDTF">2026-05-22T16:10:13Z</dcterms:modified>
  <cp:category/>
  <cp:contentStatus/>
</cp:coreProperties>
</file>